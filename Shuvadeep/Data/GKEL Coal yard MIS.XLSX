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/>
  <xr:revisionPtr revIDLastSave="0" documentId="13_ncr:1_{FA6AB97D-6659-45BA-B078-A132D8465B58}" xr6:coauthVersionLast="47" xr6:coauthVersionMax="47" xr10:uidLastSave="{00000000-0000-0000-0000-000000000000}"/>
  <bookViews>
    <workbookView xWindow="28680" yWindow="-120" windowWidth="20640" windowHeight="11760" activeTab="1" xr2:uid="{00000000-000D-0000-FFFF-FFFF00000000}"/>
  </bookViews>
  <sheets>
    <sheet name="summery " sheetId="17" r:id="rId1"/>
    <sheet name="RAKE GCV " sheetId="19" r:id="rId2"/>
    <sheet name="blending " sheetId="21" r:id="rId3"/>
    <sheet name="PILE-1A" sheetId="1" r:id="rId4"/>
    <sheet name="PILE-1B" sheetId="2" r:id="rId5"/>
    <sheet name="PILE-1C" sheetId="3" r:id="rId6"/>
    <sheet name="PILE-1D" sheetId="4" r:id="rId7"/>
    <sheet name="PILE-2A" sheetId="5" r:id="rId8"/>
    <sheet name="PILE-2B" sheetId="6" r:id="rId9"/>
    <sheet name="PILE-2C" sheetId="7" r:id="rId10"/>
    <sheet name="PILE-2D" sheetId="8" r:id="rId11"/>
    <sheet name="PILE-3A" sheetId="9" r:id="rId12"/>
    <sheet name="PILE-3B" sheetId="10" r:id="rId13"/>
    <sheet name="PILE-3C" sheetId="11" r:id="rId14"/>
    <sheet name="PILE-3D" sheetId="12" r:id="rId15"/>
    <sheet name="PILE-4A" sheetId="13" r:id="rId16"/>
    <sheet name="PILE-4B" sheetId="14" r:id="rId17"/>
    <sheet name="PILE-4C" sheetId="15" r:id="rId18"/>
    <sheet name="PILE-4D" sheetId="16" r:id="rId19"/>
    <sheet name="WT" sheetId="20" r:id="rId20"/>
  </sheets>
  <definedNames>
    <definedName name="_xlnm._FilterDatabase" localSheetId="1" hidden="1">'RAKE GCV '!$A$1:$BC$1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1" l="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6" i="21"/>
  <c r="G6" i="21"/>
  <c r="F6" i="21"/>
  <c r="S2" i="19"/>
  <c r="AB14" i="21"/>
  <c r="AB15" i="21"/>
  <c r="AB13" i="21"/>
  <c r="X3" i="21"/>
  <c r="W3" i="21"/>
  <c r="K6" i="21" l="1"/>
  <c r="H22" i="21"/>
  <c r="N6" i="21" l="1"/>
  <c r="M6" i="21"/>
  <c r="P6" i="21" s="1"/>
  <c r="J22" i="21"/>
  <c r="Q9" i="20"/>
  <c r="S9" i="20"/>
  <c r="Q10" i="20"/>
  <c r="S10" i="20"/>
  <c r="Q11" i="20"/>
  <c r="S11" i="20"/>
  <c r="Q12" i="20"/>
  <c r="S12" i="20"/>
  <c r="Q13" i="20"/>
  <c r="S13" i="20"/>
  <c r="Q14" i="20"/>
  <c r="S14" i="20"/>
  <c r="Q15" i="20"/>
  <c r="S15" i="20"/>
  <c r="Q16" i="20"/>
  <c r="S16" i="20"/>
  <c r="Q17" i="20"/>
  <c r="S17" i="20"/>
  <c r="Q18" i="20"/>
  <c r="S18" i="20"/>
  <c r="Q19" i="20"/>
  <c r="S19" i="20"/>
  <c r="Q20" i="20"/>
  <c r="S20" i="20"/>
  <c r="Q21" i="20"/>
  <c r="S21" i="20"/>
  <c r="Q22" i="20"/>
  <c r="S22" i="20"/>
  <c r="Q23" i="20"/>
  <c r="R23" i="20"/>
  <c r="Q24" i="20"/>
  <c r="R24" i="20"/>
  <c r="Q25" i="20"/>
  <c r="R25" i="20"/>
  <c r="Q26" i="20"/>
  <c r="R26" i="20"/>
  <c r="Q27" i="20"/>
  <c r="R27" i="20"/>
  <c r="Q28" i="20"/>
  <c r="R28" i="20"/>
  <c r="Q29" i="20"/>
  <c r="R29" i="20"/>
  <c r="Q30" i="20"/>
  <c r="R30" i="20"/>
  <c r="Q31" i="20"/>
  <c r="R31" i="20"/>
  <c r="Q32" i="20"/>
  <c r="R32" i="20"/>
  <c r="Q33" i="20"/>
  <c r="R33" i="20"/>
  <c r="Q34" i="20"/>
  <c r="R34" i="20"/>
  <c r="Q35" i="20"/>
  <c r="R35" i="20"/>
  <c r="Q36" i="20"/>
  <c r="R36" i="20"/>
  <c r="S8" i="20"/>
  <c r="Q8" i="20"/>
  <c r="S7" i="20"/>
  <c r="Q7" i="20"/>
  <c r="S6" i="20"/>
  <c r="Q6" i="20"/>
  <c r="Q9" i="16"/>
  <c r="S9" i="16"/>
  <c r="Q10" i="16"/>
  <c r="S10" i="16"/>
  <c r="Q11" i="16"/>
  <c r="R11" i="16"/>
  <c r="Q12" i="16"/>
  <c r="R12" i="16"/>
  <c r="Q13" i="16"/>
  <c r="R13" i="16"/>
  <c r="Q14" i="16"/>
  <c r="R14" i="16"/>
  <c r="Q15" i="16"/>
  <c r="R15" i="16"/>
  <c r="Q16" i="16"/>
  <c r="R16" i="16"/>
  <c r="Q17" i="16"/>
  <c r="R17" i="16"/>
  <c r="Q18" i="16"/>
  <c r="R18" i="16"/>
  <c r="Q19" i="16"/>
  <c r="R19" i="16"/>
  <c r="Q20" i="16"/>
  <c r="R20" i="16"/>
  <c r="Q21" i="16"/>
  <c r="R21" i="16"/>
  <c r="Q22" i="16"/>
  <c r="R22" i="16"/>
  <c r="R8" i="16"/>
  <c r="Q8" i="16"/>
  <c r="S7" i="16"/>
  <c r="R7" i="16"/>
  <c r="S6" i="16"/>
  <c r="R6" i="16"/>
  <c r="R9" i="15"/>
  <c r="S9" i="15"/>
  <c r="Q10" i="15"/>
  <c r="S10" i="15"/>
  <c r="Q11" i="15"/>
  <c r="S11" i="15"/>
  <c r="Q12" i="15"/>
  <c r="S12" i="15"/>
  <c r="Q13" i="15"/>
  <c r="R13" i="15"/>
  <c r="Q14" i="15"/>
  <c r="R14" i="15"/>
  <c r="Q15" i="15"/>
  <c r="R15" i="15"/>
  <c r="Q16" i="15"/>
  <c r="R16" i="15"/>
  <c r="Q17" i="15"/>
  <c r="R17" i="15"/>
  <c r="Q18" i="15"/>
  <c r="R18" i="15"/>
  <c r="S8" i="15"/>
  <c r="Q8" i="15"/>
  <c r="S7" i="15"/>
  <c r="R7" i="15"/>
  <c r="S6" i="15"/>
  <c r="Q6" i="15"/>
  <c r="M13" i="14"/>
  <c r="N13" i="14"/>
  <c r="O13" i="14"/>
  <c r="P13" i="14"/>
  <c r="M14" i="14"/>
  <c r="N14" i="14"/>
  <c r="O14" i="14"/>
  <c r="P14" i="14"/>
  <c r="M15" i="14"/>
  <c r="N15" i="14"/>
  <c r="O15" i="14"/>
  <c r="P15" i="14"/>
  <c r="M16" i="14"/>
  <c r="N16" i="14"/>
  <c r="O16" i="14"/>
  <c r="P16" i="14"/>
  <c r="M17" i="14"/>
  <c r="N17" i="14"/>
  <c r="O17" i="14"/>
  <c r="P17" i="14"/>
  <c r="M18" i="14"/>
  <c r="N18" i="14"/>
  <c r="O18" i="14"/>
  <c r="P18" i="14"/>
  <c r="M19" i="14"/>
  <c r="N19" i="14"/>
  <c r="O19" i="14"/>
  <c r="P19" i="14"/>
  <c r="M20" i="14"/>
  <c r="N20" i="14"/>
  <c r="O20" i="14"/>
  <c r="P20" i="14"/>
  <c r="M21" i="14"/>
  <c r="N21" i="14"/>
  <c r="O21" i="14"/>
  <c r="P21" i="14"/>
  <c r="R8" i="14"/>
  <c r="S8" i="14"/>
  <c r="R9" i="14"/>
  <c r="S9" i="14"/>
  <c r="Q10" i="14"/>
  <c r="S10" i="14"/>
  <c r="Q11" i="14"/>
  <c r="R11" i="14"/>
  <c r="Q12" i="14"/>
  <c r="R12" i="14"/>
  <c r="Q13" i="14"/>
  <c r="R13" i="14"/>
  <c r="Q14" i="14"/>
  <c r="R14" i="14"/>
  <c r="Q15" i="14"/>
  <c r="R15" i="14"/>
  <c r="Q16" i="14"/>
  <c r="R16" i="14"/>
  <c r="Q17" i="14"/>
  <c r="R17" i="14"/>
  <c r="Q18" i="14"/>
  <c r="R18" i="14"/>
  <c r="Q19" i="14"/>
  <c r="R19" i="14"/>
  <c r="Q20" i="14"/>
  <c r="R20" i="14"/>
  <c r="Q21" i="14"/>
  <c r="R21" i="14"/>
  <c r="S7" i="14"/>
  <c r="Q7" i="14"/>
  <c r="S6" i="14"/>
  <c r="Q6" i="14"/>
  <c r="Q8" i="13"/>
  <c r="S8" i="13"/>
  <c r="Q9" i="13"/>
  <c r="S9" i="13"/>
  <c r="Q10" i="13"/>
  <c r="R10" i="13"/>
  <c r="Q11" i="13"/>
  <c r="S11" i="13"/>
  <c r="Q12" i="13"/>
  <c r="R12" i="13"/>
  <c r="Q13" i="13"/>
  <c r="R13" i="13"/>
  <c r="Q14" i="13"/>
  <c r="R14" i="13"/>
  <c r="Q15" i="13"/>
  <c r="R15" i="13"/>
  <c r="Q16" i="13"/>
  <c r="R16" i="13"/>
  <c r="Q17" i="13"/>
  <c r="R17" i="13"/>
  <c r="Q18" i="13"/>
  <c r="R18" i="13"/>
  <c r="Q19" i="13"/>
  <c r="R19" i="13"/>
  <c r="Q20" i="13"/>
  <c r="R20" i="13"/>
  <c r="Q21" i="13"/>
  <c r="R21" i="13"/>
  <c r="Q22" i="13"/>
  <c r="R22" i="13"/>
  <c r="S7" i="13"/>
  <c r="R7" i="13"/>
  <c r="R6" i="13"/>
  <c r="Q6" i="13"/>
  <c r="M16" i="12"/>
  <c r="N16" i="12"/>
  <c r="O16" i="12"/>
  <c r="P16" i="12"/>
  <c r="M17" i="12"/>
  <c r="N17" i="12"/>
  <c r="O17" i="12"/>
  <c r="P17" i="12"/>
  <c r="M18" i="12"/>
  <c r="N18" i="12"/>
  <c r="O18" i="12"/>
  <c r="P18" i="12"/>
  <c r="M19" i="12"/>
  <c r="N19" i="12"/>
  <c r="O19" i="12"/>
  <c r="P19" i="12"/>
  <c r="M20" i="12"/>
  <c r="N20" i="12"/>
  <c r="O20" i="12"/>
  <c r="P20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K13" i="12"/>
  <c r="S13" i="12" s="1"/>
  <c r="L13" i="12"/>
  <c r="K14" i="12"/>
  <c r="S14" i="12" s="1"/>
  <c r="L14" i="12"/>
  <c r="K15" i="12"/>
  <c r="L15" i="12"/>
  <c r="M12" i="12"/>
  <c r="N12" i="12"/>
  <c r="O12" i="12"/>
  <c r="P12" i="12"/>
  <c r="M13" i="12"/>
  <c r="N13" i="12"/>
  <c r="O13" i="12"/>
  <c r="P13" i="12"/>
  <c r="M14" i="12"/>
  <c r="N14" i="12"/>
  <c r="O14" i="12"/>
  <c r="P14" i="12"/>
  <c r="M15" i="12"/>
  <c r="N15" i="12"/>
  <c r="O15" i="12"/>
  <c r="P15" i="12"/>
  <c r="R9" i="12"/>
  <c r="S9" i="12"/>
  <c r="Q10" i="12"/>
  <c r="R10" i="12"/>
  <c r="Q11" i="12"/>
  <c r="S11" i="12"/>
  <c r="Q12" i="12"/>
  <c r="R12" i="12"/>
  <c r="Q13" i="12"/>
  <c r="R13" i="12"/>
  <c r="Q14" i="12"/>
  <c r="R14" i="12"/>
  <c r="Q15" i="12"/>
  <c r="R15" i="12"/>
  <c r="S15" i="12"/>
  <c r="Q16" i="12"/>
  <c r="R16" i="12"/>
  <c r="Q17" i="12"/>
  <c r="R17" i="12"/>
  <c r="Q18" i="12"/>
  <c r="R18" i="12"/>
  <c r="Q19" i="12"/>
  <c r="R19" i="12"/>
  <c r="Q20" i="12"/>
  <c r="R20" i="12"/>
  <c r="S8" i="12"/>
  <c r="R8" i="12"/>
  <c r="R7" i="12"/>
  <c r="Q7" i="12"/>
  <c r="S6" i="12"/>
  <c r="Q6" i="12"/>
  <c r="Q9" i="11"/>
  <c r="S9" i="11"/>
  <c r="Q10" i="11"/>
  <c r="R10" i="11"/>
  <c r="Q11" i="11"/>
  <c r="R11" i="11"/>
  <c r="Q12" i="11"/>
  <c r="R12" i="11"/>
  <c r="Q13" i="11"/>
  <c r="R13" i="11"/>
  <c r="Q14" i="11"/>
  <c r="R14" i="11"/>
  <c r="Q15" i="11"/>
  <c r="R15" i="11"/>
  <c r="Q16" i="11"/>
  <c r="R16" i="11"/>
  <c r="Q17" i="11"/>
  <c r="R17" i="11"/>
  <c r="Q18" i="11"/>
  <c r="R18" i="11"/>
  <c r="Q19" i="11"/>
  <c r="R19" i="11"/>
  <c r="Q20" i="11"/>
  <c r="R20" i="11"/>
  <c r="Q21" i="11"/>
  <c r="R21" i="11"/>
  <c r="Q22" i="11"/>
  <c r="R22" i="11"/>
  <c r="S8" i="11"/>
  <c r="Q8" i="11"/>
  <c r="R7" i="11"/>
  <c r="Q7" i="11"/>
  <c r="S6" i="11"/>
  <c r="Q6" i="11"/>
  <c r="Q9" i="10"/>
  <c r="S9" i="10"/>
  <c r="Q10" i="10"/>
  <c r="S10" i="10"/>
  <c r="Q11" i="10"/>
  <c r="R11" i="10"/>
  <c r="Q12" i="10"/>
  <c r="R12" i="10"/>
  <c r="Q13" i="10"/>
  <c r="R13" i="10"/>
  <c r="Q14" i="10"/>
  <c r="R14" i="10"/>
  <c r="Q15" i="10"/>
  <c r="R15" i="10"/>
  <c r="Q16" i="10"/>
  <c r="R16" i="10"/>
  <c r="Q17" i="10"/>
  <c r="R17" i="10"/>
  <c r="Q18" i="10"/>
  <c r="R18" i="10"/>
  <c r="Q19" i="10"/>
  <c r="R19" i="10"/>
  <c r="Q20" i="10"/>
  <c r="R20" i="10"/>
  <c r="Q21" i="10"/>
  <c r="R21" i="10"/>
  <c r="Q22" i="10"/>
  <c r="R22" i="10"/>
  <c r="S8" i="10"/>
  <c r="Q8" i="10"/>
  <c r="R7" i="10"/>
  <c r="Q7" i="10"/>
  <c r="S6" i="10"/>
  <c r="Q6" i="10"/>
  <c r="Q8" i="9"/>
  <c r="S8" i="9"/>
  <c r="Q9" i="9"/>
  <c r="R9" i="9"/>
  <c r="Q10" i="9"/>
  <c r="R10" i="9"/>
  <c r="Q11" i="9"/>
  <c r="R11" i="9"/>
  <c r="Q12" i="9"/>
  <c r="R12" i="9"/>
  <c r="Q13" i="9"/>
  <c r="R13" i="9"/>
  <c r="Q14" i="9"/>
  <c r="R14" i="9"/>
  <c r="Q15" i="9"/>
  <c r="R15" i="9"/>
  <c r="Q16" i="9"/>
  <c r="R16" i="9"/>
  <c r="Q17" i="9"/>
  <c r="R17" i="9"/>
  <c r="Q18" i="9"/>
  <c r="R18" i="9"/>
  <c r="Q19" i="9"/>
  <c r="R19" i="9"/>
  <c r="R7" i="9"/>
  <c r="Q7" i="9"/>
  <c r="S6" i="9"/>
  <c r="Q6" i="9"/>
  <c r="Q8" i="8"/>
  <c r="R8" i="8"/>
  <c r="Q9" i="8"/>
  <c r="R9" i="8"/>
  <c r="Q10" i="8"/>
  <c r="R10" i="8"/>
  <c r="Q11" i="8"/>
  <c r="R11" i="8"/>
  <c r="Q12" i="8"/>
  <c r="R12" i="8"/>
  <c r="Q13" i="8"/>
  <c r="R13" i="8"/>
  <c r="Q14" i="8"/>
  <c r="R14" i="8"/>
  <c r="Q15" i="8"/>
  <c r="R15" i="8"/>
  <c r="Q16" i="8"/>
  <c r="R16" i="8"/>
  <c r="Q17" i="8"/>
  <c r="R17" i="8"/>
  <c r="Q18" i="8"/>
  <c r="R18" i="8"/>
  <c r="Q19" i="8"/>
  <c r="R19" i="8"/>
  <c r="Q20" i="8"/>
  <c r="R20" i="8"/>
  <c r="Q21" i="8"/>
  <c r="R21" i="8"/>
  <c r="Q22" i="8"/>
  <c r="R22" i="8"/>
  <c r="S7" i="8"/>
  <c r="R7" i="8"/>
  <c r="S6" i="8"/>
  <c r="R6" i="8"/>
  <c r="Q7" i="7"/>
  <c r="R7" i="7"/>
  <c r="Q8" i="7"/>
  <c r="R8" i="7"/>
  <c r="Q9" i="7"/>
  <c r="R9" i="7"/>
  <c r="R10" i="7"/>
  <c r="S10" i="7"/>
  <c r="Q11" i="7"/>
  <c r="S11" i="7"/>
  <c r="Q12" i="7"/>
  <c r="R12" i="7"/>
  <c r="R13" i="7"/>
  <c r="S13" i="7"/>
  <c r="Q14" i="7"/>
  <c r="R14" i="7"/>
  <c r="Q15" i="7"/>
  <c r="R15" i="7"/>
  <c r="Q16" i="7"/>
  <c r="R16" i="7"/>
  <c r="Q17" i="7"/>
  <c r="R17" i="7"/>
  <c r="Q18" i="7"/>
  <c r="R18" i="7"/>
  <c r="Q19" i="7"/>
  <c r="R19" i="7"/>
  <c r="Q20" i="7"/>
  <c r="R20" i="7"/>
  <c r="Q21" i="7"/>
  <c r="R21" i="7"/>
  <c r="Q22" i="7"/>
  <c r="R22" i="7"/>
  <c r="R6" i="7"/>
  <c r="Q6" i="7"/>
  <c r="K16" i="6"/>
  <c r="S16" i="6" s="1"/>
  <c r="L16" i="6"/>
  <c r="K17" i="6"/>
  <c r="S17" i="6" s="1"/>
  <c r="L17" i="6"/>
  <c r="K18" i="6"/>
  <c r="L18" i="6"/>
  <c r="K19" i="6"/>
  <c r="S19" i="6" s="1"/>
  <c r="L19" i="6"/>
  <c r="K20" i="6"/>
  <c r="L20" i="6"/>
  <c r="K21" i="6"/>
  <c r="L21" i="6"/>
  <c r="K22" i="6"/>
  <c r="L22" i="6"/>
  <c r="M10" i="6"/>
  <c r="N10" i="6"/>
  <c r="O10" i="6"/>
  <c r="P10" i="6"/>
  <c r="M11" i="6"/>
  <c r="N11" i="6"/>
  <c r="O11" i="6"/>
  <c r="P11" i="6"/>
  <c r="M12" i="6"/>
  <c r="N12" i="6"/>
  <c r="O12" i="6"/>
  <c r="P12" i="6"/>
  <c r="M13" i="6"/>
  <c r="N13" i="6"/>
  <c r="O13" i="6"/>
  <c r="P13" i="6"/>
  <c r="M14" i="6"/>
  <c r="N14" i="6"/>
  <c r="O14" i="6"/>
  <c r="P14" i="6"/>
  <c r="M15" i="6"/>
  <c r="N15" i="6"/>
  <c r="O15" i="6"/>
  <c r="P15" i="6"/>
  <c r="M16" i="6"/>
  <c r="N16" i="6"/>
  <c r="O16" i="6"/>
  <c r="P16" i="6"/>
  <c r="M17" i="6"/>
  <c r="N17" i="6"/>
  <c r="O17" i="6"/>
  <c r="P17" i="6"/>
  <c r="M18" i="6"/>
  <c r="N18" i="6"/>
  <c r="O18" i="6"/>
  <c r="P18" i="6"/>
  <c r="M19" i="6"/>
  <c r="N19" i="6"/>
  <c r="O19" i="6"/>
  <c r="P19" i="6"/>
  <c r="M20" i="6"/>
  <c r="N20" i="6"/>
  <c r="O20" i="6"/>
  <c r="P20" i="6"/>
  <c r="M21" i="6"/>
  <c r="N21" i="6"/>
  <c r="O21" i="6"/>
  <c r="P21" i="6"/>
  <c r="M22" i="6"/>
  <c r="N22" i="6"/>
  <c r="O22" i="6"/>
  <c r="P22" i="6"/>
  <c r="Q11" i="6"/>
  <c r="R11" i="6"/>
  <c r="Q12" i="6"/>
  <c r="R12" i="6"/>
  <c r="Q13" i="6"/>
  <c r="R13" i="6"/>
  <c r="Q14" i="6"/>
  <c r="R14" i="6"/>
  <c r="Q15" i="6"/>
  <c r="R15" i="6"/>
  <c r="Q16" i="6"/>
  <c r="R16" i="6"/>
  <c r="Q17" i="6"/>
  <c r="R17" i="6"/>
  <c r="Q18" i="6"/>
  <c r="R18" i="6"/>
  <c r="S18" i="6"/>
  <c r="Q19" i="6"/>
  <c r="R19" i="6"/>
  <c r="Q20" i="6"/>
  <c r="R20" i="6"/>
  <c r="S20" i="6"/>
  <c r="Q21" i="6"/>
  <c r="R21" i="6"/>
  <c r="S21" i="6"/>
  <c r="Q22" i="6"/>
  <c r="R22" i="6"/>
  <c r="S22" i="6"/>
  <c r="R10" i="6"/>
  <c r="Q10" i="6"/>
  <c r="R9" i="6"/>
  <c r="Q9" i="6"/>
  <c r="R8" i="6"/>
  <c r="Q8" i="6"/>
  <c r="S7" i="6"/>
  <c r="Q7" i="6"/>
  <c r="S6" i="6"/>
  <c r="Q6" i="6"/>
  <c r="Q7" i="5"/>
  <c r="R7" i="5"/>
  <c r="Q8" i="5"/>
  <c r="R8" i="5"/>
  <c r="Q9" i="5"/>
  <c r="R9" i="5"/>
  <c r="Q10" i="5"/>
  <c r="R10" i="5"/>
  <c r="Q11" i="5"/>
  <c r="R11" i="5"/>
  <c r="Q12" i="5"/>
  <c r="R12" i="5"/>
  <c r="Q13" i="5"/>
  <c r="R13" i="5"/>
  <c r="Q14" i="5"/>
  <c r="R14" i="5"/>
  <c r="Q15" i="5"/>
  <c r="R15" i="5"/>
  <c r="Q16" i="5"/>
  <c r="R16" i="5"/>
  <c r="Q17" i="5"/>
  <c r="R17" i="5"/>
  <c r="Q18" i="5"/>
  <c r="R18" i="5"/>
  <c r="Q19" i="5"/>
  <c r="R19" i="5"/>
  <c r="Q20" i="5"/>
  <c r="R20" i="5"/>
  <c r="Q21" i="5"/>
  <c r="R21" i="5"/>
  <c r="Q22" i="5"/>
  <c r="R22" i="5"/>
  <c r="R6" i="5"/>
  <c r="Q6" i="5"/>
  <c r="R7" i="4"/>
  <c r="S7" i="4"/>
  <c r="R8" i="4"/>
  <c r="S8" i="4"/>
  <c r="Q9" i="4"/>
  <c r="S9" i="4"/>
  <c r="R10" i="4"/>
  <c r="S10" i="4"/>
  <c r="R11" i="4"/>
  <c r="S11" i="4"/>
  <c r="Q12" i="4"/>
  <c r="S12" i="4"/>
  <c r="Q13" i="4"/>
  <c r="R13" i="4"/>
  <c r="Q14" i="4"/>
  <c r="R14" i="4"/>
  <c r="Q15" i="4"/>
  <c r="R15" i="4"/>
  <c r="Q16" i="4"/>
  <c r="R16" i="4"/>
  <c r="Q17" i="4"/>
  <c r="R17" i="4"/>
  <c r="Q18" i="4"/>
  <c r="R18" i="4"/>
  <c r="S6" i="4"/>
  <c r="Q6" i="4"/>
  <c r="R7" i="3"/>
  <c r="S7" i="3"/>
  <c r="R8" i="3"/>
  <c r="S8" i="3"/>
  <c r="Q9" i="3"/>
  <c r="S9" i="3"/>
  <c r="R10" i="3"/>
  <c r="S10" i="3"/>
  <c r="Q11" i="3"/>
  <c r="S11" i="3"/>
  <c r="Q12" i="3"/>
  <c r="R12" i="3"/>
  <c r="Q13" i="3"/>
  <c r="R13" i="3"/>
  <c r="Q14" i="3"/>
  <c r="R14" i="3"/>
  <c r="Q15" i="3"/>
  <c r="R15" i="3"/>
  <c r="Q16" i="3"/>
  <c r="R16" i="3"/>
  <c r="Q17" i="3"/>
  <c r="R17" i="3"/>
  <c r="Q18" i="3"/>
  <c r="R18" i="3"/>
  <c r="Q19" i="3"/>
  <c r="R19" i="3"/>
  <c r="Q20" i="3"/>
  <c r="R20" i="3"/>
  <c r="Q21" i="3"/>
  <c r="R21" i="3"/>
  <c r="Q22" i="3"/>
  <c r="R22" i="3"/>
  <c r="S6" i="3"/>
  <c r="R6" i="3"/>
  <c r="Q7" i="2"/>
  <c r="S7" i="2"/>
  <c r="Q8" i="2"/>
  <c r="R8" i="2"/>
  <c r="Q9" i="2"/>
  <c r="R9" i="2"/>
  <c r="Q10" i="2"/>
  <c r="R10" i="2"/>
  <c r="Q11" i="2"/>
  <c r="S11" i="2"/>
  <c r="Q12" i="2"/>
  <c r="S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R6" i="2"/>
  <c r="Q6" i="2"/>
  <c r="S7" i="1" l="1"/>
  <c r="S9" i="1"/>
  <c r="S10" i="1"/>
  <c r="S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Q7" i="1"/>
  <c r="Q8" i="1"/>
  <c r="Q11" i="1"/>
  <c r="Q12" i="1"/>
  <c r="Q13" i="1"/>
  <c r="Q14" i="1"/>
  <c r="Q15" i="1"/>
  <c r="Q16" i="1"/>
  <c r="Q17" i="1"/>
  <c r="Q18" i="1"/>
  <c r="Q19" i="1"/>
  <c r="Q20" i="1"/>
  <c r="Q21" i="1"/>
  <c r="Q22" i="1"/>
  <c r="Q6" i="1"/>
  <c r="G22" i="21"/>
  <c r="S22" i="21" s="1"/>
  <c r="F22" i="21"/>
  <c r="L22" i="21" l="1"/>
  <c r="O22" i="21" s="1"/>
  <c r="K22" i="21"/>
  <c r="N22" i="21" s="1"/>
  <c r="K12" i="12"/>
  <c r="S12" i="12" s="1"/>
  <c r="L12" i="12"/>
  <c r="M22" i="21" l="1"/>
  <c r="P22" i="21" s="1"/>
  <c r="Q22" i="21" s="1"/>
  <c r="S1263" i="19"/>
  <c r="T1263" i="19"/>
  <c r="U1263" i="19"/>
  <c r="V1263" i="19"/>
  <c r="W1263" i="19"/>
  <c r="X1263" i="19"/>
  <c r="Y1263" i="19"/>
  <c r="Z1263" i="19"/>
  <c r="AA1263" i="19"/>
  <c r="AB1263" i="19"/>
  <c r="AC1263" i="19"/>
  <c r="AD1263" i="19"/>
  <c r="F716" i="19"/>
  <c r="G716" i="19"/>
  <c r="H716" i="19"/>
  <c r="I716" i="19"/>
  <c r="J716" i="19"/>
  <c r="K716" i="19"/>
  <c r="L716" i="19"/>
  <c r="M716" i="19"/>
  <c r="N716" i="19"/>
  <c r="O716" i="19"/>
  <c r="P716" i="19"/>
  <c r="Q716" i="19"/>
  <c r="F717" i="19"/>
  <c r="G717" i="19"/>
  <c r="H717" i="19"/>
  <c r="I717" i="19"/>
  <c r="J717" i="19"/>
  <c r="K717" i="19"/>
  <c r="L717" i="19"/>
  <c r="M717" i="19"/>
  <c r="N717" i="19"/>
  <c r="O717" i="19"/>
  <c r="P717" i="19"/>
  <c r="Q717" i="19"/>
  <c r="F718" i="19"/>
  <c r="G718" i="19"/>
  <c r="H718" i="19"/>
  <c r="I718" i="19"/>
  <c r="J718" i="19"/>
  <c r="K718" i="19"/>
  <c r="L718" i="19"/>
  <c r="M718" i="19"/>
  <c r="N718" i="19"/>
  <c r="O718" i="19"/>
  <c r="P718" i="19"/>
  <c r="Q718" i="19"/>
  <c r="F719" i="19"/>
  <c r="G719" i="19"/>
  <c r="H719" i="19"/>
  <c r="I719" i="19"/>
  <c r="J719" i="19"/>
  <c r="K719" i="19"/>
  <c r="L719" i="19"/>
  <c r="M719" i="19"/>
  <c r="N719" i="19"/>
  <c r="O719" i="19"/>
  <c r="P719" i="19"/>
  <c r="Q719" i="19"/>
  <c r="F720" i="19"/>
  <c r="G720" i="19"/>
  <c r="H720" i="19"/>
  <c r="I720" i="19"/>
  <c r="J720" i="19"/>
  <c r="K720" i="19"/>
  <c r="L720" i="19"/>
  <c r="M720" i="19"/>
  <c r="N720" i="19"/>
  <c r="O720" i="19"/>
  <c r="P720" i="19"/>
  <c r="Q720" i="19"/>
  <c r="F721" i="19"/>
  <c r="G721" i="19"/>
  <c r="H721" i="19"/>
  <c r="I721" i="19"/>
  <c r="J721" i="19"/>
  <c r="K721" i="19"/>
  <c r="L721" i="19"/>
  <c r="M721" i="19"/>
  <c r="N721" i="19"/>
  <c r="O721" i="19"/>
  <c r="P721" i="19"/>
  <c r="Q721" i="19"/>
  <c r="F722" i="19"/>
  <c r="G722" i="19"/>
  <c r="H722" i="19"/>
  <c r="I722" i="19"/>
  <c r="J722" i="19"/>
  <c r="K722" i="19"/>
  <c r="L722" i="19"/>
  <c r="M722" i="19"/>
  <c r="N722" i="19"/>
  <c r="O722" i="19"/>
  <c r="P722" i="19"/>
  <c r="Q722" i="19"/>
  <c r="F723" i="19"/>
  <c r="G723" i="19"/>
  <c r="H723" i="19"/>
  <c r="I723" i="19"/>
  <c r="J723" i="19"/>
  <c r="K723" i="19"/>
  <c r="L723" i="19"/>
  <c r="M723" i="19"/>
  <c r="N723" i="19"/>
  <c r="O723" i="19"/>
  <c r="P723" i="19"/>
  <c r="Q723" i="19"/>
  <c r="F724" i="19"/>
  <c r="G724" i="19"/>
  <c r="H724" i="19"/>
  <c r="I724" i="19"/>
  <c r="J724" i="19"/>
  <c r="K724" i="19"/>
  <c r="L724" i="19"/>
  <c r="M724" i="19"/>
  <c r="N724" i="19"/>
  <c r="O724" i="19"/>
  <c r="P724" i="19"/>
  <c r="Q724" i="19"/>
  <c r="F725" i="19"/>
  <c r="G725" i="19"/>
  <c r="H725" i="19"/>
  <c r="I725" i="19"/>
  <c r="J725" i="19"/>
  <c r="K725" i="19"/>
  <c r="L725" i="19"/>
  <c r="M725" i="19"/>
  <c r="N725" i="19"/>
  <c r="O725" i="19"/>
  <c r="P725" i="19"/>
  <c r="Q725" i="19"/>
  <c r="F726" i="19"/>
  <c r="G726" i="19"/>
  <c r="H726" i="19"/>
  <c r="I726" i="19"/>
  <c r="J726" i="19"/>
  <c r="K726" i="19"/>
  <c r="L726" i="19"/>
  <c r="M726" i="19"/>
  <c r="N726" i="19"/>
  <c r="O726" i="19"/>
  <c r="P726" i="19"/>
  <c r="Q726" i="19"/>
  <c r="F727" i="19"/>
  <c r="G727" i="19"/>
  <c r="H727" i="19"/>
  <c r="I727" i="19"/>
  <c r="J727" i="19"/>
  <c r="K727" i="19"/>
  <c r="L727" i="19"/>
  <c r="M727" i="19"/>
  <c r="N727" i="19"/>
  <c r="O727" i="19"/>
  <c r="P727" i="19"/>
  <c r="Q727" i="19"/>
  <c r="F728" i="19"/>
  <c r="G728" i="19"/>
  <c r="H728" i="19"/>
  <c r="I728" i="19"/>
  <c r="J728" i="19"/>
  <c r="K728" i="19"/>
  <c r="L728" i="19"/>
  <c r="M728" i="19"/>
  <c r="N728" i="19"/>
  <c r="O728" i="19"/>
  <c r="P728" i="19"/>
  <c r="Q728" i="19"/>
  <c r="F729" i="19"/>
  <c r="G729" i="19"/>
  <c r="H729" i="19"/>
  <c r="I729" i="19"/>
  <c r="J729" i="19"/>
  <c r="K729" i="19"/>
  <c r="L729" i="19"/>
  <c r="M729" i="19"/>
  <c r="N729" i="19"/>
  <c r="O729" i="19"/>
  <c r="P729" i="19"/>
  <c r="Q729" i="19"/>
  <c r="F730" i="19"/>
  <c r="G730" i="19"/>
  <c r="H730" i="19"/>
  <c r="I730" i="19"/>
  <c r="J730" i="19"/>
  <c r="K730" i="19"/>
  <c r="L730" i="19"/>
  <c r="M730" i="19"/>
  <c r="N730" i="19"/>
  <c r="O730" i="19"/>
  <c r="P730" i="19"/>
  <c r="Q730" i="19"/>
  <c r="F731" i="19"/>
  <c r="G731" i="19"/>
  <c r="H731" i="19"/>
  <c r="I731" i="19"/>
  <c r="J731" i="19"/>
  <c r="K731" i="19"/>
  <c r="L731" i="19"/>
  <c r="M731" i="19"/>
  <c r="N731" i="19"/>
  <c r="O731" i="19"/>
  <c r="P731" i="19"/>
  <c r="Q731" i="19"/>
  <c r="F732" i="19"/>
  <c r="G732" i="19"/>
  <c r="H732" i="19"/>
  <c r="I732" i="19"/>
  <c r="J732" i="19"/>
  <c r="K732" i="19"/>
  <c r="L732" i="19"/>
  <c r="M732" i="19"/>
  <c r="N732" i="19"/>
  <c r="O732" i="19"/>
  <c r="P732" i="19"/>
  <c r="Q732" i="19"/>
  <c r="F733" i="19"/>
  <c r="G733" i="19"/>
  <c r="H733" i="19"/>
  <c r="I733" i="19"/>
  <c r="J733" i="19"/>
  <c r="K733" i="19"/>
  <c r="L733" i="19"/>
  <c r="M733" i="19"/>
  <c r="N733" i="19"/>
  <c r="O733" i="19"/>
  <c r="P733" i="19"/>
  <c r="Q733" i="19"/>
  <c r="F734" i="19"/>
  <c r="G734" i="19"/>
  <c r="H734" i="19"/>
  <c r="I734" i="19"/>
  <c r="J734" i="19"/>
  <c r="K734" i="19"/>
  <c r="L734" i="19"/>
  <c r="M734" i="19"/>
  <c r="N734" i="19"/>
  <c r="O734" i="19"/>
  <c r="P734" i="19"/>
  <c r="Q734" i="19"/>
  <c r="F735" i="19"/>
  <c r="G735" i="19"/>
  <c r="H735" i="19"/>
  <c r="I735" i="19"/>
  <c r="J735" i="19"/>
  <c r="K735" i="19"/>
  <c r="L735" i="19"/>
  <c r="M735" i="19"/>
  <c r="N735" i="19"/>
  <c r="O735" i="19"/>
  <c r="P735" i="19"/>
  <c r="Q735" i="19"/>
  <c r="F736" i="19"/>
  <c r="G736" i="19"/>
  <c r="H736" i="19"/>
  <c r="I736" i="19"/>
  <c r="J736" i="19"/>
  <c r="K736" i="19"/>
  <c r="L736" i="19"/>
  <c r="M736" i="19"/>
  <c r="N736" i="19"/>
  <c r="O736" i="19"/>
  <c r="P736" i="19"/>
  <c r="Q736" i="19"/>
  <c r="F737" i="19"/>
  <c r="G737" i="19"/>
  <c r="H737" i="19"/>
  <c r="I737" i="19"/>
  <c r="J737" i="19"/>
  <c r="K737" i="19"/>
  <c r="L737" i="19"/>
  <c r="M737" i="19"/>
  <c r="N737" i="19"/>
  <c r="O737" i="19"/>
  <c r="P737" i="19"/>
  <c r="Q737" i="19"/>
  <c r="F738" i="19"/>
  <c r="G738" i="19"/>
  <c r="H738" i="19"/>
  <c r="I738" i="19"/>
  <c r="J738" i="19"/>
  <c r="K738" i="19"/>
  <c r="L738" i="19"/>
  <c r="M738" i="19"/>
  <c r="N738" i="19"/>
  <c r="O738" i="19"/>
  <c r="P738" i="19"/>
  <c r="Q738" i="19"/>
  <c r="F739" i="19"/>
  <c r="G739" i="19"/>
  <c r="H739" i="19"/>
  <c r="I739" i="19"/>
  <c r="J739" i="19"/>
  <c r="K739" i="19"/>
  <c r="L739" i="19"/>
  <c r="M739" i="19"/>
  <c r="N739" i="19"/>
  <c r="O739" i="19"/>
  <c r="P739" i="19"/>
  <c r="Q739" i="19"/>
  <c r="F740" i="19"/>
  <c r="G740" i="19"/>
  <c r="H740" i="19"/>
  <c r="I740" i="19"/>
  <c r="J740" i="19"/>
  <c r="K740" i="19"/>
  <c r="L740" i="19"/>
  <c r="M740" i="19"/>
  <c r="N740" i="19"/>
  <c r="O740" i="19"/>
  <c r="P740" i="19"/>
  <c r="Q740" i="19"/>
  <c r="F741" i="19"/>
  <c r="G741" i="19"/>
  <c r="H741" i="19"/>
  <c r="I741" i="19"/>
  <c r="J741" i="19"/>
  <c r="K741" i="19"/>
  <c r="L741" i="19"/>
  <c r="M741" i="19"/>
  <c r="N741" i="19"/>
  <c r="O741" i="19"/>
  <c r="P741" i="19"/>
  <c r="Q741" i="19"/>
  <c r="F742" i="19"/>
  <c r="G742" i="19"/>
  <c r="H742" i="19"/>
  <c r="I742" i="19"/>
  <c r="J742" i="19"/>
  <c r="K742" i="19"/>
  <c r="L742" i="19"/>
  <c r="M742" i="19"/>
  <c r="N742" i="19"/>
  <c r="O742" i="19"/>
  <c r="P742" i="19"/>
  <c r="Q742" i="19"/>
  <c r="F743" i="19"/>
  <c r="G743" i="19"/>
  <c r="H743" i="19"/>
  <c r="I743" i="19"/>
  <c r="J743" i="19"/>
  <c r="K743" i="19"/>
  <c r="L743" i="19"/>
  <c r="M743" i="19"/>
  <c r="N743" i="19"/>
  <c r="O743" i="19"/>
  <c r="P743" i="19"/>
  <c r="Q743" i="19"/>
  <c r="F744" i="19"/>
  <c r="G744" i="19"/>
  <c r="H744" i="19"/>
  <c r="I744" i="19"/>
  <c r="J744" i="19"/>
  <c r="K744" i="19"/>
  <c r="L744" i="19"/>
  <c r="M744" i="19"/>
  <c r="N744" i="19"/>
  <c r="O744" i="19"/>
  <c r="P744" i="19"/>
  <c r="Q744" i="19"/>
  <c r="F745" i="19"/>
  <c r="G745" i="19"/>
  <c r="H745" i="19"/>
  <c r="I745" i="19"/>
  <c r="J745" i="19"/>
  <c r="K745" i="19"/>
  <c r="L745" i="19"/>
  <c r="M745" i="19"/>
  <c r="N745" i="19"/>
  <c r="O745" i="19"/>
  <c r="P745" i="19"/>
  <c r="Q745" i="19"/>
  <c r="F746" i="19"/>
  <c r="G746" i="19"/>
  <c r="H746" i="19"/>
  <c r="I746" i="19"/>
  <c r="J746" i="19"/>
  <c r="K746" i="19"/>
  <c r="L746" i="19"/>
  <c r="M746" i="19"/>
  <c r="N746" i="19"/>
  <c r="O746" i="19"/>
  <c r="P746" i="19"/>
  <c r="Q746" i="19"/>
  <c r="F747" i="19"/>
  <c r="G747" i="19"/>
  <c r="H747" i="19"/>
  <c r="I747" i="19"/>
  <c r="J747" i="19"/>
  <c r="K747" i="19"/>
  <c r="L747" i="19"/>
  <c r="M747" i="19"/>
  <c r="N747" i="19"/>
  <c r="O747" i="19"/>
  <c r="P747" i="19"/>
  <c r="Q747" i="19"/>
  <c r="F748" i="19"/>
  <c r="G748" i="19"/>
  <c r="H748" i="19"/>
  <c r="I748" i="19"/>
  <c r="J748" i="19"/>
  <c r="K748" i="19"/>
  <c r="L748" i="19"/>
  <c r="M748" i="19"/>
  <c r="N748" i="19"/>
  <c r="O748" i="19"/>
  <c r="P748" i="19"/>
  <c r="Q748" i="19"/>
  <c r="F749" i="19"/>
  <c r="G749" i="19"/>
  <c r="H749" i="19"/>
  <c r="I749" i="19"/>
  <c r="J749" i="19"/>
  <c r="K749" i="19"/>
  <c r="L749" i="19"/>
  <c r="M749" i="19"/>
  <c r="N749" i="19"/>
  <c r="O749" i="19"/>
  <c r="P749" i="19"/>
  <c r="Q749" i="19"/>
  <c r="F750" i="19"/>
  <c r="G750" i="19"/>
  <c r="H750" i="19"/>
  <c r="I750" i="19"/>
  <c r="J750" i="19"/>
  <c r="K750" i="19"/>
  <c r="L750" i="19"/>
  <c r="M750" i="19"/>
  <c r="N750" i="19"/>
  <c r="O750" i="19"/>
  <c r="P750" i="19"/>
  <c r="Q750" i="19"/>
  <c r="F751" i="19"/>
  <c r="G751" i="19"/>
  <c r="H751" i="19"/>
  <c r="I751" i="19"/>
  <c r="J751" i="19"/>
  <c r="K751" i="19"/>
  <c r="L751" i="19"/>
  <c r="M751" i="19"/>
  <c r="N751" i="19"/>
  <c r="O751" i="19"/>
  <c r="P751" i="19"/>
  <c r="Q751" i="19"/>
  <c r="F752" i="19"/>
  <c r="G752" i="19"/>
  <c r="H752" i="19"/>
  <c r="I752" i="19"/>
  <c r="J752" i="19"/>
  <c r="K752" i="19"/>
  <c r="L752" i="19"/>
  <c r="M752" i="19"/>
  <c r="N752" i="19"/>
  <c r="O752" i="19"/>
  <c r="P752" i="19"/>
  <c r="Q752" i="19"/>
  <c r="F753" i="19"/>
  <c r="G753" i="19"/>
  <c r="H753" i="19"/>
  <c r="I753" i="19"/>
  <c r="J753" i="19"/>
  <c r="K753" i="19"/>
  <c r="L753" i="19"/>
  <c r="M753" i="19"/>
  <c r="N753" i="19"/>
  <c r="O753" i="19"/>
  <c r="P753" i="19"/>
  <c r="Q753" i="19"/>
  <c r="F754" i="19"/>
  <c r="G754" i="19"/>
  <c r="H754" i="19"/>
  <c r="I754" i="19"/>
  <c r="J754" i="19"/>
  <c r="K754" i="19"/>
  <c r="L754" i="19"/>
  <c r="M754" i="19"/>
  <c r="N754" i="19"/>
  <c r="O754" i="19"/>
  <c r="P754" i="19"/>
  <c r="Q754" i="19"/>
  <c r="F755" i="19"/>
  <c r="G755" i="19"/>
  <c r="H755" i="19"/>
  <c r="I755" i="19"/>
  <c r="J755" i="19"/>
  <c r="K755" i="19"/>
  <c r="L755" i="19"/>
  <c r="M755" i="19"/>
  <c r="N755" i="19"/>
  <c r="O755" i="19"/>
  <c r="P755" i="19"/>
  <c r="Q755" i="19"/>
  <c r="F756" i="19"/>
  <c r="G756" i="19"/>
  <c r="H756" i="19"/>
  <c r="I756" i="19"/>
  <c r="J756" i="19"/>
  <c r="K756" i="19"/>
  <c r="L756" i="19"/>
  <c r="M756" i="19"/>
  <c r="N756" i="19"/>
  <c r="O756" i="19"/>
  <c r="P756" i="19"/>
  <c r="Q756" i="19"/>
  <c r="F757" i="19"/>
  <c r="G757" i="19"/>
  <c r="H757" i="19"/>
  <c r="I757" i="19"/>
  <c r="J757" i="19"/>
  <c r="K757" i="19"/>
  <c r="L757" i="19"/>
  <c r="M757" i="19"/>
  <c r="N757" i="19"/>
  <c r="O757" i="19"/>
  <c r="P757" i="19"/>
  <c r="Q757" i="19"/>
  <c r="F758" i="19"/>
  <c r="G758" i="19"/>
  <c r="H758" i="19"/>
  <c r="I758" i="19"/>
  <c r="J758" i="19"/>
  <c r="K758" i="19"/>
  <c r="L758" i="19"/>
  <c r="M758" i="19"/>
  <c r="N758" i="19"/>
  <c r="O758" i="19"/>
  <c r="P758" i="19"/>
  <c r="Q758" i="19"/>
  <c r="F759" i="19"/>
  <c r="G759" i="19"/>
  <c r="H759" i="19"/>
  <c r="I759" i="19"/>
  <c r="J759" i="19"/>
  <c r="K759" i="19"/>
  <c r="L759" i="19"/>
  <c r="M759" i="19"/>
  <c r="N759" i="19"/>
  <c r="O759" i="19"/>
  <c r="P759" i="19"/>
  <c r="Q759" i="19"/>
  <c r="F760" i="19"/>
  <c r="G760" i="19"/>
  <c r="H760" i="19"/>
  <c r="I760" i="19"/>
  <c r="J760" i="19"/>
  <c r="K760" i="19"/>
  <c r="L760" i="19"/>
  <c r="M760" i="19"/>
  <c r="N760" i="19"/>
  <c r="O760" i="19"/>
  <c r="P760" i="19"/>
  <c r="Q760" i="19"/>
  <c r="F761" i="19"/>
  <c r="G761" i="19"/>
  <c r="H761" i="19"/>
  <c r="I761" i="19"/>
  <c r="J761" i="19"/>
  <c r="K761" i="19"/>
  <c r="L761" i="19"/>
  <c r="M761" i="19"/>
  <c r="N761" i="19"/>
  <c r="O761" i="19"/>
  <c r="P761" i="19"/>
  <c r="Q761" i="19"/>
  <c r="F762" i="19"/>
  <c r="G762" i="19"/>
  <c r="H762" i="19"/>
  <c r="I762" i="19"/>
  <c r="J762" i="19"/>
  <c r="K762" i="19"/>
  <c r="L762" i="19"/>
  <c r="M762" i="19"/>
  <c r="N762" i="19"/>
  <c r="O762" i="19"/>
  <c r="P762" i="19"/>
  <c r="Q762" i="19"/>
  <c r="F763" i="19"/>
  <c r="G763" i="19"/>
  <c r="H763" i="19"/>
  <c r="I763" i="19"/>
  <c r="J763" i="19"/>
  <c r="K763" i="19"/>
  <c r="L763" i="19"/>
  <c r="M763" i="19"/>
  <c r="N763" i="19"/>
  <c r="O763" i="19"/>
  <c r="P763" i="19"/>
  <c r="Q763" i="19"/>
  <c r="F764" i="19"/>
  <c r="G764" i="19"/>
  <c r="H764" i="19"/>
  <c r="I764" i="19"/>
  <c r="J764" i="19"/>
  <c r="K764" i="19"/>
  <c r="L764" i="19"/>
  <c r="M764" i="19"/>
  <c r="N764" i="19"/>
  <c r="O764" i="19"/>
  <c r="P764" i="19"/>
  <c r="Q764" i="19"/>
  <c r="F765" i="19"/>
  <c r="G765" i="19"/>
  <c r="H765" i="19"/>
  <c r="I765" i="19"/>
  <c r="J765" i="19"/>
  <c r="K765" i="19"/>
  <c r="L765" i="19"/>
  <c r="M765" i="19"/>
  <c r="N765" i="19"/>
  <c r="O765" i="19"/>
  <c r="P765" i="19"/>
  <c r="Q765" i="19"/>
  <c r="F766" i="19"/>
  <c r="G766" i="19"/>
  <c r="H766" i="19"/>
  <c r="I766" i="19"/>
  <c r="J766" i="19"/>
  <c r="K766" i="19"/>
  <c r="L766" i="19"/>
  <c r="M766" i="19"/>
  <c r="N766" i="19"/>
  <c r="O766" i="19"/>
  <c r="P766" i="19"/>
  <c r="Q766" i="19"/>
  <c r="F767" i="19"/>
  <c r="G767" i="19"/>
  <c r="H767" i="19"/>
  <c r="I767" i="19"/>
  <c r="J767" i="19"/>
  <c r="K767" i="19"/>
  <c r="L767" i="19"/>
  <c r="M767" i="19"/>
  <c r="N767" i="19"/>
  <c r="O767" i="19"/>
  <c r="P767" i="19"/>
  <c r="Q767" i="19"/>
  <c r="F768" i="19"/>
  <c r="G768" i="19"/>
  <c r="H768" i="19"/>
  <c r="I768" i="19"/>
  <c r="J768" i="19"/>
  <c r="K768" i="19"/>
  <c r="L768" i="19"/>
  <c r="M768" i="19"/>
  <c r="N768" i="19"/>
  <c r="O768" i="19"/>
  <c r="P768" i="19"/>
  <c r="Q768" i="19"/>
  <c r="F769" i="19"/>
  <c r="G769" i="19"/>
  <c r="H769" i="19"/>
  <c r="I769" i="19"/>
  <c r="J769" i="19"/>
  <c r="K769" i="19"/>
  <c r="L769" i="19"/>
  <c r="M769" i="19"/>
  <c r="N769" i="19"/>
  <c r="O769" i="19"/>
  <c r="P769" i="19"/>
  <c r="Q769" i="19"/>
  <c r="F770" i="19"/>
  <c r="G770" i="19"/>
  <c r="H770" i="19"/>
  <c r="I770" i="19"/>
  <c r="J770" i="19"/>
  <c r="K770" i="19"/>
  <c r="L770" i="19"/>
  <c r="M770" i="19"/>
  <c r="N770" i="19"/>
  <c r="O770" i="19"/>
  <c r="P770" i="19"/>
  <c r="Q770" i="19"/>
  <c r="F771" i="19"/>
  <c r="G771" i="19"/>
  <c r="H771" i="19"/>
  <c r="I771" i="19"/>
  <c r="J771" i="19"/>
  <c r="K771" i="19"/>
  <c r="L771" i="19"/>
  <c r="M771" i="19"/>
  <c r="N771" i="19"/>
  <c r="O771" i="19"/>
  <c r="P771" i="19"/>
  <c r="Q771" i="19"/>
  <c r="F772" i="19"/>
  <c r="G772" i="19"/>
  <c r="H772" i="19"/>
  <c r="I772" i="19"/>
  <c r="J772" i="19"/>
  <c r="K772" i="19"/>
  <c r="L772" i="19"/>
  <c r="M772" i="19"/>
  <c r="N772" i="19"/>
  <c r="O772" i="19"/>
  <c r="P772" i="19"/>
  <c r="Q772" i="19"/>
  <c r="F773" i="19"/>
  <c r="G773" i="19"/>
  <c r="H773" i="19"/>
  <c r="I773" i="19"/>
  <c r="J773" i="19"/>
  <c r="K773" i="19"/>
  <c r="L773" i="19"/>
  <c r="M773" i="19"/>
  <c r="N773" i="19"/>
  <c r="O773" i="19"/>
  <c r="P773" i="19"/>
  <c r="Q773" i="19"/>
  <c r="F774" i="19"/>
  <c r="G774" i="19"/>
  <c r="H774" i="19"/>
  <c r="I774" i="19"/>
  <c r="J774" i="19"/>
  <c r="K774" i="19"/>
  <c r="L774" i="19"/>
  <c r="M774" i="19"/>
  <c r="N774" i="19"/>
  <c r="O774" i="19"/>
  <c r="P774" i="19"/>
  <c r="Q774" i="19"/>
  <c r="F775" i="19"/>
  <c r="G775" i="19"/>
  <c r="H775" i="19"/>
  <c r="I775" i="19"/>
  <c r="J775" i="19"/>
  <c r="K775" i="19"/>
  <c r="L775" i="19"/>
  <c r="M775" i="19"/>
  <c r="N775" i="19"/>
  <c r="O775" i="19"/>
  <c r="P775" i="19"/>
  <c r="Q775" i="19"/>
  <c r="F776" i="19"/>
  <c r="G776" i="19"/>
  <c r="H776" i="19"/>
  <c r="I776" i="19"/>
  <c r="J776" i="19"/>
  <c r="K776" i="19"/>
  <c r="L776" i="19"/>
  <c r="M776" i="19"/>
  <c r="N776" i="19"/>
  <c r="O776" i="19"/>
  <c r="P776" i="19"/>
  <c r="Q776" i="19"/>
  <c r="F777" i="19"/>
  <c r="G777" i="19"/>
  <c r="H777" i="19"/>
  <c r="I777" i="19"/>
  <c r="J777" i="19"/>
  <c r="K777" i="19"/>
  <c r="L777" i="19"/>
  <c r="M777" i="19"/>
  <c r="N777" i="19"/>
  <c r="O777" i="19"/>
  <c r="P777" i="19"/>
  <c r="Q777" i="19"/>
  <c r="F778" i="19"/>
  <c r="G778" i="19"/>
  <c r="H778" i="19"/>
  <c r="I778" i="19"/>
  <c r="J778" i="19"/>
  <c r="K778" i="19"/>
  <c r="L778" i="19"/>
  <c r="M778" i="19"/>
  <c r="N778" i="19"/>
  <c r="O778" i="19"/>
  <c r="P778" i="19"/>
  <c r="Q778" i="19"/>
  <c r="F779" i="19"/>
  <c r="G779" i="19"/>
  <c r="H779" i="19"/>
  <c r="I779" i="19"/>
  <c r="J779" i="19"/>
  <c r="K779" i="19"/>
  <c r="L779" i="19"/>
  <c r="M779" i="19"/>
  <c r="N779" i="19"/>
  <c r="O779" i="19"/>
  <c r="P779" i="19"/>
  <c r="Q779" i="19"/>
  <c r="F780" i="19"/>
  <c r="G780" i="19"/>
  <c r="H780" i="19"/>
  <c r="I780" i="19"/>
  <c r="J780" i="19"/>
  <c r="K780" i="19"/>
  <c r="L780" i="19"/>
  <c r="M780" i="19"/>
  <c r="N780" i="19"/>
  <c r="O780" i="19"/>
  <c r="P780" i="19"/>
  <c r="Q780" i="19"/>
  <c r="F781" i="19"/>
  <c r="G781" i="19"/>
  <c r="H781" i="19"/>
  <c r="I781" i="19"/>
  <c r="J781" i="19"/>
  <c r="K781" i="19"/>
  <c r="L781" i="19"/>
  <c r="M781" i="19"/>
  <c r="N781" i="19"/>
  <c r="O781" i="19"/>
  <c r="P781" i="19"/>
  <c r="Q781" i="19"/>
  <c r="F782" i="19"/>
  <c r="G782" i="19"/>
  <c r="H782" i="19"/>
  <c r="I782" i="19"/>
  <c r="J782" i="19"/>
  <c r="K782" i="19"/>
  <c r="L782" i="19"/>
  <c r="M782" i="19"/>
  <c r="N782" i="19"/>
  <c r="O782" i="19"/>
  <c r="P782" i="19"/>
  <c r="Q782" i="19"/>
  <c r="F783" i="19"/>
  <c r="G783" i="19"/>
  <c r="H783" i="19"/>
  <c r="I783" i="19"/>
  <c r="J783" i="19"/>
  <c r="K783" i="19"/>
  <c r="L783" i="19"/>
  <c r="M783" i="19"/>
  <c r="N783" i="19"/>
  <c r="O783" i="19"/>
  <c r="P783" i="19"/>
  <c r="Q783" i="19"/>
  <c r="F784" i="19"/>
  <c r="G784" i="19"/>
  <c r="H784" i="19"/>
  <c r="I784" i="19"/>
  <c r="J784" i="19"/>
  <c r="K784" i="19"/>
  <c r="L784" i="19"/>
  <c r="M784" i="19"/>
  <c r="N784" i="19"/>
  <c r="O784" i="19"/>
  <c r="P784" i="19"/>
  <c r="Q784" i="19"/>
  <c r="F785" i="19"/>
  <c r="G785" i="19"/>
  <c r="H785" i="19"/>
  <c r="I785" i="19"/>
  <c r="J785" i="19"/>
  <c r="K785" i="19"/>
  <c r="L785" i="19"/>
  <c r="M785" i="19"/>
  <c r="N785" i="19"/>
  <c r="O785" i="19"/>
  <c r="P785" i="19"/>
  <c r="Q785" i="19"/>
  <c r="F786" i="19"/>
  <c r="G786" i="19"/>
  <c r="H786" i="19"/>
  <c r="I786" i="19"/>
  <c r="J786" i="19"/>
  <c r="K786" i="19"/>
  <c r="L786" i="19"/>
  <c r="M786" i="19"/>
  <c r="N786" i="19"/>
  <c r="O786" i="19"/>
  <c r="P786" i="19"/>
  <c r="Q786" i="19"/>
  <c r="F787" i="19"/>
  <c r="G787" i="19"/>
  <c r="H787" i="19"/>
  <c r="I787" i="19"/>
  <c r="J787" i="19"/>
  <c r="K787" i="19"/>
  <c r="L787" i="19"/>
  <c r="M787" i="19"/>
  <c r="N787" i="19"/>
  <c r="O787" i="19"/>
  <c r="P787" i="19"/>
  <c r="Q787" i="19"/>
  <c r="F788" i="19"/>
  <c r="G788" i="19"/>
  <c r="H788" i="19"/>
  <c r="I788" i="19"/>
  <c r="J788" i="19"/>
  <c r="K788" i="19"/>
  <c r="L788" i="19"/>
  <c r="M788" i="19"/>
  <c r="N788" i="19"/>
  <c r="O788" i="19"/>
  <c r="P788" i="19"/>
  <c r="Q788" i="19"/>
  <c r="F789" i="19"/>
  <c r="G789" i="19"/>
  <c r="H789" i="19"/>
  <c r="I789" i="19"/>
  <c r="J789" i="19"/>
  <c r="K789" i="19"/>
  <c r="L789" i="19"/>
  <c r="M789" i="19"/>
  <c r="N789" i="19"/>
  <c r="O789" i="19"/>
  <c r="P789" i="19"/>
  <c r="Q789" i="19"/>
  <c r="F790" i="19"/>
  <c r="G790" i="19"/>
  <c r="H790" i="19"/>
  <c r="I790" i="19"/>
  <c r="J790" i="19"/>
  <c r="K790" i="19"/>
  <c r="L790" i="19"/>
  <c r="M790" i="19"/>
  <c r="N790" i="19"/>
  <c r="O790" i="19"/>
  <c r="P790" i="19"/>
  <c r="Q790" i="19"/>
  <c r="F791" i="19"/>
  <c r="G791" i="19"/>
  <c r="H791" i="19"/>
  <c r="I791" i="19"/>
  <c r="J791" i="19"/>
  <c r="K791" i="19"/>
  <c r="L791" i="19"/>
  <c r="M791" i="19"/>
  <c r="N791" i="19"/>
  <c r="O791" i="19"/>
  <c r="P791" i="19"/>
  <c r="Q791" i="19"/>
  <c r="F792" i="19"/>
  <c r="G792" i="19"/>
  <c r="H792" i="19"/>
  <c r="I792" i="19"/>
  <c r="J792" i="19"/>
  <c r="K792" i="19"/>
  <c r="L792" i="19"/>
  <c r="M792" i="19"/>
  <c r="N792" i="19"/>
  <c r="O792" i="19"/>
  <c r="P792" i="19"/>
  <c r="Q792" i="19"/>
  <c r="F793" i="19"/>
  <c r="G793" i="19"/>
  <c r="H793" i="19"/>
  <c r="I793" i="19"/>
  <c r="J793" i="19"/>
  <c r="K793" i="19"/>
  <c r="L793" i="19"/>
  <c r="M793" i="19"/>
  <c r="N793" i="19"/>
  <c r="O793" i="19"/>
  <c r="P793" i="19"/>
  <c r="Q793" i="19"/>
  <c r="F794" i="19"/>
  <c r="G794" i="19"/>
  <c r="H794" i="19"/>
  <c r="I794" i="19"/>
  <c r="J794" i="19"/>
  <c r="K794" i="19"/>
  <c r="L794" i="19"/>
  <c r="M794" i="19"/>
  <c r="N794" i="19"/>
  <c r="O794" i="19"/>
  <c r="P794" i="19"/>
  <c r="Q794" i="19"/>
  <c r="F795" i="19"/>
  <c r="G795" i="19"/>
  <c r="H795" i="19"/>
  <c r="I795" i="19"/>
  <c r="J795" i="19"/>
  <c r="K795" i="19"/>
  <c r="L795" i="19"/>
  <c r="M795" i="19"/>
  <c r="N795" i="19"/>
  <c r="O795" i="19"/>
  <c r="P795" i="19"/>
  <c r="Q795" i="19"/>
  <c r="F796" i="19"/>
  <c r="G796" i="19"/>
  <c r="H796" i="19"/>
  <c r="I796" i="19"/>
  <c r="J796" i="19"/>
  <c r="K796" i="19"/>
  <c r="L796" i="19"/>
  <c r="M796" i="19"/>
  <c r="N796" i="19"/>
  <c r="O796" i="19"/>
  <c r="P796" i="19"/>
  <c r="Q796" i="19"/>
  <c r="F797" i="19"/>
  <c r="G797" i="19"/>
  <c r="H797" i="19"/>
  <c r="I797" i="19"/>
  <c r="J797" i="19"/>
  <c r="K797" i="19"/>
  <c r="L797" i="19"/>
  <c r="M797" i="19"/>
  <c r="N797" i="19"/>
  <c r="O797" i="19"/>
  <c r="P797" i="19"/>
  <c r="Q797" i="19"/>
  <c r="F798" i="19"/>
  <c r="G798" i="19"/>
  <c r="H798" i="19"/>
  <c r="I798" i="19"/>
  <c r="J798" i="19"/>
  <c r="K798" i="19"/>
  <c r="L798" i="19"/>
  <c r="M798" i="19"/>
  <c r="N798" i="19"/>
  <c r="O798" i="19"/>
  <c r="P798" i="19"/>
  <c r="Q798" i="19"/>
  <c r="F799" i="19"/>
  <c r="G799" i="19"/>
  <c r="H799" i="19"/>
  <c r="I799" i="19"/>
  <c r="J799" i="19"/>
  <c r="K799" i="19"/>
  <c r="L799" i="19"/>
  <c r="M799" i="19"/>
  <c r="N799" i="19"/>
  <c r="O799" i="19"/>
  <c r="P799" i="19"/>
  <c r="Q799" i="19"/>
  <c r="F800" i="19"/>
  <c r="G800" i="19"/>
  <c r="H800" i="19"/>
  <c r="I800" i="19"/>
  <c r="J800" i="19"/>
  <c r="K800" i="19"/>
  <c r="L800" i="19"/>
  <c r="M800" i="19"/>
  <c r="N800" i="19"/>
  <c r="O800" i="19"/>
  <c r="P800" i="19"/>
  <c r="Q800" i="19"/>
  <c r="F801" i="19"/>
  <c r="G801" i="19"/>
  <c r="H801" i="19"/>
  <c r="I801" i="19"/>
  <c r="J801" i="19"/>
  <c r="K801" i="19"/>
  <c r="L801" i="19"/>
  <c r="M801" i="19"/>
  <c r="N801" i="19"/>
  <c r="O801" i="19"/>
  <c r="P801" i="19"/>
  <c r="Q801" i="19"/>
  <c r="F802" i="19"/>
  <c r="G802" i="19"/>
  <c r="H802" i="19"/>
  <c r="I802" i="19"/>
  <c r="J802" i="19"/>
  <c r="K802" i="19"/>
  <c r="L802" i="19"/>
  <c r="M802" i="19"/>
  <c r="N802" i="19"/>
  <c r="O802" i="19"/>
  <c r="P802" i="19"/>
  <c r="Q802" i="19"/>
  <c r="F803" i="19"/>
  <c r="G803" i="19"/>
  <c r="H803" i="19"/>
  <c r="I803" i="19"/>
  <c r="J803" i="19"/>
  <c r="K803" i="19"/>
  <c r="L803" i="19"/>
  <c r="M803" i="19"/>
  <c r="N803" i="19"/>
  <c r="O803" i="19"/>
  <c r="P803" i="19"/>
  <c r="Q803" i="19"/>
  <c r="F804" i="19"/>
  <c r="G804" i="19"/>
  <c r="H804" i="19"/>
  <c r="I804" i="19"/>
  <c r="J804" i="19"/>
  <c r="K804" i="19"/>
  <c r="L804" i="19"/>
  <c r="M804" i="19"/>
  <c r="N804" i="19"/>
  <c r="O804" i="19"/>
  <c r="P804" i="19"/>
  <c r="Q804" i="19"/>
  <c r="F805" i="19"/>
  <c r="G805" i="19"/>
  <c r="H805" i="19"/>
  <c r="I805" i="19"/>
  <c r="J805" i="19"/>
  <c r="K805" i="19"/>
  <c r="L805" i="19"/>
  <c r="M805" i="19"/>
  <c r="N805" i="19"/>
  <c r="O805" i="19"/>
  <c r="P805" i="19"/>
  <c r="Q805" i="19"/>
  <c r="F806" i="19"/>
  <c r="G806" i="19"/>
  <c r="H806" i="19"/>
  <c r="I806" i="19"/>
  <c r="J806" i="19"/>
  <c r="K806" i="19"/>
  <c r="L806" i="19"/>
  <c r="M806" i="19"/>
  <c r="N806" i="19"/>
  <c r="O806" i="19"/>
  <c r="P806" i="19"/>
  <c r="Q806" i="19"/>
  <c r="F807" i="19"/>
  <c r="G807" i="19"/>
  <c r="H807" i="19"/>
  <c r="I807" i="19"/>
  <c r="J807" i="19"/>
  <c r="K807" i="19"/>
  <c r="L807" i="19"/>
  <c r="M807" i="19"/>
  <c r="N807" i="19"/>
  <c r="O807" i="19"/>
  <c r="P807" i="19"/>
  <c r="Q807" i="19"/>
  <c r="F808" i="19"/>
  <c r="G808" i="19"/>
  <c r="H808" i="19"/>
  <c r="I808" i="19"/>
  <c r="J808" i="19"/>
  <c r="K808" i="19"/>
  <c r="L808" i="19"/>
  <c r="M808" i="19"/>
  <c r="N808" i="19"/>
  <c r="O808" i="19"/>
  <c r="P808" i="19"/>
  <c r="Q808" i="19"/>
  <c r="F809" i="19"/>
  <c r="G809" i="19"/>
  <c r="H809" i="19"/>
  <c r="I809" i="19"/>
  <c r="J809" i="19"/>
  <c r="K809" i="19"/>
  <c r="L809" i="19"/>
  <c r="M809" i="19"/>
  <c r="N809" i="19"/>
  <c r="O809" i="19"/>
  <c r="P809" i="19"/>
  <c r="Q809" i="19"/>
  <c r="F810" i="19"/>
  <c r="G810" i="19"/>
  <c r="H810" i="19"/>
  <c r="I810" i="19"/>
  <c r="J810" i="19"/>
  <c r="K810" i="19"/>
  <c r="L810" i="19"/>
  <c r="M810" i="19"/>
  <c r="N810" i="19"/>
  <c r="O810" i="19"/>
  <c r="P810" i="19"/>
  <c r="Q810" i="19"/>
  <c r="F811" i="19"/>
  <c r="G811" i="19"/>
  <c r="H811" i="19"/>
  <c r="I811" i="19"/>
  <c r="J811" i="19"/>
  <c r="K811" i="19"/>
  <c r="L811" i="19"/>
  <c r="M811" i="19"/>
  <c r="N811" i="19"/>
  <c r="O811" i="19"/>
  <c r="P811" i="19"/>
  <c r="Q811" i="19"/>
  <c r="F812" i="19"/>
  <c r="G812" i="19"/>
  <c r="H812" i="19"/>
  <c r="I812" i="19"/>
  <c r="J812" i="19"/>
  <c r="K812" i="19"/>
  <c r="L812" i="19"/>
  <c r="M812" i="19"/>
  <c r="N812" i="19"/>
  <c r="O812" i="19"/>
  <c r="P812" i="19"/>
  <c r="Q812" i="19"/>
  <c r="F813" i="19"/>
  <c r="G813" i="19"/>
  <c r="H813" i="19"/>
  <c r="I813" i="19"/>
  <c r="J813" i="19"/>
  <c r="K813" i="19"/>
  <c r="L813" i="19"/>
  <c r="M813" i="19"/>
  <c r="N813" i="19"/>
  <c r="O813" i="19"/>
  <c r="P813" i="19"/>
  <c r="Q813" i="19"/>
  <c r="F814" i="19"/>
  <c r="G814" i="19"/>
  <c r="H814" i="19"/>
  <c r="I814" i="19"/>
  <c r="J814" i="19"/>
  <c r="K814" i="19"/>
  <c r="L814" i="19"/>
  <c r="M814" i="19"/>
  <c r="N814" i="19"/>
  <c r="O814" i="19"/>
  <c r="P814" i="19"/>
  <c r="Q814" i="19"/>
  <c r="F815" i="19"/>
  <c r="G815" i="19"/>
  <c r="H815" i="19"/>
  <c r="I815" i="19"/>
  <c r="J815" i="19"/>
  <c r="K815" i="19"/>
  <c r="L815" i="19"/>
  <c r="M815" i="19"/>
  <c r="N815" i="19"/>
  <c r="O815" i="19"/>
  <c r="P815" i="19"/>
  <c r="Q815" i="19"/>
  <c r="F816" i="19"/>
  <c r="G816" i="19"/>
  <c r="H816" i="19"/>
  <c r="I816" i="19"/>
  <c r="J816" i="19"/>
  <c r="K816" i="19"/>
  <c r="L816" i="19"/>
  <c r="M816" i="19"/>
  <c r="N816" i="19"/>
  <c r="O816" i="19"/>
  <c r="P816" i="19"/>
  <c r="Q816" i="19"/>
  <c r="F817" i="19"/>
  <c r="G817" i="19"/>
  <c r="H817" i="19"/>
  <c r="I817" i="19"/>
  <c r="J817" i="19"/>
  <c r="K817" i="19"/>
  <c r="L817" i="19"/>
  <c r="M817" i="19"/>
  <c r="N817" i="19"/>
  <c r="O817" i="19"/>
  <c r="P817" i="19"/>
  <c r="Q817" i="19"/>
  <c r="F818" i="19"/>
  <c r="G818" i="19"/>
  <c r="H818" i="19"/>
  <c r="I818" i="19"/>
  <c r="J818" i="19"/>
  <c r="K818" i="19"/>
  <c r="L818" i="19"/>
  <c r="M818" i="19"/>
  <c r="N818" i="19"/>
  <c r="O818" i="19"/>
  <c r="P818" i="19"/>
  <c r="Q818" i="19"/>
  <c r="F819" i="19"/>
  <c r="G819" i="19"/>
  <c r="H819" i="19"/>
  <c r="I819" i="19"/>
  <c r="J819" i="19"/>
  <c r="K819" i="19"/>
  <c r="L819" i="19"/>
  <c r="M819" i="19"/>
  <c r="N819" i="19"/>
  <c r="O819" i="19"/>
  <c r="P819" i="19"/>
  <c r="Q819" i="19"/>
  <c r="F820" i="19"/>
  <c r="G820" i="19"/>
  <c r="H820" i="19"/>
  <c r="I820" i="19"/>
  <c r="J820" i="19"/>
  <c r="K820" i="19"/>
  <c r="L820" i="19"/>
  <c r="M820" i="19"/>
  <c r="N820" i="19"/>
  <c r="O820" i="19"/>
  <c r="P820" i="19"/>
  <c r="Q820" i="19"/>
  <c r="F821" i="19"/>
  <c r="G821" i="19"/>
  <c r="H821" i="19"/>
  <c r="I821" i="19"/>
  <c r="J821" i="19"/>
  <c r="K821" i="19"/>
  <c r="L821" i="19"/>
  <c r="M821" i="19"/>
  <c r="N821" i="19"/>
  <c r="O821" i="19"/>
  <c r="P821" i="19"/>
  <c r="Q821" i="19"/>
  <c r="F822" i="19"/>
  <c r="G822" i="19"/>
  <c r="H822" i="19"/>
  <c r="I822" i="19"/>
  <c r="J822" i="19"/>
  <c r="K822" i="19"/>
  <c r="L822" i="19"/>
  <c r="M822" i="19"/>
  <c r="N822" i="19"/>
  <c r="O822" i="19"/>
  <c r="P822" i="19"/>
  <c r="Q822" i="19"/>
  <c r="F823" i="19"/>
  <c r="G823" i="19"/>
  <c r="H823" i="19"/>
  <c r="I823" i="19"/>
  <c r="J823" i="19"/>
  <c r="K823" i="19"/>
  <c r="L823" i="19"/>
  <c r="M823" i="19"/>
  <c r="N823" i="19"/>
  <c r="O823" i="19"/>
  <c r="P823" i="19"/>
  <c r="Q823" i="19"/>
  <c r="F824" i="19"/>
  <c r="G824" i="19"/>
  <c r="H824" i="19"/>
  <c r="I824" i="19"/>
  <c r="J824" i="19"/>
  <c r="K824" i="19"/>
  <c r="L824" i="19"/>
  <c r="M824" i="19"/>
  <c r="N824" i="19"/>
  <c r="O824" i="19"/>
  <c r="P824" i="19"/>
  <c r="Q824" i="19"/>
  <c r="F825" i="19"/>
  <c r="G825" i="19"/>
  <c r="H825" i="19"/>
  <c r="I825" i="19"/>
  <c r="J825" i="19"/>
  <c r="K825" i="19"/>
  <c r="L825" i="19"/>
  <c r="M825" i="19"/>
  <c r="N825" i="19"/>
  <c r="O825" i="19"/>
  <c r="P825" i="19"/>
  <c r="Q825" i="19"/>
  <c r="F826" i="19"/>
  <c r="G826" i="19"/>
  <c r="H826" i="19"/>
  <c r="I826" i="19"/>
  <c r="J826" i="19"/>
  <c r="K826" i="19"/>
  <c r="L826" i="19"/>
  <c r="M826" i="19"/>
  <c r="N826" i="19"/>
  <c r="O826" i="19"/>
  <c r="P826" i="19"/>
  <c r="Q826" i="19"/>
  <c r="F827" i="19"/>
  <c r="G827" i="19"/>
  <c r="H827" i="19"/>
  <c r="I827" i="19"/>
  <c r="J827" i="19"/>
  <c r="K827" i="19"/>
  <c r="L827" i="19"/>
  <c r="M827" i="19"/>
  <c r="N827" i="19"/>
  <c r="O827" i="19"/>
  <c r="P827" i="19"/>
  <c r="Q827" i="19"/>
  <c r="F828" i="19"/>
  <c r="G828" i="19"/>
  <c r="H828" i="19"/>
  <c r="I828" i="19"/>
  <c r="J828" i="19"/>
  <c r="K828" i="19"/>
  <c r="L828" i="19"/>
  <c r="M828" i="19"/>
  <c r="N828" i="19"/>
  <c r="O828" i="19"/>
  <c r="P828" i="19"/>
  <c r="Q828" i="19"/>
  <c r="F829" i="19"/>
  <c r="G829" i="19"/>
  <c r="H829" i="19"/>
  <c r="I829" i="19"/>
  <c r="J829" i="19"/>
  <c r="K829" i="19"/>
  <c r="L829" i="19"/>
  <c r="M829" i="19"/>
  <c r="N829" i="19"/>
  <c r="O829" i="19"/>
  <c r="P829" i="19"/>
  <c r="Q829" i="19"/>
  <c r="F830" i="19"/>
  <c r="G830" i="19"/>
  <c r="H830" i="19"/>
  <c r="I830" i="19"/>
  <c r="J830" i="19"/>
  <c r="K830" i="19"/>
  <c r="L830" i="19"/>
  <c r="M830" i="19"/>
  <c r="N830" i="19"/>
  <c r="O830" i="19"/>
  <c r="P830" i="19"/>
  <c r="Q830" i="19"/>
  <c r="F831" i="19"/>
  <c r="G831" i="19"/>
  <c r="H831" i="19"/>
  <c r="I831" i="19"/>
  <c r="J831" i="19"/>
  <c r="K831" i="19"/>
  <c r="L831" i="19"/>
  <c r="M831" i="19"/>
  <c r="N831" i="19"/>
  <c r="O831" i="19"/>
  <c r="P831" i="19"/>
  <c r="Q831" i="19"/>
  <c r="F832" i="19"/>
  <c r="G832" i="19"/>
  <c r="H832" i="19"/>
  <c r="I832" i="19"/>
  <c r="J832" i="19"/>
  <c r="K832" i="19"/>
  <c r="L832" i="19"/>
  <c r="M832" i="19"/>
  <c r="N832" i="19"/>
  <c r="O832" i="19"/>
  <c r="P832" i="19"/>
  <c r="Q832" i="19"/>
  <c r="F833" i="19"/>
  <c r="G833" i="19"/>
  <c r="H833" i="19"/>
  <c r="I833" i="19"/>
  <c r="J833" i="19"/>
  <c r="K833" i="19"/>
  <c r="L833" i="19"/>
  <c r="M833" i="19"/>
  <c r="N833" i="19"/>
  <c r="O833" i="19"/>
  <c r="P833" i="19"/>
  <c r="Q833" i="19"/>
  <c r="F834" i="19"/>
  <c r="G834" i="19"/>
  <c r="H834" i="19"/>
  <c r="I834" i="19"/>
  <c r="J834" i="19"/>
  <c r="K834" i="19"/>
  <c r="L834" i="19"/>
  <c r="M834" i="19"/>
  <c r="N834" i="19"/>
  <c r="O834" i="19"/>
  <c r="P834" i="19"/>
  <c r="Q834" i="19"/>
  <c r="F835" i="19"/>
  <c r="G835" i="19"/>
  <c r="H835" i="19"/>
  <c r="I835" i="19"/>
  <c r="J835" i="19"/>
  <c r="K835" i="19"/>
  <c r="L835" i="19"/>
  <c r="M835" i="19"/>
  <c r="N835" i="19"/>
  <c r="O835" i="19"/>
  <c r="P835" i="19"/>
  <c r="Q835" i="19"/>
  <c r="F836" i="19"/>
  <c r="G836" i="19"/>
  <c r="H836" i="19"/>
  <c r="I836" i="19"/>
  <c r="J836" i="19"/>
  <c r="K836" i="19"/>
  <c r="L836" i="19"/>
  <c r="M836" i="19"/>
  <c r="N836" i="19"/>
  <c r="O836" i="19"/>
  <c r="P836" i="19"/>
  <c r="Q836" i="19"/>
  <c r="F837" i="19"/>
  <c r="G837" i="19"/>
  <c r="H837" i="19"/>
  <c r="I837" i="19"/>
  <c r="J837" i="19"/>
  <c r="K837" i="19"/>
  <c r="L837" i="19"/>
  <c r="M837" i="19"/>
  <c r="N837" i="19"/>
  <c r="O837" i="19"/>
  <c r="P837" i="19"/>
  <c r="Q837" i="19"/>
  <c r="F838" i="19"/>
  <c r="G838" i="19"/>
  <c r="H838" i="19"/>
  <c r="I838" i="19"/>
  <c r="J838" i="19"/>
  <c r="K838" i="19"/>
  <c r="L838" i="19"/>
  <c r="M838" i="19"/>
  <c r="N838" i="19"/>
  <c r="O838" i="19"/>
  <c r="P838" i="19"/>
  <c r="Q838" i="19"/>
  <c r="F839" i="19"/>
  <c r="G839" i="19"/>
  <c r="H839" i="19"/>
  <c r="I839" i="19"/>
  <c r="J839" i="19"/>
  <c r="K839" i="19"/>
  <c r="L839" i="19"/>
  <c r="M839" i="19"/>
  <c r="N839" i="19"/>
  <c r="O839" i="19"/>
  <c r="P839" i="19"/>
  <c r="Q839" i="19"/>
  <c r="F840" i="19"/>
  <c r="G840" i="19"/>
  <c r="H840" i="19"/>
  <c r="I840" i="19"/>
  <c r="J840" i="19"/>
  <c r="K840" i="19"/>
  <c r="L840" i="19"/>
  <c r="M840" i="19"/>
  <c r="N840" i="19"/>
  <c r="O840" i="19"/>
  <c r="P840" i="19"/>
  <c r="Q840" i="19"/>
  <c r="F841" i="19"/>
  <c r="G841" i="19"/>
  <c r="H841" i="19"/>
  <c r="I841" i="19"/>
  <c r="J841" i="19"/>
  <c r="K841" i="19"/>
  <c r="L841" i="19"/>
  <c r="M841" i="19"/>
  <c r="N841" i="19"/>
  <c r="O841" i="19"/>
  <c r="P841" i="19"/>
  <c r="Q841" i="19"/>
  <c r="F842" i="19"/>
  <c r="G842" i="19"/>
  <c r="H842" i="19"/>
  <c r="I842" i="19"/>
  <c r="J842" i="19"/>
  <c r="K842" i="19"/>
  <c r="L842" i="19"/>
  <c r="M842" i="19"/>
  <c r="N842" i="19"/>
  <c r="O842" i="19"/>
  <c r="P842" i="19"/>
  <c r="Q842" i="19"/>
  <c r="F843" i="19"/>
  <c r="G843" i="19"/>
  <c r="H843" i="19"/>
  <c r="I843" i="19"/>
  <c r="J843" i="19"/>
  <c r="K843" i="19"/>
  <c r="L843" i="19"/>
  <c r="M843" i="19"/>
  <c r="N843" i="19"/>
  <c r="O843" i="19"/>
  <c r="P843" i="19"/>
  <c r="Q843" i="19"/>
  <c r="F844" i="19"/>
  <c r="G844" i="19"/>
  <c r="H844" i="19"/>
  <c r="I844" i="19"/>
  <c r="J844" i="19"/>
  <c r="K844" i="19"/>
  <c r="L844" i="19"/>
  <c r="M844" i="19"/>
  <c r="N844" i="19"/>
  <c r="O844" i="19"/>
  <c r="P844" i="19"/>
  <c r="Q844" i="19"/>
  <c r="F845" i="19"/>
  <c r="G845" i="19"/>
  <c r="H845" i="19"/>
  <c r="I845" i="19"/>
  <c r="J845" i="19"/>
  <c r="K845" i="19"/>
  <c r="L845" i="19"/>
  <c r="M845" i="19"/>
  <c r="N845" i="19"/>
  <c r="O845" i="19"/>
  <c r="P845" i="19"/>
  <c r="Q845" i="19"/>
  <c r="F846" i="19"/>
  <c r="G846" i="19"/>
  <c r="H846" i="19"/>
  <c r="I846" i="19"/>
  <c r="J846" i="19"/>
  <c r="K846" i="19"/>
  <c r="L846" i="19"/>
  <c r="M846" i="19"/>
  <c r="N846" i="19"/>
  <c r="O846" i="19"/>
  <c r="P846" i="19"/>
  <c r="Q846" i="19"/>
  <c r="F847" i="19"/>
  <c r="G847" i="19"/>
  <c r="H847" i="19"/>
  <c r="I847" i="19"/>
  <c r="J847" i="19"/>
  <c r="K847" i="19"/>
  <c r="L847" i="19"/>
  <c r="M847" i="19"/>
  <c r="N847" i="19"/>
  <c r="O847" i="19"/>
  <c r="P847" i="19"/>
  <c r="Q847" i="19"/>
  <c r="F848" i="19"/>
  <c r="G848" i="19"/>
  <c r="H848" i="19"/>
  <c r="I848" i="19"/>
  <c r="J848" i="19"/>
  <c r="K848" i="19"/>
  <c r="L848" i="19"/>
  <c r="M848" i="19"/>
  <c r="N848" i="19"/>
  <c r="O848" i="19"/>
  <c r="P848" i="19"/>
  <c r="Q848" i="19"/>
  <c r="F849" i="19"/>
  <c r="G849" i="19"/>
  <c r="H849" i="19"/>
  <c r="I849" i="19"/>
  <c r="J849" i="19"/>
  <c r="K849" i="19"/>
  <c r="L849" i="19"/>
  <c r="M849" i="19"/>
  <c r="N849" i="19"/>
  <c r="O849" i="19"/>
  <c r="P849" i="19"/>
  <c r="Q849" i="19"/>
  <c r="F850" i="19"/>
  <c r="G850" i="19"/>
  <c r="H850" i="19"/>
  <c r="I850" i="19"/>
  <c r="J850" i="19"/>
  <c r="K850" i="19"/>
  <c r="L850" i="19"/>
  <c r="M850" i="19"/>
  <c r="N850" i="19"/>
  <c r="O850" i="19"/>
  <c r="P850" i="19"/>
  <c r="Q850" i="19"/>
  <c r="F851" i="19"/>
  <c r="G851" i="19"/>
  <c r="H851" i="19"/>
  <c r="I851" i="19"/>
  <c r="J851" i="19"/>
  <c r="K851" i="19"/>
  <c r="L851" i="19"/>
  <c r="M851" i="19"/>
  <c r="N851" i="19"/>
  <c r="O851" i="19"/>
  <c r="P851" i="19"/>
  <c r="Q851" i="19"/>
  <c r="F852" i="19"/>
  <c r="G852" i="19"/>
  <c r="H852" i="19"/>
  <c r="I852" i="19"/>
  <c r="J852" i="19"/>
  <c r="K852" i="19"/>
  <c r="L852" i="19"/>
  <c r="M852" i="19"/>
  <c r="N852" i="19"/>
  <c r="O852" i="19"/>
  <c r="P852" i="19"/>
  <c r="Q852" i="19"/>
  <c r="F853" i="19"/>
  <c r="G853" i="19"/>
  <c r="H853" i="19"/>
  <c r="I853" i="19"/>
  <c r="J853" i="19"/>
  <c r="K853" i="19"/>
  <c r="L853" i="19"/>
  <c r="M853" i="19"/>
  <c r="N853" i="19"/>
  <c r="O853" i="19"/>
  <c r="P853" i="19"/>
  <c r="Q853" i="19"/>
  <c r="F854" i="19"/>
  <c r="G854" i="19"/>
  <c r="H854" i="19"/>
  <c r="I854" i="19"/>
  <c r="J854" i="19"/>
  <c r="K854" i="19"/>
  <c r="L854" i="19"/>
  <c r="M854" i="19"/>
  <c r="N854" i="19"/>
  <c r="O854" i="19"/>
  <c r="P854" i="19"/>
  <c r="Q854" i="19"/>
  <c r="F855" i="19"/>
  <c r="G855" i="19"/>
  <c r="H855" i="19"/>
  <c r="I855" i="19"/>
  <c r="J855" i="19"/>
  <c r="K855" i="19"/>
  <c r="L855" i="19"/>
  <c r="M855" i="19"/>
  <c r="N855" i="19"/>
  <c r="O855" i="19"/>
  <c r="P855" i="19"/>
  <c r="Q855" i="19"/>
  <c r="F856" i="19"/>
  <c r="G856" i="19"/>
  <c r="H856" i="19"/>
  <c r="I856" i="19"/>
  <c r="J856" i="19"/>
  <c r="K856" i="19"/>
  <c r="L856" i="19"/>
  <c r="M856" i="19"/>
  <c r="N856" i="19"/>
  <c r="O856" i="19"/>
  <c r="P856" i="19"/>
  <c r="Q856" i="19"/>
  <c r="F857" i="19"/>
  <c r="G857" i="19"/>
  <c r="H857" i="19"/>
  <c r="I857" i="19"/>
  <c r="J857" i="19"/>
  <c r="K857" i="19"/>
  <c r="L857" i="19"/>
  <c r="M857" i="19"/>
  <c r="N857" i="19"/>
  <c r="O857" i="19"/>
  <c r="P857" i="19"/>
  <c r="Q857" i="19"/>
  <c r="F858" i="19"/>
  <c r="G858" i="19"/>
  <c r="H858" i="19"/>
  <c r="I858" i="19"/>
  <c r="J858" i="19"/>
  <c r="K858" i="19"/>
  <c r="L858" i="19"/>
  <c r="M858" i="19"/>
  <c r="N858" i="19"/>
  <c r="O858" i="19"/>
  <c r="P858" i="19"/>
  <c r="Q858" i="19"/>
  <c r="F859" i="19"/>
  <c r="G859" i="19"/>
  <c r="H859" i="19"/>
  <c r="I859" i="19"/>
  <c r="J859" i="19"/>
  <c r="K859" i="19"/>
  <c r="L859" i="19"/>
  <c r="M859" i="19"/>
  <c r="N859" i="19"/>
  <c r="O859" i="19"/>
  <c r="P859" i="19"/>
  <c r="Q859" i="19"/>
  <c r="F860" i="19"/>
  <c r="G860" i="19"/>
  <c r="H860" i="19"/>
  <c r="I860" i="19"/>
  <c r="J860" i="19"/>
  <c r="K860" i="19"/>
  <c r="L860" i="19"/>
  <c r="M860" i="19"/>
  <c r="N860" i="19"/>
  <c r="O860" i="19"/>
  <c r="P860" i="19"/>
  <c r="Q860" i="19"/>
  <c r="F861" i="19"/>
  <c r="G861" i="19"/>
  <c r="H861" i="19"/>
  <c r="I861" i="19"/>
  <c r="J861" i="19"/>
  <c r="K861" i="19"/>
  <c r="L861" i="19"/>
  <c r="M861" i="19"/>
  <c r="N861" i="19"/>
  <c r="O861" i="19"/>
  <c r="P861" i="19"/>
  <c r="Q861" i="19"/>
  <c r="F862" i="19"/>
  <c r="G862" i="19"/>
  <c r="H862" i="19"/>
  <c r="I862" i="19"/>
  <c r="J862" i="19"/>
  <c r="K862" i="19"/>
  <c r="L862" i="19"/>
  <c r="M862" i="19"/>
  <c r="N862" i="19"/>
  <c r="O862" i="19"/>
  <c r="P862" i="19"/>
  <c r="Q862" i="19"/>
  <c r="F863" i="19"/>
  <c r="G863" i="19"/>
  <c r="H863" i="19"/>
  <c r="I863" i="19"/>
  <c r="J863" i="19"/>
  <c r="K863" i="19"/>
  <c r="L863" i="19"/>
  <c r="M863" i="19"/>
  <c r="N863" i="19"/>
  <c r="O863" i="19"/>
  <c r="P863" i="19"/>
  <c r="Q863" i="19"/>
  <c r="F864" i="19"/>
  <c r="G864" i="19"/>
  <c r="H864" i="19"/>
  <c r="I864" i="19"/>
  <c r="J864" i="19"/>
  <c r="K864" i="19"/>
  <c r="L864" i="19"/>
  <c r="M864" i="19"/>
  <c r="N864" i="19"/>
  <c r="O864" i="19"/>
  <c r="P864" i="19"/>
  <c r="Q864" i="19"/>
  <c r="F865" i="19"/>
  <c r="G865" i="19"/>
  <c r="H865" i="19"/>
  <c r="I865" i="19"/>
  <c r="J865" i="19"/>
  <c r="K865" i="19"/>
  <c r="L865" i="19"/>
  <c r="M865" i="19"/>
  <c r="N865" i="19"/>
  <c r="O865" i="19"/>
  <c r="P865" i="19"/>
  <c r="Q865" i="19"/>
  <c r="F866" i="19"/>
  <c r="G866" i="19"/>
  <c r="H866" i="19"/>
  <c r="I866" i="19"/>
  <c r="J866" i="19"/>
  <c r="K866" i="19"/>
  <c r="L866" i="19"/>
  <c r="M866" i="19"/>
  <c r="N866" i="19"/>
  <c r="O866" i="19"/>
  <c r="P866" i="19"/>
  <c r="Q866" i="19"/>
  <c r="F867" i="19"/>
  <c r="G867" i="19"/>
  <c r="H867" i="19"/>
  <c r="I867" i="19"/>
  <c r="J867" i="19"/>
  <c r="K867" i="19"/>
  <c r="L867" i="19"/>
  <c r="M867" i="19"/>
  <c r="N867" i="19"/>
  <c r="O867" i="19"/>
  <c r="P867" i="19"/>
  <c r="Q867" i="19"/>
  <c r="F868" i="19"/>
  <c r="G868" i="19"/>
  <c r="H868" i="19"/>
  <c r="I868" i="19"/>
  <c r="J868" i="19"/>
  <c r="K868" i="19"/>
  <c r="L868" i="19"/>
  <c r="M868" i="19"/>
  <c r="N868" i="19"/>
  <c r="O868" i="19"/>
  <c r="P868" i="19"/>
  <c r="Q868" i="19"/>
  <c r="F869" i="19"/>
  <c r="G869" i="19"/>
  <c r="H869" i="19"/>
  <c r="I869" i="19"/>
  <c r="J869" i="19"/>
  <c r="K869" i="19"/>
  <c r="L869" i="19"/>
  <c r="M869" i="19"/>
  <c r="N869" i="19"/>
  <c r="O869" i="19"/>
  <c r="P869" i="19"/>
  <c r="Q869" i="19"/>
  <c r="F870" i="19"/>
  <c r="G870" i="19"/>
  <c r="H870" i="19"/>
  <c r="I870" i="19"/>
  <c r="J870" i="19"/>
  <c r="K870" i="19"/>
  <c r="L870" i="19"/>
  <c r="M870" i="19"/>
  <c r="N870" i="19"/>
  <c r="O870" i="19"/>
  <c r="P870" i="19"/>
  <c r="Q870" i="19"/>
  <c r="F871" i="19"/>
  <c r="G871" i="19"/>
  <c r="H871" i="19"/>
  <c r="I871" i="19"/>
  <c r="J871" i="19"/>
  <c r="K871" i="19"/>
  <c r="L871" i="19"/>
  <c r="M871" i="19"/>
  <c r="N871" i="19"/>
  <c r="O871" i="19"/>
  <c r="P871" i="19"/>
  <c r="Q871" i="19"/>
  <c r="F872" i="19"/>
  <c r="G872" i="19"/>
  <c r="H872" i="19"/>
  <c r="I872" i="19"/>
  <c r="J872" i="19"/>
  <c r="K872" i="19"/>
  <c r="L872" i="19"/>
  <c r="M872" i="19"/>
  <c r="N872" i="19"/>
  <c r="O872" i="19"/>
  <c r="P872" i="19"/>
  <c r="Q872" i="19"/>
  <c r="F873" i="19"/>
  <c r="G873" i="19"/>
  <c r="H873" i="19"/>
  <c r="I873" i="19"/>
  <c r="J873" i="19"/>
  <c r="K873" i="19"/>
  <c r="L873" i="19"/>
  <c r="M873" i="19"/>
  <c r="N873" i="19"/>
  <c r="O873" i="19"/>
  <c r="P873" i="19"/>
  <c r="Q873" i="19"/>
  <c r="F874" i="19"/>
  <c r="G874" i="19"/>
  <c r="H874" i="19"/>
  <c r="I874" i="19"/>
  <c r="J874" i="19"/>
  <c r="K874" i="19"/>
  <c r="L874" i="19"/>
  <c r="M874" i="19"/>
  <c r="N874" i="19"/>
  <c r="O874" i="19"/>
  <c r="P874" i="19"/>
  <c r="Q874" i="19"/>
  <c r="F875" i="19"/>
  <c r="G875" i="19"/>
  <c r="H875" i="19"/>
  <c r="I875" i="19"/>
  <c r="J875" i="19"/>
  <c r="K875" i="19"/>
  <c r="L875" i="19"/>
  <c r="M875" i="19"/>
  <c r="N875" i="19"/>
  <c r="O875" i="19"/>
  <c r="P875" i="19"/>
  <c r="Q875" i="19"/>
  <c r="F876" i="19"/>
  <c r="G876" i="19"/>
  <c r="H876" i="19"/>
  <c r="I876" i="19"/>
  <c r="J876" i="19"/>
  <c r="K876" i="19"/>
  <c r="L876" i="19"/>
  <c r="M876" i="19"/>
  <c r="N876" i="19"/>
  <c r="O876" i="19"/>
  <c r="P876" i="19"/>
  <c r="Q876" i="19"/>
  <c r="F877" i="19"/>
  <c r="G877" i="19"/>
  <c r="H877" i="19"/>
  <c r="I877" i="19"/>
  <c r="J877" i="19"/>
  <c r="K877" i="19"/>
  <c r="L877" i="19"/>
  <c r="M877" i="19"/>
  <c r="N877" i="19"/>
  <c r="O877" i="19"/>
  <c r="P877" i="19"/>
  <c r="Q877" i="19"/>
  <c r="F878" i="19"/>
  <c r="G878" i="19"/>
  <c r="H878" i="19"/>
  <c r="I878" i="19"/>
  <c r="J878" i="19"/>
  <c r="K878" i="19"/>
  <c r="L878" i="19"/>
  <c r="M878" i="19"/>
  <c r="N878" i="19"/>
  <c r="O878" i="19"/>
  <c r="P878" i="19"/>
  <c r="Q878" i="19"/>
  <c r="F879" i="19"/>
  <c r="G879" i="19"/>
  <c r="H879" i="19"/>
  <c r="I879" i="19"/>
  <c r="J879" i="19"/>
  <c r="K879" i="19"/>
  <c r="L879" i="19"/>
  <c r="M879" i="19"/>
  <c r="N879" i="19"/>
  <c r="O879" i="19"/>
  <c r="P879" i="19"/>
  <c r="Q879" i="19"/>
  <c r="F880" i="19"/>
  <c r="G880" i="19"/>
  <c r="H880" i="19"/>
  <c r="I880" i="19"/>
  <c r="J880" i="19"/>
  <c r="K880" i="19"/>
  <c r="L880" i="19"/>
  <c r="M880" i="19"/>
  <c r="N880" i="19"/>
  <c r="O880" i="19"/>
  <c r="P880" i="19"/>
  <c r="Q880" i="19"/>
  <c r="F881" i="19"/>
  <c r="G881" i="19"/>
  <c r="H881" i="19"/>
  <c r="I881" i="19"/>
  <c r="J881" i="19"/>
  <c r="K881" i="19"/>
  <c r="L881" i="19"/>
  <c r="M881" i="19"/>
  <c r="N881" i="19"/>
  <c r="O881" i="19"/>
  <c r="P881" i="19"/>
  <c r="Q881" i="19"/>
  <c r="F882" i="19"/>
  <c r="G882" i="19"/>
  <c r="H882" i="19"/>
  <c r="I882" i="19"/>
  <c r="J882" i="19"/>
  <c r="K882" i="19"/>
  <c r="L882" i="19"/>
  <c r="M882" i="19"/>
  <c r="N882" i="19"/>
  <c r="O882" i="19"/>
  <c r="P882" i="19"/>
  <c r="Q882" i="19"/>
  <c r="F883" i="19"/>
  <c r="G883" i="19"/>
  <c r="H883" i="19"/>
  <c r="I883" i="19"/>
  <c r="J883" i="19"/>
  <c r="K883" i="19"/>
  <c r="L883" i="19"/>
  <c r="M883" i="19"/>
  <c r="N883" i="19"/>
  <c r="O883" i="19"/>
  <c r="P883" i="19"/>
  <c r="Q883" i="19"/>
  <c r="F884" i="19"/>
  <c r="G884" i="19"/>
  <c r="H884" i="19"/>
  <c r="I884" i="19"/>
  <c r="J884" i="19"/>
  <c r="K884" i="19"/>
  <c r="L884" i="19"/>
  <c r="M884" i="19"/>
  <c r="N884" i="19"/>
  <c r="O884" i="19"/>
  <c r="P884" i="19"/>
  <c r="Q884" i="19"/>
  <c r="F885" i="19"/>
  <c r="G885" i="19"/>
  <c r="H885" i="19"/>
  <c r="I885" i="19"/>
  <c r="J885" i="19"/>
  <c r="K885" i="19"/>
  <c r="L885" i="19"/>
  <c r="M885" i="19"/>
  <c r="N885" i="19"/>
  <c r="O885" i="19"/>
  <c r="P885" i="19"/>
  <c r="Q885" i="19"/>
  <c r="F886" i="19"/>
  <c r="G886" i="19"/>
  <c r="H886" i="19"/>
  <c r="I886" i="19"/>
  <c r="J886" i="19"/>
  <c r="K886" i="19"/>
  <c r="L886" i="19"/>
  <c r="M886" i="19"/>
  <c r="N886" i="19"/>
  <c r="O886" i="19"/>
  <c r="P886" i="19"/>
  <c r="Q886" i="19"/>
  <c r="F887" i="19"/>
  <c r="G887" i="19"/>
  <c r="H887" i="19"/>
  <c r="I887" i="19"/>
  <c r="J887" i="19"/>
  <c r="K887" i="19"/>
  <c r="L887" i="19"/>
  <c r="M887" i="19"/>
  <c r="N887" i="19"/>
  <c r="O887" i="19"/>
  <c r="P887" i="19"/>
  <c r="Q887" i="19"/>
  <c r="F888" i="19"/>
  <c r="G888" i="19"/>
  <c r="H888" i="19"/>
  <c r="I888" i="19"/>
  <c r="J888" i="19"/>
  <c r="K888" i="19"/>
  <c r="L888" i="19"/>
  <c r="M888" i="19"/>
  <c r="N888" i="19"/>
  <c r="O888" i="19"/>
  <c r="P888" i="19"/>
  <c r="Q888" i="19"/>
  <c r="F889" i="19"/>
  <c r="G889" i="19"/>
  <c r="H889" i="19"/>
  <c r="I889" i="19"/>
  <c r="J889" i="19"/>
  <c r="K889" i="19"/>
  <c r="L889" i="19"/>
  <c r="M889" i="19"/>
  <c r="N889" i="19"/>
  <c r="O889" i="19"/>
  <c r="P889" i="19"/>
  <c r="Q889" i="19"/>
  <c r="F890" i="19"/>
  <c r="G890" i="19"/>
  <c r="H890" i="19"/>
  <c r="I890" i="19"/>
  <c r="J890" i="19"/>
  <c r="K890" i="19"/>
  <c r="L890" i="19"/>
  <c r="M890" i="19"/>
  <c r="N890" i="19"/>
  <c r="O890" i="19"/>
  <c r="P890" i="19"/>
  <c r="Q890" i="19"/>
  <c r="F891" i="19"/>
  <c r="G891" i="19"/>
  <c r="H891" i="19"/>
  <c r="I891" i="19"/>
  <c r="J891" i="19"/>
  <c r="K891" i="19"/>
  <c r="L891" i="19"/>
  <c r="M891" i="19"/>
  <c r="N891" i="19"/>
  <c r="O891" i="19"/>
  <c r="P891" i="19"/>
  <c r="Q891" i="19"/>
  <c r="F892" i="19"/>
  <c r="G892" i="19"/>
  <c r="H892" i="19"/>
  <c r="I892" i="19"/>
  <c r="J892" i="19"/>
  <c r="K892" i="19"/>
  <c r="L892" i="19"/>
  <c r="M892" i="19"/>
  <c r="N892" i="19"/>
  <c r="O892" i="19"/>
  <c r="P892" i="19"/>
  <c r="Q892" i="19"/>
  <c r="F893" i="19"/>
  <c r="G893" i="19"/>
  <c r="H893" i="19"/>
  <c r="I893" i="19"/>
  <c r="J893" i="19"/>
  <c r="K893" i="19"/>
  <c r="L893" i="19"/>
  <c r="M893" i="19"/>
  <c r="N893" i="19"/>
  <c r="O893" i="19"/>
  <c r="P893" i="19"/>
  <c r="Q893" i="19"/>
  <c r="F894" i="19"/>
  <c r="G894" i="19"/>
  <c r="H894" i="19"/>
  <c r="I894" i="19"/>
  <c r="J894" i="19"/>
  <c r="K894" i="19"/>
  <c r="L894" i="19"/>
  <c r="M894" i="19"/>
  <c r="N894" i="19"/>
  <c r="O894" i="19"/>
  <c r="P894" i="19"/>
  <c r="Q894" i="19"/>
  <c r="F895" i="19"/>
  <c r="G895" i="19"/>
  <c r="H895" i="19"/>
  <c r="I895" i="19"/>
  <c r="J895" i="19"/>
  <c r="K895" i="19"/>
  <c r="L895" i="19"/>
  <c r="M895" i="19"/>
  <c r="N895" i="19"/>
  <c r="O895" i="19"/>
  <c r="P895" i="19"/>
  <c r="Q895" i="19"/>
  <c r="F896" i="19"/>
  <c r="G896" i="19"/>
  <c r="H896" i="19"/>
  <c r="I896" i="19"/>
  <c r="J896" i="19"/>
  <c r="K896" i="19"/>
  <c r="L896" i="19"/>
  <c r="M896" i="19"/>
  <c r="N896" i="19"/>
  <c r="O896" i="19"/>
  <c r="P896" i="19"/>
  <c r="Q896" i="19"/>
  <c r="F897" i="19"/>
  <c r="G897" i="19"/>
  <c r="H897" i="19"/>
  <c r="I897" i="19"/>
  <c r="J897" i="19"/>
  <c r="K897" i="19"/>
  <c r="L897" i="19"/>
  <c r="M897" i="19"/>
  <c r="N897" i="19"/>
  <c r="O897" i="19"/>
  <c r="P897" i="19"/>
  <c r="Q897" i="19"/>
  <c r="F898" i="19"/>
  <c r="G898" i="19"/>
  <c r="H898" i="19"/>
  <c r="I898" i="19"/>
  <c r="J898" i="19"/>
  <c r="K898" i="19"/>
  <c r="L898" i="19"/>
  <c r="M898" i="19"/>
  <c r="N898" i="19"/>
  <c r="O898" i="19"/>
  <c r="P898" i="19"/>
  <c r="Q898" i="19"/>
  <c r="F899" i="19"/>
  <c r="G899" i="19"/>
  <c r="H899" i="19"/>
  <c r="I899" i="19"/>
  <c r="J899" i="19"/>
  <c r="K899" i="19"/>
  <c r="L899" i="19"/>
  <c r="M899" i="19"/>
  <c r="N899" i="19"/>
  <c r="O899" i="19"/>
  <c r="P899" i="19"/>
  <c r="Q899" i="19"/>
  <c r="F900" i="19"/>
  <c r="G900" i="19"/>
  <c r="H900" i="19"/>
  <c r="I900" i="19"/>
  <c r="J900" i="19"/>
  <c r="K900" i="19"/>
  <c r="L900" i="19"/>
  <c r="M900" i="19"/>
  <c r="N900" i="19"/>
  <c r="O900" i="19"/>
  <c r="P900" i="19"/>
  <c r="Q900" i="19"/>
  <c r="F901" i="19"/>
  <c r="G901" i="19"/>
  <c r="H901" i="19"/>
  <c r="I901" i="19"/>
  <c r="J901" i="19"/>
  <c r="K901" i="19"/>
  <c r="L901" i="19"/>
  <c r="M901" i="19"/>
  <c r="N901" i="19"/>
  <c r="O901" i="19"/>
  <c r="P901" i="19"/>
  <c r="Q901" i="19"/>
  <c r="F902" i="19"/>
  <c r="G902" i="19"/>
  <c r="H902" i="19"/>
  <c r="I902" i="19"/>
  <c r="J902" i="19"/>
  <c r="K902" i="19"/>
  <c r="L902" i="19"/>
  <c r="M902" i="19"/>
  <c r="N902" i="19"/>
  <c r="O902" i="19"/>
  <c r="P902" i="19"/>
  <c r="Q902" i="19"/>
  <c r="F903" i="19"/>
  <c r="G903" i="19"/>
  <c r="H903" i="19"/>
  <c r="I903" i="19"/>
  <c r="J903" i="19"/>
  <c r="K903" i="19"/>
  <c r="L903" i="19"/>
  <c r="M903" i="19"/>
  <c r="N903" i="19"/>
  <c r="O903" i="19"/>
  <c r="P903" i="19"/>
  <c r="Q903" i="19"/>
  <c r="F904" i="19"/>
  <c r="G904" i="19"/>
  <c r="H904" i="19"/>
  <c r="I904" i="19"/>
  <c r="J904" i="19"/>
  <c r="K904" i="19"/>
  <c r="L904" i="19"/>
  <c r="M904" i="19"/>
  <c r="N904" i="19"/>
  <c r="O904" i="19"/>
  <c r="P904" i="19"/>
  <c r="Q904" i="19"/>
  <c r="F905" i="19"/>
  <c r="G905" i="19"/>
  <c r="H905" i="19"/>
  <c r="I905" i="19"/>
  <c r="J905" i="19"/>
  <c r="K905" i="19"/>
  <c r="L905" i="19"/>
  <c r="M905" i="19"/>
  <c r="N905" i="19"/>
  <c r="O905" i="19"/>
  <c r="P905" i="19"/>
  <c r="Q905" i="19"/>
  <c r="F906" i="19"/>
  <c r="G906" i="19"/>
  <c r="H906" i="19"/>
  <c r="I906" i="19"/>
  <c r="J906" i="19"/>
  <c r="K906" i="19"/>
  <c r="L906" i="19"/>
  <c r="M906" i="19"/>
  <c r="N906" i="19"/>
  <c r="O906" i="19"/>
  <c r="P906" i="19"/>
  <c r="Q906" i="19"/>
  <c r="F907" i="19"/>
  <c r="G907" i="19"/>
  <c r="H907" i="19"/>
  <c r="I907" i="19"/>
  <c r="J907" i="19"/>
  <c r="K907" i="19"/>
  <c r="L907" i="19"/>
  <c r="M907" i="19"/>
  <c r="N907" i="19"/>
  <c r="O907" i="19"/>
  <c r="P907" i="19"/>
  <c r="Q907" i="19"/>
  <c r="F908" i="19"/>
  <c r="G908" i="19"/>
  <c r="H908" i="19"/>
  <c r="I908" i="19"/>
  <c r="J908" i="19"/>
  <c r="K908" i="19"/>
  <c r="L908" i="19"/>
  <c r="M908" i="19"/>
  <c r="N908" i="19"/>
  <c r="O908" i="19"/>
  <c r="P908" i="19"/>
  <c r="Q908" i="19"/>
  <c r="F909" i="19"/>
  <c r="G909" i="19"/>
  <c r="H909" i="19"/>
  <c r="I909" i="19"/>
  <c r="J909" i="19"/>
  <c r="K909" i="19"/>
  <c r="L909" i="19"/>
  <c r="M909" i="19"/>
  <c r="N909" i="19"/>
  <c r="O909" i="19"/>
  <c r="P909" i="19"/>
  <c r="Q909" i="19"/>
  <c r="F910" i="19"/>
  <c r="G910" i="19"/>
  <c r="H910" i="19"/>
  <c r="I910" i="19"/>
  <c r="J910" i="19"/>
  <c r="K910" i="19"/>
  <c r="L910" i="19"/>
  <c r="M910" i="19"/>
  <c r="N910" i="19"/>
  <c r="O910" i="19"/>
  <c r="P910" i="19"/>
  <c r="Q910" i="19"/>
  <c r="F911" i="19"/>
  <c r="G911" i="19"/>
  <c r="H911" i="19"/>
  <c r="I911" i="19"/>
  <c r="J911" i="19"/>
  <c r="K911" i="19"/>
  <c r="L911" i="19"/>
  <c r="M911" i="19"/>
  <c r="N911" i="19"/>
  <c r="O911" i="19"/>
  <c r="P911" i="19"/>
  <c r="Q911" i="19"/>
  <c r="F912" i="19"/>
  <c r="G912" i="19"/>
  <c r="H912" i="19"/>
  <c r="I912" i="19"/>
  <c r="J912" i="19"/>
  <c r="K912" i="19"/>
  <c r="L912" i="19"/>
  <c r="M912" i="19"/>
  <c r="N912" i="19"/>
  <c r="O912" i="19"/>
  <c r="P912" i="19"/>
  <c r="Q912" i="19"/>
  <c r="F913" i="19"/>
  <c r="G913" i="19"/>
  <c r="H913" i="19"/>
  <c r="I913" i="19"/>
  <c r="J913" i="19"/>
  <c r="K913" i="19"/>
  <c r="L913" i="19"/>
  <c r="M913" i="19"/>
  <c r="N913" i="19"/>
  <c r="O913" i="19"/>
  <c r="P913" i="19"/>
  <c r="Q913" i="19"/>
  <c r="F914" i="19"/>
  <c r="G914" i="19"/>
  <c r="H914" i="19"/>
  <c r="I914" i="19"/>
  <c r="J914" i="19"/>
  <c r="K914" i="19"/>
  <c r="L914" i="19"/>
  <c r="M914" i="19"/>
  <c r="N914" i="19"/>
  <c r="O914" i="19"/>
  <c r="P914" i="19"/>
  <c r="Q914" i="19"/>
  <c r="F915" i="19"/>
  <c r="G915" i="19"/>
  <c r="H915" i="19"/>
  <c r="I915" i="19"/>
  <c r="J915" i="19"/>
  <c r="K915" i="19"/>
  <c r="L915" i="19"/>
  <c r="M915" i="19"/>
  <c r="N915" i="19"/>
  <c r="O915" i="19"/>
  <c r="P915" i="19"/>
  <c r="Q915" i="19"/>
  <c r="F916" i="19"/>
  <c r="G916" i="19"/>
  <c r="H916" i="19"/>
  <c r="I916" i="19"/>
  <c r="J916" i="19"/>
  <c r="K916" i="19"/>
  <c r="L916" i="19"/>
  <c r="M916" i="19"/>
  <c r="N916" i="19"/>
  <c r="O916" i="19"/>
  <c r="P916" i="19"/>
  <c r="Q916" i="19"/>
  <c r="F917" i="19"/>
  <c r="G917" i="19"/>
  <c r="H917" i="19"/>
  <c r="I917" i="19"/>
  <c r="J917" i="19"/>
  <c r="K917" i="19"/>
  <c r="L917" i="19"/>
  <c r="M917" i="19"/>
  <c r="N917" i="19"/>
  <c r="O917" i="19"/>
  <c r="P917" i="19"/>
  <c r="Q917" i="19"/>
  <c r="F918" i="19"/>
  <c r="G918" i="19"/>
  <c r="H918" i="19"/>
  <c r="I918" i="19"/>
  <c r="J918" i="19"/>
  <c r="K918" i="19"/>
  <c r="L918" i="19"/>
  <c r="M918" i="19"/>
  <c r="N918" i="19"/>
  <c r="O918" i="19"/>
  <c r="P918" i="19"/>
  <c r="Q918" i="19"/>
  <c r="F919" i="19"/>
  <c r="G919" i="19"/>
  <c r="H919" i="19"/>
  <c r="I919" i="19"/>
  <c r="J919" i="19"/>
  <c r="K919" i="19"/>
  <c r="L919" i="19"/>
  <c r="M919" i="19"/>
  <c r="N919" i="19"/>
  <c r="O919" i="19"/>
  <c r="P919" i="19"/>
  <c r="Q919" i="19"/>
  <c r="F920" i="19"/>
  <c r="G920" i="19"/>
  <c r="H920" i="19"/>
  <c r="I920" i="19"/>
  <c r="J920" i="19"/>
  <c r="K920" i="19"/>
  <c r="L920" i="19"/>
  <c r="M920" i="19"/>
  <c r="N920" i="19"/>
  <c r="O920" i="19"/>
  <c r="P920" i="19"/>
  <c r="Q920" i="19"/>
  <c r="F921" i="19"/>
  <c r="G921" i="19"/>
  <c r="H921" i="19"/>
  <c r="I921" i="19"/>
  <c r="J921" i="19"/>
  <c r="K921" i="19"/>
  <c r="L921" i="19"/>
  <c r="M921" i="19"/>
  <c r="N921" i="19"/>
  <c r="O921" i="19"/>
  <c r="P921" i="19"/>
  <c r="Q921" i="19"/>
  <c r="F922" i="19"/>
  <c r="G922" i="19"/>
  <c r="H922" i="19"/>
  <c r="I922" i="19"/>
  <c r="J922" i="19"/>
  <c r="K922" i="19"/>
  <c r="L922" i="19"/>
  <c r="M922" i="19"/>
  <c r="N922" i="19"/>
  <c r="O922" i="19"/>
  <c r="P922" i="19"/>
  <c r="Q922" i="19"/>
  <c r="F923" i="19"/>
  <c r="G923" i="19"/>
  <c r="H923" i="19"/>
  <c r="I923" i="19"/>
  <c r="J923" i="19"/>
  <c r="K923" i="19"/>
  <c r="L923" i="19"/>
  <c r="M923" i="19"/>
  <c r="N923" i="19"/>
  <c r="O923" i="19"/>
  <c r="P923" i="19"/>
  <c r="Q923" i="19"/>
  <c r="F924" i="19"/>
  <c r="G924" i="19"/>
  <c r="H924" i="19"/>
  <c r="I924" i="19"/>
  <c r="J924" i="19"/>
  <c r="K924" i="19"/>
  <c r="L924" i="19"/>
  <c r="M924" i="19"/>
  <c r="N924" i="19"/>
  <c r="O924" i="19"/>
  <c r="P924" i="19"/>
  <c r="Q924" i="19"/>
  <c r="F925" i="19"/>
  <c r="G925" i="19"/>
  <c r="H925" i="19"/>
  <c r="I925" i="19"/>
  <c r="J925" i="19"/>
  <c r="K925" i="19"/>
  <c r="L925" i="19"/>
  <c r="M925" i="19"/>
  <c r="N925" i="19"/>
  <c r="O925" i="19"/>
  <c r="P925" i="19"/>
  <c r="Q925" i="19"/>
  <c r="F926" i="19"/>
  <c r="G926" i="19"/>
  <c r="H926" i="19"/>
  <c r="I926" i="19"/>
  <c r="J926" i="19"/>
  <c r="K926" i="19"/>
  <c r="L926" i="19"/>
  <c r="M926" i="19"/>
  <c r="N926" i="19"/>
  <c r="O926" i="19"/>
  <c r="P926" i="19"/>
  <c r="Q926" i="19"/>
  <c r="F927" i="19"/>
  <c r="G927" i="19"/>
  <c r="H927" i="19"/>
  <c r="I927" i="19"/>
  <c r="J927" i="19"/>
  <c r="K927" i="19"/>
  <c r="L927" i="19"/>
  <c r="M927" i="19"/>
  <c r="N927" i="19"/>
  <c r="O927" i="19"/>
  <c r="P927" i="19"/>
  <c r="Q927" i="19"/>
  <c r="F928" i="19"/>
  <c r="G928" i="19"/>
  <c r="H928" i="19"/>
  <c r="I928" i="19"/>
  <c r="J928" i="19"/>
  <c r="K928" i="19"/>
  <c r="L928" i="19"/>
  <c r="M928" i="19"/>
  <c r="N928" i="19"/>
  <c r="O928" i="19"/>
  <c r="P928" i="19"/>
  <c r="Q928" i="19"/>
  <c r="F929" i="19"/>
  <c r="G929" i="19"/>
  <c r="H929" i="19"/>
  <c r="I929" i="19"/>
  <c r="J929" i="19"/>
  <c r="K929" i="19"/>
  <c r="L929" i="19"/>
  <c r="M929" i="19"/>
  <c r="N929" i="19"/>
  <c r="O929" i="19"/>
  <c r="P929" i="19"/>
  <c r="Q929" i="19"/>
  <c r="F930" i="19"/>
  <c r="G930" i="19"/>
  <c r="H930" i="19"/>
  <c r="I930" i="19"/>
  <c r="J930" i="19"/>
  <c r="K930" i="19"/>
  <c r="L930" i="19"/>
  <c r="M930" i="19"/>
  <c r="N930" i="19"/>
  <c r="O930" i="19"/>
  <c r="P930" i="19"/>
  <c r="Q930" i="19"/>
  <c r="F931" i="19"/>
  <c r="G931" i="19"/>
  <c r="H931" i="19"/>
  <c r="I931" i="19"/>
  <c r="J931" i="19"/>
  <c r="K931" i="19"/>
  <c r="L931" i="19"/>
  <c r="M931" i="19"/>
  <c r="N931" i="19"/>
  <c r="O931" i="19"/>
  <c r="P931" i="19"/>
  <c r="Q931" i="19"/>
  <c r="F932" i="19"/>
  <c r="G932" i="19"/>
  <c r="H932" i="19"/>
  <c r="I932" i="19"/>
  <c r="J932" i="19"/>
  <c r="K932" i="19"/>
  <c r="L932" i="19"/>
  <c r="M932" i="19"/>
  <c r="N932" i="19"/>
  <c r="O932" i="19"/>
  <c r="P932" i="19"/>
  <c r="Q932" i="19"/>
  <c r="F933" i="19"/>
  <c r="G933" i="19"/>
  <c r="H933" i="19"/>
  <c r="I933" i="19"/>
  <c r="J933" i="19"/>
  <c r="K933" i="19"/>
  <c r="L933" i="19"/>
  <c r="M933" i="19"/>
  <c r="N933" i="19"/>
  <c r="O933" i="19"/>
  <c r="P933" i="19"/>
  <c r="Q933" i="19"/>
  <c r="F934" i="19"/>
  <c r="G934" i="19"/>
  <c r="H934" i="19"/>
  <c r="I934" i="19"/>
  <c r="J934" i="19"/>
  <c r="K934" i="19"/>
  <c r="L934" i="19"/>
  <c r="M934" i="19"/>
  <c r="N934" i="19"/>
  <c r="O934" i="19"/>
  <c r="P934" i="19"/>
  <c r="Q934" i="19"/>
  <c r="F935" i="19"/>
  <c r="G935" i="19"/>
  <c r="H935" i="19"/>
  <c r="I935" i="19"/>
  <c r="J935" i="19"/>
  <c r="K935" i="19"/>
  <c r="L935" i="19"/>
  <c r="M935" i="19"/>
  <c r="N935" i="19"/>
  <c r="O935" i="19"/>
  <c r="P935" i="19"/>
  <c r="Q935" i="19"/>
  <c r="F936" i="19"/>
  <c r="G936" i="19"/>
  <c r="H936" i="19"/>
  <c r="I936" i="19"/>
  <c r="J936" i="19"/>
  <c r="K936" i="19"/>
  <c r="L936" i="19"/>
  <c r="M936" i="19"/>
  <c r="N936" i="19"/>
  <c r="O936" i="19"/>
  <c r="P936" i="19"/>
  <c r="Q936" i="19"/>
  <c r="F937" i="19"/>
  <c r="G937" i="19"/>
  <c r="H937" i="19"/>
  <c r="I937" i="19"/>
  <c r="J937" i="19"/>
  <c r="K937" i="19"/>
  <c r="L937" i="19"/>
  <c r="M937" i="19"/>
  <c r="N937" i="19"/>
  <c r="O937" i="19"/>
  <c r="P937" i="19"/>
  <c r="Q937" i="19"/>
  <c r="F938" i="19"/>
  <c r="G938" i="19"/>
  <c r="H938" i="19"/>
  <c r="I938" i="19"/>
  <c r="J938" i="19"/>
  <c r="K938" i="19"/>
  <c r="L938" i="19"/>
  <c r="M938" i="19"/>
  <c r="N938" i="19"/>
  <c r="O938" i="19"/>
  <c r="P938" i="19"/>
  <c r="Q938" i="19"/>
  <c r="F939" i="19"/>
  <c r="G939" i="19"/>
  <c r="H939" i="19"/>
  <c r="I939" i="19"/>
  <c r="J939" i="19"/>
  <c r="K939" i="19"/>
  <c r="L939" i="19"/>
  <c r="M939" i="19"/>
  <c r="N939" i="19"/>
  <c r="O939" i="19"/>
  <c r="P939" i="19"/>
  <c r="Q939" i="19"/>
  <c r="F940" i="19"/>
  <c r="G940" i="19"/>
  <c r="H940" i="19"/>
  <c r="I940" i="19"/>
  <c r="J940" i="19"/>
  <c r="K940" i="19"/>
  <c r="L940" i="19"/>
  <c r="M940" i="19"/>
  <c r="N940" i="19"/>
  <c r="O940" i="19"/>
  <c r="P940" i="19"/>
  <c r="Q940" i="19"/>
  <c r="F941" i="19"/>
  <c r="G941" i="19"/>
  <c r="H941" i="19"/>
  <c r="I941" i="19"/>
  <c r="J941" i="19"/>
  <c r="K941" i="19"/>
  <c r="L941" i="19"/>
  <c r="M941" i="19"/>
  <c r="N941" i="19"/>
  <c r="O941" i="19"/>
  <c r="P941" i="19"/>
  <c r="Q941" i="19"/>
  <c r="F942" i="19"/>
  <c r="G942" i="19"/>
  <c r="H942" i="19"/>
  <c r="I942" i="19"/>
  <c r="J942" i="19"/>
  <c r="K942" i="19"/>
  <c r="L942" i="19"/>
  <c r="M942" i="19"/>
  <c r="N942" i="19"/>
  <c r="O942" i="19"/>
  <c r="P942" i="19"/>
  <c r="Q942" i="19"/>
  <c r="F943" i="19"/>
  <c r="G943" i="19"/>
  <c r="H943" i="19"/>
  <c r="I943" i="19"/>
  <c r="J943" i="19"/>
  <c r="K943" i="19"/>
  <c r="L943" i="19"/>
  <c r="M943" i="19"/>
  <c r="N943" i="19"/>
  <c r="O943" i="19"/>
  <c r="P943" i="19"/>
  <c r="Q943" i="19"/>
  <c r="F944" i="19"/>
  <c r="G944" i="19"/>
  <c r="H944" i="19"/>
  <c r="I944" i="19"/>
  <c r="J944" i="19"/>
  <c r="K944" i="19"/>
  <c r="L944" i="19"/>
  <c r="M944" i="19"/>
  <c r="N944" i="19"/>
  <c r="O944" i="19"/>
  <c r="P944" i="19"/>
  <c r="Q944" i="19"/>
  <c r="F945" i="19"/>
  <c r="G945" i="19"/>
  <c r="H945" i="19"/>
  <c r="I945" i="19"/>
  <c r="J945" i="19"/>
  <c r="K945" i="19"/>
  <c r="L945" i="19"/>
  <c r="M945" i="19"/>
  <c r="N945" i="19"/>
  <c r="O945" i="19"/>
  <c r="P945" i="19"/>
  <c r="Q945" i="19"/>
  <c r="F946" i="19"/>
  <c r="G946" i="19"/>
  <c r="H946" i="19"/>
  <c r="I946" i="19"/>
  <c r="J946" i="19"/>
  <c r="K946" i="19"/>
  <c r="L946" i="19"/>
  <c r="M946" i="19"/>
  <c r="N946" i="19"/>
  <c r="O946" i="19"/>
  <c r="P946" i="19"/>
  <c r="Q946" i="19"/>
  <c r="F947" i="19"/>
  <c r="G947" i="19"/>
  <c r="H947" i="19"/>
  <c r="I947" i="19"/>
  <c r="J947" i="19"/>
  <c r="K947" i="19"/>
  <c r="L947" i="19"/>
  <c r="M947" i="19"/>
  <c r="N947" i="19"/>
  <c r="O947" i="19"/>
  <c r="P947" i="19"/>
  <c r="Q947" i="19"/>
  <c r="F948" i="19"/>
  <c r="G948" i="19"/>
  <c r="H948" i="19"/>
  <c r="I948" i="19"/>
  <c r="J948" i="19"/>
  <c r="K948" i="19"/>
  <c r="L948" i="19"/>
  <c r="M948" i="19"/>
  <c r="N948" i="19"/>
  <c r="O948" i="19"/>
  <c r="P948" i="19"/>
  <c r="Q948" i="19"/>
  <c r="F949" i="19"/>
  <c r="G949" i="19"/>
  <c r="H949" i="19"/>
  <c r="I949" i="19"/>
  <c r="J949" i="19"/>
  <c r="K949" i="19"/>
  <c r="L949" i="19"/>
  <c r="M949" i="19"/>
  <c r="N949" i="19"/>
  <c r="O949" i="19"/>
  <c r="P949" i="19"/>
  <c r="Q949" i="19"/>
  <c r="F950" i="19"/>
  <c r="G950" i="19"/>
  <c r="H950" i="19"/>
  <c r="I950" i="19"/>
  <c r="J950" i="19"/>
  <c r="K950" i="19"/>
  <c r="L950" i="19"/>
  <c r="M950" i="19"/>
  <c r="N950" i="19"/>
  <c r="O950" i="19"/>
  <c r="P950" i="19"/>
  <c r="Q950" i="19"/>
  <c r="F951" i="19"/>
  <c r="G951" i="19"/>
  <c r="H951" i="19"/>
  <c r="I951" i="19"/>
  <c r="J951" i="19"/>
  <c r="K951" i="19"/>
  <c r="L951" i="19"/>
  <c r="M951" i="19"/>
  <c r="N951" i="19"/>
  <c r="O951" i="19"/>
  <c r="P951" i="19"/>
  <c r="Q951" i="19"/>
  <c r="F952" i="19"/>
  <c r="G952" i="19"/>
  <c r="H952" i="19"/>
  <c r="I952" i="19"/>
  <c r="J952" i="19"/>
  <c r="K952" i="19"/>
  <c r="L952" i="19"/>
  <c r="M952" i="19"/>
  <c r="N952" i="19"/>
  <c r="O952" i="19"/>
  <c r="P952" i="19"/>
  <c r="Q952" i="19"/>
  <c r="F953" i="19"/>
  <c r="G953" i="19"/>
  <c r="H953" i="19"/>
  <c r="I953" i="19"/>
  <c r="J953" i="19"/>
  <c r="K953" i="19"/>
  <c r="L953" i="19"/>
  <c r="M953" i="19"/>
  <c r="N953" i="19"/>
  <c r="O953" i="19"/>
  <c r="P953" i="19"/>
  <c r="Q953" i="19"/>
  <c r="F954" i="19"/>
  <c r="G954" i="19"/>
  <c r="H954" i="19"/>
  <c r="I954" i="19"/>
  <c r="J954" i="19"/>
  <c r="K954" i="19"/>
  <c r="L954" i="19"/>
  <c r="M954" i="19"/>
  <c r="N954" i="19"/>
  <c r="O954" i="19"/>
  <c r="P954" i="19"/>
  <c r="Q954" i="19"/>
  <c r="F955" i="19"/>
  <c r="G955" i="19"/>
  <c r="H955" i="19"/>
  <c r="I955" i="19"/>
  <c r="J955" i="19"/>
  <c r="K955" i="19"/>
  <c r="L955" i="19"/>
  <c r="M955" i="19"/>
  <c r="N955" i="19"/>
  <c r="O955" i="19"/>
  <c r="P955" i="19"/>
  <c r="Q955" i="19"/>
  <c r="F956" i="19"/>
  <c r="G956" i="19"/>
  <c r="H956" i="19"/>
  <c r="I956" i="19"/>
  <c r="J956" i="19"/>
  <c r="K956" i="19"/>
  <c r="L956" i="19"/>
  <c r="M956" i="19"/>
  <c r="N956" i="19"/>
  <c r="O956" i="19"/>
  <c r="P956" i="19"/>
  <c r="Q956" i="19"/>
  <c r="F957" i="19"/>
  <c r="G957" i="19"/>
  <c r="H957" i="19"/>
  <c r="I957" i="19"/>
  <c r="J957" i="19"/>
  <c r="K957" i="19"/>
  <c r="L957" i="19"/>
  <c r="M957" i="19"/>
  <c r="N957" i="19"/>
  <c r="O957" i="19"/>
  <c r="P957" i="19"/>
  <c r="Q957" i="19"/>
  <c r="F958" i="19"/>
  <c r="G958" i="19"/>
  <c r="H958" i="19"/>
  <c r="I958" i="19"/>
  <c r="J958" i="19"/>
  <c r="K958" i="19"/>
  <c r="L958" i="19"/>
  <c r="M958" i="19"/>
  <c r="N958" i="19"/>
  <c r="O958" i="19"/>
  <c r="P958" i="19"/>
  <c r="Q958" i="19"/>
  <c r="F959" i="19"/>
  <c r="G959" i="19"/>
  <c r="H959" i="19"/>
  <c r="I959" i="19"/>
  <c r="J959" i="19"/>
  <c r="K959" i="19"/>
  <c r="L959" i="19"/>
  <c r="M959" i="19"/>
  <c r="N959" i="19"/>
  <c r="O959" i="19"/>
  <c r="P959" i="19"/>
  <c r="Q959" i="19"/>
  <c r="F960" i="19"/>
  <c r="G960" i="19"/>
  <c r="H960" i="19"/>
  <c r="I960" i="19"/>
  <c r="J960" i="19"/>
  <c r="K960" i="19"/>
  <c r="L960" i="19"/>
  <c r="M960" i="19"/>
  <c r="N960" i="19"/>
  <c r="O960" i="19"/>
  <c r="P960" i="19"/>
  <c r="Q960" i="19"/>
  <c r="F961" i="19"/>
  <c r="G961" i="19"/>
  <c r="H961" i="19"/>
  <c r="I961" i="19"/>
  <c r="J961" i="19"/>
  <c r="K961" i="19"/>
  <c r="L961" i="19"/>
  <c r="M961" i="19"/>
  <c r="N961" i="19"/>
  <c r="O961" i="19"/>
  <c r="P961" i="19"/>
  <c r="Q961" i="19"/>
  <c r="F962" i="19"/>
  <c r="G962" i="19"/>
  <c r="H962" i="19"/>
  <c r="I962" i="19"/>
  <c r="J962" i="19"/>
  <c r="K962" i="19"/>
  <c r="L962" i="19"/>
  <c r="M962" i="19"/>
  <c r="N962" i="19"/>
  <c r="O962" i="19"/>
  <c r="P962" i="19"/>
  <c r="Q962" i="19"/>
  <c r="F963" i="19"/>
  <c r="G963" i="19"/>
  <c r="H963" i="19"/>
  <c r="I963" i="19"/>
  <c r="J963" i="19"/>
  <c r="K963" i="19"/>
  <c r="L963" i="19"/>
  <c r="M963" i="19"/>
  <c r="N963" i="19"/>
  <c r="O963" i="19"/>
  <c r="P963" i="19"/>
  <c r="Q963" i="19"/>
  <c r="F964" i="19"/>
  <c r="G964" i="19"/>
  <c r="H964" i="19"/>
  <c r="I964" i="19"/>
  <c r="J964" i="19"/>
  <c r="K964" i="19"/>
  <c r="L964" i="19"/>
  <c r="M964" i="19"/>
  <c r="N964" i="19"/>
  <c r="O964" i="19"/>
  <c r="P964" i="19"/>
  <c r="Q964" i="19"/>
  <c r="F965" i="19"/>
  <c r="G965" i="19"/>
  <c r="H965" i="19"/>
  <c r="I965" i="19"/>
  <c r="J965" i="19"/>
  <c r="K965" i="19"/>
  <c r="L965" i="19"/>
  <c r="M965" i="19"/>
  <c r="N965" i="19"/>
  <c r="O965" i="19"/>
  <c r="P965" i="19"/>
  <c r="Q965" i="19"/>
  <c r="F966" i="19"/>
  <c r="G966" i="19"/>
  <c r="H966" i="19"/>
  <c r="I966" i="19"/>
  <c r="J966" i="19"/>
  <c r="K966" i="19"/>
  <c r="L966" i="19"/>
  <c r="M966" i="19"/>
  <c r="N966" i="19"/>
  <c r="O966" i="19"/>
  <c r="P966" i="19"/>
  <c r="Q966" i="19"/>
  <c r="F967" i="19"/>
  <c r="G967" i="19"/>
  <c r="H967" i="19"/>
  <c r="I967" i="19"/>
  <c r="J967" i="19"/>
  <c r="K967" i="19"/>
  <c r="L967" i="19"/>
  <c r="M967" i="19"/>
  <c r="N967" i="19"/>
  <c r="O967" i="19"/>
  <c r="P967" i="19"/>
  <c r="Q967" i="19"/>
  <c r="F968" i="19"/>
  <c r="G968" i="19"/>
  <c r="H968" i="19"/>
  <c r="I968" i="19"/>
  <c r="J968" i="19"/>
  <c r="K968" i="19"/>
  <c r="L968" i="19"/>
  <c r="M968" i="19"/>
  <c r="N968" i="19"/>
  <c r="O968" i="19"/>
  <c r="P968" i="19"/>
  <c r="Q968" i="19"/>
  <c r="F969" i="19"/>
  <c r="G969" i="19"/>
  <c r="H969" i="19"/>
  <c r="I969" i="19"/>
  <c r="J969" i="19"/>
  <c r="K969" i="19"/>
  <c r="L969" i="19"/>
  <c r="M969" i="19"/>
  <c r="N969" i="19"/>
  <c r="O969" i="19"/>
  <c r="P969" i="19"/>
  <c r="Q969" i="19"/>
  <c r="F970" i="19"/>
  <c r="G970" i="19"/>
  <c r="H970" i="19"/>
  <c r="I970" i="19"/>
  <c r="J970" i="19"/>
  <c r="K970" i="19"/>
  <c r="L970" i="19"/>
  <c r="M970" i="19"/>
  <c r="N970" i="19"/>
  <c r="O970" i="19"/>
  <c r="P970" i="19"/>
  <c r="Q970" i="19"/>
  <c r="F971" i="19"/>
  <c r="G971" i="19"/>
  <c r="H971" i="19"/>
  <c r="I971" i="19"/>
  <c r="J971" i="19"/>
  <c r="K971" i="19"/>
  <c r="L971" i="19"/>
  <c r="M971" i="19"/>
  <c r="N971" i="19"/>
  <c r="O971" i="19"/>
  <c r="P971" i="19"/>
  <c r="Q971" i="19"/>
  <c r="F972" i="19"/>
  <c r="G972" i="19"/>
  <c r="H972" i="19"/>
  <c r="I972" i="19"/>
  <c r="J972" i="19"/>
  <c r="K972" i="19"/>
  <c r="L972" i="19"/>
  <c r="M972" i="19"/>
  <c r="N972" i="19"/>
  <c r="O972" i="19"/>
  <c r="P972" i="19"/>
  <c r="Q972" i="19"/>
  <c r="F973" i="19"/>
  <c r="G973" i="19"/>
  <c r="H973" i="19"/>
  <c r="I973" i="19"/>
  <c r="J973" i="19"/>
  <c r="K973" i="19"/>
  <c r="L973" i="19"/>
  <c r="M973" i="19"/>
  <c r="N973" i="19"/>
  <c r="O973" i="19"/>
  <c r="P973" i="19"/>
  <c r="Q973" i="19"/>
  <c r="F974" i="19"/>
  <c r="G974" i="19"/>
  <c r="H974" i="19"/>
  <c r="I974" i="19"/>
  <c r="J974" i="19"/>
  <c r="K974" i="19"/>
  <c r="L974" i="19"/>
  <c r="M974" i="19"/>
  <c r="N974" i="19"/>
  <c r="O974" i="19"/>
  <c r="P974" i="19"/>
  <c r="Q974" i="19"/>
  <c r="F975" i="19"/>
  <c r="G975" i="19"/>
  <c r="H975" i="19"/>
  <c r="I975" i="19"/>
  <c r="J975" i="19"/>
  <c r="K975" i="19"/>
  <c r="L975" i="19"/>
  <c r="M975" i="19"/>
  <c r="N975" i="19"/>
  <c r="O975" i="19"/>
  <c r="P975" i="19"/>
  <c r="Q975" i="19"/>
  <c r="F976" i="19"/>
  <c r="G976" i="19"/>
  <c r="H976" i="19"/>
  <c r="I976" i="19"/>
  <c r="J976" i="19"/>
  <c r="K976" i="19"/>
  <c r="L976" i="19"/>
  <c r="M976" i="19"/>
  <c r="N976" i="19"/>
  <c r="O976" i="19"/>
  <c r="P976" i="19"/>
  <c r="Q976" i="19"/>
  <c r="F977" i="19"/>
  <c r="G977" i="19"/>
  <c r="H977" i="19"/>
  <c r="I977" i="19"/>
  <c r="J977" i="19"/>
  <c r="K977" i="19"/>
  <c r="L977" i="19"/>
  <c r="M977" i="19"/>
  <c r="N977" i="19"/>
  <c r="O977" i="19"/>
  <c r="P977" i="19"/>
  <c r="Q977" i="19"/>
  <c r="F978" i="19"/>
  <c r="G978" i="19"/>
  <c r="H978" i="19"/>
  <c r="I978" i="19"/>
  <c r="J978" i="19"/>
  <c r="K978" i="19"/>
  <c r="L978" i="19"/>
  <c r="M978" i="19"/>
  <c r="N978" i="19"/>
  <c r="O978" i="19"/>
  <c r="P978" i="19"/>
  <c r="Q978" i="19"/>
  <c r="F979" i="19"/>
  <c r="G979" i="19"/>
  <c r="H979" i="19"/>
  <c r="I979" i="19"/>
  <c r="J979" i="19"/>
  <c r="K979" i="19"/>
  <c r="L979" i="19"/>
  <c r="M979" i="19"/>
  <c r="N979" i="19"/>
  <c r="O979" i="19"/>
  <c r="P979" i="19"/>
  <c r="Q979" i="19"/>
  <c r="F980" i="19"/>
  <c r="G980" i="19"/>
  <c r="H980" i="19"/>
  <c r="I980" i="19"/>
  <c r="J980" i="19"/>
  <c r="K980" i="19"/>
  <c r="L980" i="19"/>
  <c r="M980" i="19"/>
  <c r="N980" i="19"/>
  <c r="O980" i="19"/>
  <c r="P980" i="19"/>
  <c r="Q980" i="19"/>
  <c r="F981" i="19"/>
  <c r="G981" i="19"/>
  <c r="H981" i="19"/>
  <c r="I981" i="19"/>
  <c r="J981" i="19"/>
  <c r="K981" i="19"/>
  <c r="L981" i="19"/>
  <c r="M981" i="19"/>
  <c r="N981" i="19"/>
  <c r="O981" i="19"/>
  <c r="P981" i="19"/>
  <c r="Q981" i="19"/>
  <c r="F982" i="19"/>
  <c r="G982" i="19"/>
  <c r="H982" i="19"/>
  <c r="I982" i="19"/>
  <c r="J982" i="19"/>
  <c r="K982" i="19"/>
  <c r="L982" i="19"/>
  <c r="M982" i="19"/>
  <c r="N982" i="19"/>
  <c r="O982" i="19"/>
  <c r="P982" i="19"/>
  <c r="Q982" i="19"/>
  <c r="F983" i="19"/>
  <c r="G983" i="19"/>
  <c r="H983" i="19"/>
  <c r="I983" i="19"/>
  <c r="J983" i="19"/>
  <c r="K983" i="19"/>
  <c r="L983" i="19"/>
  <c r="M983" i="19"/>
  <c r="N983" i="19"/>
  <c r="O983" i="19"/>
  <c r="P983" i="19"/>
  <c r="Q983" i="19"/>
  <c r="F984" i="19"/>
  <c r="G984" i="19"/>
  <c r="H984" i="19"/>
  <c r="I984" i="19"/>
  <c r="J984" i="19"/>
  <c r="K984" i="19"/>
  <c r="L984" i="19"/>
  <c r="M984" i="19"/>
  <c r="N984" i="19"/>
  <c r="O984" i="19"/>
  <c r="P984" i="19"/>
  <c r="Q984" i="19"/>
  <c r="F985" i="19"/>
  <c r="G985" i="19"/>
  <c r="H985" i="19"/>
  <c r="I985" i="19"/>
  <c r="J985" i="19"/>
  <c r="K985" i="19"/>
  <c r="L985" i="19"/>
  <c r="M985" i="19"/>
  <c r="N985" i="19"/>
  <c r="O985" i="19"/>
  <c r="P985" i="19"/>
  <c r="Q985" i="19"/>
  <c r="F986" i="19"/>
  <c r="G986" i="19"/>
  <c r="H986" i="19"/>
  <c r="I986" i="19"/>
  <c r="J986" i="19"/>
  <c r="K986" i="19"/>
  <c r="L986" i="19"/>
  <c r="M986" i="19"/>
  <c r="N986" i="19"/>
  <c r="O986" i="19"/>
  <c r="P986" i="19"/>
  <c r="Q986" i="19"/>
  <c r="F987" i="19"/>
  <c r="G987" i="19"/>
  <c r="H987" i="19"/>
  <c r="I987" i="19"/>
  <c r="J987" i="19"/>
  <c r="K987" i="19"/>
  <c r="L987" i="19"/>
  <c r="M987" i="19"/>
  <c r="N987" i="19"/>
  <c r="O987" i="19"/>
  <c r="P987" i="19"/>
  <c r="Q987" i="19"/>
  <c r="F988" i="19"/>
  <c r="G988" i="19"/>
  <c r="H988" i="19"/>
  <c r="I988" i="19"/>
  <c r="J988" i="19"/>
  <c r="K988" i="19"/>
  <c r="L988" i="19"/>
  <c r="M988" i="19"/>
  <c r="N988" i="19"/>
  <c r="O988" i="19"/>
  <c r="P988" i="19"/>
  <c r="Q988" i="19"/>
  <c r="F989" i="19"/>
  <c r="G989" i="19"/>
  <c r="H989" i="19"/>
  <c r="I989" i="19"/>
  <c r="J989" i="19"/>
  <c r="K989" i="19"/>
  <c r="L989" i="19"/>
  <c r="M989" i="19"/>
  <c r="N989" i="19"/>
  <c r="O989" i="19"/>
  <c r="P989" i="19"/>
  <c r="Q989" i="19"/>
  <c r="F990" i="19"/>
  <c r="G990" i="19"/>
  <c r="H990" i="19"/>
  <c r="I990" i="19"/>
  <c r="J990" i="19"/>
  <c r="K990" i="19"/>
  <c r="L990" i="19"/>
  <c r="M990" i="19"/>
  <c r="N990" i="19"/>
  <c r="O990" i="19"/>
  <c r="P990" i="19"/>
  <c r="Q990" i="19"/>
  <c r="F991" i="19"/>
  <c r="G991" i="19"/>
  <c r="H991" i="19"/>
  <c r="I991" i="19"/>
  <c r="J991" i="19"/>
  <c r="K991" i="19"/>
  <c r="L991" i="19"/>
  <c r="M991" i="19"/>
  <c r="N991" i="19"/>
  <c r="O991" i="19"/>
  <c r="P991" i="19"/>
  <c r="Q991" i="19"/>
  <c r="F992" i="19"/>
  <c r="G992" i="19"/>
  <c r="H992" i="19"/>
  <c r="I992" i="19"/>
  <c r="J992" i="19"/>
  <c r="K992" i="19"/>
  <c r="L992" i="19"/>
  <c r="M992" i="19"/>
  <c r="N992" i="19"/>
  <c r="O992" i="19"/>
  <c r="P992" i="19"/>
  <c r="Q992" i="19"/>
  <c r="F993" i="19"/>
  <c r="G993" i="19"/>
  <c r="H993" i="19"/>
  <c r="I993" i="19"/>
  <c r="J993" i="19"/>
  <c r="K993" i="19"/>
  <c r="L993" i="19"/>
  <c r="M993" i="19"/>
  <c r="N993" i="19"/>
  <c r="O993" i="19"/>
  <c r="P993" i="19"/>
  <c r="Q993" i="19"/>
  <c r="F994" i="19"/>
  <c r="G994" i="19"/>
  <c r="H994" i="19"/>
  <c r="I994" i="19"/>
  <c r="J994" i="19"/>
  <c r="K994" i="19"/>
  <c r="L994" i="19"/>
  <c r="M994" i="19"/>
  <c r="N994" i="19"/>
  <c r="O994" i="19"/>
  <c r="P994" i="19"/>
  <c r="Q994" i="19"/>
  <c r="F995" i="19"/>
  <c r="G995" i="19"/>
  <c r="H995" i="19"/>
  <c r="I995" i="19"/>
  <c r="J995" i="19"/>
  <c r="K995" i="19"/>
  <c r="L995" i="19"/>
  <c r="M995" i="19"/>
  <c r="N995" i="19"/>
  <c r="O995" i="19"/>
  <c r="P995" i="19"/>
  <c r="Q995" i="19"/>
  <c r="F996" i="19"/>
  <c r="G996" i="19"/>
  <c r="H996" i="19"/>
  <c r="I996" i="19"/>
  <c r="J996" i="19"/>
  <c r="K996" i="19"/>
  <c r="L996" i="19"/>
  <c r="M996" i="19"/>
  <c r="N996" i="19"/>
  <c r="O996" i="19"/>
  <c r="P996" i="19"/>
  <c r="Q996" i="19"/>
  <c r="F997" i="19"/>
  <c r="G997" i="19"/>
  <c r="H997" i="19"/>
  <c r="I997" i="19"/>
  <c r="J997" i="19"/>
  <c r="K997" i="19"/>
  <c r="L997" i="19"/>
  <c r="M997" i="19"/>
  <c r="N997" i="19"/>
  <c r="O997" i="19"/>
  <c r="P997" i="19"/>
  <c r="Q997" i="19"/>
  <c r="F998" i="19"/>
  <c r="G998" i="19"/>
  <c r="H998" i="19"/>
  <c r="I998" i="19"/>
  <c r="J998" i="19"/>
  <c r="K998" i="19"/>
  <c r="L998" i="19"/>
  <c r="M998" i="19"/>
  <c r="N998" i="19"/>
  <c r="O998" i="19"/>
  <c r="P998" i="19"/>
  <c r="Q998" i="19"/>
  <c r="F999" i="19"/>
  <c r="G999" i="19"/>
  <c r="H999" i="19"/>
  <c r="I999" i="19"/>
  <c r="J999" i="19"/>
  <c r="K999" i="19"/>
  <c r="L999" i="19"/>
  <c r="M999" i="19"/>
  <c r="N999" i="19"/>
  <c r="O999" i="19"/>
  <c r="P999" i="19"/>
  <c r="Q999" i="19"/>
  <c r="F1000" i="19"/>
  <c r="G1000" i="19"/>
  <c r="H1000" i="19"/>
  <c r="I1000" i="19"/>
  <c r="J1000" i="19"/>
  <c r="K1000" i="19"/>
  <c r="L1000" i="19"/>
  <c r="M1000" i="19"/>
  <c r="N1000" i="19"/>
  <c r="O1000" i="19"/>
  <c r="P1000" i="19"/>
  <c r="Q1000" i="19"/>
  <c r="F1001" i="19"/>
  <c r="G1001" i="19"/>
  <c r="H1001" i="19"/>
  <c r="I1001" i="19"/>
  <c r="J1001" i="19"/>
  <c r="K1001" i="19"/>
  <c r="L1001" i="19"/>
  <c r="M1001" i="19"/>
  <c r="N1001" i="19"/>
  <c r="O1001" i="19"/>
  <c r="P1001" i="19"/>
  <c r="Q1001" i="19"/>
  <c r="F1002" i="19"/>
  <c r="G1002" i="19"/>
  <c r="H1002" i="19"/>
  <c r="I1002" i="19"/>
  <c r="J1002" i="19"/>
  <c r="K1002" i="19"/>
  <c r="L1002" i="19"/>
  <c r="M1002" i="19"/>
  <c r="N1002" i="19"/>
  <c r="O1002" i="19"/>
  <c r="P1002" i="19"/>
  <c r="Q1002" i="19"/>
  <c r="F1003" i="19"/>
  <c r="G1003" i="19"/>
  <c r="H1003" i="19"/>
  <c r="I1003" i="19"/>
  <c r="J1003" i="19"/>
  <c r="K1003" i="19"/>
  <c r="L1003" i="19"/>
  <c r="M1003" i="19"/>
  <c r="N1003" i="19"/>
  <c r="O1003" i="19"/>
  <c r="P1003" i="19"/>
  <c r="Q1003" i="19"/>
  <c r="F1004" i="19"/>
  <c r="G1004" i="19"/>
  <c r="H1004" i="19"/>
  <c r="I1004" i="19"/>
  <c r="J1004" i="19"/>
  <c r="K1004" i="19"/>
  <c r="L1004" i="19"/>
  <c r="M1004" i="19"/>
  <c r="N1004" i="19"/>
  <c r="O1004" i="19"/>
  <c r="P1004" i="19"/>
  <c r="Q1004" i="19"/>
  <c r="F1005" i="19"/>
  <c r="G1005" i="19"/>
  <c r="H1005" i="19"/>
  <c r="I1005" i="19"/>
  <c r="J1005" i="19"/>
  <c r="K1005" i="19"/>
  <c r="L1005" i="19"/>
  <c r="M1005" i="19"/>
  <c r="N1005" i="19"/>
  <c r="O1005" i="19"/>
  <c r="P1005" i="19"/>
  <c r="Q1005" i="19"/>
  <c r="F1006" i="19"/>
  <c r="G1006" i="19"/>
  <c r="H1006" i="19"/>
  <c r="I1006" i="19"/>
  <c r="J1006" i="19"/>
  <c r="K1006" i="19"/>
  <c r="L1006" i="19"/>
  <c r="M1006" i="19"/>
  <c r="N1006" i="19"/>
  <c r="O1006" i="19"/>
  <c r="P1006" i="19"/>
  <c r="Q1006" i="19"/>
  <c r="F1007" i="19"/>
  <c r="G1007" i="19"/>
  <c r="H1007" i="19"/>
  <c r="I1007" i="19"/>
  <c r="J1007" i="19"/>
  <c r="K1007" i="19"/>
  <c r="L1007" i="19"/>
  <c r="M1007" i="19"/>
  <c r="N1007" i="19"/>
  <c r="O1007" i="19"/>
  <c r="P1007" i="19"/>
  <c r="Q1007" i="19"/>
  <c r="F1008" i="19"/>
  <c r="G1008" i="19"/>
  <c r="H1008" i="19"/>
  <c r="I1008" i="19"/>
  <c r="J1008" i="19"/>
  <c r="K1008" i="19"/>
  <c r="L1008" i="19"/>
  <c r="M1008" i="19"/>
  <c r="N1008" i="19"/>
  <c r="O1008" i="19"/>
  <c r="P1008" i="19"/>
  <c r="Q1008" i="19"/>
  <c r="F1009" i="19"/>
  <c r="G1009" i="19"/>
  <c r="H1009" i="19"/>
  <c r="I1009" i="19"/>
  <c r="J1009" i="19"/>
  <c r="K1009" i="19"/>
  <c r="L1009" i="19"/>
  <c r="M1009" i="19"/>
  <c r="N1009" i="19"/>
  <c r="O1009" i="19"/>
  <c r="P1009" i="19"/>
  <c r="Q1009" i="19"/>
  <c r="F1010" i="19"/>
  <c r="G1010" i="19"/>
  <c r="H1010" i="19"/>
  <c r="I1010" i="19"/>
  <c r="J1010" i="19"/>
  <c r="K1010" i="19"/>
  <c r="L1010" i="19"/>
  <c r="M1010" i="19"/>
  <c r="N1010" i="19"/>
  <c r="O1010" i="19"/>
  <c r="P1010" i="19"/>
  <c r="Q1010" i="19"/>
  <c r="F1011" i="19"/>
  <c r="G1011" i="19"/>
  <c r="H1011" i="19"/>
  <c r="I1011" i="19"/>
  <c r="J1011" i="19"/>
  <c r="K1011" i="19"/>
  <c r="L1011" i="19"/>
  <c r="M1011" i="19"/>
  <c r="N1011" i="19"/>
  <c r="O1011" i="19"/>
  <c r="P1011" i="19"/>
  <c r="Q1011" i="19"/>
  <c r="F1012" i="19"/>
  <c r="G1012" i="19"/>
  <c r="H1012" i="19"/>
  <c r="I1012" i="19"/>
  <c r="J1012" i="19"/>
  <c r="K1012" i="19"/>
  <c r="L1012" i="19"/>
  <c r="M1012" i="19"/>
  <c r="N1012" i="19"/>
  <c r="O1012" i="19"/>
  <c r="P1012" i="19"/>
  <c r="Q1012" i="19"/>
  <c r="F1013" i="19"/>
  <c r="G1013" i="19"/>
  <c r="H1013" i="19"/>
  <c r="I1013" i="19"/>
  <c r="J1013" i="19"/>
  <c r="K1013" i="19"/>
  <c r="L1013" i="19"/>
  <c r="M1013" i="19"/>
  <c r="N1013" i="19"/>
  <c r="O1013" i="19"/>
  <c r="P1013" i="19"/>
  <c r="Q1013" i="19"/>
  <c r="F1014" i="19"/>
  <c r="G1014" i="19"/>
  <c r="H1014" i="19"/>
  <c r="I1014" i="19"/>
  <c r="J1014" i="19"/>
  <c r="K1014" i="19"/>
  <c r="L1014" i="19"/>
  <c r="M1014" i="19"/>
  <c r="N1014" i="19"/>
  <c r="O1014" i="19"/>
  <c r="P1014" i="19"/>
  <c r="Q1014" i="19"/>
  <c r="F1015" i="19"/>
  <c r="G1015" i="19"/>
  <c r="H1015" i="19"/>
  <c r="I1015" i="19"/>
  <c r="J1015" i="19"/>
  <c r="K1015" i="19"/>
  <c r="L1015" i="19"/>
  <c r="M1015" i="19"/>
  <c r="N1015" i="19"/>
  <c r="O1015" i="19"/>
  <c r="P1015" i="19"/>
  <c r="Q1015" i="19"/>
  <c r="F1016" i="19"/>
  <c r="G1016" i="19"/>
  <c r="H1016" i="19"/>
  <c r="I1016" i="19"/>
  <c r="J1016" i="19"/>
  <c r="K1016" i="19"/>
  <c r="L1016" i="19"/>
  <c r="M1016" i="19"/>
  <c r="N1016" i="19"/>
  <c r="O1016" i="19"/>
  <c r="P1016" i="19"/>
  <c r="Q1016" i="19"/>
  <c r="F1017" i="19"/>
  <c r="G1017" i="19"/>
  <c r="H1017" i="19"/>
  <c r="I1017" i="19"/>
  <c r="J1017" i="19"/>
  <c r="K1017" i="19"/>
  <c r="L1017" i="19"/>
  <c r="M1017" i="19"/>
  <c r="N1017" i="19"/>
  <c r="O1017" i="19"/>
  <c r="P1017" i="19"/>
  <c r="Q1017" i="19"/>
  <c r="F1018" i="19"/>
  <c r="G1018" i="19"/>
  <c r="H1018" i="19"/>
  <c r="I1018" i="19"/>
  <c r="J1018" i="19"/>
  <c r="K1018" i="19"/>
  <c r="L1018" i="19"/>
  <c r="M1018" i="19"/>
  <c r="N1018" i="19"/>
  <c r="O1018" i="19"/>
  <c r="P1018" i="19"/>
  <c r="Q1018" i="19"/>
  <c r="F1019" i="19"/>
  <c r="G1019" i="19"/>
  <c r="H1019" i="19"/>
  <c r="I1019" i="19"/>
  <c r="J1019" i="19"/>
  <c r="K1019" i="19"/>
  <c r="L1019" i="19"/>
  <c r="M1019" i="19"/>
  <c r="N1019" i="19"/>
  <c r="O1019" i="19"/>
  <c r="P1019" i="19"/>
  <c r="Q1019" i="19"/>
  <c r="F1020" i="19"/>
  <c r="G1020" i="19"/>
  <c r="H1020" i="19"/>
  <c r="I1020" i="19"/>
  <c r="J1020" i="19"/>
  <c r="K1020" i="19"/>
  <c r="L1020" i="19"/>
  <c r="M1020" i="19"/>
  <c r="N1020" i="19"/>
  <c r="O1020" i="19"/>
  <c r="P1020" i="19"/>
  <c r="Q1020" i="19"/>
  <c r="F1021" i="19"/>
  <c r="G1021" i="19"/>
  <c r="H1021" i="19"/>
  <c r="I1021" i="19"/>
  <c r="J1021" i="19"/>
  <c r="K1021" i="19"/>
  <c r="L1021" i="19"/>
  <c r="M1021" i="19"/>
  <c r="N1021" i="19"/>
  <c r="O1021" i="19"/>
  <c r="P1021" i="19"/>
  <c r="Q1021" i="19"/>
  <c r="F1022" i="19"/>
  <c r="G1022" i="19"/>
  <c r="H1022" i="19"/>
  <c r="I1022" i="19"/>
  <c r="J1022" i="19"/>
  <c r="K1022" i="19"/>
  <c r="L1022" i="19"/>
  <c r="M1022" i="19"/>
  <c r="N1022" i="19"/>
  <c r="O1022" i="19"/>
  <c r="P1022" i="19"/>
  <c r="Q1022" i="19"/>
  <c r="F1023" i="19"/>
  <c r="G1023" i="19"/>
  <c r="H1023" i="19"/>
  <c r="I1023" i="19"/>
  <c r="J1023" i="19"/>
  <c r="K1023" i="19"/>
  <c r="L1023" i="19"/>
  <c r="M1023" i="19"/>
  <c r="N1023" i="19"/>
  <c r="O1023" i="19"/>
  <c r="P1023" i="19"/>
  <c r="Q1023" i="19"/>
  <c r="F1024" i="19"/>
  <c r="G1024" i="19"/>
  <c r="H1024" i="19"/>
  <c r="I1024" i="19"/>
  <c r="J1024" i="19"/>
  <c r="K1024" i="19"/>
  <c r="L1024" i="19"/>
  <c r="M1024" i="19"/>
  <c r="N1024" i="19"/>
  <c r="O1024" i="19"/>
  <c r="P1024" i="19"/>
  <c r="Q1024" i="19"/>
  <c r="F1025" i="19"/>
  <c r="G1025" i="19"/>
  <c r="H1025" i="19"/>
  <c r="I1025" i="19"/>
  <c r="J1025" i="19"/>
  <c r="K1025" i="19"/>
  <c r="L1025" i="19"/>
  <c r="M1025" i="19"/>
  <c r="N1025" i="19"/>
  <c r="O1025" i="19"/>
  <c r="P1025" i="19"/>
  <c r="Q1025" i="19"/>
  <c r="F1026" i="19"/>
  <c r="G1026" i="19"/>
  <c r="H1026" i="19"/>
  <c r="I1026" i="19"/>
  <c r="J1026" i="19"/>
  <c r="K1026" i="19"/>
  <c r="L1026" i="19"/>
  <c r="M1026" i="19"/>
  <c r="N1026" i="19"/>
  <c r="O1026" i="19"/>
  <c r="P1026" i="19"/>
  <c r="Q1026" i="19"/>
  <c r="F1027" i="19"/>
  <c r="G1027" i="19"/>
  <c r="H1027" i="19"/>
  <c r="I1027" i="19"/>
  <c r="J1027" i="19"/>
  <c r="K1027" i="19"/>
  <c r="L1027" i="19"/>
  <c r="M1027" i="19"/>
  <c r="N1027" i="19"/>
  <c r="O1027" i="19"/>
  <c r="P1027" i="19"/>
  <c r="Q1027" i="19"/>
  <c r="F1028" i="19"/>
  <c r="G1028" i="19"/>
  <c r="H1028" i="19"/>
  <c r="I1028" i="19"/>
  <c r="J1028" i="19"/>
  <c r="K1028" i="19"/>
  <c r="L1028" i="19"/>
  <c r="M1028" i="19"/>
  <c r="N1028" i="19"/>
  <c r="O1028" i="19"/>
  <c r="P1028" i="19"/>
  <c r="Q1028" i="19"/>
  <c r="F1029" i="19"/>
  <c r="G1029" i="19"/>
  <c r="H1029" i="19"/>
  <c r="I1029" i="19"/>
  <c r="J1029" i="19"/>
  <c r="K1029" i="19"/>
  <c r="L1029" i="19"/>
  <c r="M1029" i="19"/>
  <c r="N1029" i="19"/>
  <c r="O1029" i="19"/>
  <c r="P1029" i="19"/>
  <c r="Q1029" i="19"/>
  <c r="F1030" i="19"/>
  <c r="G1030" i="19"/>
  <c r="H1030" i="19"/>
  <c r="I1030" i="19"/>
  <c r="J1030" i="19"/>
  <c r="K1030" i="19"/>
  <c r="L1030" i="19"/>
  <c r="M1030" i="19"/>
  <c r="N1030" i="19"/>
  <c r="O1030" i="19"/>
  <c r="P1030" i="19"/>
  <c r="Q1030" i="19"/>
  <c r="F1031" i="19"/>
  <c r="G1031" i="19"/>
  <c r="H1031" i="19"/>
  <c r="I1031" i="19"/>
  <c r="J1031" i="19"/>
  <c r="K1031" i="19"/>
  <c r="L1031" i="19"/>
  <c r="M1031" i="19"/>
  <c r="N1031" i="19"/>
  <c r="O1031" i="19"/>
  <c r="P1031" i="19"/>
  <c r="Q1031" i="19"/>
  <c r="F1032" i="19"/>
  <c r="G1032" i="19"/>
  <c r="H1032" i="19"/>
  <c r="I1032" i="19"/>
  <c r="J1032" i="19"/>
  <c r="K1032" i="19"/>
  <c r="L1032" i="19"/>
  <c r="M1032" i="19"/>
  <c r="N1032" i="19"/>
  <c r="O1032" i="19"/>
  <c r="P1032" i="19"/>
  <c r="Q1032" i="19"/>
  <c r="F1033" i="19"/>
  <c r="G1033" i="19"/>
  <c r="H1033" i="19"/>
  <c r="I1033" i="19"/>
  <c r="J1033" i="19"/>
  <c r="K1033" i="19"/>
  <c r="L1033" i="19"/>
  <c r="M1033" i="19"/>
  <c r="N1033" i="19"/>
  <c r="O1033" i="19"/>
  <c r="P1033" i="19"/>
  <c r="Q1033" i="19"/>
  <c r="F1034" i="19"/>
  <c r="G1034" i="19"/>
  <c r="H1034" i="19"/>
  <c r="I1034" i="19"/>
  <c r="J1034" i="19"/>
  <c r="K1034" i="19"/>
  <c r="L1034" i="19"/>
  <c r="M1034" i="19"/>
  <c r="N1034" i="19"/>
  <c r="O1034" i="19"/>
  <c r="P1034" i="19"/>
  <c r="Q1034" i="19"/>
  <c r="F1035" i="19"/>
  <c r="G1035" i="19"/>
  <c r="H1035" i="19"/>
  <c r="I1035" i="19"/>
  <c r="J1035" i="19"/>
  <c r="K1035" i="19"/>
  <c r="L1035" i="19"/>
  <c r="M1035" i="19"/>
  <c r="N1035" i="19"/>
  <c r="O1035" i="19"/>
  <c r="P1035" i="19"/>
  <c r="Q1035" i="19"/>
  <c r="F1036" i="19"/>
  <c r="G1036" i="19"/>
  <c r="H1036" i="19"/>
  <c r="I1036" i="19"/>
  <c r="J1036" i="19"/>
  <c r="K1036" i="19"/>
  <c r="L1036" i="19"/>
  <c r="M1036" i="19"/>
  <c r="N1036" i="19"/>
  <c r="O1036" i="19"/>
  <c r="P1036" i="19"/>
  <c r="Q1036" i="19"/>
  <c r="F1037" i="19"/>
  <c r="G1037" i="19"/>
  <c r="H1037" i="19"/>
  <c r="I1037" i="19"/>
  <c r="J1037" i="19"/>
  <c r="K1037" i="19"/>
  <c r="L1037" i="19"/>
  <c r="M1037" i="19"/>
  <c r="N1037" i="19"/>
  <c r="O1037" i="19"/>
  <c r="P1037" i="19"/>
  <c r="Q1037" i="19"/>
  <c r="F1038" i="19"/>
  <c r="G1038" i="19"/>
  <c r="H1038" i="19"/>
  <c r="I1038" i="19"/>
  <c r="J1038" i="19"/>
  <c r="K1038" i="19"/>
  <c r="L1038" i="19"/>
  <c r="M1038" i="19"/>
  <c r="N1038" i="19"/>
  <c r="O1038" i="19"/>
  <c r="P1038" i="19"/>
  <c r="Q1038" i="19"/>
  <c r="F1039" i="19"/>
  <c r="G1039" i="19"/>
  <c r="H1039" i="19"/>
  <c r="I1039" i="19"/>
  <c r="J1039" i="19"/>
  <c r="K1039" i="19"/>
  <c r="L1039" i="19"/>
  <c r="M1039" i="19"/>
  <c r="N1039" i="19"/>
  <c r="O1039" i="19"/>
  <c r="P1039" i="19"/>
  <c r="Q1039" i="19"/>
  <c r="F1040" i="19"/>
  <c r="G1040" i="19"/>
  <c r="H1040" i="19"/>
  <c r="I1040" i="19"/>
  <c r="J1040" i="19"/>
  <c r="K1040" i="19"/>
  <c r="L1040" i="19"/>
  <c r="M1040" i="19"/>
  <c r="N1040" i="19"/>
  <c r="O1040" i="19"/>
  <c r="P1040" i="19"/>
  <c r="Q1040" i="19"/>
  <c r="F1041" i="19"/>
  <c r="G1041" i="19"/>
  <c r="H1041" i="19"/>
  <c r="I1041" i="19"/>
  <c r="J1041" i="19"/>
  <c r="K1041" i="19"/>
  <c r="L1041" i="19"/>
  <c r="M1041" i="19"/>
  <c r="N1041" i="19"/>
  <c r="O1041" i="19"/>
  <c r="P1041" i="19"/>
  <c r="Q1041" i="19"/>
  <c r="F1042" i="19"/>
  <c r="G1042" i="19"/>
  <c r="H1042" i="19"/>
  <c r="I1042" i="19"/>
  <c r="J1042" i="19"/>
  <c r="K1042" i="19"/>
  <c r="L1042" i="19"/>
  <c r="M1042" i="19"/>
  <c r="N1042" i="19"/>
  <c r="O1042" i="19"/>
  <c r="P1042" i="19"/>
  <c r="Q1042" i="19"/>
  <c r="F1043" i="19"/>
  <c r="G1043" i="19"/>
  <c r="H1043" i="19"/>
  <c r="I1043" i="19"/>
  <c r="J1043" i="19"/>
  <c r="K1043" i="19"/>
  <c r="L1043" i="19"/>
  <c r="M1043" i="19"/>
  <c r="N1043" i="19"/>
  <c r="O1043" i="19"/>
  <c r="P1043" i="19"/>
  <c r="Q1043" i="19"/>
  <c r="F1044" i="19"/>
  <c r="G1044" i="19"/>
  <c r="H1044" i="19"/>
  <c r="I1044" i="19"/>
  <c r="J1044" i="19"/>
  <c r="K1044" i="19"/>
  <c r="L1044" i="19"/>
  <c r="M1044" i="19"/>
  <c r="N1044" i="19"/>
  <c r="O1044" i="19"/>
  <c r="P1044" i="19"/>
  <c r="Q1044" i="19"/>
  <c r="F1045" i="19"/>
  <c r="G1045" i="19"/>
  <c r="H1045" i="19"/>
  <c r="I1045" i="19"/>
  <c r="J1045" i="19"/>
  <c r="K1045" i="19"/>
  <c r="L1045" i="19"/>
  <c r="M1045" i="19"/>
  <c r="N1045" i="19"/>
  <c r="O1045" i="19"/>
  <c r="P1045" i="19"/>
  <c r="Q1045" i="19"/>
  <c r="F1046" i="19"/>
  <c r="G1046" i="19"/>
  <c r="H1046" i="19"/>
  <c r="I1046" i="19"/>
  <c r="J1046" i="19"/>
  <c r="K1046" i="19"/>
  <c r="L1046" i="19"/>
  <c r="M1046" i="19"/>
  <c r="N1046" i="19"/>
  <c r="O1046" i="19"/>
  <c r="P1046" i="19"/>
  <c r="Q1046" i="19"/>
  <c r="F1047" i="19"/>
  <c r="G1047" i="19"/>
  <c r="H1047" i="19"/>
  <c r="I1047" i="19"/>
  <c r="J1047" i="19"/>
  <c r="K1047" i="19"/>
  <c r="L1047" i="19"/>
  <c r="M1047" i="19"/>
  <c r="N1047" i="19"/>
  <c r="O1047" i="19"/>
  <c r="P1047" i="19"/>
  <c r="Q1047" i="19"/>
  <c r="F1048" i="19"/>
  <c r="G1048" i="19"/>
  <c r="H1048" i="19"/>
  <c r="I1048" i="19"/>
  <c r="J1048" i="19"/>
  <c r="K1048" i="19"/>
  <c r="L1048" i="19"/>
  <c r="M1048" i="19"/>
  <c r="N1048" i="19"/>
  <c r="O1048" i="19"/>
  <c r="P1048" i="19"/>
  <c r="Q1048" i="19"/>
  <c r="F1049" i="19"/>
  <c r="G1049" i="19"/>
  <c r="H1049" i="19"/>
  <c r="I1049" i="19"/>
  <c r="J1049" i="19"/>
  <c r="K1049" i="19"/>
  <c r="L1049" i="19"/>
  <c r="M1049" i="19"/>
  <c r="N1049" i="19"/>
  <c r="O1049" i="19"/>
  <c r="P1049" i="19"/>
  <c r="Q1049" i="19"/>
  <c r="F1050" i="19"/>
  <c r="G1050" i="19"/>
  <c r="H1050" i="19"/>
  <c r="I1050" i="19"/>
  <c r="J1050" i="19"/>
  <c r="K1050" i="19"/>
  <c r="L1050" i="19"/>
  <c r="M1050" i="19"/>
  <c r="N1050" i="19"/>
  <c r="O1050" i="19"/>
  <c r="P1050" i="19"/>
  <c r="Q1050" i="19"/>
  <c r="F1051" i="19"/>
  <c r="G1051" i="19"/>
  <c r="H1051" i="19"/>
  <c r="I1051" i="19"/>
  <c r="J1051" i="19"/>
  <c r="K1051" i="19"/>
  <c r="L1051" i="19"/>
  <c r="M1051" i="19"/>
  <c r="N1051" i="19"/>
  <c r="O1051" i="19"/>
  <c r="P1051" i="19"/>
  <c r="Q1051" i="19"/>
  <c r="F1052" i="19"/>
  <c r="G1052" i="19"/>
  <c r="H1052" i="19"/>
  <c r="I1052" i="19"/>
  <c r="J1052" i="19"/>
  <c r="K1052" i="19"/>
  <c r="L1052" i="19"/>
  <c r="M1052" i="19"/>
  <c r="N1052" i="19"/>
  <c r="O1052" i="19"/>
  <c r="P1052" i="19"/>
  <c r="Q1052" i="19"/>
  <c r="F1053" i="19"/>
  <c r="G1053" i="19"/>
  <c r="H1053" i="19"/>
  <c r="I1053" i="19"/>
  <c r="J1053" i="19"/>
  <c r="K1053" i="19"/>
  <c r="L1053" i="19"/>
  <c r="M1053" i="19"/>
  <c r="N1053" i="19"/>
  <c r="O1053" i="19"/>
  <c r="P1053" i="19"/>
  <c r="Q1053" i="19"/>
  <c r="F1054" i="19"/>
  <c r="G1054" i="19"/>
  <c r="H1054" i="19"/>
  <c r="I1054" i="19"/>
  <c r="J1054" i="19"/>
  <c r="K1054" i="19"/>
  <c r="L1054" i="19"/>
  <c r="M1054" i="19"/>
  <c r="N1054" i="19"/>
  <c r="O1054" i="19"/>
  <c r="P1054" i="19"/>
  <c r="Q1054" i="19"/>
  <c r="F1055" i="19"/>
  <c r="G1055" i="19"/>
  <c r="H1055" i="19"/>
  <c r="I1055" i="19"/>
  <c r="J1055" i="19"/>
  <c r="K1055" i="19"/>
  <c r="L1055" i="19"/>
  <c r="M1055" i="19"/>
  <c r="N1055" i="19"/>
  <c r="O1055" i="19"/>
  <c r="P1055" i="19"/>
  <c r="Q1055" i="19"/>
  <c r="F1056" i="19"/>
  <c r="G1056" i="19"/>
  <c r="H1056" i="19"/>
  <c r="I1056" i="19"/>
  <c r="J1056" i="19"/>
  <c r="K1056" i="19"/>
  <c r="L1056" i="19"/>
  <c r="M1056" i="19"/>
  <c r="N1056" i="19"/>
  <c r="O1056" i="19"/>
  <c r="P1056" i="19"/>
  <c r="Q1056" i="19"/>
  <c r="F1057" i="19"/>
  <c r="G1057" i="19"/>
  <c r="H1057" i="19"/>
  <c r="I1057" i="19"/>
  <c r="J1057" i="19"/>
  <c r="K1057" i="19"/>
  <c r="L1057" i="19"/>
  <c r="M1057" i="19"/>
  <c r="N1057" i="19"/>
  <c r="O1057" i="19"/>
  <c r="P1057" i="19"/>
  <c r="Q1057" i="19"/>
  <c r="F1058" i="19"/>
  <c r="G1058" i="19"/>
  <c r="H1058" i="19"/>
  <c r="I1058" i="19"/>
  <c r="J1058" i="19"/>
  <c r="K1058" i="19"/>
  <c r="L1058" i="19"/>
  <c r="M1058" i="19"/>
  <c r="N1058" i="19"/>
  <c r="O1058" i="19"/>
  <c r="P1058" i="19"/>
  <c r="Q1058" i="19"/>
  <c r="F1059" i="19"/>
  <c r="G1059" i="19"/>
  <c r="H1059" i="19"/>
  <c r="I1059" i="19"/>
  <c r="J1059" i="19"/>
  <c r="K1059" i="19"/>
  <c r="L1059" i="19"/>
  <c r="M1059" i="19"/>
  <c r="N1059" i="19"/>
  <c r="O1059" i="19"/>
  <c r="P1059" i="19"/>
  <c r="Q1059" i="19"/>
  <c r="F1060" i="19"/>
  <c r="G1060" i="19"/>
  <c r="H1060" i="19"/>
  <c r="I1060" i="19"/>
  <c r="J1060" i="19"/>
  <c r="K1060" i="19"/>
  <c r="L1060" i="19"/>
  <c r="M1060" i="19"/>
  <c r="N1060" i="19"/>
  <c r="O1060" i="19"/>
  <c r="P1060" i="19"/>
  <c r="Q1060" i="19"/>
  <c r="F1061" i="19"/>
  <c r="G1061" i="19"/>
  <c r="H1061" i="19"/>
  <c r="I1061" i="19"/>
  <c r="J1061" i="19"/>
  <c r="K1061" i="19"/>
  <c r="L1061" i="19"/>
  <c r="M1061" i="19"/>
  <c r="N1061" i="19"/>
  <c r="O1061" i="19"/>
  <c r="P1061" i="19"/>
  <c r="Q1061" i="19"/>
  <c r="F1062" i="19"/>
  <c r="G1062" i="19"/>
  <c r="H1062" i="19"/>
  <c r="I1062" i="19"/>
  <c r="J1062" i="19"/>
  <c r="K1062" i="19"/>
  <c r="L1062" i="19"/>
  <c r="M1062" i="19"/>
  <c r="N1062" i="19"/>
  <c r="O1062" i="19"/>
  <c r="P1062" i="19"/>
  <c r="Q1062" i="19"/>
  <c r="F1063" i="19"/>
  <c r="G1063" i="19"/>
  <c r="H1063" i="19"/>
  <c r="I1063" i="19"/>
  <c r="J1063" i="19"/>
  <c r="K1063" i="19"/>
  <c r="L1063" i="19"/>
  <c r="M1063" i="19"/>
  <c r="N1063" i="19"/>
  <c r="O1063" i="19"/>
  <c r="P1063" i="19"/>
  <c r="Q1063" i="19"/>
  <c r="F1064" i="19"/>
  <c r="G1064" i="19"/>
  <c r="H1064" i="19"/>
  <c r="I1064" i="19"/>
  <c r="J1064" i="19"/>
  <c r="K1064" i="19"/>
  <c r="L1064" i="19"/>
  <c r="M1064" i="19"/>
  <c r="N1064" i="19"/>
  <c r="O1064" i="19"/>
  <c r="P1064" i="19"/>
  <c r="Q1064" i="19"/>
  <c r="F1065" i="19"/>
  <c r="G1065" i="19"/>
  <c r="H1065" i="19"/>
  <c r="I1065" i="19"/>
  <c r="J1065" i="19"/>
  <c r="K1065" i="19"/>
  <c r="L1065" i="19"/>
  <c r="M1065" i="19"/>
  <c r="N1065" i="19"/>
  <c r="O1065" i="19"/>
  <c r="P1065" i="19"/>
  <c r="Q1065" i="19"/>
  <c r="F1066" i="19"/>
  <c r="G1066" i="19"/>
  <c r="H1066" i="19"/>
  <c r="I1066" i="19"/>
  <c r="J1066" i="19"/>
  <c r="K1066" i="19"/>
  <c r="L1066" i="19"/>
  <c r="M1066" i="19"/>
  <c r="N1066" i="19"/>
  <c r="O1066" i="19"/>
  <c r="P1066" i="19"/>
  <c r="Q1066" i="19"/>
  <c r="F1067" i="19"/>
  <c r="G1067" i="19"/>
  <c r="H1067" i="19"/>
  <c r="I1067" i="19"/>
  <c r="J1067" i="19"/>
  <c r="K1067" i="19"/>
  <c r="L1067" i="19"/>
  <c r="M1067" i="19"/>
  <c r="N1067" i="19"/>
  <c r="O1067" i="19"/>
  <c r="P1067" i="19"/>
  <c r="Q1067" i="19"/>
  <c r="F1068" i="19"/>
  <c r="G1068" i="19"/>
  <c r="H1068" i="19"/>
  <c r="I1068" i="19"/>
  <c r="J1068" i="19"/>
  <c r="K1068" i="19"/>
  <c r="L1068" i="19"/>
  <c r="M1068" i="19"/>
  <c r="N1068" i="19"/>
  <c r="O1068" i="19"/>
  <c r="P1068" i="19"/>
  <c r="Q1068" i="19"/>
  <c r="F1069" i="19"/>
  <c r="G1069" i="19"/>
  <c r="H1069" i="19"/>
  <c r="I1069" i="19"/>
  <c r="J1069" i="19"/>
  <c r="K1069" i="19"/>
  <c r="L1069" i="19"/>
  <c r="M1069" i="19"/>
  <c r="N1069" i="19"/>
  <c r="O1069" i="19"/>
  <c r="P1069" i="19"/>
  <c r="Q1069" i="19"/>
  <c r="F1070" i="19"/>
  <c r="G1070" i="19"/>
  <c r="H1070" i="19"/>
  <c r="I1070" i="19"/>
  <c r="J1070" i="19"/>
  <c r="K1070" i="19"/>
  <c r="L1070" i="19"/>
  <c r="M1070" i="19"/>
  <c r="N1070" i="19"/>
  <c r="O1070" i="19"/>
  <c r="P1070" i="19"/>
  <c r="Q1070" i="19"/>
  <c r="F1071" i="19"/>
  <c r="G1071" i="19"/>
  <c r="H1071" i="19"/>
  <c r="I1071" i="19"/>
  <c r="J1071" i="19"/>
  <c r="K1071" i="19"/>
  <c r="L1071" i="19"/>
  <c r="M1071" i="19"/>
  <c r="N1071" i="19"/>
  <c r="O1071" i="19"/>
  <c r="P1071" i="19"/>
  <c r="Q1071" i="19"/>
  <c r="F1072" i="19"/>
  <c r="G1072" i="19"/>
  <c r="H1072" i="19"/>
  <c r="I1072" i="19"/>
  <c r="J1072" i="19"/>
  <c r="K1072" i="19"/>
  <c r="L1072" i="19"/>
  <c r="M1072" i="19"/>
  <c r="N1072" i="19"/>
  <c r="O1072" i="19"/>
  <c r="P1072" i="19"/>
  <c r="Q1072" i="19"/>
  <c r="F1073" i="19"/>
  <c r="G1073" i="19"/>
  <c r="H1073" i="19"/>
  <c r="I1073" i="19"/>
  <c r="J1073" i="19"/>
  <c r="K1073" i="19"/>
  <c r="L1073" i="19"/>
  <c r="M1073" i="19"/>
  <c r="N1073" i="19"/>
  <c r="O1073" i="19"/>
  <c r="P1073" i="19"/>
  <c r="Q1073" i="19"/>
  <c r="F1074" i="19"/>
  <c r="G1074" i="19"/>
  <c r="H1074" i="19"/>
  <c r="I1074" i="19"/>
  <c r="J1074" i="19"/>
  <c r="K1074" i="19"/>
  <c r="L1074" i="19"/>
  <c r="M1074" i="19"/>
  <c r="N1074" i="19"/>
  <c r="O1074" i="19"/>
  <c r="P1074" i="19"/>
  <c r="Q1074" i="19"/>
  <c r="F1075" i="19"/>
  <c r="G1075" i="19"/>
  <c r="H1075" i="19"/>
  <c r="I1075" i="19"/>
  <c r="J1075" i="19"/>
  <c r="K1075" i="19"/>
  <c r="L1075" i="19"/>
  <c r="M1075" i="19"/>
  <c r="N1075" i="19"/>
  <c r="O1075" i="19"/>
  <c r="P1075" i="19"/>
  <c r="Q1075" i="19"/>
  <c r="F1076" i="19"/>
  <c r="G1076" i="19"/>
  <c r="H1076" i="19"/>
  <c r="I1076" i="19"/>
  <c r="J1076" i="19"/>
  <c r="K1076" i="19"/>
  <c r="L1076" i="19"/>
  <c r="M1076" i="19"/>
  <c r="N1076" i="19"/>
  <c r="O1076" i="19"/>
  <c r="P1076" i="19"/>
  <c r="Q1076" i="19"/>
  <c r="F1077" i="19"/>
  <c r="G1077" i="19"/>
  <c r="H1077" i="19"/>
  <c r="I1077" i="19"/>
  <c r="J1077" i="19"/>
  <c r="K1077" i="19"/>
  <c r="L1077" i="19"/>
  <c r="M1077" i="19"/>
  <c r="N1077" i="19"/>
  <c r="O1077" i="19"/>
  <c r="P1077" i="19"/>
  <c r="Q1077" i="19"/>
  <c r="F1078" i="19"/>
  <c r="G1078" i="19"/>
  <c r="H1078" i="19"/>
  <c r="I1078" i="19"/>
  <c r="J1078" i="19"/>
  <c r="K1078" i="19"/>
  <c r="L1078" i="19"/>
  <c r="M1078" i="19"/>
  <c r="N1078" i="19"/>
  <c r="O1078" i="19"/>
  <c r="P1078" i="19"/>
  <c r="Q1078" i="19"/>
  <c r="F1079" i="19"/>
  <c r="G1079" i="19"/>
  <c r="H1079" i="19"/>
  <c r="I1079" i="19"/>
  <c r="J1079" i="19"/>
  <c r="K1079" i="19"/>
  <c r="L1079" i="19"/>
  <c r="M1079" i="19"/>
  <c r="N1079" i="19"/>
  <c r="O1079" i="19"/>
  <c r="P1079" i="19"/>
  <c r="Q1079" i="19"/>
  <c r="F1080" i="19"/>
  <c r="G1080" i="19"/>
  <c r="H1080" i="19"/>
  <c r="I1080" i="19"/>
  <c r="J1080" i="19"/>
  <c r="K1080" i="19"/>
  <c r="L1080" i="19"/>
  <c r="M1080" i="19"/>
  <c r="N1080" i="19"/>
  <c r="O1080" i="19"/>
  <c r="P1080" i="19"/>
  <c r="Q1080" i="19"/>
  <c r="F1081" i="19"/>
  <c r="G1081" i="19"/>
  <c r="H1081" i="19"/>
  <c r="I1081" i="19"/>
  <c r="J1081" i="19"/>
  <c r="K1081" i="19"/>
  <c r="L1081" i="19"/>
  <c r="M1081" i="19"/>
  <c r="N1081" i="19"/>
  <c r="O1081" i="19"/>
  <c r="P1081" i="19"/>
  <c r="Q1081" i="19"/>
  <c r="F1082" i="19"/>
  <c r="G1082" i="19"/>
  <c r="H1082" i="19"/>
  <c r="I1082" i="19"/>
  <c r="J1082" i="19"/>
  <c r="K1082" i="19"/>
  <c r="L1082" i="19"/>
  <c r="M1082" i="19"/>
  <c r="N1082" i="19"/>
  <c r="O1082" i="19"/>
  <c r="P1082" i="19"/>
  <c r="Q1082" i="19"/>
  <c r="F1083" i="19"/>
  <c r="G1083" i="19"/>
  <c r="H1083" i="19"/>
  <c r="I1083" i="19"/>
  <c r="J1083" i="19"/>
  <c r="K1083" i="19"/>
  <c r="L1083" i="19"/>
  <c r="M1083" i="19"/>
  <c r="N1083" i="19"/>
  <c r="O1083" i="19"/>
  <c r="P1083" i="19"/>
  <c r="Q1083" i="19"/>
  <c r="F1084" i="19"/>
  <c r="G1084" i="19"/>
  <c r="H1084" i="19"/>
  <c r="I1084" i="19"/>
  <c r="J1084" i="19"/>
  <c r="K1084" i="19"/>
  <c r="L1084" i="19"/>
  <c r="M1084" i="19"/>
  <c r="N1084" i="19"/>
  <c r="O1084" i="19"/>
  <c r="P1084" i="19"/>
  <c r="Q1084" i="19"/>
  <c r="F1085" i="19"/>
  <c r="G1085" i="19"/>
  <c r="H1085" i="19"/>
  <c r="I1085" i="19"/>
  <c r="J1085" i="19"/>
  <c r="K1085" i="19"/>
  <c r="L1085" i="19"/>
  <c r="M1085" i="19"/>
  <c r="N1085" i="19"/>
  <c r="O1085" i="19"/>
  <c r="P1085" i="19"/>
  <c r="Q1085" i="19"/>
  <c r="F1086" i="19"/>
  <c r="G1086" i="19"/>
  <c r="H1086" i="19"/>
  <c r="I1086" i="19"/>
  <c r="J1086" i="19"/>
  <c r="K1086" i="19"/>
  <c r="L1086" i="19"/>
  <c r="M1086" i="19"/>
  <c r="N1086" i="19"/>
  <c r="O1086" i="19"/>
  <c r="P1086" i="19"/>
  <c r="Q1086" i="19"/>
  <c r="F1087" i="19"/>
  <c r="G1087" i="19"/>
  <c r="H1087" i="19"/>
  <c r="I1087" i="19"/>
  <c r="J1087" i="19"/>
  <c r="K1087" i="19"/>
  <c r="L1087" i="19"/>
  <c r="M1087" i="19"/>
  <c r="N1087" i="19"/>
  <c r="O1087" i="19"/>
  <c r="P1087" i="19"/>
  <c r="Q1087" i="19"/>
  <c r="F1088" i="19"/>
  <c r="G1088" i="19"/>
  <c r="H1088" i="19"/>
  <c r="I1088" i="19"/>
  <c r="J1088" i="19"/>
  <c r="K1088" i="19"/>
  <c r="L1088" i="19"/>
  <c r="M1088" i="19"/>
  <c r="N1088" i="19"/>
  <c r="O1088" i="19"/>
  <c r="P1088" i="19"/>
  <c r="Q1088" i="19"/>
  <c r="F1089" i="19"/>
  <c r="G1089" i="19"/>
  <c r="H1089" i="19"/>
  <c r="I1089" i="19"/>
  <c r="J1089" i="19"/>
  <c r="K1089" i="19"/>
  <c r="L1089" i="19"/>
  <c r="M1089" i="19"/>
  <c r="N1089" i="19"/>
  <c r="O1089" i="19"/>
  <c r="P1089" i="19"/>
  <c r="Q1089" i="19"/>
  <c r="F1090" i="19"/>
  <c r="G1090" i="19"/>
  <c r="H1090" i="19"/>
  <c r="I1090" i="19"/>
  <c r="J1090" i="19"/>
  <c r="K1090" i="19"/>
  <c r="L1090" i="19"/>
  <c r="M1090" i="19"/>
  <c r="N1090" i="19"/>
  <c r="O1090" i="19"/>
  <c r="P1090" i="19"/>
  <c r="Q1090" i="19"/>
  <c r="F1091" i="19"/>
  <c r="G1091" i="19"/>
  <c r="H1091" i="19"/>
  <c r="I1091" i="19"/>
  <c r="J1091" i="19"/>
  <c r="K1091" i="19"/>
  <c r="L1091" i="19"/>
  <c r="M1091" i="19"/>
  <c r="N1091" i="19"/>
  <c r="O1091" i="19"/>
  <c r="P1091" i="19"/>
  <c r="Q1091" i="19"/>
  <c r="F1092" i="19"/>
  <c r="G1092" i="19"/>
  <c r="H1092" i="19"/>
  <c r="I1092" i="19"/>
  <c r="J1092" i="19"/>
  <c r="K1092" i="19"/>
  <c r="L1092" i="19"/>
  <c r="M1092" i="19"/>
  <c r="N1092" i="19"/>
  <c r="O1092" i="19"/>
  <c r="P1092" i="19"/>
  <c r="Q1092" i="19"/>
  <c r="F1093" i="19"/>
  <c r="G1093" i="19"/>
  <c r="H1093" i="19"/>
  <c r="I1093" i="19"/>
  <c r="J1093" i="19"/>
  <c r="K1093" i="19"/>
  <c r="L1093" i="19"/>
  <c r="M1093" i="19"/>
  <c r="N1093" i="19"/>
  <c r="O1093" i="19"/>
  <c r="P1093" i="19"/>
  <c r="Q1093" i="19"/>
  <c r="F1094" i="19"/>
  <c r="G1094" i="19"/>
  <c r="H1094" i="19"/>
  <c r="I1094" i="19"/>
  <c r="J1094" i="19"/>
  <c r="K1094" i="19"/>
  <c r="L1094" i="19"/>
  <c r="M1094" i="19"/>
  <c r="N1094" i="19"/>
  <c r="O1094" i="19"/>
  <c r="P1094" i="19"/>
  <c r="Q1094" i="19"/>
  <c r="F1095" i="19"/>
  <c r="G1095" i="19"/>
  <c r="H1095" i="19"/>
  <c r="I1095" i="19"/>
  <c r="J1095" i="19"/>
  <c r="K1095" i="19"/>
  <c r="L1095" i="19"/>
  <c r="M1095" i="19"/>
  <c r="N1095" i="19"/>
  <c r="O1095" i="19"/>
  <c r="P1095" i="19"/>
  <c r="Q1095" i="19"/>
  <c r="F1096" i="19"/>
  <c r="G1096" i="19"/>
  <c r="H1096" i="19"/>
  <c r="I1096" i="19"/>
  <c r="J1096" i="19"/>
  <c r="K1096" i="19"/>
  <c r="L1096" i="19"/>
  <c r="M1096" i="19"/>
  <c r="N1096" i="19"/>
  <c r="O1096" i="19"/>
  <c r="P1096" i="19"/>
  <c r="Q1096" i="19"/>
  <c r="F1097" i="19"/>
  <c r="G1097" i="19"/>
  <c r="H1097" i="19"/>
  <c r="I1097" i="19"/>
  <c r="J1097" i="19"/>
  <c r="K1097" i="19"/>
  <c r="L1097" i="19"/>
  <c r="M1097" i="19"/>
  <c r="N1097" i="19"/>
  <c r="O1097" i="19"/>
  <c r="P1097" i="19"/>
  <c r="Q1097" i="19"/>
  <c r="F1098" i="19"/>
  <c r="G1098" i="19"/>
  <c r="H1098" i="19"/>
  <c r="I1098" i="19"/>
  <c r="J1098" i="19"/>
  <c r="K1098" i="19"/>
  <c r="L1098" i="19"/>
  <c r="M1098" i="19"/>
  <c r="N1098" i="19"/>
  <c r="O1098" i="19"/>
  <c r="P1098" i="19"/>
  <c r="Q1098" i="19"/>
  <c r="F1099" i="19"/>
  <c r="G1099" i="19"/>
  <c r="H1099" i="19"/>
  <c r="I1099" i="19"/>
  <c r="J1099" i="19"/>
  <c r="K1099" i="19"/>
  <c r="L1099" i="19"/>
  <c r="M1099" i="19"/>
  <c r="N1099" i="19"/>
  <c r="O1099" i="19"/>
  <c r="P1099" i="19"/>
  <c r="Q1099" i="19"/>
  <c r="F1100" i="19"/>
  <c r="G1100" i="19"/>
  <c r="H1100" i="19"/>
  <c r="I1100" i="19"/>
  <c r="J1100" i="19"/>
  <c r="K1100" i="19"/>
  <c r="L1100" i="19"/>
  <c r="M1100" i="19"/>
  <c r="N1100" i="19"/>
  <c r="O1100" i="19"/>
  <c r="P1100" i="19"/>
  <c r="Q1100" i="19"/>
  <c r="F1101" i="19"/>
  <c r="G1101" i="19"/>
  <c r="H1101" i="19"/>
  <c r="I1101" i="19"/>
  <c r="J1101" i="19"/>
  <c r="K1101" i="19"/>
  <c r="L1101" i="19"/>
  <c r="M1101" i="19"/>
  <c r="N1101" i="19"/>
  <c r="O1101" i="19"/>
  <c r="P1101" i="19"/>
  <c r="Q1101" i="19"/>
  <c r="F1102" i="19"/>
  <c r="G1102" i="19"/>
  <c r="H1102" i="19"/>
  <c r="I1102" i="19"/>
  <c r="J1102" i="19"/>
  <c r="K1102" i="19"/>
  <c r="L1102" i="19"/>
  <c r="M1102" i="19"/>
  <c r="N1102" i="19"/>
  <c r="O1102" i="19"/>
  <c r="P1102" i="19"/>
  <c r="Q1102" i="19"/>
  <c r="F1103" i="19"/>
  <c r="G1103" i="19"/>
  <c r="H1103" i="19"/>
  <c r="I1103" i="19"/>
  <c r="J1103" i="19"/>
  <c r="K1103" i="19"/>
  <c r="L1103" i="19"/>
  <c r="M1103" i="19"/>
  <c r="N1103" i="19"/>
  <c r="O1103" i="19"/>
  <c r="P1103" i="19"/>
  <c r="Q1103" i="19"/>
  <c r="F1104" i="19"/>
  <c r="G1104" i="19"/>
  <c r="H1104" i="19"/>
  <c r="I1104" i="19"/>
  <c r="J1104" i="19"/>
  <c r="K1104" i="19"/>
  <c r="L1104" i="19"/>
  <c r="M1104" i="19"/>
  <c r="N1104" i="19"/>
  <c r="O1104" i="19"/>
  <c r="P1104" i="19"/>
  <c r="Q1104" i="19"/>
  <c r="F1105" i="19"/>
  <c r="G1105" i="19"/>
  <c r="H1105" i="19"/>
  <c r="I1105" i="19"/>
  <c r="J1105" i="19"/>
  <c r="K1105" i="19"/>
  <c r="L1105" i="19"/>
  <c r="M1105" i="19"/>
  <c r="N1105" i="19"/>
  <c r="O1105" i="19"/>
  <c r="P1105" i="19"/>
  <c r="Q1105" i="19"/>
  <c r="F1106" i="19"/>
  <c r="G1106" i="19"/>
  <c r="H1106" i="19"/>
  <c r="I1106" i="19"/>
  <c r="J1106" i="19"/>
  <c r="K1106" i="19"/>
  <c r="L1106" i="19"/>
  <c r="M1106" i="19"/>
  <c r="N1106" i="19"/>
  <c r="O1106" i="19"/>
  <c r="P1106" i="19"/>
  <c r="Q1106" i="19"/>
  <c r="F1107" i="19"/>
  <c r="G1107" i="19"/>
  <c r="H1107" i="19"/>
  <c r="I1107" i="19"/>
  <c r="J1107" i="19"/>
  <c r="K1107" i="19"/>
  <c r="L1107" i="19"/>
  <c r="M1107" i="19"/>
  <c r="N1107" i="19"/>
  <c r="O1107" i="19"/>
  <c r="P1107" i="19"/>
  <c r="Q1107" i="19"/>
  <c r="F1108" i="19"/>
  <c r="G1108" i="19"/>
  <c r="H1108" i="19"/>
  <c r="I1108" i="19"/>
  <c r="J1108" i="19"/>
  <c r="K1108" i="19"/>
  <c r="L1108" i="19"/>
  <c r="M1108" i="19"/>
  <c r="N1108" i="19"/>
  <c r="O1108" i="19"/>
  <c r="P1108" i="19"/>
  <c r="Q1108" i="19"/>
  <c r="F1109" i="19"/>
  <c r="G1109" i="19"/>
  <c r="H1109" i="19"/>
  <c r="I1109" i="19"/>
  <c r="J1109" i="19"/>
  <c r="K1109" i="19"/>
  <c r="L1109" i="19"/>
  <c r="M1109" i="19"/>
  <c r="N1109" i="19"/>
  <c r="O1109" i="19"/>
  <c r="P1109" i="19"/>
  <c r="Q1109" i="19"/>
  <c r="F1110" i="19"/>
  <c r="G1110" i="19"/>
  <c r="H1110" i="19"/>
  <c r="I1110" i="19"/>
  <c r="J1110" i="19"/>
  <c r="K1110" i="19"/>
  <c r="L1110" i="19"/>
  <c r="M1110" i="19"/>
  <c r="N1110" i="19"/>
  <c r="O1110" i="19"/>
  <c r="P1110" i="19"/>
  <c r="Q1110" i="19"/>
  <c r="F1111" i="19"/>
  <c r="G1111" i="19"/>
  <c r="H1111" i="19"/>
  <c r="I1111" i="19"/>
  <c r="J1111" i="19"/>
  <c r="K1111" i="19"/>
  <c r="L1111" i="19"/>
  <c r="M1111" i="19"/>
  <c r="N1111" i="19"/>
  <c r="O1111" i="19"/>
  <c r="P1111" i="19"/>
  <c r="Q1111" i="19"/>
  <c r="F1112" i="19"/>
  <c r="G1112" i="19"/>
  <c r="H1112" i="19"/>
  <c r="I1112" i="19"/>
  <c r="J1112" i="19"/>
  <c r="K1112" i="19"/>
  <c r="L1112" i="19"/>
  <c r="M1112" i="19"/>
  <c r="N1112" i="19"/>
  <c r="O1112" i="19"/>
  <c r="P1112" i="19"/>
  <c r="Q1112" i="19"/>
  <c r="F1113" i="19"/>
  <c r="G1113" i="19"/>
  <c r="H1113" i="19"/>
  <c r="I1113" i="19"/>
  <c r="J1113" i="19"/>
  <c r="K1113" i="19"/>
  <c r="L1113" i="19"/>
  <c r="M1113" i="19"/>
  <c r="N1113" i="19"/>
  <c r="O1113" i="19"/>
  <c r="P1113" i="19"/>
  <c r="Q1113" i="19"/>
  <c r="F1114" i="19"/>
  <c r="G1114" i="19"/>
  <c r="H1114" i="19"/>
  <c r="I1114" i="19"/>
  <c r="J1114" i="19"/>
  <c r="K1114" i="19"/>
  <c r="L1114" i="19"/>
  <c r="M1114" i="19"/>
  <c r="N1114" i="19"/>
  <c r="O1114" i="19"/>
  <c r="P1114" i="19"/>
  <c r="Q1114" i="19"/>
  <c r="F1115" i="19"/>
  <c r="G1115" i="19"/>
  <c r="H1115" i="19"/>
  <c r="I1115" i="19"/>
  <c r="J1115" i="19"/>
  <c r="K1115" i="19"/>
  <c r="L1115" i="19"/>
  <c r="M1115" i="19"/>
  <c r="N1115" i="19"/>
  <c r="O1115" i="19"/>
  <c r="P1115" i="19"/>
  <c r="Q1115" i="19"/>
  <c r="F1116" i="19"/>
  <c r="G1116" i="19"/>
  <c r="H1116" i="19"/>
  <c r="I1116" i="19"/>
  <c r="J1116" i="19"/>
  <c r="K1116" i="19"/>
  <c r="L1116" i="19"/>
  <c r="M1116" i="19"/>
  <c r="N1116" i="19"/>
  <c r="O1116" i="19"/>
  <c r="P1116" i="19"/>
  <c r="Q1116" i="19"/>
  <c r="F1117" i="19"/>
  <c r="G1117" i="19"/>
  <c r="H1117" i="19"/>
  <c r="I1117" i="19"/>
  <c r="J1117" i="19"/>
  <c r="K1117" i="19"/>
  <c r="L1117" i="19"/>
  <c r="M1117" i="19"/>
  <c r="N1117" i="19"/>
  <c r="O1117" i="19"/>
  <c r="P1117" i="19"/>
  <c r="Q1117" i="19"/>
  <c r="F1118" i="19"/>
  <c r="G1118" i="19"/>
  <c r="H1118" i="19"/>
  <c r="I1118" i="19"/>
  <c r="J1118" i="19"/>
  <c r="K1118" i="19"/>
  <c r="L1118" i="19"/>
  <c r="M1118" i="19"/>
  <c r="N1118" i="19"/>
  <c r="O1118" i="19"/>
  <c r="P1118" i="19"/>
  <c r="Q1118" i="19"/>
  <c r="F1119" i="19"/>
  <c r="G1119" i="19"/>
  <c r="H1119" i="19"/>
  <c r="I1119" i="19"/>
  <c r="J1119" i="19"/>
  <c r="K1119" i="19"/>
  <c r="L1119" i="19"/>
  <c r="M1119" i="19"/>
  <c r="N1119" i="19"/>
  <c r="O1119" i="19"/>
  <c r="P1119" i="19"/>
  <c r="Q1119" i="19"/>
  <c r="F1120" i="19"/>
  <c r="G1120" i="19"/>
  <c r="H1120" i="19"/>
  <c r="I1120" i="19"/>
  <c r="J1120" i="19"/>
  <c r="K1120" i="19"/>
  <c r="L1120" i="19"/>
  <c r="M1120" i="19"/>
  <c r="N1120" i="19"/>
  <c r="O1120" i="19"/>
  <c r="P1120" i="19"/>
  <c r="Q1120" i="19"/>
  <c r="F1121" i="19"/>
  <c r="G1121" i="19"/>
  <c r="H1121" i="19"/>
  <c r="I1121" i="19"/>
  <c r="J1121" i="19"/>
  <c r="K1121" i="19"/>
  <c r="L1121" i="19"/>
  <c r="M1121" i="19"/>
  <c r="N1121" i="19"/>
  <c r="O1121" i="19"/>
  <c r="P1121" i="19"/>
  <c r="Q1121" i="19"/>
  <c r="F1122" i="19"/>
  <c r="G1122" i="19"/>
  <c r="H1122" i="19"/>
  <c r="I1122" i="19"/>
  <c r="J1122" i="19"/>
  <c r="K1122" i="19"/>
  <c r="L1122" i="19"/>
  <c r="M1122" i="19"/>
  <c r="N1122" i="19"/>
  <c r="O1122" i="19"/>
  <c r="P1122" i="19"/>
  <c r="Q1122" i="19"/>
  <c r="F1123" i="19"/>
  <c r="G1123" i="19"/>
  <c r="H1123" i="19"/>
  <c r="I1123" i="19"/>
  <c r="J1123" i="19"/>
  <c r="K1123" i="19"/>
  <c r="L1123" i="19"/>
  <c r="M1123" i="19"/>
  <c r="N1123" i="19"/>
  <c r="O1123" i="19"/>
  <c r="P1123" i="19"/>
  <c r="Q1123" i="19"/>
  <c r="F1124" i="19"/>
  <c r="G1124" i="19"/>
  <c r="H1124" i="19"/>
  <c r="I1124" i="19"/>
  <c r="J1124" i="19"/>
  <c r="K1124" i="19"/>
  <c r="L1124" i="19"/>
  <c r="M1124" i="19"/>
  <c r="N1124" i="19"/>
  <c r="O1124" i="19"/>
  <c r="P1124" i="19"/>
  <c r="Q1124" i="19"/>
  <c r="F1125" i="19"/>
  <c r="G1125" i="19"/>
  <c r="H1125" i="19"/>
  <c r="I1125" i="19"/>
  <c r="J1125" i="19"/>
  <c r="K1125" i="19"/>
  <c r="L1125" i="19"/>
  <c r="M1125" i="19"/>
  <c r="N1125" i="19"/>
  <c r="O1125" i="19"/>
  <c r="P1125" i="19"/>
  <c r="Q1125" i="19"/>
  <c r="F1126" i="19"/>
  <c r="G1126" i="19"/>
  <c r="H1126" i="19"/>
  <c r="I1126" i="19"/>
  <c r="J1126" i="19"/>
  <c r="K1126" i="19"/>
  <c r="L1126" i="19"/>
  <c r="M1126" i="19"/>
  <c r="N1126" i="19"/>
  <c r="O1126" i="19"/>
  <c r="P1126" i="19"/>
  <c r="Q1126" i="19"/>
  <c r="F1127" i="19"/>
  <c r="G1127" i="19"/>
  <c r="H1127" i="19"/>
  <c r="I1127" i="19"/>
  <c r="J1127" i="19"/>
  <c r="K1127" i="19"/>
  <c r="L1127" i="19"/>
  <c r="M1127" i="19"/>
  <c r="N1127" i="19"/>
  <c r="O1127" i="19"/>
  <c r="P1127" i="19"/>
  <c r="Q1127" i="19"/>
  <c r="F1128" i="19"/>
  <c r="G1128" i="19"/>
  <c r="H1128" i="19"/>
  <c r="I1128" i="19"/>
  <c r="J1128" i="19"/>
  <c r="K1128" i="19"/>
  <c r="L1128" i="19"/>
  <c r="M1128" i="19"/>
  <c r="N1128" i="19"/>
  <c r="O1128" i="19"/>
  <c r="P1128" i="19"/>
  <c r="Q1128" i="19"/>
  <c r="F1129" i="19"/>
  <c r="G1129" i="19"/>
  <c r="H1129" i="19"/>
  <c r="I1129" i="19"/>
  <c r="J1129" i="19"/>
  <c r="K1129" i="19"/>
  <c r="L1129" i="19"/>
  <c r="M1129" i="19"/>
  <c r="N1129" i="19"/>
  <c r="O1129" i="19"/>
  <c r="P1129" i="19"/>
  <c r="Q1129" i="19"/>
  <c r="F1130" i="19"/>
  <c r="G1130" i="19"/>
  <c r="H1130" i="19"/>
  <c r="I1130" i="19"/>
  <c r="J1130" i="19"/>
  <c r="K1130" i="19"/>
  <c r="L1130" i="19"/>
  <c r="M1130" i="19"/>
  <c r="N1130" i="19"/>
  <c r="O1130" i="19"/>
  <c r="P1130" i="19"/>
  <c r="Q1130" i="19"/>
  <c r="F1131" i="19"/>
  <c r="G1131" i="19"/>
  <c r="H1131" i="19"/>
  <c r="I1131" i="19"/>
  <c r="J1131" i="19"/>
  <c r="K1131" i="19"/>
  <c r="L1131" i="19"/>
  <c r="M1131" i="19"/>
  <c r="N1131" i="19"/>
  <c r="O1131" i="19"/>
  <c r="P1131" i="19"/>
  <c r="Q1131" i="19"/>
  <c r="F1132" i="19"/>
  <c r="G1132" i="19"/>
  <c r="H1132" i="19"/>
  <c r="I1132" i="19"/>
  <c r="J1132" i="19"/>
  <c r="K1132" i="19"/>
  <c r="L1132" i="19"/>
  <c r="M1132" i="19"/>
  <c r="N1132" i="19"/>
  <c r="O1132" i="19"/>
  <c r="P1132" i="19"/>
  <c r="Q1132" i="19"/>
  <c r="F1133" i="19"/>
  <c r="G1133" i="19"/>
  <c r="H1133" i="19"/>
  <c r="I1133" i="19"/>
  <c r="J1133" i="19"/>
  <c r="K1133" i="19"/>
  <c r="L1133" i="19"/>
  <c r="M1133" i="19"/>
  <c r="N1133" i="19"/>
  <c r="O1133" i="19"/>
  <c r="P1133" i="19"/>
  <c r="Q1133" i="19"/>
  <c r="F1134" i="19"/>
  <c r="G1134" i="19"/>
  <c r="H1134" i="19"/>
  <c r="I1134" i="19"/>
  <c r="J1134" i="19"/>
  <c r="K1134" i="19"/>
  <c r="L1134" i="19"/>
  <c r="M1134" i="19"/>
  <c r="N1134" i="19"/>
  <c r="O1134" i="19"/>
  <c r="P1134" i="19"/>
  <c r="Q1134" i="19"/>
  <c r="F1135" i="19"/>
  <c r="G1135" i="19"/>
  <c r="H1135" i="19"/>
  <c r="I1135" i="19"/>
  <c r="J1135" i="19"/>
  <c r="K1135" i="19"/>
  <c r="L1135" i="19"/>
  <c r="M1135" i="19"/>
  <c r="N1135" i="19"/>
  <c r="O1135" i="19"/>
  <c r="P1135" i="19"/>
  <c r="Q1135" i="19"/>
  <c r="F1136" i="19"/>
  <c r="G1136" i="19"/>
  <c r="H1136" i="19"/>
  <c r="I1136" i="19"/>
  <c r="J1136" i="19"/>
  <c r="K1136" i="19"/>
  <c r="L1136" i="19"/>
  <c r="M1136" i="19"/>
  <c r="N1136" i="19"/>
  <c r="O1136" i="19"/>
  <c r="P1136" i="19"/>
  <c r="Q1136" i="19"/>
  <c r="F1137" i="19"/>
  <c r="G1137" i="19"/>
  <c r="H1137" i="19"/>
  <c r="I1137" i="19"/>
  <c r="J1137" i="19"/>
  <c r="K1137" i="19"/>
  <c r="L1137" i="19"/>
  <c r="M1137" i="19"/>
  <c r="N1137" i="19"/>
  <c r="O1137" i="19"/>
  <c r="P1137" i="19"/>
  <c r="Q1137" i="19"/>
  <c r="F1138" i="19"/>
  <c r="G1138" i="19"/>
  <c r="H1138" i="19"/>
  <c r="I1138" i="19"/>
  <c r="J1138" i="19"/>
  <c r="K1138" i="19"/>
  <c r="L1138" i="19"/>
  <c r="M1138" i="19"/>
  <c r="N1138" i="19"/>
  <c r="O1138" i="19"/>
  <c r="P1138" i="19"/>
  <c r="Q1138" i="19"/>
  <c r="F1139" i="19"/>
  <c r="G1139" i="19"/>
  <c r="H1139" i="19"/>
  <c r="I1139" i="19"/>
  <c r="J1139" i="19"/>
  <c r="K1139" i="19"/>
  <c r="L1139" i="19"/>
  <c r="M1139" i="19"/>
  <c r="N1139" i="19"/>
  <c r="O1139" i="19"/>
  <c r="P1139" i="19"/>
  <c r="Q1139" i="19"/>
  <c r="F1140" i="19"/>
  <c r="G1140" i="19"/>
  <c r="H1140" i="19"/>
  <c r="I1140" i="19"/>
  <c r="J1140" i="19"/>
  <c r="K1140" i="19"/>
  <c r="L1140" i="19"/>
  <c r="M1140" i="19"/>
  <c r="N1140" i="19"/>
  <c r="O1140" i="19"/>
  <c r="P1140" i="19"/>
  <c r="Q1140" i="19"/>
  <c r="F1141" i="19"/>
  <c r="G1141" i="19"/>
  <c r="H1141" i="19"/>
  <c r="I1141" i="19"/>
  <c r="J1141" i="19"/>
  <c r="K1141" i="19"/>
  <c r="L1141" i="19"/>
  <c r="M1141" i="19"/>
  <c r="N1141" i="19"/>
  <c r="O1141" i="19"/>
  <c r="P1141" i="19"/>
  <c r="Q1141" i="19"/>
  <c r="F1142" i="19"/>
  <c r="G1142" i="19"/>
  <c r="H1142" i="19"/>
  <c r="I1142" i="19"/>
  <c r="J1142" i="19"/>
  <c r="K1142" i="19"/>
  <c r="L1142" i="19"/>
  <c r="M1142" i="19"/>
  <c r="N1142" i="19"/>
  <c r="O1142" i="19"/>
  <c r="P1142" i="19"/>
  <c r="Q1142" i="19"/>
  <c r="F1143" i="19"/>
  <c r="G1143" i="19"/>
  <c r="H1143" i="19"/>
  <c r="I1143" i="19"/>
  <c r="J1143" i="19"/>
  <c r="K1143" i="19"/>
  <c r="L1143" i="19"/>
  <c r="M1143" i="19"/>
  <c r="N1143" i="19"/>
  <c r="O1143" i="19"/>
  <c r="P1143" i="19"/>
  <c r="Q1143" i="19"/>
  <c r="F1144" i="19"/>
  <c r="G1144" i="19"/>
  <c r="H1144" i="19"/>
  <c r="I1144" i="19"/>
  <c r="J1144" i="19"/>
  <c r="K1144" i="19"/>
  <c r="L1144" i="19"/>
  <c r="M1144" i="19"/>
  <c r="N1144" i="19"/>
  <c r="O1144" i="19"/>
  <c r="P1144" i="19"/>
  <c r="Q1144" i="19"/>
  <c r="F1145" i="19"/>
  <c r="G1145" i="19"/>
  <c r="H1145" i="19"/>
  <c r="I1145" i="19"/>
  <c r="J1145" i="19"/>
  <c r="K1145" i="19"/>
  <c r="L1145" i="19"/>
  <c r="M1145" i="19"/>
  <c r="N1145" i="19"/>
  <c r="O1145" i="19"/>
  <c r="P1145" i="19"/>
  <c r="Q1145" i="19"/>
  <c r="F1146" i="19"/>
  <c r="G1146" i="19"/>
  <c r="H1146" i="19"/>
  <c r="I1146" i="19"/>
  <c r="J1146" i="19"/>
  <c r="K1146" i="19"/>
  <c r="L1146" i="19"/>
  <c r="M1146" i="19"/>
  <c r="N1146" i="19"/>
  <c r="O1146" i="19"/>
  <c r="P1146" i="19"/>
  <c r="Q1146" i="19"/>
  <c r="F1147" i="19"/>
  <c r="G1147" i="19"/>
  <c r="H1147" i="19"/>
  <c r="I1147" i="19"/>
  <c r="J1147" i="19"/>
  <c r="K1147" i="19"/>
  <c r="L1147" i="19"/>
  <c r="M1147" i="19"/>
  <c r="N1147" i="19"/>
  <c r="O1147" i="19"/>
  <c r="P1147" i="19"/>
  <c r="Q1147" i="19"/>
  <c r="F1148" i="19"/>
  <c r="G1148" i="19"/>
  <c r="H1148" i="19"/>
  <c r="I1148" i="19"/>
  <c r="J1148" i="19"/>
  <c r="K1148" i="19"/>
  <c r="L1148" i="19"/>
  <c r="M1148" i="19"/>
  <c r="N1148" i="19"/>
  <c r="O1148" i="19"/>
  <c r="P1148" i="19"/>
  <c r="Q1148" i="19"/>
  <c r="F1149" i="19"/>
  <c r="G1149" i="19"/>
  <c r="H1149" i="19"/>
  <c r="I1149" i="19"/>
  <c r="J1149" i="19"/>
  <c r="K1149" i="19"/>
  <c r="L1149" i="19"/>
  <c r="M1149" i="19"/>
  <c r="N1149" i="19"/>
  <c r="O1149" i="19"/>
  <c r="P1149" i="19"/>
  <c r="Q1149" i="19"/>
  <c r="F1150" i="19"/>
  <c r="G1150" i="19"/>
  <c r="H1150" i="19"/>
  <c r="I1150" i="19"/>
  <c r="J1150" i="19"/>
  <c r="K1150" i="19"/>
  <c r="L1150" i="19"/>
  <c r="M1150" i="19"/>
  <c r="N1150" i="19"/>
  <c r="O1150" i="19"/>
  <c r="P1150" i="19"/>
  <c r="Q1150" i="19"/>
  <c r="F1151" i="19"/>
  <c r="G1151" i="19"/>
  <c r="H1151" i="19"/>
  <c r="I1151" i="19"/>
  <c r="J1151" i="19"/>
  <c r="K1151" i="19"/>
  <c r="L1151" i="19"/>
  <c r="M1151" i="19"/>
  <c r="N1151" i="19"/>
  <c r="O1151" i="19"/>
  <c r="P1151" i="19"/>
  <c r="Q1151" i="19"/>
  <c r="F1152" i="19"/>
  <c r="G1152" i="19"/>
  <c r="H1152" i="19"/>
  <c r="I1152" i="19"/>
  <c r="J1152" i="19"/>
  <c r="K1152" i="19"/>
  <c r="L1152" i="19"/>
  <c r="M1152" i="19"/>
  <c r="N1152" i="19"/>
  <c r="O1152" i="19"/>
  <c r="P1152" i="19"/>
  <c r="Q1152" i="19"/>
  <c r="F1153" i="19"/>
  <c r="G1153" i="19"/>
  <c r="H1153" i="19"/>
  <c r="I1153" i="19"/>
  <c r="J1153" i="19"/>
  <c r="K1153" i="19"/>
  <c r="L1153" i="19"/>
  <c r="M1153" i="19"/>
  <c r="N1153" i="19"/>
  <c r="O1153" i="19"/>
  <c r="P1153" i="19"/>
  <c r="Q1153" i="19"/>
  <c r="F1154" i="19"/>
  <c r="G1154" i="19"/>
  <c r="H1154" i="19"/>
  <c r="I1154" i="19"/>
  <c r="J1154" i="19"/>
  <c r="K1154" i="19"/>
  <c r="L1154" i="19"/>
  <c r="M1154" i="19"/>
  <c r="N1154" i="19"/>
  <c r="O1154" i="19"/>
  <c r="P1154" i="19"/>
  <c r="Q1154" i="19"/>
  <c r="F1155" i="19"/>
  <c r="G1155" i="19"/>
  <c r="H1155" i="19"/>
  <c r="I1155" i="19"/>
  <c r="J1155" i="19"/>
  <c r="K1155" i="19"/>
  <c r="L1155" i="19"/>
  <c r="M1155" i="19"/>
  <c r="N1155" i="19"/>
  <c r="O1155" i="19"/>
  <c r="P1155" i="19"/>
  <c r="Q1155" i="19"/>
  <c r="F1156" i="19"/>
  <c r="G1156" i="19"/>
  <c r="H1156" i="19"/>
  <c r="I1156" i="19"/>
  <c r="J1156" i="19"/>
  <c r="K1156" i="19"/>
  <c r="L1156" i="19"/>
  <c r="M1156" i="19"/>
  <c r="N1156" i="19"/>
  <c r="O1156" i="19"/>
  <c r="P1156" i="19"/>
  <c r="Q1156" i="19"/>
  <c r="F1157" i="19"/>
  <c r="G1157" i="19"/>
  <c r="H1157" i="19"/>
  <c r="I1157" i="19"/>
  <c r="J1157" i="19"/>
  <c r="K1157" i="19"/>
  <c r="L1157" i="19"/>
  <c r="M1157" i="19"/>
  <c r="N1157" i="19"/>
  <c r="O1157" i="19"/>
  <c r="P1157" i="19"/>
  <c r="Q1157" i="19"/>
  <c r="F1158" i="19"/>
  <c r="G1158" i="19"/>
  <c r="H1158" i="19"/>
  <c r="I1158" i="19"/>
  <c r="J1158" i="19"/>
  <c r="K1158" i="19"/>
  <c r="L1158" i="19"/>
  <c r="M1158" i="19"/>
  <c r="N1158" i="19"/>
  <c r="O1158" i="19"/>
  <c r="P1158" i="19"/>
  <c r="Q1158" i="19"/>
  <c r="F1159" i="19"/>
  <c r="G1159" i="19"/>
  <c r="H1159" i="19"/>
  <c r="I1159" i="19"/>
  <c r="J1159" i="19"/>
  <c r="K1159" i="19"/>
  <c r="L1159" i="19"/>
  <c r="M1159" i="19"/>
  <c r="N1159" i="19"/>
  <c r="O1159" i="19"/>
  <c r="P1159" i="19"/>
  <c r="Q1159" i="19"/>
  <c r="F1160" i="19"/>
  <c r="G1160" i="19"/>
  <c r="H1160" i="19"/>
  <c r="I1160" i="19"/>
  <c r="J1160" i="19"/>
  <c r="K1160" i="19"/>
  <c r="L1160" i="19"/>
  <c r="M1160" i="19"/>
  <c r="N1160" i="19"/>
  <c r="O1160" i="19"/>
  <c r="P1160" i="19"/>
  <c r="Q1160" i="19"/>
  <c r="F1161" i="19"/>
  <c r="G1161" i="19"/>
  <c r="H1161" i="19"/>
  <c r="I1161" i="19"/>
  <c r="J1161" i="19"/>
  <c r="K1161" i="19"/>
  <c r="L1161" i="19"/>
  <c r="M1161" i="19"/>
  <c r="N1161" i="19"/>
  <c r="O1161" i="19"/>
  <c r="P1161" i="19"/>
  <c r="Q1161" i="19"/>
  <c r="F1162" i="19"/>
  <c r="G1162" i="19"/>
  <c r="H1162" i="19"/>
  <c r="I1162" i="19"/>
  <c r="J1162" i="19"/>
  <c r="K1162" i="19"/>
  <c r="L1162" i="19"/>
  <c r="M1162" i="19"/>
  <c r="N1162" i="19"/>
  <c r="O1162" i="19"/>
  <c r="P1162" i="19"/>
  <c r="Q1162" i="19"/>
  <c r="F1163" i="19"/>
  <c r="G1163" i="19"/>
  <c r="H1163" i="19"/>
  <c r="I1163" i="19"/>
  <c r="J1163" i="19"/>
  <c r="K1163" i="19"/>
  <c r="L1163" i="19"/>
  <c r="M1163" i="19"/>
  <c r="N1163" i="19"/>
  <c r="O1163" i="19"/>
  <c r="P1163" i="19"/>
  <c r="Q1163" i="19"/>
  <c r="F1164" i="19"/>
  <c r="G1164" i="19"/>
  <c r="H1164" i="19"/>
  <c r="I1164" i="19"/>
  <c r="J1164" i="19"/>
  <c r="K1164" i="19"/>
  <c r="L1164" i="19"/>
  <c r="M1164" i="19"/>
  <c r="N1164" i="19"/>
  <c r="O1164" i="19"/>
  <c r="P1164" i="19"/>
  <c r="Q1164" i="19"/>
  <c r="F1165" i="19"/>
  <c r="G1165" i="19"/>
  <c r="H1165" i="19"/>
  <c r="I1165" i="19"/>
  <c r="J1165" i="19"/>
  <c r="K1165" i="19"/>
  <c r="L1165" i="19"/>
  <c r="M1165" i="19"/>
  <c r="N1165" i="19"/>
  <c r="O1165" i="19"/>
  <c r="P1165" i="19"/>
  <c r="Q1165" i="19"/>
  <c r="F1166" i="19"/>
  <c r="G1166" i="19"/>
  <c r="H1166" i="19"/>
  <c r="I1166" i="19"/>
  <c r="J1166" i="19"/>
  <c r="K1166" i="19"/>
  <c r="L1166" i="19"/>
  <c r="M1166" i="19"/>
  <c r="N1166" i="19"/>
  <c r="O1166" i="19"/>
  <c r="P1166" i="19"/>
  <c r="Q1166" i="19"/>
  <c r="F1167" i="19"/>
  <c r="G1167" i="19"/>
  <c r="H1167" i="19"/>
  <c r="I1167" i="19"/>
  <c r="J1167" i="19"/>
  <c r="K1167" i="19"/>
  <c r="L1167" i="19"/>
  <c r="M1167" i="19"/>
  <c r="N1167" i="19"/>
  <c r="O1167" i="19"/>
  <c r="P1167" i="19"/>
  <c r="Q1167" i="19"/>
  <c r="F1168" i="19"/>
  <c r="G1168" i="19"/>
  <c r="H1168" i="19"/>
  <c r="I1168" i="19"/>
  <c r="J1168" i="19"/>
  <c r="K1168" i="19"/>
  <c r="L1168" i="19"/>
  <c r="M1168" i="19"/>
  <c r="N1168" i="19"/>
  <c r="O1168" i="19"/>
  <c r="P1168" i="19"/>
  <c r="Q1168" i="19"/>
  <c r="F1169" i="19"/>
  <c r="G1169" i="19"/>
  <c r="H1169" i="19"/>
  <c r="I1169" i="19"/>
  <c r="J1169" i="19"/>
  <c r="K1169" i="19"/>
  <c r="L1169" i="19"/>
  <c r="M1169" i="19"/>
  <c r="N1169" i="19"/>
  <c r="O1169" i="19"/>
  <c r="P1169" i="19"/>
  <c r="Q1169" i="19"/>
  <c r="F1170" i="19"/>
  <c r="G1170" i="19"/>
  <c r="H1170" i="19"/>
  <c r="I1170" i="19"/>
  <c r="J1170" i="19"/>
  <c r="K1170" i="19"/>
  <c r="L1170" i="19"/>
  <c r="M1170" i="19"/>
  <c r="N1170" i="19"/>
  <c r="O1170" i="19"/>
  <c r="P1170" i="19"/>
  <c r="Q1170" i="19"/>
  <c r="F1171" i="19"/>
  <c r="G1171" i="19"/>
  <c r="H1171" i="19"/>
  <c r="I1171" i="19"/>
  <c r="J1171" i="19"/>
  <c r="K1171" i="19"/>
  <c r="L1171" i="19"/>
  <c r="M1171" i="19"/>
  <c r="N1171" i="19"/>
  <c r="O1171" i="19"/>
  <c r="P1171" i="19"/>
  <c r="Q1171" i="19"/>
  <c r="F1172" i="19"/>
  <c r="G1172" i="19"/>
  <c r="H1172" i="19"/>
  <c r="I1172" i="19"/>
  <c r="J1172" i="19"/>
  <c r="K1172" i="19"/>
  <c r="L1172" i="19"/>
  <c r="M1172" i="19"/>
  <c r="N1172" i="19"/>
  <c r="O1172" i="19"/>
  <c r="P1172" i="19"/>
  <c r="Q1172" i="19"/>
  <c r="F1173" i="19"/>
  <c r="G1173" i="19"/>
  <c r="H1173" i="19"/>
  <c r="I1173" i="19"/>
  <c r="J1173" i="19"/>
  <c r="K1173" i="19"/>
  <c r="L1173" i="19"/>
  <c r="M1173" i="19"/>
  <c r="N1173" i="19"/>
  <c r="O1173" i="19"/>
  <c r="P1173" i="19"/>
  <c r="Q1173" i="19"/>
  <c r="F1174" i="19"/>
  <c r="G1174" i="19"/>
  <c r="H1174" i="19"/>
  <c r="I1174" i="19"/>
  <c r="J1174" i="19"/>
  <c r="K1174" i="19"/>
  <c r="L1174" i="19"/>
  <c r="M1174" i="19"/>
  <c r="N1174" i="19"/>
  <c r="O1174" i="19"/>
  <c r="P1174" i="19"/>
  <c r="Q1174" i="19"/>
  <c r="F1175" i="19"/>
  <c r="G1175" i="19"/>
  <c r="H1175" i="19"/>
  <c r="I1175" i="19"/>
  <c r="J1175" i="19"/>
  <c r="K1175" i="19"/>
  <c r="L1175" i="19"/>
  <c r="M1175" i="19"/>
  <c r="N1175" i="19"/>
  <c r="O1175" i="19"/>
  <c r="P1175" i="19"/>
  <c r="Q1175" i="19"/>
  <c r="F1176" i="19"/>
  <c r="G1176" i="19"/>
  <c r="H1176" i="19"/>
  <c r="I1176" i="19"/>
  <c r="J1176" i="19"/>
  <c r="K1176" i="19"/>
  <c r="L1176" i="19"/>
  <c r="M1176" i="19"/>
  <c r="N1176" i="19"/>
  <c r="O1176" i="19"/>
  <c r="P1176" i="19"/>
  <c r="Q1176" i="19"/>
  <c r="F1177" i="19"/>
  <c r="G1177" i="19"/>
  <c r="H1177" i="19"/>
  <c r="I1177" i="19"/>
  <c r="J1177" i="19"/>
  <c r="K1177" i="19"/>
  <c r="L1177" i="19"/>
  <c r="M1177" i="19"/>
  <c r="N1177" i="19"/>
  <c r="O1177" i="19"/>
  <c r="P1177" i="19"/>
  <c r="Q1177" i="19"/>
  <c r="F1178" i="19"/>
  <c r="G1178" i="19"/>
  <c r="H1178" i="19"/>
  <c r="I1178" i="19"/>
  <c r="J1178" i="19"/>
  <c r="K1178" i="19"/>
  <c r="L1178" i="19"/>
  <c r="M1178" i="19"/>
  <c r="N1178" i="19"/>
  <c r="O1178" i="19"/>
  <c r="P1178" i="19"/>
  <c r="Q1178" i="19"/>
  <c r="F1179" i="19"/>
  <c r="G1179" i="19"/>
  <c r="H1179" i="19"/>
  <c r="I1179" i="19"/>
  <c r="J1179" i="19"/>
  <c r="K1179" i="19"/>
  <c r="L1179" i="19"/>
  <c r="M1179" i="19"/>
  <c r="N1179" i="19"/>
  <c r="O1179" i="19"/>
  <c r="P1179" i="19"/>
  <c r="Q1179" i="19"/>
  <c r="F1180" i="19"/>
  <c r="G1180" i="19"/>
  <c r="H1180" i="19"/>
  <c r="I1180" i="19"/>
  <c r="J1180" i="19"/>
  <c r="K1180" i="19"/>
  <c r="L1180" i="19"/>
  <c r="M1180" i="19"/>
  <c r="N1180" i="19"/>
  <c r="O1180" i="19"/>
  <c r="P1180" i="19"/>
  <c r="Q1180" i="19"/>
  <c r="F1181" i="19"/>
  <c r="G1181" i="19"/>
  <c r="H1181" i="19"/>
  <c r="I1181" i="19"/>
  <c r="J1181" i="19"/>
  <c r="K1181" i="19"/>
  <c r="L1181" i="19"/>
  <c r="M1181" i="19"/>
  <c r="N1181" i="19"/>
  <c r="O1181" i="19"/>
  <c r="P1181" i="19"/>
  <c r="Q1181" i="19"/>
  <c r="F1182" i="19"/>
  <c r="G1182" i="19"/>
  <c r="H1182" i="19"/>
  <c r="I1182" i="19"/>
  <c r="J1182" i="19"/>
  <c r="K1182" i="19"/>
  <c r="L1182" i="19"/>
  <c r="M1182" i="19"/>
  <c r="N1182" i="19"/>
  <c r="O1182" i="19"/>
  <c r="P1182" i="19"/>
  <c r="Q1182" i="19"/>
  <c r="F1183" i="19"/>
  <c r="G1183" i="19"/>
  <c r="H1183" i="19"/>
  <c r="I1183" i="19"/>
  <c r="J1183" i="19"/>
  <c r="K1183" i="19"/>
  <c r="L1183" i="19"/>
  <c r="M1183" i="19"/>
  <c r="N1183" i="19"/>
  <c r="O1183" i="19"/>
  <c r="P1183" i="19"/>
  <c r="Q1183" i="19"/>
  <c r="F1184" i="19"/>
  <c r="G1184" i="19"/>
  <c r="H1184" i="19"/>
  <c r="I1184" i="19"/>
  <c r="J1184" i="19"/>
  <c r="K1184" i="19"/>
  <c r="L1184" i="19"/>
  <c r="M1184" i="19"/>
  <c r="N1184" i="19"/>
  <c r="O1184" i="19"/>
  <c r="P1184" i="19"/>
  <c r="Q1184" i="19"/>
  <c r="F1185" i="19"/>
  <c r="G1185" i="19"/>
  <c r="H1185" i="19"/>
  <c r="I1185" i="19"/>
  <c r="J1185" i="19"/>
  <c r="K1185" i="19"/>
  <c r="L1185" i="19"/>
  <c r="M1185" i="19"/>
  <c r="N1185" i="19"/>
  <c r="O1185" i="19"/>
  <c r="P1185" i="19"/>
  <c r="Q1185" i="19"/>
  <c r="F1186" i="19"/>
  <c r="G1186" i="19"/>
  <c r="H1186" i="19"/>
  <c r="I1186" i="19"/>
  <c r="J1186" i="19"/>
  <c r="K1186" i="19"/>
  <c r="L1186" i="19"/>
  <c r="M1186" i="19"/>
  <c r="N1186" i="19"/>
  <c r="O1186" i="19"/>
  <c r="P1186" i="19"/>
  <c r="Q1186" i="19"/>
  <c r="F1187" i="19"/>
  <c r="G1187" i="19"/>
  <c r="H1187" i="19"/>
  <c r="I1187" i="19"/>
  <c r="J1187" i="19"/>
  <c r="K1187" i="19"/>
  <c r="L1187" i="19"/>
  <c r="M1187" i="19"/>
  <c r="N1187" i="19"/>
  <c r="O1187" i="19"/>
  <c r="P1187" i="19"/>
  <c r="Q1187" i="19"/>
  <c r="F1188" i="19"/>
  <c r="G1188" i="19"/>
  <c r="H1188" i="19"/>
  <c r="I1188" i="19"/>
  <c r="J1188" i="19"/>
  <c r="K1188" i="19"/>
  <c r="L1188" i="19"/>
  <c r="M1188" i="19"/>
  <c r="N1188" i="19"/>
  <c r="O1188" i="19"/>
  <c r="P1188" i="19"/>
  <c r="Q1188" i="19"/>
  <c r="F1189" i="19"/>
  <c r="G1189" i="19"/>
  <c r="H1189" i="19"/>
  <c r="I1189" i="19"/>
  <c r="J1189" i="19"/>
  <c r="K1189" i="19"/>
  <c r="L1189" i="19"/>
  <c r="M1189" i="19"/>
  <c r="N1189" i="19"/>
  <c r="O1189" i="19"/>
  <c r="P1189" i="19"/>
  <c r="Q1189" i="19"/>
  <c r="F1190" i="19"/>
  <c r="G1190" i="19"/>
  <c r="H1190" i="19"/>
  <c r="I1190" i="19"/>
  <c r="J1190" i="19"/>
  <c r="K1190" i="19"/>
  <c r="L1190" i="19"/>
  <c r="M1190" i="19"/>
  <c r="N1190" i="19"/>
  <c r="O1190" i="19"/>
  <c r="P1190" i="19"/>
  <c r="Q1190" i="19"/>
  <c r="F1191" i="19"/>
  <c r="G1191" i="19"/>
  <c r="H1191" i="19"/>
  <c r="I1191" i="19"/>
  <c r="J1191" i="19"/>
  <c r="K1191" i="19"/>
  <c r="L1191" i="19"/>
  <c r="M1191" i="19"/>
  <c r="N1191" i="19"/>
  <c r="O1191" i="19"/>
  <c r="P1191" i="19"/>
  <c r="Q1191" i="19"/>
  <c r="F1192" i="19"/>
  <c r="G1192" i="19"/>
  <c r="H1192" i="19"/>
  <c r="I1192" i="19"/>
  <c r="J1192" i="19"/>
  <c r="K1192" i="19"/>
  <c r="L1192" i="19"/>
  <c r="M1192" i="19"/>
  <c r="N1192" i="19"/>
  <c r="O1192" i="19"/>
  <c r="P1192" i="19"/>
  <c r="Q1192" i="19"/>
  <c r="F1193" i="19"/>
  <c r="G1193" i="19"/>
  <c r="H1193" i="19"/>
  <c r="I1193" i="19"/>
  <c r="J1193" i="19"/>
  <c r="K1193" i="19"/>
  <c r="L1193" i="19"/>
  <c r="M1193" i="19"/>
  <c r="N1193" i="19"/>
  <c r="O1193" i="19"/>
  <c r="P1193" i="19"/>
  <c r="Q1193" i="19"/>
  <c r="F1194" i="19"/>
  <c r="G1194" i="19"/>
  <c r="H1194" i="19"/>
  <c r="I1194" i="19"/>
  <c r="J1194" i="19"/>
  <c r="K1194" i="19"/>
  <c r="L1194" i="19"/>
  <c r="M1194" i="19"/>
  <c r="N1194" i="19"/>
  <c r="O1194" i="19"/>
  <c r="P1194" i="19"/>
  <c r="Q1194" i="19"/>
  <c r="F1195" i="19"/>
  <c r="G1195" i="19"/>
  <c r="H1195" i="19"/>
  <c r="I1195" i="19"/>
  <c r="J1195" i="19"/>
  <c r="K1195" i="19"/>
  <c r="L1195" i="19"/>
  <c r="M1195" i="19"/>
  <c r="N1195" i="19"/>
  <c r="O1195" i="19"/>
  <c r="P1195" i="19"/>
  <c r="Q1195" i="19"/>
  <c r="F1196" i="19"/>
  <c r="G1196" i="19"/>
  <c r="H1196" i="19"/>
  <c r="I1196" i="19"/>
  <c r="J1196" i="19"/>
  <c r="K1196" i="19"/>
  <c r="L1196" i="19"/>
  <c r="M1196" i="19"/>
  <c r="N1196" i="19"/>
  <c r="O1196" i="19"/>
  <c r="P1196" i="19"/>
  <c r="Q1196" i="19"/>
  <c r="F1197" i="19"/>
  <c r="G1197" i="19"/>
  <c r="H1197" i="19"/>
  <c r="I1197" i="19"/>
  <c r="J1197" i="19"/>
  <c r="K1197" i="19"/>
  <c r="L1197" i="19"/>
  <c r="M1197" i="19"/>
  <c r="N1197" i="19"/>
  <c r="O1197" i="19"/>
  <c r="P1197" i="19"/>
  <c r="Q1197" i="19"/>
  <c r="F1198" i="19"/>
  <c r="G1198" i="19"/>
  <c r="H1198" i="19"/>
  <c r="I1198" i="19"/>
  <c r="J1198" i="19"/>
  <c r="K1198" i="19"/>
  <c r="L1198" i="19"/>
  <c r="M1198" i="19"/>
  <c r="N1198" i="19"/>
  <c r="O1198" i="19"/>
  <c r="P1198" i="19"/>
  <c r="Q1198" i="19"/>
  <c r="F1199" i="19"/>
  <c r="G1199" i="19"/>
  <c r="H1199" i="19"/>
  <c r="I1199" i="19"/>
  <c r="J1199" i="19"/>
  <c r="K1199" i="19"/>
  <c r="L1199" i="19"/>
  <c r="M1199" i="19"/>
  <c r="N1199" i="19"/>
  <c r="O1199" i="19"/>
  <c r="P1199" i="19"/>
  <c r="Q1199" i="19"/>
  <c r="F1200" i="19"/>
  <c r="G1200" i="19"/>
  <c r="H1200" i="19"/>
  <c r="I1200" i="19"/>
  <c r="J1200" i="19"/>
  <c r="K1200" i="19"/>
  <c r="L1200" i="19"/>
  <c r="M1200" i="19"/>
  <c r="N1200" i="19"/>
  <c r="O1200" i="19"/>
  <c r="P1200" i="19"/>
  <c r="Q1200" i="19"/>
  <c r="F1201" i="19"/>
  <c r="G1201" i="19"/>
  <c r="H1201" i="19"/>
  <c r="I1201" i="19"/>
  <c r="J1201" i="19"/>
  <c r="K1201" i="19"/>
  <c r="L1201" i="19"/>
  <c r="M1201" i="19"/>
  <c r="N1201" i="19"/>
  <c r="O1201" i="19"/>
  <c r="P1201" i="19"/>
  <c r="Q1201" i="19"/>
  <c r="F1202" i="19"/>
  <c r="G1202" i="19"/>
  <c r="H1202" i="19"/>
  <c r="I1202" i="19"/>
  <c r="J1202" i="19"/>
  <c r="K1202" i="19"/>
  <c r="L1202" i="19"/>
  <c r="M1202" i="19"/>
  <c r="N1202" i="19"/>
  <c r="O1202" i="19"/>
  <c r="P1202" i="19"/>
  <c r="Q1202" i="19"/>
  <c r="F1203" i="19"/>
  <c r="G1203" i="19"/>
  <c r="H1203" i="19"/>
  <c r="I1203" i="19"/>
  <c r="J1203" i="19"/>
  <c r="K1203" i="19"/>
  <c r="L1203" i="19"/>
  <c r="M1203" i="19"/>
  <c r="N1203" i="19"/>
  <c r="O1203" i="19"/>
  <c r="P1203" i="19"/>
  <c r="Q1203" i="19"/>
  <c r="F1204" i="19"/>
  <c r="G1204" i="19"/>
  <c r="H1204" i="19"/>
  <c r="I1204" i="19"/>
  <c r="J1204" i="19"/>
  <c r="K1204" i="19"/>
  <c r="L1204" i="19"/>
  <c r="M1204" i="19"/>
  <c r="N1204" i="19"/>
  <c r="O1204" i="19"/>
  <c r="P1204" i="19"/>
  <c r="Q1204" i="19"/>
  <c r="F1205" i="19"/>
  <c r="G1205" i="19"/>
  <c r="H1205" i="19"/>
  <c r="I1205" i="19"/>
  <c r="J1205" i="19"/>
  <c r="K1205" i="19"/>
  <c r="L1205" i="19"/>
  <c r="M1205" i="19"/>
  <c r="N1205" i="19"/>
  <c r="O1205" i="19"/>
  <c r="P1205" i="19"/>
  <c r="Q1205" i="19"/>
  <c r="F1206" i="19"/>
  <c r="G1206" i="19"/>
  <c r="H1206" i="19"/>
  <c r="I1206" i="19"/>
  <c r="J1206" i="19"/>
  <c r="K1206" i="19"/>
  <c r="L1206" i="19"/>
  <c r="M1206" i="19"/>
  <c r="N1206" i="19"/>
  <c r="O1206" i="19"/>
  <c r="P1206" i="19"/>
  <c r="Q1206" i="19"/>
  <c r="F1207" i="19"/>
  <c r="G1207" i="19"/>
  <c r="H1207" i="19"/>
  <c r="I1207" i="19"/>
  <c r="J1207" i="19"/>
  <c r="K1207" i="19"/>
  <c r="L1207" i="19"/>
  <c r="M1207" i="19"/>
  <c r="N1207" i="19"/>
  <c r="O1207" i="19"/>
  <c r="P1207" i="19"/>
  <c r="Q1207" i="19"/>
  <c r="F1208" i="19"/>
  <c r="G1208" i="19"/>
  <c r="H1208" i="19"/>
  <c r="I1208" i="19"/>
  <c r="J1208" i="19"/>
  <c r="K1208" i="19"/>
  <c r="L1208" i="19"/>
  <c r="M1208" i="19"/>
  <c r="N1208" i="19"/>
  <c r="O1208" i="19"/>
  <c r="P1208" i="19"/>
  <c r="Q1208" i="19"/>
  <c r="F1209" i="19"/>
  <c r="G1209" i="19"/>
  <c r="H1209" i="19"/>
  <c r="I1209" i="19"/>
  <c r="J1209" i="19"/>
  <c r="K1209" i="19"/>
  <c r="L1209" i="19"/>
  <c r="M1209" i="19"/>
  <c r="N1209" i="19"/>
  <c r="O1209" i="19"/>
  <c r="P1209" i="19"/>
  <c r="Q1209" i="19"/>
  <c r="F1210" i="19"/>
  <c r="G1210" i="19"/>
  <c r="H1210" i="19"/>
  <c r="I1210" i="19"/>
  <c r="J1210" i="19"/>
  <c r="K1210" i="19"/>
  <c r="L1210" i="19"/>
  <c r="M1210" i="19"/>
  <c r="N1210" i="19"/>
  <c r="O1210" i="19"/>
  <c r="P1210" i="19"/>
  <c r="Q1210" i="19"/>
  <c r="F1211" i="19"/>
  <c r="G1211" i="19"/>
  <c r="H1211" i="19"/>
  <c r="I1211" i="19"/>
  <c r="J1211" i="19"/>
  <c r="K1211" i="19"/>
  <c r="L1211" i="19"/>
  <c r="M1211" i="19"/>
  <c r="N1211" i="19"/>
  <c r="O1211" i="19"/>
  <c r="P1211" i="19"/>
  <c r="Q1211" i="19"/>
  <c r="F1212" i="19"/>
  <c r="G1212" i="19"/>
  <c r="H1212" i="19"/>
  <c r="I1212" i="19"/>
  <c r="J1212" i="19"/>
  <c r="K1212" i="19"/>
  <c r="L1212" i="19"/>
  <c r="M1212" i="19"/>
  <c r="N1212" i="19"/>
  <c r="O1212" i="19"/>
  <c r="P1212" i="19"/>
  <c r="Q1212" i="19"/>
  <c r="F1213" i="19"/>
  <c r="G1213" i="19"/>
  <c r="H1213" i="19"/>
  <c r="I1213" i="19"/>
  <c r="J1213" i="19"/>
  <c r="K1213" i="19"/>
  <c r="L1213" i="19"/>
  <c r="M1213" i="19"/>
  <c r="N1213" i="19"/>
  <c r="O1213" i="19"/>
  <c r="P1213" i="19"/>
  <c r="Q1213" i="19"/>
  <c r="F1214" i="19"/>
  <c r="G1214" i="19"/>
  <c r="H1214" i="19"/>
  <c r="I1214" i="19"/>
  <c r="J1214" i="19"/>
  <c r="K1214" i="19"/>
  <c r="L1214" i="19"/>
  <c r="M1214" i="19"/>
  <c r="N1214" i="19"/>
  <c r="O1214" i="19"/>
  <c r="P1214" i="19"/>
  <c r="Q1214" i="19"/>
  <c r="F1215" i="19"/>
  <c r="G1215" i="19"/>
  <c r="H1215" i="19"/>
  <c r="I1215" i="19"/>
  <c r="J1215" i="19"/>
  <c r="K1215" i="19"/>
  <c r="L1215" i="19"/>
  <c r="M1215" i="19"/>
  <c r="N1215" i="19"/>
  <c r="O1215" i="19"/>
  <c r="P1215" i="19"/>
  <c r="Q1215" i="19"/>
  <c r="F1216" i="19"/>
  <c r="G1216" i="19"/>
  <c r="H1216" i="19"/>
  <c r="I1216" i="19"/>
  <c r="J1216" i="19"/>
  <c r="K1216" i="19"/>
  <c r="L1216" i="19"/>
  <c r="M1216" i="19"/>
  <c r="N1216" i="19"/>
  <c r="O1216" i="19"/>
  <c r="P1216" i="19"/>
  <c r="Q1216" i="19"/>
  <c r="F1217" i="19"/>
  <c r="G1217" i="19"/>
  <c r="H1217" i="19"/>
  <c r="I1217" i="19"/>
  <c r="J1217" i="19"/>
  <c r="K1217" i="19"/>
  <c r="L1217" i="19"/>
  <c r="M1217" i="19"/>
  <c r="N1217" i="19"/>
  <c r="O1217" i="19"/>
  <c r="P1217" i="19"/>
  <c r="Q1217" i="19"/>
  <c r="F1218" i="19"/>
  <c r="G1218" i="19"/>
  <c r="H1218" i="19"/>
  <c r="I1218" i="19"/>
  <c r="J1218" i="19"/>
  <c r="K1218" i="19"/>
  <c r="L1218" i="19"/>
  <c r="M1218" i="19"/>
  <c r="N1218" i="19"/>
  <c r="O1218" i="19"/>
  <c r="P1218" i="19"/>
  <c r="Q1218" i="19"/>
  <c r="F1219" i="19"/>
  <c r="G1219" i="19"/>
  <c r="H1219" i="19"/>
  <c r="I1219" i="19"/>
  <c r="J1219" i="19"/>
  <c r="K1219" i="19"/>
  <c r="L1219" i="19"/>
  <c r="M1219" i="19"/>
  <c r="N1219" i="19"/>
  <c r="O1219" i="19"/>
  <c r="P1219" i="19"/>
  <c r="Q1219" i="19"/>
  <c r="F1220" i="19"/>
  <c r="G1220" i="19"/>
  <c r="H1220" i="19"/>
  <c r="I1220" i="19"/>
  <c r="J1220" i="19"/>
  <c r="K1220" i="19"/>
  <c r="L1220" i="19"/>
  <c r="M1220" i="19"/>
  <c r="N1220" i="19"/>
  <c r="O1220" i="19"/>
  <c r="P1220" i="19"/>
  <c r="Q1220" i="19"/>
  <c r="F1221" i="19"/>
  <c r="G1221" i="19"/>
  <c r="H1221" i="19"/>
  <c r="I1221" i="19"/>
  <c r="J1221" i="19"/>
  <c r="K1221" i="19"/>
  <c r="L1221" i="19"/>
  <c r="M1221" i="19"/>
  <c r="N1221" i="19"/>
  <c r="O1221" i="19"/>
  <c r="P1221" i="19"/>
  <c r="Q1221" i="19"/>
  <c r="F1222" i="19"/>
  <c r="G1222" i="19"/>
  <c r="H1222" i="19"/>
  <c r="I1222" i="19"/>
  <c r="J1222" i="19"/>
  <c r="K1222" i="19"/>
  <c r="L1222" i="19"/>
  <c r="M1222" i="19"/>
  <c r="N1222" i="19"/>
  <c r="O1222" i="19"/>
  <c r="P1222" i="19"/>
  <c r="Q1222" i="19"/>
  <c r="F1223" i="19"/>
  <c r="G1223" i="19"/>
  <c r="H1223" i="19"/>
  <c r="I1223" i="19"/>
  <c r="J1223" i="19"/>
  <c r="K1223" i="19"/>
  <c r="L1223" i="19"/>
  <c r="M1223" i="19"/>
  <c r="N1223" i="19"/>
  <c r="O1223" i="19"/>
  <c r="P1223" i="19"/>
  <c r="Q1223" i="19"/>
  <c r="F1224" i="19"/>
  <c r="G1224" i="19"/>
  <c r="H1224" i="19"/>
  <c r="I1224" i="19"/>
  <c r="J1224" i="19"/>
  <c r="K1224" i="19"/>
  <c r="L1224" i="19"/>
  <c r="M1224" i="19"/>
  <c r="N1224" i="19"/>
  <c r="O1224" i="19"/>
  <c r="P1224" i="19"/>
  <c r="Q1224" i="19"/>
  <c r="F1225" i="19"/>
  <c r="G1225" i="19"/>
  <c r="H1225" i="19"/>
  <c r="I1225" i="19"/>
  <c r="J1225" i="19"/>
  <c r="K1225" i="19"/>
  <c r="L1225" i="19"/>
  <c r="M1225" i="19"/>
  <c r="N1225" i="19"/>
  <c r="O1225" i="19"/>
  <c r="P1225" i="19"/>
  <c r="Q1225" i="19"/>
  <c r="F1226" i="19"/>
  <c r="G1226" i="19"/>
  <c r="H1226" i="19"/>
  <c r="I1226" i="19"/>
  <c r="J1226" i="19"/>
  <c r="K1226" i="19"/>
  <c r="L1226" i="19"/>
  <c r="M1226" i="19"/>
  <c r="N1226" i="19"/>
  <c r="O1226" i="19"/>
  <c r="P1226" i="19"/>
  <c r="Q1226" i="19"/>
  <c r="F1227" i="19"/>
  <c r="G1227" i="19"/>
  <c r="H1227" i="19"/>
  <c r="I1227" i="19"/>
  <c r="J1227" i="19"/>
  <c r="K1227" i="19"/>
  <c r="L1227" i="19"/>
  <c r="M1227" i="19"/>
  <c r="N1227" i="19"/>
  <c r="O1227" i="19"/>
  <c r="P1227" i="19"/>
  <c r="Q1227" i="19"/>
  <c r="F1228" i="19"/>
  <c r="G1228" i="19"/>
  <c r="H1228" i="19"/>
  <c r="I1228" i="19"/>
  <c r="J1228" i="19"/>
  <c r="K1228" i="19"/>
  <c r="L1228" i="19"/>
  <c r="M1228" i="19"/>
  <c r="N1228" i="19"/>
  <c r="O1228" i="19"/>
  <c r="P1228" i="19"/>
  <c r="Q1228" i="19"/>
  <c r="F1229" i="19"/>
  <c r="G1229" i="19"/>
  <c r="H1229" i="19"/>
  <c r="I1229" i="19"/>
  <c r="J1229" i="19"/>
  <c r="K1229" i="19"/>
  <c r="L1229" i="19"/>
  <c r="M1229" i="19"/>
  <c r="N1229" i="19"/>
  <c r="O1229" i="19"/>
  <c r="P1229" i="19"/>
  <c r="Q1229" i="19"/>
  <c r="F1230" i="19"/>
  <c r="G1230" i="19"/>
  <c r="H1230" i="19"/>
  <c r="I1230" i="19"/>
  <c r="J1230" i="19"/>
  <c r="K1230" i="19"/>
  <c r="L1230" i="19"/>
  <c r="M1230" i="19"/>
  <c r="N1230" i="19"/>
  <c r="O1230" i="19"/>
  <c r="P1230" i="19"/>
  <c r="Q1230" i="19"/>
  <c r="F1231" i="19"/>
  <c r="G1231" i="19"/>
  <c r="H1231" i="19"/>
  <c r="I1231" i="19"/>
  <c r="J1231" i="19"/>
  <c r="K1231" i="19"/>
  <c r="L1231" i="19"/>
  <c r="M1231" i="19"/>
  <c r="N1231" i="19"/>
  <c r="O1231" i="19"/>
  <c r="P1231" i="19"/>
  <c r="Q1231" i="19"/>
  <c r="F1232" i="19"/>
  <c r="G1232" i="19"/>
  <c r="H1232" i="19"/>
  <c r="I1232" i="19"/>
  <c r="J1232" i="19"/>
  <c r="K1232" i="19"/>
  <c r="L1232" i="19"/>
  <c r="M1232" i="19"/>
  <c r="N1232" i="19"/>
  <c r="O1232" i="19"/>
  <c r="P1232" i="19"/>
  <c r="Q1232" i="19"/>
  <c r="F1233" i="19"/>
  <c r="G1233" i="19"/>
  <c r="H1233" i="19"/>
  <c r="I1233" i="19"/>
  <c r="J1233" i="19"/>
  <c r="K1233" i="19"/>
  <c r="L1233" i="19"/>
  <c r="M1233" i="19"/>
  <c r="N1233" i="19"/>
  <c r="O1233" i="19"/>
  <c r="P1233" i="19"/>
  <c r="Q1233" i="19"/>
  <c r="F1234" i="19"/>
  <c r="G1234" i="19"/>
  <c r="H1234" i="19"/>
  <c r="I1234" i="19"/>
  <c r="J1234" i="19"/>
  <c r="K1234" i="19"/>
  <c r="L1234" i="19"/>
  <c r="M1234" i="19"/>
  <c r="N1234" i="19"/>
  <c r="O1234" i="19"/>
  <c r="P1234" i="19"/>
  <c r="Q1234" i="19"/>
  <c r="F1235" i="19"/>
  <c r="G1235" i="19"/>
  <c r="H1235" i="19"/>
  <c r="I1235" i="19"/>
  <c r="J1235" i="19"/>
  <c r="K1235" i="19"/>
  <c r="L1235" i="19"/>
  <c r="M1235" i="19"/>
  <c r="N1235" i="19"/>
  <c r="O1235" i="19"/>
  <c r="P1235" i="19"/>
  <c r="Q1235" i="19"/>
  <c r="F1236" i="19"/>
  <c r="G1236" i="19"/>
  <c r="H1236" i="19"/>
  <c r="I1236" i="19"/>
  <c r="J1236" i="19"/>
  <c r="K1236" i="19"/>
  <c r="L1236" i="19"/>
  <c r="M1236" i="19"/>
  <c r="N1236" i="19"/>
  <c r="O1236" i="19"/>
  <c r="P1236" i="19"/>
  <c r="Q1236" i="19"/>
  <c r="F1237" i="19"/>
  <c r="G1237" i="19"/>
  <c r="H1237" i="19"/>
  <c r="I1237" i="19"/>
  <c r="J1237" i="19"/>
  <c r="K1237" i="19"/>
  <c r="L1237" i="19"/>
  <c r="M1237" i="19"/>
  <c r="N1237" i="19"/>
  <c r="O1237" i="19"/>
  <c r="P1237" i="19"/>
  <c r="Q1237" i="19"/>
  <c r="F1238" i="19"/>
  <c r="G1238" i="19"/>
  <c r="H1238" i="19"/>
  <c r="I1238" i="19"/>
  <c r="J1238" i="19"/>
  <c r="K1238" i="19"/>
  <c r="L1238" i="19"/>
  <c r="M1238" i="19"/>
  <c r="N1238" i="19"/>
  <c r="O1238" i="19"/>
  <c r="P1238" i="19"/>
  <c r="Q1238" i="19"/>
  <c r="F1239" i="19"/>
  <c r="G1239" i="19"/>
  <c r="H1239" i="19"/>
  <c r="I1239" i="19"/>
  <c r="J1239" i="19"/>
  <c r="K1239" i="19"/>
  <c r="L1239" i="19"/>
  <c r="M1239" i="19"/>
  <c r="N1239" i="19"/>
  <c r="O1239" i="19"/>
  <c r="P1239" i="19"/>
  <c r="Q1239" i="19"/>
  <c r="F1240" i="19"/>
  <c r="G1240" i="19"/>
  <c r="H1240" i="19"/>
  <c r="I1240" i="19"/>
  <c r="J1240" i="19"/>
  <c r="K1240" i="19"/>
  <c r="L1240" i="19"/>
  <c r="M1240" i="19"/>
  <c r="N1240" i="19"/>
  <c r="O1240" i="19"/>
  <c r="P1240" i="19"/>
  <c r="Q1240" i="19"/>
  <c r="F1241" i="19"/>
  <c r="G1241" i="19"/>
  <c r="H1241" i="19"/>
  <c r="I1241" i="19"/>
  <c r="J1241" i="19"/>
  <c r="K1241" i="19"/>
  <c r="L1241" i="19"/>
  <c r="M1241" i="19"/>
  <c r="N1241" i="19"/>
  <c r="O1241" i="19"/>
  <c r="P1241" i="19"/>
  <c r="Q1241" i="19"/>
  <c r="F1242" i="19"/>
  <c r="G1242" i="19"/>
  <c r="H1242" i="19"/>
  <c r="I1242" i="19"/>
  <c r="J1242" i="19"/>
  <c r="K1242" i="19"/>
  <c r="L1242" i="19"/>
  <c r="M1242" i="19"/>
  <c r="N1242" i="19"/>
  <c r="O1242" i="19"/>
  <c r="P1242" i="19"/>
  <c r="Q1242" i="19"/>
  <c r="F1243" i="19"/>
  <c r="G1243" i="19"/>
  <c r="H1243" i="19"/>
  <c r="I1243" i="19"/>
  <c r="J1243" i="19"/>
  <c r="K1243" i="19"/>
  <c r="L1243" i="19"/>
  <c r="M1243" i="19"/>
  <c r="N1243" i="19"/>
  <c r="O1243" i="19"/>
  <c r="P1243" i="19"/>
  <c r="Q1243" i="19"/>
  <c r="F1244" i="19"/>
  <c r="G1244" i="19"/>
  <c r="H1244" i="19"/>
  <c r="I1244" i="19"/>
  <c r="J1244" i="19"/>
  <c r="K1244" i="19"/>
  <c r="L1244" i="19"/>
  <c r="M1244" i="19"/>
  <c r="N1244" i="19"/>
  <c r="O1244" i="19"/>
  <c r="P1244" i="19"/>
  <c r="Q1244" i="19"/>
  <c r="F1245" i="19"/>
  <c r="G1245" i="19"/>
  <c r="H1245" i="19"/>
  <c r="I1245" i="19"/>
  <c r="J1245" i="19"/>
  <c r="K1245" i="19"/>
  <c r="L1245" i="19"/>
  <c r="M1245" i="19"/>
  <c r="N1245" i="19"/>
  <c r="O1245" i="19"/>
  <c r="P1245" i="19"/>
  <c r="Q1245" i="19"/>
  <c r="F1246" i="19"/>
  <c r="G1246" i="19"/>
  <c r="H1246" i="19"/>
  <c r="I1246" i="19"/>
  <c r="J1246" i="19"/>
  <c r="K1246" i="19"/>
  <c r="L1246" i="19"/>
  <c r="M1246" i="19"/>
  <c r="N1246" i="19"/>
  <c r="O1246" i="19"/>
  <c r="P1246" i="19"/>
  <c r="Q1246" i="19"/>
  <c r="F1247" i="19"/>
  <c r="G1247" i="19"/>
  <c r="H1247" i="19"/>
  <c r="I1247" i="19"/>
  <c r="J1247" i="19"/>
  <c r="K1247" i="19"/>
  <c r="L1247" i="19"/>
  <c r="M1247" i="19"/>
  <c r="N1247" i="19"/>
  <c r="O1247" i="19"/>
  <c r="P1247" i="19"/>
  <c r="Q1247" i="19"/>
  <c r="F1248" i="19"/>
  <c r="G1248" i="19"/>
  <c r="H1248" i="19"/>
  <c r="I1248" i="19"/>
  <c r="J1248" i="19"/>
  <c r="K1248" i="19"/>
  <c r="L1248" i="19"/>
  <c r="M1248" i="19"/>
  <c r="N1248" i="19"/>
  <c r="O1248" i="19"/>
  <c r="P1248" i="19"/>
  <c r="Q1248" i="19"/>
  <c r="F1249" i="19"/>
  <c r="G1249" i="19"/>
  <c r="H1249" i="19"/>
  <c r="I1249" i="19"/>
  <c r="J1249" i="19"/>
  <c r="K1249" i="19"/>
  <c r="L1249" i="19"/>
  <c r="M1249" i="19"/>
  <c r="N1249" i="19"/>
  <c r="O1249" i="19"/>
  <c r="P1249" i="19"/>
  <c r="Q1249" i="19"/>
  <c r="F1250" i="19"/>
  <c r="G1250" i="19"/>
  <c r="H1250" i="19"/>
  <c r="I1250" i="19"/>
  <c r="J1250" i="19"/>
  <c r="K1250" i="19"/>
  <c r="L1250" i="19"/>
  <c r="M1250" i="19"/>
  <c r="N1250" i="19"/>
  <c r="O1250" i="19"/>
  <c r="P1250" i="19"/>
  <c r="Q1250" i="19"/>
  <c r="F1251" i="19"/>
  <c r="G1251" i="19"/>
  <c r="H1251" i="19"/>
  <c r="I1251" i="19"/>
  <c r="J1251" i="19"/>
  <c r="K1251" i="19"/>
  <c r="L1251" i="19"/>
  <c r="M1251" i="19"/>
  <c r="N1251" i="19"/>
  <c r="O1251" i="19"/>
  <c r="P1251" i="19"/>
  <c r="Q1251" i="19"/>
  <c r="F1252" i="19"/>
  <c r="G1252" i="19"/>
  <c r="H1252" i="19"/>
  <c r="I1252" i="19"/>
  <c r="J1252" i="19"/>
  <c r="K1252" i="19"/>
  <c r="L1252" i="19"/>
  <c r="M1252" i="19"/>
  <c r="N1252" i="19"/>
  <c r="O1252" i="19"/>
  <c r="P1252" i="19"/>
  <c r="Q1252" i="19"/>
  <c r="F1253" i="19"/>
  <c r="G1253" i="19"/>
  <c r="H1253" i="19"/>
  <c r="I1253" i="19"/>
  <c r="J1253" i="19"/>
  <c r="K1253" i="19"/>
  <c r="L1253" i="19"/>
  <c r="M1253" i="19"/>
  <c r="N1253" i="19"/>
  <c r="O1253" i="19"/>
  <c r="P1253" i="19"/>
  <c r="Q1253" i="19"/>
  <c r="F1254" i="19"/>
  <c r="G1254" i="19"/>
  <c r="H1254" i="19"/>
  <c r="I1254" i="19"/>
  <c r="J1254" i="19"/>
  <c r="K1254" i="19"/>
  <c r="L1254" i="19"/>
  <c r="M1254" i="19"/>
  <c r="N1254" i="19"/>
  <c r="O1254" i="19"/>
  <c r="P1254" i="19"/>
  <c r="Q1254" i="19"/>
  <c r="F1255" i="19"/>
  <c r="G1255" i="19"/>
  <c r="H1255" i="19"/>
  <c r="I1255" i="19"/>
  <c r="J1255" i="19"/>
  <c r="K1255" i="19"/>
  <c r="L1255" i="19"/>
  <c r="M1255" i="19"/>
  <c r="N1255" i="19"/>
  <c r="O1255" i="19"/>
  <c r="P1255" i="19"/>
  <c r="Q1255" i="19"/>
  <c r="F1256" i="19"/>
  <c r="G1256" i="19"/>
  <c r="H1256" i="19"/>
  <c r="I1256" i="19"/>
  <c r="J1256" i="19"/>
  <c r="K1256" i="19"/>
  <c r="L1256" i="19"/>
  <c r="M1256" i="19"/>
  <c r="N1256" i="19"/>
  <c r="O1256" i="19"/>
  <c r="P1256" i="19"/>
  <c r="Q1256" i="19"/>
  <c r="F1257" i="19"/>
  <c r="G1257" i="19"/>
  <c r="H1257" i="19"/>
  <c r="I1257" i="19"/>
  <c r="J1257" i="19"/>
  <c r="K1257" i="19"/>
  <c r="L1257" i="19"/>
  <c r="M1257" i="19"/>
  <c r="N1257" i="19"/>
  <c r="O1257" i="19"/>
  <c r="P1257" i="19"/>
  <c r="Q1257" i="19"/>
  <c r="F1258" i="19"/>
  <c r="G1258" i="19"/>
  <c r="H1258" i="19"/>
  <c r="I1258" i="19"/>
  <c r="J1258" i="19"/>
  <c r="K1258" i="19"/>
  <c r="L1258" i="19"/>
  <c r="M1258" i="19"/>
  <c r="N1258" i="19"/>
  <c r="O1258" i="19"/>
  <c r="P1258" i="19"/>
  <c r="Q1258" i="19"/>
  <c r="F1259" i="19"/>
  <c r="G1259" i="19"/>
  <c r="H1259" i="19"/>
  <c r="I1259" i="19"/>
  <c r="J1259" i="19"/>
  <c r="K1259" i="19"/>
  <c r="L1259" i="19"/>
  <c r="M1259" i="19"/>
  <c r="N1259" i="19"/>
  <c r="O1259" i="19"/>
  <c r="P1259" i="19"/>
  <c r="Q1259" i="19"/>
  <c r="F1260" i="19"/>
  <c r="G1260" i="19"/>
  <c r="H1260" i="19"/>
  <c r="I1260" i="19"/>
  <c r="J1260" i="19"/>
  <c r="K1260" i="19"/>
  <c r="L1260" i="19"/>
  <c r="M1260" i="19"/>
  <c r="N1260" i="19"/>
  <c r="O1260" i="19"/>
  <c r="P1260" i="19"/>
  <c r="Q1260" i="19"/>
  <c r="F1261" i="19"/>
  <c r="G1261" i="19"/>
  <c r="H1261" i="19"/>
  <c r="I1261" i="19"/>
  <c r="J1261" i="19"/>
  <c r="K1261" i="19"/>
  <c r="L1261" i="19"/>
  <c r="M1261" i="19"/>
  <c r="N1261" i="19"/>
  <c r="O1261" i="19"/>
  <c r="P1261" i="19"/>
  <c r="Q1261" i="19"/>
  <c r="F1262" i="19"/>
  <c r="G1262" i="19"/>
  <c r="H1262" i="19"/>
  <c r="I1262" i="19"/>
  <c r="J1262" i="19"/>
  <c r="K1262" i="19"/>
  <c r="L1262" i="19"/>
  <c r="M1262" i="19"/>
  <c r="N1262" i="19"/>
  <c r="O1262" i="19"/>
  <c r="P1262" i="19"/>
  <c r="Q1262" i="19"/>
  <c r="F363" i="19"/>
  <c r="G363" i="19"/>
  <c r="H363" i="19"/>
  <c r="I363" i="19"/>
  <c r="J363" i="19"/>
  <c r="K363" i="19"/>
  <c r="L363" i="19"/>
  <c r="M363" i="19"/>
  <c r="N363" i="19"/>
  <c r="O363" i="19"/>
  <c r="P363" i="19"/>
  <c r="Q363" i="19"/>
  <c r="F364" i="19"/>
  <c r="G364" i="19"/>
  <c r="H364" i="19"/>
  <c r="I364" i="19"/>
  <c r="J364" i="19"/>
  <c r="K364" i="19"/>
  <c r="L364" i="19"/>
  <c r="M364" i="19"/>
  <c r="N364" i="19"/>
  <c r="O364" i="19"/>
  <c r="P364" i="19"/>
  <c r="Q364" i="19"/>
  <c r="F365" i="19"/>
  <c r="G365" i="19"/>
  <c r="H365" i="19"/>
  <c r="I365" i="19"/>
  <c r="J365" i="19"/>
  <c r="K365" i="19"/>
  <c r="L365" i="19"/>
  <c r="M365" i="19"/>
  <c r="N365" i="19"/>
  <c r="O365" i="19"/>
  <c r="P365" i="19"/>
  <c r="Q365" i="19"/>
  <c r="F366" i="19"/>
  <c r="G366" i="19"/>
  <c r="H366" i="19"/>
  <c r="I366" i="19"/>
  <c r="J366" i="19"/>
  <c r="K366" i="19"/>
  <c r="L366" i="19"/>
  <c r="M366" i="19"/>
  <c r="N366" i="19"/>
  <c r="O366" i="19"/>
  <c r="P366" i="19"/>
  <c r="Q366" i="19"/>
  <c r="F367" i="19"/>
  <c r="G367" i="19"/>
  <c r="H367" i="19"/>
  <c r="I367" i="19"/>
  <c r="J367" i="19"/>
  <c r="K367" i="19"/>
  <c r="L367" i="19"/>
  <c r="M367" i="19"/>
  <c r="N367" i="19"/>
  <c r="O367" i="19"/>
  <c r="P367" i="19"/>
  <c r="Q367" i="19"/>
  <c r="F368" i="19"/>
  <c r="G368" i="19"/>
  <c r="H368" i="19"/>
  <c r="I368" i="19"/>
  <c r="J368" i="19"/>
  <c r="K368" i="19"/>
  <c r="L368" i="19"/>
  <c r="M368" i="19"/>
  <c r="N368" i="19"/>
  <c r="O368" i="19"/>
  <c r="P368" i="19"/>
  <c r="Q368" i="19"/>
  <c r="F369" i="19"/>
  <c r="G369" i="19"/>
  <c r="H369" i="19"/>
  <c r="I369" i="19"/>
  <c r="J369" i="19"/>
  <c r="K369" i="19"/>
  <c r="L369" i="19"/>
  <c r="M369" i="19"/>
  <c r="N369" i="19"/>
  <c r="O369" i="19"/>
  <c r="P369" i="19"/>
  <c r="Q369" i="19"/>
  <c r="F370" i="19"/>
  <c r="G370" i="19"/>
  <c r="H370" i="19"/>
  <c r="I370" i="19"/>
  <c r="J370" i="19"/>
  <c r="K370" i="19"/>
  <c r="L370" i="19"/>
  <c r="M370" i="19"/>
  <c r="N370" i="19"/>
  <c r="O370" i="19"/>
  <c r="P370" i="19"/>
  <c r="Q370" i="19"/>
  <c r="F371" i="19"/>
  <c r="G371" i="19"/>
  <c r="H371" i="19"/>
  <c r="I371" i="19"/>
  <c r="J371" i="19"/>
  <c r="K371" i="19"/>
  <c r="L371" i="19"/>
  <c r="M371" i="19"/>
  <c r="N371" i="19"/>
  <c r="O371" i="19"/>
  <c r="P371" i="19"/>
  <c r="Q371" i="19"/>
  <c r="F372" i="19"/>
  <c r="G372" i="19"/>
  <c r="H372" i="19"/>
  <c r="I372" i="19"/>
  <c r="J372" i="19"/>
  <c r="K372" i="19"/>
  <c r="L372" i="19"/>
  <c r="M372" i="19"/>
  <c r="N372" i="19"/>
  <c r="O372" i="19"/>
  <c r="P372" i="19"/>
  <c r="Q372" i="19"/>
  <c r="F373" i="19"/>
  <c r="G373" i="19"/>
  <c r="H373" i="19"/>
  <c r="I373" i="19"/>
  <c r="J373" i="19"/>
  <c r="K373" i="19"/>
  <c r="L373" i="19"/>
  <c r="M373" i="19"/>
  <c r="N373" i="19"/>
  <c r="O373" i="19"/>
  <c r="P373" i="19"/>
  <c r="Q373" i="19"/>
  <c r="F374" i="19"/>
  <c r="G374" i="19"/>
  <c r="H374" i="19"/>
  <c r="I374" i="19"/>
  <c r="J374" i="19"/>
  <c r="K374" i="19"/>
  <c r="L374" i="19"/>
  <c r="M374" i="19"/>
  <c r="N374" i="19"/>
  <c r="O374" i="19"/>
  <c r="P374" i="19"/>
  <c r="Q374" i="19"/>
  <c r="F375" i="19"/>
  <c r="G375" i="19"/>
  <c r="H375" i="19"/>
  <c r="I375" i="19"/>
  <c r="J375" i="19"/>
  <c r="K375" i="19"/>
  <c r="L375" i="19"/>
  <c r="M375" i="19"/>
  <c r="N375" i="19"/>
  <c r="O375" i="19"/>
  <c r="P375" i="19"/>
  <c r="Q375" i="19"/>
  <c r="F376" i="19"/>
  <c r="G376" i="19"/>
  <c r="H376" i="19"/>
  <c r="I376" i="19"/>
  <c r="J376" i="19"/>
  <c r="K376" i="19"/>
  <c r="L376" i="19"/>
  <c r="M376" i="19"/>
  <c r="N376" i="19"/>
  <c r="O376" i="19"/>
  <c r="P376" i="19"/>
  <c r="Q376" i="19"/>
  <c r="F377" i="19"/>
  <c r="G377" i="19"/>
  <c r="H377" i="19"/>
  <c r="I377" i="19"/>
  <c r="J377" i="19"/>
  <c r="K377" i="19"/>
  <c r="L377" i="19"/>
  <c r="M377" i="19"/>
  <c r="N377" i="19"/>
  <c r="O377" i="19"/>
  <c r="P377" i="19"/>
  <c r="Q377" i="19"/>
  <c r="F378" i="19"/>
  <c r="G378" i="19"/>
  <c r="H378" i="19"/>
  <c r="I378" i="19"/>
  <c r="J378" i="19"/>
  <c r="K378" i="19"/>
  <c r="L378" i="19"/>
  <c r="M378" i="19"/>
  <c r="N378" i="19"/>
  <c r="O378" i="19"/>
  <c r="P378" i="19"/>
  <c r="Q378" i="19"/>
  <c r="F379" i="19"/>
  <c r="G379" i="19"/>
  <c r="H379" i="19"/>
  <c r="I379" i="19"/>
  <c r="J379" i="19"/>
  <c r="K379" i="19"/>
  <c r="L379" i="19"/>
  <c r="M379" i="19"/>
  <c r="N379" i="19"/>
  <c r="O379" i="19"/>
  <c r="P379" i="19"/>
  <c r="Q379" i="19"/>
  <c r="F380" i="19"/>
  <c r="G380" i="19"/>
  <c r="H380" i="19"/>
  <c r="I380" i="19"/>
  <c r="J380" i="19"/>
  <c r="K380" i="19"/>
  <c r="L380" i="19"/>
  <c r="M380" i="19"/>
  <c r="N380" i="19"/>
  <c r="O380" i="19"/>
  <c r="P380" i="19"/>
  <c r="Q380" i="19"/>
  <c r="F381" i="19"/>
  <c r="G381" i="19"/>
  <c r="H381" i="19"/>
  <c r="I381" i="19"/>
  <c r="J381" i="19"/>
  <c r="K381" i="19"/>
  <c r="L381" i="19"/>
  <c r="M381" i="19"/>
  <c r="N381" i="19"/>
  <c r="O381" i="19"/>
  <c r="P381" i="19"/>
  <c r="Q381" i="19"/>
  <c r="F382" i="19"/>
  <c r="G382" i="19"/>
  <c r="H382" i="19"/>
  <c r="I382" i="19"/>
  <c r="J382" i="19"/>
  <c r="K382" i="19"/>
  <c r="L382" i="19"/>
  <c r="M382" i="19"/>
  <c r="N382" i="19"/>
  <c r="O382" i="19"/>
  <c r="P382" i="19"/>
  <c r="Q382" i="19"/>
  <c r="F383" i="19"/>
  <c r="G383" i="19"/>
  <c r="H383" i="19"/>
  <c r="I383" i="19"/>
  <c r="J383" i="19"/>
  <c r="K383" i="19"/>
  <c r="L383" i="19"/>
  <c r="M383" i="19"/>
  <c r="N383" i="19"/>
  <c r="O383" i="19"/>
  <c r="P383" i="19"/>
  <c r="Q383" i="19"/>
  <c r="F384" i="19"/>
  <c r="G384" i="19"/>
  <c r="H384" i="19"/>
  <c r="I384" i="19"/>
  <c r="J384" i="19"/>
  <c r="K384" i="19"/>
  <c r="L384" i="19"/>
  <c r="M384" i="19"/>
  <c r="N384" i="19"/>
  <c r="O384" i="19"/>
  <c r="P384" i="19"/>
  <c r="Q384" i="19"/>
  <c r="F385" i="19"/>
  <c r="G385" i="19"/>
  <c r="H385" i="19"/>
  <c r="I385" i="19"/>
  <c r="J385" i="19"/>
  <c r="K385" i="19"/>
  <c r="L385" i="19"/>
  <c r="M385" i="19"/>
  <c r="N385" i="19"/>
  <c r="O385" i="19"/>
  <c r="P385" i="19"/>
  <c r="Q385" i="19"/>
  <c r="F386" i="19"/>
  <c r="G386" i="19"/>
  <c r="H386" i="19"/>
  <c r="I386" i="19"/>
  <c r="J386" i="19"/>
  <c r="K386" i="19"/>
  <c r="L386" i="19"/>
  <c r="M386" i="19"/>
  <c r="N386" i="19"/>
  <c r="O386" i="19"/>
  <c r="P386" i="19"/>
  <c r="Q386" i="19"/>
  <c r="F387" i="19"/>
  <c r="G387" i="19"/>
  <c r="H387" i="19"/>
  <c r="I387" i="19"/>
  <c r="J387" i="19"/>
  <c r="K387" i="19"/>
  <c r="L387" i="19"/>
  <c r="M387" i="19"/>
  <c r="N387" i="19"/>
  <c r="O387" i="19"/>
  <c r="P387" i="19"/>
  <c r="Q387" i="19"/>
  <c r="F388" i="19"/>
  <c r="G388" i="19"/>
  <c r="H388" i="19"/>
  <c r="I388" i="19"/>
  <c r="J388" i="19"/>
  <c r="K388" i="19"/>
  <c r="L388" i="19"/>
  <c r="M388" i="19"/>
  <c r="N388" i="19"/>
  <c r="O388" i="19"/>
  <c r="P388" i="19"/>
  <c r="Q388" i="19"/>
  <c r="F389" i="19"/>
  <c r="G389" i="19"/>
  <c r="H389" i="19"/>
  <c r="I389" i="19"/>
  <c r="J389" i="19"/>
  <c r="K389" i="19"/>
  <c r="L389" i="19"/>
  <c r="M389" i="19"/>
  <c r="N389" i="19"/>
  <c r="O389" i="19"/>
  <c r="P389" i="19"/>
  <c r="Q389" i="19"/>
  <c r="F390" i="19"/>
  <c r="G390" i="19"/>
  <c r="H390" i="19"/>
  <c r="I390" i="19"/>
  <c r="J390" i="19"/>
  <c r="K390" i="19"/>
  <c r="L390" i="19"/>
  <c r="M390" i="19"/>
  <c r="N390" i="19"/>
  <c r="O390" i="19"/>
  <c r="P390" i="19"/>
  <c r="Q390" i="19"/>
  <c r="F391" i="19"/>
  <c r="G391" i="19"/>
  <c r="H391" i="19"/>
  <c r="I391" i="19"/>
  <c r="J391" i="19"/>
  <c r="K391" i="19"/>
  <c r="L391" i="19"/>
  <c r="M391" i="19"/>
  <c r="N391" i="19"/>
  <c r="O391" i="19"/>
  <c r="P391" i="19"/>
  <c r="Q391" i="19"/>
  <c r="F392" i="19"/>
  <c r="G392" i="19"/>
  <c r="H392" i="19"/>
  <c r="I392" i="19"/>
  <c r="J392" i="19"/>
  <c r="K392" i="19"/>
  <c r="L392" i="19"/>
  <c r="M392" i="19"/>
  <c r="N392" i="19"/>
  <c r="O392" i="19"/>
  <c r="P392" i="19"/>
  <c r="Q392" i="19"/>
  <c r="F393" i="19"/>
  <c r="G393" i="19"/>
  <c r="H393" i="19"/>
  <c r="I393" i="19"/>
  <c r="J393" i="19"/>
  <c r="K393" i="19"/>
  <c r="L393" i="19"/>
  <c r="M393" i="19"/>
  <c r="N393" i="19"/>
  <c r="O393" i="19"/>
  <c r="P393" i="19"/>
  <c r="Q393" i="19"/>
  <c r="F394" i="19"/>
  <c r="G394" i="19"/>
  <c r="H394" i="19"/>
  <c r="I394" i="19"/>
  <c r="J394" i="19"/>
  <c r="K394" i="19"/>
  <c r="L394" i="19"/>
  <c r="M394" i="19"/>
  <c r="N394" i="19"/>
  <c r="O394" i="19"/>
  <c r="P394" i="19"/>
  <c r="Q394" i="19"/>
  <c r="F395" i="19"/>
  <c r="G395" i="19"/>
  <c r="H395" i="19"/>
  <c r="I395" i="19"/>
  <c r="J395" i="19"/>
  <c r="K395" i="19"/>
  <c r="L395" i="19"/>
  <c r="M395" i="19"/>
  <c r="N395" i="19"/>
  <c r="O395" i="19"/>
  <c r="P395" i="19"/>
  <c r="Q395" i="19"/>
  <c r="F396" i="19"/>
  <c r="G396" i="19"/>
  <c r="H396" i="19"/>
  <c r="I396" i="19"/>
  <c r="J396" i="19"/>
  <c r="K396" i="19"/>
  <c r="L396" i="19"/>
  <c r="M396" i="19"/>
  <c r="N396" i="19"/>
  <c r="O396" i="19"/>
  <c r="P396" i="19"/>
  <c r="Q396" i="19"/>
  <c r="F397" i="19"/>
  <c r="G397" i="19"/>
  <c r="H397" i="19"/>
  <c r="I397" i="19"/>
  <c r="J397" i="19"/>
  <c r="K397" i="19"/>
  <c r="L397" i="19"/>
  <c r="M397" i="19"/>
  <c r="N397" i="19"/>
  <c r="O397" i="19"/>
  <c r="P397" i="19"/>
  <c r="Q397" i="19"/>
  <c r="F398" i="19"/>
  <c r="G398" i="19"/>
  <c r="H398" i="19"/>
  <c r="I398" i="19"/>
  <c r="J398" i="19"/>
  <c r="K398" i="19"/>
  <c r="L398" i="19"/>
  <c r="M398" i="19"/>
  <c r="N398" i="19"/>
  <c r="O398" i="19"/>
  <c r="P398" i="19"/>
  <c r="Q398" i="19"/>
  <c r="F399" i="19"/>
  <c r="G399" i="19"/>
  <c r="H399" i="19"/>
  <c r="I399" i="19"/>
  <c r="J399" i="19"/>
  <c r="K399" i="19"/>
  <c r="L399" i="19"/>
  <c r="M399" i="19"/>
  <c r="N399" i="19"/>
  <c r="O399" i="19"/>
  <c r="P399" i="19"/>
  <c r="Q399" i="19"/>
  <c r="F400" i="19"/>
  <c r="G400" i="19"/>
  <c r="H400" i="19"/>
  <c r="I400" i="19"/>
  <c r="J400" i="19"/>
  <c r="K400" i="19"/>
  <c r="L400" i="19"/>
  <c r="M400" i="19"/>
  <c r="N400" i="19"/>
  <c r="O400" i="19"/>
  <c r="P400" i="19"/>
  <c r="Q400" i="19"/>
  <c r="F401" i="19"/>
  <c r="G401" i="19"/>
  <c r="H401" i="19"/>
  <c r="I401" i="19"/>
  <c r="J401" i="19"/>
  <c r="K401" i="19"/>
  <c r="L401" i="19"/>
  <c r="M401" i="19"/>
  <c r="N401" i="19"/>
  <c r="O401" i="19"/>
  <c r="P401" i="19"/>
  <c r="Q401" i="19"/>
  <c r="F402" i="19"/>
  <c r="G402" i="19"/>
  <c r="H402" i="19"/>
  <c r="I402" i="19"/>
  <c r="J402" i="19"/>
  <c r="K402" i="19"/>
  <c r="L402" i="19"/>
  <c r="M402" i="19"/>
  <c r="N402" i="19"/>
  <c r="O402" i="19"/>
  <c r="P402" i="19"/>
  <c r="Q402" i="19"/>
  <c r="F403" i="19"/>
  <c r="G403" i="19"/>
  <c r="H403" i="19"/>
  <c r="I403" i="19"/>
  <c r="J403" i="19"/>
  <c r="K403" i="19"/>
  <c r="L403" i="19"/>
  <c r="M403" i="19"/>
  <c r="N403" i="19"/>
  <c r="O403" i="19"/>
  <c r="P403" i="19"/>
  <c r="Q403" i="19"/>
  <c r="F404" i="19"/>
  <c r="G404" i="19"/>
  <c r="H404" i="19"/>
  <c r="I404" i="19"/>
  <c r="J404" i="19"/>
  <c r="K404" i="19"/>
  <c r="L404" i="19"/>
  <c r="M404" i="19"/>
  <c r="N404" i="19"/>
  <c r="O404" i="19"/>
  <c r="P404" i="19"/>
  <c r="Q404" i="19"/>
  <c r="F405" i="19"/>
  <c r="G405" i="19"/>
  <c r="H405" i="19"/>
  <c r="I405" i="19"/>
  <c r="J405" i="19"/>
  <c r="K405" i="19"/>
  <c r="L405" i="19"/>
  <c r="M405" i="19"/>
  <c r="N405" i="19"/>
  <c r="O405" i="19"/>
  <c r="P405" i="19"/>
  <c r="Q405" i="19"/>
  <c r="F406" i="19"/>
  <c r="G406" i="19"/>
  <c r="H406" i="19"/>
  <c r="I406" i="19"/>
  <c r="J406" i="19"/>
  <c r="K406" i="19"/>
  <c r="L406" i="19"/>
  <c r="M406" i="19"/>
  <c r="N406" i="19"/>
  <c r="O406" i="19"/>
  <c r="P406" i="19"/>
  <c r="Q406" i="19"/>
  <c r="F407" i="19"/>
  <c r="G407" i="19"/>
  <c r="H407" i="19"/>
  <c r="I407" i="19"/>
  <c r="J407" i="19"/>
  <c r="K407" i="19"/>
  <c r="L407" i="19"/>
  <c r="M407" i="19"/>
  <c r="N407" i="19"/>
  <c r="O407" i="19"/>
  <c r="P407" i="19"/>
  <c r="Q407" i="19"/>
  <c r="F408" i="19"/>
  <c r="G408" i="19"/>
  <c r="H408" i="19"/>
  <c r="I408" i="19"/>
  <c r="J408" i="19"/>
  <c r="K408" i="19"/>
  <c r="L408" i="19"/>
  <c r="M408" i="19"/>
  <c r="N408" i="19"/>
  <c r="O408" i="19"/>
  <c r="P408" i="19"/>
  <c r="Q408" i="19"/>
  <c r="F409" i="19"/>
  <c r="G409" i="19"/>
  <c r="H409" i="19"/>
  <c r="I409" i="19"/>
  <c r="J409" i="19"/>
  <c r="K409" i="19"/>
  <c r="L409" i="19"/>
  <c r="M409" i="19"/>
  <c r="N409" i="19"/>
  <c r="O409" i="19"/>
  <c r="P409" i="19"/>
  <c r="Q409" i="19"/>
  <c r="F410" i="19"/>
  <c r="G410" i="19"/>
  <c r="H410" i="19"/>
  <c r="I410" i="19"/>
  <c r="J410" i="19"/>
  <c r="K410" i="19"/>
  <c r="L410" i="19"/>
  <c r="M410" i="19"/>
  <c r="N410" i="19"/>
  <c r="O410" i="19"/>
  <c r="P410" i="19"/>
  <c r="Q410" i="19"/>
  <c r="F411" i="19"/>
  <c r="G411" i="19"/>
  <c r="H411" i="19"/>
  <c r="I411" i="19"/>
  <c r="J411" i="19"/>
  <c r="K411" i="19"/>
  <c r="L411" i="19"/>
  <c r="M411" i="19"/>
  <c r="N411" i="19"/>
  <c r="O411" i="19"/>
  <c r="P411" i="19"/>
  <c r="Q411" i="19"/>
  <c r="F412" i="19"/>
  <c r="G412" i="19"/>
  <c r="H412" i="19"/>
  <c r="I412" i="19"/>
  <c r="J412" i="19"/>
  <c r="K412" i="19"/>
  <c r="L412" i="19"/>
  <c r="M412" i="19"/>
  <c r="N412" i="19"/>
  <c r="O412" i="19"/>
  <c r="P412" i="19"/>
  <c r="Q412" i="19"/>
  <c r="F413" i="19"/>
  <c r="G413" i="19"/>
  <c r="H413" i="19"/>
  <c r="I413" i="19"/>
  <c r="J413" i="19"/>
  <c r="K413" i="19"/>
  <c r="L413" i="19"/>
  <c r="M413" i="19"/>
  <c r="N413" i="19"/>
  <c r="O413" i="19"/>
  <c r="P413" i="19"/>
  <c r="Q413" i="19"/>
  <c r="F414" i="19"/>
  <c r="G414" i="19"/>
  <c r="H414" i="19"/>
  <c r="I414" i="19"/>
  <c r="J414" i="19"/>
  <c r="K414" i="19"/>
  <c r="L414" i="19"/>
  <c r="M414" i="19"/>
  <c r="N414" i="19"/>
  <c r="O414" i="19"/>
  <c r="P414" i="19"/>
  <c r="Q414" i="19"/>
  <c r="F415" i="19"/>
  <c r="G415" i="19"/>
  <c r="H415" i="19"/>
  <c r="I415" i="19"/>
  <c r="J415" i="19"/>
  <c r="K415" i="19"/>
  <c r="L415" i="19"/>
  <c r="M415" i="19"/>
  <c r="N415" i="19"/>
  <c r="O415" i="19"/>
  <c r="P415" i="19"/>
  <c r="Q415" i="19"/>
  <c r="F416" i="19"/>
  <c r="G416" i="19"/>
  <c r="H416" i="19"/>
  <c r="I416" i="19"/>
  <c r="J416" i="19"/>
  <c r="K416" i="19"/>
  <c r="L416" i="19"/>
  <c r="M416" i="19"/>
  <c r="N416" i="19"/>
  <c r="O416" i="19"/>
  <c r="P416" i="19"/>
  <c r="Q416" i="19"/>
  <c r="F417" i="19"/>
  <c r="G417" i="19"/>
  <c r="H417" i="19"/>
  <c r="I417" i="19"/>
  <c r="J417" i="19"/>
  <c r="K417" i="19"/>
  <c r="L417" i="19"/>
  <c r="M417" i="19"/>
  <c r="N417" i="19"/>
  <c r="O417" i="19"/>
  <c r="P417" i="19"/>
  <c r="Q417" i="19"/>
  <c r="F418" i="19"/>
  <c r="G418" i="19"/>
  <c r="H418" i="19"/>
  <c r="I418" i="19"/>
  <c r="J418" i="19"/>
  <c r="K418" i="19"/>
  <c r="L418" i="19"/>
  <c r="M418" i="19"/>
  <c r="N418" i="19"/>
  <c r="O418" i="19"/>
  <c r="P418" i="19"/>
  <c r="Q418" i="19"/>
  <c r="F419" i="19"/>
  <c r="G419" i="19"/>
  <c r="H419" i="19"/>
  <c r="I419" i="19"/>
  <c r="J419" i="19"/>
  <c r="K419" i="19"/>
  <c r="L419" i="19"/>
  <c r="M419" i="19"/>
  <c r="N419" i="19"/>
  <c r="O419" i="19"/>
  <c r="P419" i="19"/>
  <c r="Q419" i="19"/>
  <c r="F420" i="19"/>
  <c r="G420" i="19"/>
  <c r="H420" i="19"/>
  <c r="I420" i="19"/>
  <c r="J420" i="19"/>
  <c r="K420" i="19"/>
  <c r="L420" i="19"/>
  <c r="M420" i="19"/>
  <c r="N420" i="19"/>
  <c r="O420" i="19"/>
  <c r="P420" i="19"/>
  <c r="Q420" i="19"/>
  <c r="F421" i="19"/>
  <c r="G421" i="19"/>
  <c r="H421" i="19"/>
  <c r="I421" i="19"/>
  <c r="J421" i="19"/>
  <c r="K421" i="19"/>
  <c r="L421" i="19"/>
  <c r="M421" i="19"/>
  <c r="N421" i="19"/>
  <c r="O421" i="19"/>
  <c r="P421" i="19"/>
  <c r="Q421" i="19"/>
  <c r="F422" i="19"/>
  <c r="G422" i="19"/>
  <c r="H422" i="19"/>
  <c r="I422" i="19"/>
  <c r="J422" i="19"/>
  <c r="K422" i="19"/>
  <c r="L422" i="19"/>
  <c r="M422" i="19"/>
  <c r="N422" i="19"/>
  <c r="O422" i="19"/>
  <c r="P422" i="19"/>
  <c r="Q422" i="19"/>
  <c r="F423" i="19"/>
  <c r="G423" i="19"/>
  <c r="H423" i="19"/>
  <c r="I423" i="19"/>
  <c r="J423" i="19"/>
  <c r="K423" i="19"/>
  <c r="L423" i="19"/>
  <c r="M423" i="19"/>
  <c r="N423" i="19"/>
  <c r="O423" i="19"/>
  <c r="P423" i="19"/>
  <c r="Q423" i="19"/>
  <c r="F424" i="19"/>
  <c r="G424" i="19"/>
  <c r="H424" i="19"/>
  <c r="I424" i="19"/>
  <c r="J424" i="19"/>
  <c r="K424" i="19"/>
  <c r="L424" i="19"/>
  <c r="M424" i="19"/>
  <c r="N424" i="19"/>
  <c r="O424" i="19"/>
  <c r="P424" i="19"/>
  <c r="Q424" i="19"/>
  <c r="F425" i="19"/>
  <c r="G425" i="19"/>
  <c r="H425" i="19"/>
  <c r="I425" i="19"/>
  <c r="J425" i="19"/>
  <c r="K425" i="19"/>
  <c r="L425" i="19"/>
  <c r="M425" i="19"/>
  <c r="N425" i="19"/>
  <c r="O425" i="19"/>
  <c r="P425" i="19"/>
  <c r="Q425" i="19"/>
  <c r="F426" i="19"/>
  <c r="G426" i="19"/>
  <c r="H426" i="19"/>
  <c r="I426" i="19"/>
  <c r="J426" i="19"/>
  <c r="K426" i="19"/>
  <c r="L426" i="19"/>
  <c r="M426" i="19"/>
  <c r="N426" i="19"/>
  <c r="O426" i="19"/>
  <c r="P426" i="19"/>
  <c r="Q426" i="19"/>
  <c r="F427" i="19"/>
  <c r="G427" i="19"/>
  <c r="H427" i="19"/>
  <c r="I427" i="19"/>
  <c r="J427" i="19"/>
  <c r="K427" i="19"/>
  <c r="L427" i="19"/>
  <c r="M427" i="19"/>
  <c r="N427" i="19"/>
  <c r="O427" i="19"/>
  <c r="P427" i="19"/>
  <c r="Q427" i="19"/>
  <c r="F428" i="19"/>
  <c r="G428" i="19"/>
  <c r="H428" i="19"/>
  <c r="I428" i="19"/>
  <c r="J428" i="19"/>
  <c r="K428" i="19"/>
  <c r="L428" i="19"/>
  <c r="M428" i="19"/>
  <c r="N428" i="19"/>
  <c r="O428" i="19"/>
  <c r="P428" i="19"/>
  <c r="Q428" i="19"/>
  <c r="F429" i="19"/>
  <c r="G429" i="19"/>
  <c r="H429" i="19"/>
  <c r="I429" i="19"/>
  <c r="J429" i="19"/>
  <c r="K429" i="19"/>
  <c r="L429" i="19"/>
  <c r="M429" i="19"/>
  <c r="N429" i="19"/>
  <c r="O429" i="19"/>
  <c r="P429" i="19"/>
  <c r="Q429" i="19"/>
  <c r="F430" i="19"/>
  <c r="G430" i="19"/>
  <c r="H430" i="19"/>
  <c r="I430" i="19"/>
  <c r="J430" i="19"/>
  <c r="K430" i="19"/>
  <c r="L430" i="19"/>
  <c r="M430" i="19"/>
  <c r="N430" i="19"/>
  <c r="O430" i="19"/>
  <c r="P430" i="19"/>
  <c r="Q430" i="19"/>
  <c r="F431" i="19"/>
  <c r="G431" i="19"/>
  <c r="H431" i="19"/>
  <c r="I431" i="19"/>
  <c r="J431" i="19"/>
  <c r="K431" i="19"/>
  <c r="L431" i="19"/>
  <c r="M431" i="19"/>
  <c r="N431" i="19"/>
  <c r="O431" i="19"/>
  <c r="P431" i="19"/>
  <c r="Q431" i="19"/>
  <c r="F432" i="19"/>
  <c r="G432" i="19"/>
  <c r="H432" i="19"/>
  <c r="I432" i="19"/>
  <c r="J432" i="19"/>
  <c r="K432" i="19"/>
  <c r="L432" i="19"/>
  <c r="M432" i="19"/>
  <c r="N432" i="19"/>
  <c r="O432" i="19"/>
  <c r="P432" i="19"/>
  <c r="Q432" i="19"/>
  <c r="F433" i="19"/>
  <c r="G433" i="19"/>
  <c r="H433" i="19"/>
  <c r="I433" i="19"/>
  <c r="J433" i="19"/>
  <c r="K433" i="19"/>
  <c r="L433" i="19"/>
  <c r="M433" i="19"/>
  <c r="N433" i="19"/>
  <c r="O433" i="19"/>
  <c r="P433" i="19"/>
  <c r="Q433" i="19"/>
  <c r="F434" i="19"/>
  <c r="G434" i="19"/>
  <c r="H434" i="19"/>
  <c r="I434" i="19"/>
  <c r="J434" i="19"/>
  <c r="K434" i="19"/>
  <c r="L434" i="19"/>
  <c r="M434" i="19"/>
  <c r="N434" i="19"/>
  <c r="O434" i="19"/>
  <c r="P434" i="19"/>
  <c r="Q434" i="19"/>
  <c r="F435" i="19"/>
  <c r="G435" i="19"/>
  <c r="H435" i="19"/>
  <c r="I435" i="19"/>
  <c r="J435" i="19"/>
  <c r="K435" i="19"/>
  <c r="L435" i="19"/>
  <c r="M435" i="19"/>
  <c r="N435" i="19"/>
  <c r="O435" i="19"/>
  <c r="P435" i="19"/>
  <c r="Q435" i="19"/>
  <c r="F436" i="19"/>
  <c r="G436" i="19"/>
  <c r="H436" i="19"/>
  <c r="I436" i="19"/>
  <c r="J436" i="19"/>
  <c r="K436" i="19"/>
  <c r="L436" i="19"/>
  <c r="M436" i="19"/>
  <c r="N436" i="19"/>
  <c r="O436" i="19"/>
  <c r="P436" i="19"/>
  <c r="Q436" i="19"/>
  <c r="F437" i="19"/>
  <c r="G437" i="19"/>
  <c r="H437" i="19"/>
  <c r="I437" i="19"/>
  <c r="J437" i="19"/>
  <c r="K437" i="19"/>
  <c r="L437" i="19"/>
  <c r="M437" i="19"/>
  <c r="N437" i="19"/>
  <c r="O437" i="19"/>
  <c r="P437" i="19"/>
  <c r="Q437" i="19"/>
  <c r="F438" i="19"/>
  <c r="G438" i="19"/>
  <c r="H438" i="19"/>
  <c r="I438" i="19"/>
  <c r="J438" i="19"/>
  <c r="K438" i="19"/>
  <c r="L438" i="19"/>
  <c r="M438" i="19"/>
  <c r="N438" i="19"/>
  <c r="O438" i="19"/>
  <c r="P438" i="19"/>
  <c r="Q438" i="19"/>
  <c r="F439" i="19"/>
  <c r="G439" i="19"/>
  <c r="H439" i="19"/>
  <c r="I439" i="19"/>
  <c r="J439" i="19"/>
  <c r="K439" i="19"/>
  <c r="L439" i="19"/>
  <c r="M439" i="19"/>
  <c r="N439" i="19"/>
  <c r="O439" i="19"/>
  <c r="P439" i="19"/>
  <c r="Q439" i="19"/>
  <c r="F440" i="19"/>
  <c r="G440" i="19"/>
  <c r="H440" i="19"/>
  <c r="I440" i="19"/>
  <c r="J440" i="19"/>
  <c r="K440" i="19"/>
  <c r="L440" i="19"/>
  <c r="M440" i="19"/>
  <c r="N440" i="19"/>
  <c r="O440" i="19"/>
  <c r="P440" i="19"/>
  <c r="Q440" i="19"/>
  <c r="F441" i="19"/>
  <c r="G441" i="19"/>
  <c r="H441" i="19"/>
  <c r="I441" i="19"/>
  <c r="J441" i="19"/>
  <c r="K441" i="19"/>
  <c r="L441" i="19"/>
  <c r="M441" i="19"/>
  <c r="N441" i="19"/>
  <c r="O441" i="19"/>
  <c r="P441" i="19"/>
  <c r="Q441" i="19"/>
  <c r="F442" i="19"/>
  <c r="G442" i="19"/>
  <c r="H442" i="19"/>
  <c r="I442" i="19"/>
  <c r="J442" i="19"/>
  <c r="K442" i="19"/>
  <c r="L442" i="19"/>
  <c r="M442" i="19"/>
  <c r="N442" i="19"/>
  <c r="O442" i="19"/>
  <c r="P442" i="19"/>
  <c r="Q442" i="19"/>
  <c r="F443" i="19"/>
  <c r="G443" i="19"/>
  <c r="H443" i="19"/>
  <c r="I443" i="19"/>
  <c r="J443" i="19"/>
  <c r="K443" i="19"/>
  <c r="L443" i="19"/>
  <c r="M443" i="19"/>
  <c r="N443" i="19"/>
  <c r="O443" i="19"/>
  <c r="P443" i="19"/>
  <c r="Q443" i="19"/>
  <c r="F444" i="19"/>
  <c r="G444" i="19"/>
  <c r="H444" i="19"/>
  <c r="I444" i="19"/>
  <c r="J444" i="19"/>
  <c r="K444" i="19"/>
  <c r="L444" i="19"/>
  <c r="M444" i="19"/>
  <c r="N444" i="19"/>
  <c r="O444" i="19"/>
  <c r="P444" i="19"/>
  <c r="Q444" i="19"/>
  <c r="F445" i="19"/>
  <c r="G445" i="19"/>
  <c r="H445" i="19"/>
  <c r="I445" i="19"/>
  <c r="J445" i="19"/>
  <c r="K445" i="19"/>
  <c r="L445" i="19"/>
  <c r="M445" i="19"/>
  <c r="N445" i="19"/>
  <c r="O445" i="19"/>
  <c r="P445" i="19"/>
  <c r="Q445" i="19"/>
  <c r="F446" i="19"/>
  <c r="G446" i="19"/>
  <c r="H446" i="19"/>
  <c r="I446" i="19"/>
  <c r="J446" i="19"/>
  <c r="K446" i="19"/>
  <c r="L446" i="19"/>
  <c r="M446" i="19"/>
  <c r="N446" i="19"/>
  <c r="O446" i="19"/>
  <c r="P446" i="19"/>
  <c r="Q446" i="19"/>
  <c r="F447" i="19"/>
  <c r="G447" i="19"/>
  <c r="H447" i="19"/>
  <c r="I447" i="19"/>
  <c r="J447" i="19"/>
  <c r="K447" i="19"/>
  <c r="L447" i="19"/>
  <c r="M447" i="19"/>
  <c r="N447" i="19"/>
  <c r="O447" i="19"/>
  <c r="P447" i="19"/>
  <c r="Q447" i="19"/>
  <c r="F448" i="19"/>
  <c r="G448" i="19"/>
  <c r="H448" i="19"/>
  <c r="I448" i="19"/>
  <c r="J448" i="19"/>
  <c r="K448" i="19"/>
  <c r="L448" i="19"/>
  <c r="M448" i="19"/>
  <c r="N448" i="19"/>
  <c r="O448" i="19"/>
  <c r="P448" i="19"/>
  <c r="Q448" i="19"/>
  <c r="F449" i="19"/>
  <c r="G449" i="19"/>
  <c r="H449" i="19"/>
  <c r="I449" i="19"/>
  <c r="J449" i="19"/>
  <c r="K449" i="19"/>
  <c r="L449" i="19"/>
  <c r="M449" i="19"/>
  <c r="N449" i="19"/>
  <c r="O449" i="19"/>
  <c r="P449" i="19"/>
  <c r="Q449" i="19"/>
  <c r="F450" i="19"/>
  <c r="G450" i="19"/>
  <c r="H450" i="19"/>
  <c r="I450" i="19"/>
  <c r="J450" i="19"/>
  <c r="K450" i="19"/>
  <c r="L450" i="19"/>
  <c r="M450" i="19"/>
  <c r="N450" i="19"/>
  <c r="O450" i="19"/>
  <c r="P450" i="19"/>
  <c r="Q450" i="19"/>
  <c r="F451" i="19"/>
  <c r="G451" i="19"/>
  <c r="H451" i="19"/>
  <c r="I451" i="19"/>
  <c r="J451" i="19"/>
  <c r="K451" i="19"/>
  <c r="L451" i="19"/>
  <c r="M451" i="19"/>
  <c r="N451" i="19"/>
  <c r="O451" i="19"/>
  <c r="P451" i="19"/>
  <c r="Q451" i="19"/>
  <c r="F452" i="19"/>
  <c r="G452" i="19"/>
  <c r="H452" i="19"/>
  <c r="I452" i="19"/>
  <c r="J452" i="19"/>
  <c r="K452" i="19"/>
  <c r="L452" i="19"/>
  <c r="M452" i="19"/>
  <c r="N452" i="19"/>
  <c r="O452" i="19"/>
  <c r="P452" i="19"/>
  <c r="Q452" i="19"/>
  <c r="F453" i="19"/>
  <c r="G453" i="19"/>
  <c r="H453" i="19"/>
  <c r="I453" i="19"/>
  <c r="J453" i="19"/>
  <c r="K453" i="19"/>
  <c r="L453" i="19"/>
  <c r="M453" i="19"/>
  <c r="N453" i="19"/>
  <c r="O453" i="19"/>
  <c r="P453" i="19"/>
  <c r="Q453" i="19"/>
  <c r="F454" i="19"/>
  <c r="G454" i="19"/>
  <c r="H454" i="19"/>
  <c r="I454" i="19"/>
  <c r="J454" i="19"/>
  <c r="K454" i="19"/>
  <c r="L454" i="19"/>
  <c r="M454" i="19"/>
  <c r="N454" i="19"/>
  <c r="O454" i="19"/>
  <c r="P454" i="19"/>
  <c r="Q454" i="19"/>
  <c r="F455" i="19"/>
  <c r="G455" i="19"/>
  <c r="H455" i="19"/>
  <c r="I455" i="19"/>
  <c r="J455" i="19"/>
  <c r="K455" i="19"/>
  <c r="L455" i="19"/>
  <c r="M455" i="19"/>
  <c r="N455" i="19"/>
  <c r="O455" i="19"/>
  <c r="P455" i="19"/>
  <c r="Q455" i="19"/>
  <c r="F456" i="19"/>
  <c r="G456" i="19"/>
  <c r="H456" i="19"/>
  <c r="I456" i="19"/>
  <c r="J456" i="19"/>
  <c r="K456" i="19"/>
  <c r="L456" i="19"/>
  <c r="M456" i="19"/>
  <c r="N456" i="19"/>
  <c r="O456" i="19"/>
  <c r="P456" i="19"/>
  <c r="Q456" i="19"/>
  <c r="F457" i="19"/>
  <c r="G457" i="19"/>
  <c r="H457" i="19"/>
  <c r="I457" i="19"/>
  <c r="J457" i="19"/>
  <c r="K457" i="19"/>
  <c r="L457" i="19"/>
  <c r="M457" i="19"/>
  <c r="N457" i="19"/>
  <c r="O457" i="19"/>
  <c r="P457" i="19"/>
  <c r="Q457" i="19"/>
  <c r="F458" i="19"/>
  <c r="G458" i="19"/>
  <c r="H458" i="19"/>
  <c r="I458" i="19"/>
  <c r="J458" i="19"/>
  <c r="K458" i="19"/>
  <c r="L458" i="19"/>
  <c r="M458" i="19"/>
  <c r="N458" i="19"/>
  <c r="O458" i="19"/>
  <c r="P458" i="19"/>
  <c r="Q458" i="19"/>
  <c r="F459" i="19"/>
  <c r="G459" i="19"/>
  <c r="H459" i="19"/>
  <c r="I459" i="19"/>
  <c r="J459" i="19"/>
  <c r="K459" i="19"/>
  <c r="L459" i="19"/>
  <c r="M459" i="19"/>
  <c r="N459" i="19"/>
  <c r="O459" i="19"/>
  <c r="P459" i="19"/>
  <c r="Q459" i="19"/>
  <c r="F460" i="19"/>
  <c r="G460" i="19"/>
  <c r="H460" i="19"/>
  <c r="I460" i="19"/>
  <c r="J460" i="19"/>
  <c r="K460" i="19"/>
  <c r="L460" i="19"/>
  <c r="M460" i="19"/>
  <c r="N460" i="19"/>
  <c r="O460" i="19"/>
  <c r="P460" i="19"/>
  <c r="Q460" i="19"/>
  <c r="F461" i="19"/>
  <c r="G461" i="19"/>
  <c r="H461" i="19"/>
  <c r="I461" i="19"/>
  <c r="J461" i="19"/>
  <c r="K461" i="19"/>
  <c r="L461" i="19"/>
  <c r="M461" i="19"/>
  <c r="N461" i="19"/>
  <c r="O461" i="19"/>
  <c r="P461" i="19"/>
  <c r="Q461" i="19"/>
  <c r="F462" i="19"/>
  <c r="G462" i="19"/>
  <c r="H462" i="19"/>
  <c r="I462" i="19"/>
  <c r="J462" i="19"/>
  <c r="K462" i="19"/>
  <c r="L462" i="19"/>
  <c r="M462" i="19"/>
  <c r="N462" i="19"/>
  <c r="O462" i="19"/>
  <c r="P462" i="19"/>
  <c r="Q462" i="19"/>
  <c r="F463" i="19"/>
  <c r="G463" i="19"/>
  <c r="H463" i="19"/>
  <c r="I463" i="19"/>
  <c r="J463" i="19"/>
  <c r="K463" i="19"/>
  <c r="L463" i="19"/>
  <c r="M463" i="19"/>
  <c r="N463" i="19"/>
  <c r="O463" i="19"/>
  <c r="P463" i="19"/>
  <c r="Q463" i="19"/>
  <c r="F464" i="19"/>
  <c r="G464" i="19"/>
  <c r="H464" i="19"/>
  <c r="I464" i="19"/>
  <c r="J464" i="19"/>
  <c r="K464" i="19"/>
  <c r="L464" i="19"/>
  <c r="M464" i="19"/>
  <c r="N464" i="19"/>
  <c r="O464" i="19"/>
  <c r="P464" i="19"/>
  <c r="Q464" i="19"/>
  <c r="F465" i="19"/>
  <c r="G465" i="19"/>
  <c r="H465" i="19"/>
  <c r="I465" i="19"/>
  <c r="J465" i="19"/>
  <c r="K465" i="19"/>
  <c r="L465" i="19"/>
  <c r="M465" i="19"/>
  <c r="N465" i="19"/>
  <c r="O465" i="19"/>
  <c r="P465" i="19"/>
  <c r="Q465" i="19"/>
  <c r="F466" i="19"/>
  <c r="G466" i="19"/>
  <c r="H466" i="19"/>
  <c r="I466" i="19"/>
  <c r="J466" i="19"/>
  <c r="K466" i="19"/>
  <c r="L466" i="19"/>
  <c r="M466" i="19"/>
  <c r="N466" i="19"/>
  <c r="O466" i="19"/>
  <c r="P466" i="19"/>
  <c r="Q466" i="19"/>
  <c r="F467" i="19"/>
  <c r="G467" i="19"/>
  <c r="H467" i="19"/>
  <c r="I467" i="19"/>
  <c r="J467" i="19"/>
  <c r="K467" i="19"/>
  <c r="L467" i="19"/>
  <c r="M467" i="19"/>
  <c r="N467" i="19"/>
  <c r="O467" i="19"/>
  <c r="P467" i="19"/>
  <c r="Q467" i="19"/>
  <c r="F468" i="19"/>
  <c r="G468" i="19"/>
  <c r="H468" i="19"/>
  <c r="I468" i="19"/>
  <c r="J468" i="19"/>
  <c r="K468" i="19"/>
  <c r="L468" i="19"/>
  <c r="M468" i="19"/>
  <c r="N468" i="19"/>
  <c r="O468" i="19"/>
  <c r="P468" i="19"/>
  <c r="Q468" i="19"/>
  <c r="F469" i="19"/>
  <c r="G469" i="19"/>
  <c r="H469" i="19"/>
  <c r="I469" i="19"/>
  <c r="J469" i="19"/>
  <c r="K469" i="19"/>
  <c r="L469" i="19"/>
  <c r="M469" i="19"/>
  <c r="N469" i="19"/>
  <c r="O469" i="19"/>
  <c r="P469" i="19"/>
  <c r="Q469" i="19"/>
  <c r="F470" i="19"/>
  <c r="G470" i="19"/>
  <c r="H470" i="19"/>
  <c r="I470" i="19"/>
  <c r="J470" i="19"/>
  <c r="K470" i="19"/>
  <c r="L470" i="19"/>
  <c r="M470" i="19"/>
  <c r="N470" i="19"/>
  <c r="O470" i="19"/>
  <c r="P470" i="19"/>
  <c r="Q470" i="19"/>
  <c r="F471" i="19"/>
  <c r="G471" i="19"/>
  <c r="H471" i="19"/>
  <c r="I471" i="19"/>
  <c r="J471" i="19"/>
  <c r="K471" i="19"/>
  <c r="L471" i="19"/>
  <c r="M471" i="19"/>
  <c r="N471" i="19"/>
  <c r="O471" i="19"/>
  <c r="P471" i="19"/>
  <c r="Q471" i="19"/>
  <c r="F472" i="19"/>
  <c r="G472" i="19"/>
  <c r="H472" i="19"/>
  <c r="I472" i="19"/>
  <c r="J472" i="19"/>
  <c r="K472" i="19"/>
  <c r="L472" i="19"/>
  <c r="M472" i="19"/>
  <c r="N472" i="19"/>
  <c r="O472" i="19"/>
  <c r="P472" i="19"/>
  <c r="Q472" i="19"/>
  <c r="F473" i="19"/>
  <c r="G473" i="19"/>
  <c r="H473" i="19"/>
  <c r="I473" i="19"/>
  <c r="J473" i="19"/>
  <c r="K473" i="19"/>
  <c r="L473" i="19"/>
  <c r="M473" i="19"/>
  <c r="N473" i="19"/>
  <c r="O473" i="19"/>
  <c r="P473" i="19"/>
  <c r="Q473" i="19"/>
  <c r="F474" i="19"/>
  <c r="G474" i="19"/>
  <c r="H474" i="19"/>
  <c r="I474" i="19"/>
  <c r="J474" i="19"/>
  <c r="K474" i="19"/>
  <c r="L474" i="19"/>
  <c r="M474" i="19"/>
  <c r="N474" i="19"/>
  <c r="O474" i="19"/>
  <c r="P474" i="19"/>
  <c r="Q474" i="19"/>
  <c r="F475" i="19"/>
  <c r="G475" i="19"/>
  <c r="H475" i="19"/>
  <c r="I475" i="19"/>
  <c r="J475" i="19"/>
  <c r="K475" i="19"/>
  <c r="L475" i="19"/>
  <c r="M475" i="19"/>
  <c r="N475" i="19"/>
  <c r="O475" i="19"/>
  <c r="P475" i="19"/>
  <c r="Q475" i="19"/>
  <c r="F476" i="19"/>
  <c r="G476" i="19"/>
  <c r="H476" i="19"/>
  <c r="I476" i="19"/>
  <c r="J476" i="19"/>
  <c r="K476" i="19"/>
  <c r="L476" i="19"/>
  <c r="M476" i="19"/>
  <c r="N476" i="19"/>
  <c r="O476" i="19"/>
  <c r="P476" i="19"/>
  <c r="Q476" i="19"/>
  <c r="F477" i="19"/>
  <c r="G477" i="19"/>
  <c r="H477" i="19"/>
  <c r="I477" i="19"/>
  <c r="J477" i="19"/>
  <c r="K477" i="19"/>
  <c r="L477" i="19"/>
  <c r="M477" i="19"/>
  <c r="N477" i="19"/>
  <c r="O477" i="19"/>
  <c r="P477" i="19"/>
  <c r="Q477" i="19"/>
  <c r="F478" i="19"/>
  <c r="G478" i="19"/>
  <c r="H478" i="19"/>
  <c r="I478" i="19"/>
  <c r="J478" i="19"/>
  <c r="K478" i="19"/>
  <c r="L478" i="19"/>
  <c r="M478" i="19"/>
  <c r="N478" i="19"/>
  <c r="O478" i="19"/>
  <c r="P478" i="19"/>
  <c r="Q478" i="19"/>
  <c r="F479" i="19"/>
  <c r="G479" i="19"/>
  <c r="H479" i="19"/>
  <c r="I479" i="19"/>
  <c r="J479" i="19"/>
  <c r="K479" i="19"/>
  <c r="L479" i="19"/>
  <c r="M479" i="19"/>
  <c r="N479" i="19"/>
  <c r="O479" i="19"/>
  <c r="P479" i="19"/>
  <c r="Q479" i="19"/>
  <c r="F480" i="19"/>
  <c r="G480" i="19"/>
  <c r="H480" i="19"/>
  <c r="I480" i="19"/>
  <c r="J480" i="19"/>
  <c r="K480" i="19"/>
  <c r="L480" i="19"/>
  <c r="M480" i="19"/>
  <c r="N480" i="19"/>
  <c r="O480" i="19"/>
  <c r="P480" i="19"/>
  <c r="Q480" i="19"/>
  <c r="F481" i="19"/>
  <c r="G481" i="19"/>
  <c r="H481" i="19"/>
  <c r="I481" i="19"/>
  <c r="J481" i="19"/>
  <c r="K481" i="19"/>
  <c r="L481" i="19"/>
  <c r="M481" i="19"/>
  <c r="N481" i="19"/>
  <c r="O481" i="19"/>
  <c r="P481" i="19"/>
  <c r="Q481" i="19"/>
  <c r="F482" i="19"/>
  <c r="G482" i="19"/>
  <c r="H482" i="19"/>
  <c r="I482" i="19"/>
  <c r="J482" i="19"/>
  <c r="K482" i="19"/>
  <c r="L482" i="19"/>
  <c r="M482" i="19"/>
  <c r="N482" i="19"/>
  <c r="O482" i="19"/>
  <c r="P482" i="19"/>
  <c r="Q482" i="19"/>
  <c r="F483" i="19"/>
  <c r="G483" i="19"/>
  <c r="H483" i="19"/>
  <c r="I483" i="19"/>
  <c r="J483" i="19"/>
  <c r="K483" i="19"/>
  <c r="L483" i="19"/>
  <c r="M483" i="19"/>
  <c r="N483" i="19"/>
  <c r="O483" i="19"/>
  <c r="P483" i="19"/>
  <c r="Q483" i="19"/>
  <c r="F484" i="19"/>
  <c r="G484" i="19"/>
  <c r="H484" i="19"/>
  <c r="I484" i="19"/>
  <c r="J484" i="19"/>
  <c r="K484" i="19"/>
  <c r="L484" i="19"/>
  <c r="M484" i="19"/>
  <c r="N484" i="19"/>
  <c r="O484" i="19"/>
  <c r="P484" i="19"/>
  <c r="Q484" i="19"/>
  <c r="F485" i="19"/>
  <c r="G485" i="19"/>
  <c r="H485" i="19"/>
  <c r="I485" i="19"/>
  <c r="J485" i="19"/>
  <c r="K485" i="19"/>
  <c r="L485" i="19"/>
  <c r="M485" i="19"/>
  <c r="N485" i="19"/>
  <c r="O485" i="19"/>
  <c r="P485" i="19"/>
  <c r="Q485" i="19"/>
  <c r="F486" i="19"/>
  <c r="G486" i="19"/>
  <c r="H486" i="19"/>
  <c r="I486" i="19"/>
  <c r="J486" i="19"/>
  <c r="K486" i="19"/>
  <c r="L486" i="19"/>
  <c r="M486" i="19"/>
  <c r="N486" i="19"/>
  <c r="O486" i="19"/>
  <c r="P486" i="19"/>
  <c r="Q486" i="19"/>
  <c r="F487" i="19"/>
  <c r="G487" i="19"/>
  <c r="H487" i="19"/>
  <c r="I487" i="19"/>
  <c r="J487" i="19"/>
  <c r="K487" i="19"/>
  <c r="L487" i="19"/>
  <c r="M487" i="19"/>
  <c r="N487" i="19"/>
  <c r="O487" i="19"/>
  <c r="P487" i="19"/>
  <c r="Q487" i="19"/>
  <c r="F488" i="19"/>
  <c r="G488" i="19"/>
  <c r="H488" i="19"/>
  <c r="I488" i="19"/>
  <c r="J488" i="19"/>
  <c r="K488" i="19"/>
  <c r="L488" i="19"/>
  <c r="M488" i="19"/>
  <c r="N488" i="19"/>
  <c r="O488" i="19"/>
  <c r="P488" i="19"/>
  <c r="Q488" i="19"/>
  <c r="F489" i="19"/>
  <c r="G489" i="19"/>
  <c r="H489" i="19"/>
  <c r="I489" i="19"/>
  <c r="J489" i="19"/>
  <c r="K489" i="19"/>
  <c r="L489" i="19"/>
  <c r="M489" i="19"/>
  <c r="N489" i="19"/>
  <c r="O489" i="19"/>
  <c r="P489" i="19"/>
  <c r="Q489" i="19"/>
  <c r="F490" i="19"/>
  <c r="G490" i="19"/>
  <c r="H490" i="19"/>
  <c r="I490" i="19"/>
  <c r="J490" i="19"/>
  <c r="K490" i="19"/>
  <c r="L490" i="19"/>
  <c r="M490" i="19"/>
  <c r="N490" i="19"/>
  <c r="O490" i="19"/>
  <c r="P490" i="19"/>
  <c r="Q490" i="19"/>
  <c r="F491" i="19"/>
  <c r="G491" i="19"/>
  <c r="H491" i="19"/>
  <c r="I491" i="19"/>
  <c r="J491" i="19"/>
  <c r="K491" i="19"/>
  <c r="L491" i="19"/>
  <c r="M491" i="19"/>
  <c r="N491" i="19"/>
  <c r="O491" i="19"/>
  <c r="P491" i="19"/>
  <c r="Q491" i="19"/>
  <c r="F492" i="19"/>
  <c r="G492" i="19"/>
  <c r="H492" i="19"/>
  <c r="I492" i="19"/>
  <c r="J492" i="19"/>
  <c r="K492" i="19"/>
  <c r="L492" i="19"/>
  <c r="M492" i="19"/>
  <c r="N492" i="19"/>
  <c r="O492" i="19"/>
  <c r="P492" i="19"/>
  <c r="Q492" i="19"/>
  <c r="F493" i="19"/>
  <c r="G493" i="19"/>
  <c r="H493" i="19"/>
  <c r="I493" i="19"/>
  <c r="J493" i="19"/>
  <c r="K493" i="19"/>
  <c r="L493" i="19"/>
  <c r="M493" i="19"/>
  <c r="N493" i="19"/>
  <c r="O493" i="19"/>
  <c r="P493" i="19"/>
  <c r="Q493" i="19"/>
  <c r="F494" i="19"/>
  <c r="G494" i="19"/>
  <c r="H494" i="19"/>
  <c r="I494" i="19"/>
  <c r="J494" i="19"/>
  <c r="K494" i="19"/>
  <c r="L494" i="19"/>
  <c r="M494" i="19"/>
  <c r="N494" i="19"/>
  <c r="O494" i="19"/>
  <c r="P494" i="19"/>
  <c r="Q494" i="19"/>
  <c r="F495" i="19"/>
  <c r="G495" i="19"/>
  <c r="H495" i="19"/>
  <c r="I495" i="19"/>
  <c r="J495" i="19"/>
  <c r="K495" i="19"/>
  <c r="L495" i="19"/>
  <c r="M495" i="19"/>
  <c r="N495" i="19"/>
  <c r="O495" i="19"/>
  <c r="P495" i="19"/>
  <c r="Q495" i="19"/>
  <c r="F496" i="19"/>
  <c r="G496" i="19"/>
  <c r="H496" i="19"/>
  <c r="I496" i="19"/>
  <c r="J496" i="19"/>
  <c r="K496" i="19"/>
  <c r="L496" i="19"/>
  <c r="M496" i="19"/>
  <c r="N496" i="19"/>
  <c r="O496" i="19"/>
  <c r="P496" i="19"/>
  <c r="Q496" i="19"/>
  <c r="F497" i="19"/>
  <c r="G497" i="19"/>
  <c r="H497" i="19"/>
  <c r="I497" i="19"/>
  <c r="J497" i="19"/>
  <c r="K497" i="19"/>
  <c r="L497" i="19"/>
  <c r="M497" i="19"/>
  <c r="N497" i="19"/>
  <c r="O497" i="19"/>
  <c r="P497" i="19"/>
  <c r="Q497" i="19"/>
  <c r="F498" i="19"/>
  <c r="G498" i="19"/>
  <c r="H498" i="19"/>
  <c r="I498" i="19"/>
  <c r="J498" i="19"/>
  <c r="K498" i="19"/>
  <c r="L498" i="19"/>
  <c r="M498" i="19"/>
  <c r="N498" i="19"/>
  <c r="O498" i="19"/>
  <c r="P498" i="19"/>
  <c r="Q498" i="19"/>
  <c r="F499" i="19"/>
  <c r="G499" i="19"/>
  <c r="H499" i="19"/>
  <c r="I499" i="19"/>
  <c r="J499" i="19"/>
  <c r="K499" i="19"/>
  <c r="L499" i="19"/>
  <c r="M499" i="19"/>
  <c r="N499" i="19"/>
  <c r="O499" i="19"/>
  <c r="P499" i="19"/>
  <c r="Q499" i="19"/>
  <c r="F500" i="19"/>
  <c r="G500" i="19"/>
  <c r="H500" i="19"/>
  <c r="I500" i="19"/>
  <c r="J500" i="19"/>
  <c r="K500" i="19"/>
  <c r="L500" i="19"/>
  <c r="M500" i="19"/>
  <c r="N500" i="19"/>
  <c r="O500" i="19"/>
  <c r="P500" i="19"/>
  <c r="Q500" i="19"/>
  <c r="F501" i="19"/>
  <c r="G501" i="19"/>
  <c r="H501" i="19"/>
  <c r="I501" i="19"/>
  <c r="J501" i="19"/>
  <c r="K501" i="19"/>
  <c r="L501" i="19"/>
  <c r="M501" i="19"/>
  <c r="N501" i="19"/>
  <c r="O501" i="19"/>
  <c r="P501" i="19"/>
  <c r="Q501" i="19"/>
  <c r="F502" i="19"/>
  <c r="G502" i="19"/>
  <c r="H502" i="19"/>
  <c r="I502" i="19"/>
  <c r="J502" i="19"/>
  <c r="K502" i="19"/>
  <c r="L502" i="19"/>
  <c r="M502" i="19"/>
  <c r="N502" i="19"/>
  <c r="O502" i="19"/>
  <c r="P502" i="19"/>
  <c r="Q502" i="19"/>
  <c r="F503" i="19"/>
  <c r="G503" i="19"/>
  <c r="H503" i="19"/>
  <c r="I503" i="19"/>
  <c r="J503" i="19"/>
  <c r="K503" i="19"/>
  <c r="L503" i="19"/>
  <c r="M503" i="19"/>
  <c r="N503" i="19"/>
  <c r="O503" i="19"/>
  <c r="P503" i="19"/>
  <c r="Q503" i="19"/>
  <c r="F504" i="19"/>
  <c r="G504" i="19"/>
  <c r="H504" i="19"/>
  <c r="I504" i="19"/>
  <c r="J504" i="19"/>
  <c r="K504" i="19"/>
  <c r="L504" i="19"/>
  <c r="M504" i="19"/>
  <c r="N504" i="19"/>
  <c r="O504" i="19"/>
  <c r="P504" i="19"/>
  <c r="Q504" i="19"/>
  <c r="F505" i="19"/>
  <c r="G505" i="19"/>
  <c r="H505" i="19"/>
  <c r="I505" i="19"/>
  <c r="J505" i="19"/>
  <c r="K505" i="19"/>
  <c r="L505" i="19"/>
  <c r="M505" i="19"/>
  <c r="N505" i="19"/>
  <c r="O505" i="19"/>
  <c r="P505" i="19"/>
  <c r="Q505" i="19"/>
  <c r="F506" i="19"/>
  <c r="G506" i="19"/>
  <c r="H506" i="19"/>
  <c r="I506" i="19"/>
  <c r="J506" i="19"/>
  <c r="K506" i="19"/>
  <c r="L506" i="19"/>
  <c r="M506" i="19"/>
  <c r="N506" i="19"/>
  <c r="O506" i="19"/>
  <c r="P506" i="19"/>
  <c r="Q506" i="19"/>
  <c r="F507" i="19"/>
  <c r="G507" i="19"/>
  <c r="H507" i="19"/>
  <c r="I507" i="19"/>
  <c r="J507" i="19"/>
  <c r="K507" i="19"/>
  <c r="L507" i="19"/>
  <c r="M507" i="19"/>
  <c r="N507" i="19"/>
  <c r="O507" i="19"/>
  <c r="P507" i="19"/>
  <c r="Q507" i="19"/>
  <c r="F508" i="19"/>
  <c r="G508" i="19"/>
  <c r="H508" i="19"/>
  <c r="I508" i="19"/>
  <c r="J508" i="19"/>
  <c r="K508" i="19"/>
  <c r="L508" i="19"/>
  <c r="M508" i="19"/>
  <c r="N508" i="19"/>
  <c r="O508" i="19"/>
  <c r="P508" i="19"/>
  <c r="Q508" i="19"/>
  <c r="F509" i="19"/>
  <c r="G509" i="19"/>
  <c r="H509" i="19"/>
  <c r="I509" i="19"/>
  <c r="J509" i="19"/>
  <c r="K509" i="19"/>
  <c r="L509" i="19"/>
  <c r="M509" i="19"/>
  <c r="N509" i="19"/>
  <c r="O509" i="19"/>
  <c r="P509" i="19"/>
  <c r="Q509" i="19"/>
  <c r="F510" i="19"/>
  <c r="G510" i="19"/>
  <c r="H510" i="19"/>
  <c r="I510" i="19"/>
  <c r="J510" i="19"/>
  <c r="K510" i="19"/>
  <c r="L510" i="19"/>
  <c r="M510" i="19"/>
  <c r="N510" i="19"/>
  <c r="O510" i="19"/>
  <c r="P510" i="19"/>
  <c r="Q510" i="19"/>
  <c r="F511" i="19"/>
  <c r="G511" i="19"/>
  <c r="H511" i="19"/>
  <c r="I511" i="19"/>
  <c r="J511" i="19"/>
  <c r="K511" i="19"/>
  <c r="L511" i="19"/>
  <c r="M511" i="19"/>
  <c r="N511" i="19"/>
  <c r="O511" i="19"/>
  <c r="P511" i="19"/>
  <c r="Q511" i="19"/>
  <c r="F512" i="19"/>
  <c r="G512" i="19"/>
  <c r="H512" i="19"/>
  <c r="I512" i="19"/>
  <c r="J512" i="19"/>
  <c r="K512" i="19"/>
  <c r="L512" i="19"/>
  <c r="M512" i="19"/>
  <c r="N512" i="19"/>
  <c r="O512" i="19"/>
  <c r="P512" i="19"/>
  <c r="Q512" i="19"/>
  <c r="F513" i="19"/>
  <c r="G513" i="19"/>
  <c r="H513" i="19"/>
  <c r="I513" i="19"/>
  <c r="J513" i="19"/>
  <c r="K513" i="19"/>
  <c r="L513" i="19"/>
  <c r="M513" i="19"/>
  <c r="N513" i="19"/>
  <c r="O513" i="19"/>
  <c r="P513" i="19"/>
  <c r="Q513" i="19"/>
  <c r="F514" i="19"/>
  <c r="G514" i="19"/>
  <c r="H514" i="19"/>
  <c r="I514" i="19"/>
  <c r="J514" i="19"/>
  <c r="K514" i="19"/>
  <c r="L514" i="19"/>
  <c r="M514" i="19"/>
  <c r="N514" i="19"/>
  <c r="O514" i="19"/>
  <c r="P514" i="19"/>
  <c r="Q514" i="19"/>
  <c r="F515" i="19"/>
  <c r="G515" i="19"/>
  <c r="H515" i="19"/>
  <c r="I515" i="19"/>
  <c r="J515" i="19"/>
  <c r="K515" i="19"/>
  <c r="L515" i="19"/>
  <c r="M515" i="19"/>
  <c r="N515" i="19"/>
  <c r="O515" i="19"/>
  <c r="P515" i="19"/>
  <c r="Q515" i="19"/>
  <c r="F516" i="19"/>
  <c r="G516" i="19"/>
  <c r="H516" i="19"/>
  <c r="I516" i="19"/>
  <c r="J516" i="19"/>
  <c r="K516" i="19"/>
  <c r="L516" i="19"/>
  <c r="M516" i="19"/>
  <c r="N516" i="19"/>
  <c r="O516" i="19"/>
  <c r="P516" i="19"/>
  <c r="Q516" i="19"/>
  <c r="F517" i="19"/>
  <c r="G517" i="19"/>
  <c r="H517" i="19"/>
  <c r="I517" i="19"/>
  <c r="J517" i="19"/>
  <c r="K517" i="19"/>
  <c r="L517" i="19"/>
  <c r="M517" i="19"/>
  <c r="N517" i="19"/>
  <c r="O517" i="19"/>
  <c r="P517" i="19"/>
  <c r="Q517" i="19"/>
  <c r="F518" i="19"/>
  <c r="G518" i="19"/>
  <c r="H518" i="19"/>
  <c r="I518" i="19"/>
  <c r="J518" i="19"/>
  <c r="K518" i="19"/>
  <c r="L518" i="19"/>
  <c r="M518" i="19"/>
  <c r="N518" i="19"/>
  <c r="O518" i="19"/>
  <c r="P518" i="19"/>
  <c r="Q518" i="19"/>
  <c r="F519" i="19"/>
  <c r="G519" i="19"/>
  <c r="H519" i="19"/>
  <c r="I519" i="19"/>
  <c r="J519" i="19"/>
  <c r="K519" i="19"/>
  <c r="L519" i="19"/>
  <c r="M519" i="19"/>
  <c r="N519" i="19"/>
  <c r="O519" i="19"/>
  <c r="P519" i="19"/>
  <c r="Q519" i="19"/>
  <c r="F520" i="19"/>
  <c r="G520" i="19"/>
  <c r="H520" i="19"/>
  <c r="I520" i="19"/>
  <c r="J520" i="19"/>
  <c r="K520" i="19"/>
  <c r="L520" i="19"/>
  <c r="M520" i="19"/>
  <c r="N520" i="19"/>
  <c r="O520" i="19"/>
  <c r="P520" i="19"/>
  <c r="Q520" i="19"/>
  <c r="F521" i="19"/>
  <c r="G521" i="19"/>
  <c r="H521" i="19"/>
  <c r="I521" i="19"/>
  <c r="J521" i="19"/>
  <c r="K521" i="19"/>
  <c r="L521" i="19"/>
  <c r="M521" i="19"/>
  <c r="N521" i="19"/>
  <c r="O521" i="19"/>
  <c r="P521" i="19"/>
  <c r="Q521" i="19"/>
  <c r="F522" i="19"/>
  <c r="G522" i="19"/>
  <c r="H522" i="19"/>
  <c r="I522" i="19"/>
  <c r="J522" i="19"/>
  <c r="K522" i="19"/>
  <c r="L522" i="19"/>
  <c r="M522" i="19"/>
  <c r="N522" i="19"/>
  <c r="O522" i="19"/>
  <c r="P522" i="19"/>
  <c r="Q522" i="19"/>
  <c r="F523" i="19"/>
  <c r="G523" i="19"/>
  <c r="H523" i="19"/>
  <c r="I523" i="19"/>
  <c r="J523" i="19"/>
  <c r="K523" i="19"/>
  <c r="L523" i="19"/>
  <c r="M523" i="19"/>
  <c r="N523" i="19"/>
  <c r="O523" i="19"/>
  <c r="P523" i="19"/>
  <c r="Q523" i="19"/>
  <c r="F524" i="19"/>
  <c r="G524" i="19"/>
  <c r="H524" i="19"/>
  <c r="I524" i="19"/>
  <c r="J524" i="19"/>
  <c r="K524" i="19"/>
  <c r="L524" i="19"/>
  <c r="M524" i="19"/>
  <c r="N524" i="19"/>
  <c r="O524" i="19"/>
  <c r="P524" i="19"/>
  <c r="Q524" i="19"/>
  <c r="F525" i="19"/>
  <c r="G525" i="19"/>
  <c r="H525" i="19"/>
  <c r="I525" i="19"/>
  <c r="J525" i="19"/>
  <c r="K525" i="19"/>
  <c r="L525" i="19"/>
  <c r="M525" i="19"/>
  <c r="N525" i="19"/>
  <c r="O525" i="19"/>
  <c r="P525" i="19"/>
  <c r="Q525" i="19"/>
  <c r="F526" i="19"/>
  <c r="G526" i="19"/>
  <c r="H526" i="19"/>
  <c r="I526" i="19"/>
  <c r="J526" i="19"/>
  <c r="K526" i="19"/>
  <c r="L526" i="19"/>
  <c r="M526" i="19"/>
  <c r="N526" i="19"/>
  <c r="O526" i="19"/>
  <c r="P526" i="19"/>
  <c r="Q526" i="19"/>
  <c r="F527" i="19"/>
  <c r="G527" i="19"/>
  <c r="H527" i="19"/>
  <c r="I527" i="19"/>
  <c r="J527" i="19"/>
  <c r="K527" i="19"/>
  <c r="L527" i="19"/>
  <c r="M527" i="19"/>
  <c r="N527" i="19"/>
  <c r="O527" i="19"/>
  <c r="P527" i="19"/>
  <c r="Q527" i="19"/>
  <c r="F528" i="19"/>
  <c r="G528" i="19"/>
  <c r="H528" i="19"/>
  <c r="I528" i="19"/>
  <c r="J528" i="19"/>
  <c r="K528" i="19"/>
  <c r="L528" i="19"/>
  <c r="M528" i="19"/>
  <c r="N528" i="19"/>
  <c r="O528" i="19"/>
  <c r="P528" i="19"/>
  <c r="Q528" i="19"/>
  <c r="F529" i="19"/>
  <c r="G529" i="19"/>
  <c r="H529" i="19"/>
  <c r="I529" i="19"/>
  <c r="J529" i="19"/>
  <c r="K529" i="19"/>
  <c r="L529" i="19"/>
  <c r="M529" i="19"/>
  <c r="N529" i="19"/>
  <c r="O529" i="19"/>
  <c r="P529" i="19"/>
  <c r="Q529" i="19"/>
  <c r="F530" i="19"/>
  <c r="G530" i="19"/>
  <c r="H530" i="19"/>
  <c r="I530" i="19"/>
  <c r="J530" i="19"/>
  <c r="K530" i="19"/>
  <c r="L530" i="19"/>
  <c r="M530" i="19"/>
  <c r="N530" i="19"/>
  <c r="O530" i="19"/>
  <c r="P530" i="19"/>
  <c r="Q530" i="19"/>
  <c r="F531" i="19"/>
  <c r="G531" i="19"/>
  <c r="H531" i="19"/>
  <c r="I531" i="19"/>
  <c r="J531" i="19"/>
  <c r="K531" i="19"/>
  <c r="L531" i="19"/>
  <c r="M531" i="19"/>
  <c r="N531" i="19"/>
  <c r="O531" i="19"/>
  <c r="P531" i="19"/>
  <c r="Q531" i="19"/>
  <c r="F532" i="19"/>
  <c r="G532" i="19"/>
  <c r="H532" i="19"/>
  <c r="I532" i="19"/>
  <c r="J532" i="19"/>
  <c r="K532" i="19"/>
  <c r="L532" i="19"/>
  <c r="M532" i="19"/>
  <c r="N532" i="19"/>
  <c r="O532" i="19"/>
  <c r="P532" i="19"/>
  <c r="Q532" i="19"/>
  <c r="F533" i="19"/>
  <c r="G533" i="19"/>
  <c r="H533" i="19"/>
  <c r="I533" i="19"/>
  <c r="J533" i="19"/>
  <c r="K533" i="19"/>
  <c r="L533" i="19"/>
  <c r="M533" i="19"/>
  <c r="N533" i="19"/>
  <c r="O533" i="19"/>
  <c r="P533" i="19"/>
  <c r="Q533" i="19"/>
  <c r="F534" i="19"/>
  <c r="G534" i="19"/>
  <c r="H534" i="19"/>
  <c r="I534" i="19"/>
  <c r="J534" i="19"/>
  <c r="K534" i="19"/>
  <c r="L534" i="19"/>
  <c r="M534" i="19"/>
  <c r="N534" i="19"/>
  <c r="O534" i="19"/>
  <c r="P534" i="19"/>
  <c r="Q534" i="19"/>
  <c r="F535" i="19"/>
  <c r="G535" i="19"/>
  <c r="H535" i="19"/>
  <c r="I535" i="19"/>
  <c r="J535" i="19"/>
  <c r="K535" i="19"/>
  <c r="L535" i="19"/>
  <c r="M535" i="19"/>
  <c r="N535" i="19"/>
  <c r="O535" i="19"/>
  <c r="P535" i="19"/>
  <c r="Q535" i="19"/>
  <c r="F536" i="19"/>
  <c r="G536" i="19"/>
  <c r="H536" i="19"/>
  <c r="I536" i="19"/>
  <c r="J536" i="19"/>
  <c r="K536" i="19"/>
  <c r="L536" i="19"/>
  <c r="M536" i="19"/>
  <c r="N536" i="19"/>
  <c r="O536" i="19"/>
  <c r="P536" i="19"/>
  <c r="Q536" i="19"/>
  <c r="F537" i="19"/>
  <c r="G537" i="19"/>
  <c r="H537" i="19"/>
  <c r="I537" i="19"/>
  <c r="J537" i="19"/>
  <c r="K537" i="19"/>
  <c r="L537" i="19"/>
  <c r="M537" i="19"/>
  <c r="N537" i="19"/>
  <c r="O537" i="19"/>
  <c r="P537" i="19"/>
  <c r="Q537" i="19"/>
  <c r="F538" i="19"/>
  <c r="G538" i="19"/>
  <c r="H538" i="19"/>
  <c r="I538" i="19"/>
  <c r="J538" i="19"/>
  <c r="K538" i="19"/>
  <c r="L538" i="19"/>
  <c r="M538" i="19"/>
  <c r="N538" i="19"/>
  <c r="O538" i="19"/>
  <c r="P538" i="19"/>
  <c r="Q538" i="19"/>
  <c r="F539" i="19"/>
  <c r="G539" i="19"/>
  <c r="H539" i="19"/>
  <c r="I539" i="19"/>
  <c r="J539" i="19"/>
  <c r="K539" i="19"/>
  <c r="L539" i="19"/>
  <c r="M539" i="19"/>
  <c r="N539" i="19"/>
  <c r="O539" i="19"/>
  <c r="P539" i="19"/>
  <c r="Q539" i="19"/>
  <c r="F540" i="19"/>
  <c r="G540" i="19"/>
  <c r="H540" i="19"/>
  <c r="I540" i="19"/>
  <c r="J540" i="19"/>
  <c r="K540" i="19"/>
  <c r="L540" i="19"/>
  <c r="M540" i="19"/>
  <c r="N540" i="19"/>
  <c r="O540" i="19"/>
  <c r="P540" i="19"/>
  <c r="Q540" i="19"/>
  <c r="F541" i="19"/>
  <c r="G541" i="19"/>
  <c r="H541" i="19"/>
  <c r="I541" i="19"/>
  <c r="J541" i="19"/>
  <c r="K541" i="19"/>
  <c r="L541" i="19"/>
  <c r="M541" i="19"/>
  <c r="N541" i="19"/>
  <c r="O541" i="19"/>
  <c r="P541" i="19"/>
  <c r="Q541" i="19"/>
  <c r="F542" i="19"/>
  <c r="G542" i="19"/>
  <c r="H542" i="19"/>
  <c r="I542" i="19"/>
  <c r="J542" i="19"/>
  <c r="K542" i="19"/>
  <c r="L542" i="19"/>
  <c r="M542" i="19"/>
  <c r="N542" i="19"/>
  <c r="O542" i="19"/>
  <c r="P542" i="19"/>
  <c r="Q542" i="19"/>
  <c r="F543" i="19"/>
  <c r="G543" i="19"/>
  <c r="H543" i="19"/>
  <c r="I543" i="19"/>
  <c r="J543" i="19"/>
  <c r="K543" i="19"/>
  <c r="L543" i="19"/>
  <c r="M543" i="19"/>
  <c r="N543" i="19"/>
  <c r="O543" i="19"/>
  <c r="P543" i="19"/>
  <c r="Q543" i="19"/>
  <c r="F544" i="19"/>
  <c r="G544" i="19"/>
  <c r="H544" i="19"/>
  <c r="I544" i="19"/>
  <c r="J544" i="19"/>
  <c r="K544" i="19"/>
  <c r="L544" i="19"/>
  <c r="M544" i="19"/>
  <c r="N544" i="19"/>
  <c r="O544" i="19"/>
  <c r="P544" i="19"/>
  <c r="Q544" i="19"/>
  <c r="F545" i="19"/>
  <c r="G545" i="19"/>
  <c r="H545" i="19"/>
  <c r="I545" i="19"/>
  <c r="J545" i="19"/>
  <c r="K545" i="19"/>
  <c r="L545" i="19"/>
  <c r="M545" i="19"/>
  <c r="N545" i="19"/>
  <c r="O545" i="19"/>
  <c r="P545" i="19"/>
  <c r="Q545" i="19"/>
  <c r="F546" i="19"/>
  <c r="G546" i="19"/>
  <c r="H546" i="19"/>
  <c r="I546" i="19"/>
  <c r="J546" i="19"/>
  <c r="K546" i="19"/>
  <c r="L546" i="19"/>
  <c r="M546" i="19"/>
  <c r="N546" i="19"/>
  <c r="O546" i="19"/>
  <c r="P546" i="19"/>
  <c r="Q546" i="19"/>
  <c r="F547" i="19"/>
  <c r="G547" i="19"/>
  <c r="H547" i="19"/>
  <c r="I547" i="19"/>
  <c r="J547" i="19"/>
  <c r="K547" i="19"/>
  <c r="L547" i="19"/>
  <c r="M547" i="19"/>
  <c r="N547" i="19"/>
  <c r="O547" i="19"/>
  <c r="P547" i="19"/>
  <c r="Q547" i="19"/>
  <c r="F548" i="19"/>
  <c r="G548" i="19"/>
  <c r="H548" i="19"/>
  <c r="I548" i="19"/>
  <c r="J548" i="19"/>
  <c r="K548" i="19"/>
  <c r="L548" i="19"/>
  <c r="M548" i="19"/>
  <c r="N548" i="19"/>
  <c r="O548" i="19"/>
  <c r="P548" i="19"/>
  <c r="Q548" i="19"/>
  <c r="F549" i="19"/>
  <c r="G549" i="19"/>
  <c r="H549" i="19"/>
  <c r="I549" i="19"/>
  <c r="J549" i="19"/>
  <c r="K549" i="19"/>
  <c r="L549" i="19"/>
  <c r="M549" i="19"/>
  <c r="N549" i="19"/>
  <c r="O549" i="19"/>
  <c r="P549" i="19"/>
  <c r="Q549" i="19"/>
  <c r="F550" i="19"/>
  <c r="G550" i="19"/>
  <c r="H550" i="19"/>
  <c r="I550" i="19"/>
  <c r="J550" i="19"/>
  <c r="K550" i="19"/>
  <c r="L550" i="19"/>
  <c r="M550" i="19"/>
  <c r="N550" i="19"/>
  <c r="O550" i="19"/>
  <c r="P550" i="19"/>
  <c r="Q550" i="19"/>
  <c r="F551" i="19"/>
  <c r="G551" i="19"/>
  <c r="H551" i="19"/>
  <c r="I551" i="19"/>
  <c r="J551" i="19"/>
  <c r="K551" i="19"/>
  <c r="L551" i="19"/>
  <c r="M551" i="19"/>
  <c r="N551" i="19"/>
  <c r="O551" i="19"/>
  <c r="P551" i="19"/>
  <c r="Q551" i="19"/>
  <c r="F552" i="19"/>
  <c r="G552" i="19"/>
  <c r="H552" i="19"/>
  <c r="I552" i="19"/>
  <c r="J552" i="19"/>
  <c r="K552" i="19"/>
  <c r="L552" i="19"/>
  <c r="M552" i="19"/>
  <c r="N552" i="19"/>
  <c r="O552" i="19"/>
  <c r="P552" i="19"/>
  <c r="Q552" i="19"/>
  <c r="F553" i="19"/>
  <c r="G553" i="19"/>
  <c r="H553" i="19"/>
  <c r="I553" i="19"/>
  <c r="J553" i="19"/>
  <c r="K553" i="19"/>
  <c r="L553" i="19"/>
  <c r="M553" i="19"/>
  <c r="N553" i="19"/>
  <c r="O553" i="19"/>
  <c r="P553" i="19"/>
  <c r="Q553" i="19"/>
  <c r="F554" i="19"/>
  <c r="G554" i="19"/>
  <c r="H554" i="19"/>
  <c r="I554" i="19"/>
  <c r="J554" i="19"/>
  <c r="K554" i="19"/>
  <c r="L554" i="19"/>
  <c r="M554" i="19"/>
  <c r="N554" i="19"/>
  <c r="O554" i="19"/>
  <c r="P554" i="19"/>
  <c r="Q554" i="19"/>
  <c r="F555" i="19"/>
  <c r="G555" i="19"/>
  <c r="H555" i="19"/>
  <c r="I555" i="19"/>
  <c r="J555" i="19"/>
  <c r="K555" i="19"/>
  <c r="L555" i="19"/>
  <c r="M555" i="19"/>
  <c r="N555" i="19"/>
  <c r="O555" i="19"/>
  <c r="P555" i="19"/>
  <c r="Q555" i="19"/>
  <c r="F556" i="19"/>
  <c r="G556" i="19"/>
  <c r="H556" i="19"/>
  <c r="I556" i="19"/>
  <c r="J556" i="19"/>
  <c r="K556" i="19"/>
  <c r="L556" i="19"/>
  <c r="M556" i="19"/>
  <c r="N556" i="19"/>
  <c r="O556" i="19"/>
  <c r="P556" i="19"/>
  <c r="Q556" i="19"/>
  <c r="F557" i="19"/>
  <c r="G557" i="19"/>
  <c r="H557" i="19"/>
  <c r="I557" i="19"/>
  <c r="J557" i="19"/>
  <c r="K557" i="19"/>
  <c r="L557" i="19"/>
  <c r="M557" i="19"/>
  <c r="N557" i="19"/>
  <c r="O557" i="19"/>
  <c r="P557" i="19"/>
  <c r="Q557" i="19"/>
  <c r="F558" i="19"/>
  <c r="G558" i="19"/>
  <c r="H558" i="19"/>
  <c r="I558" i="19"/>
  <c r="J558" i="19"/>
  <c r="K558" i="19"/>
  <c r="L558" i="19"/>
  <c r="M558" i="19"/>
  <c r="N558" i="19"/>
  <c r="O558" i="19"/>
  <c r="P558" i="19"/>
  <c r="Q558" i="19"/>
  <c r="F559" i="19"/>
  <c r="G559" i="19"/>
  <c r="H559" i="19"/>
  <c r="I559" i="19"/>
  <c r="J559" i="19"/>
  <c r="K559" i="19"/>
  <c r="L559" i="19"/>
  <c r="M559" i="19"/>
  <c r="N559" i="19"/>
  <c r="O559" i="19"/>
  <c r="P559" i="19"/>
  <c r="Q559" i="19"/>
  <c r="F560" i="19"/>
  <c r="G560" i="19"/>
  <c r="H560" i="19"/>
  <c r="I560" i="19"/>
  <c r="J560" i="19"/>
  <c r="K560" i="19"/>
  <c r="L560" i="19"/>
  <c r="M560" i="19"/>
  <c r="N560" i="19"/>
  <c r="O560" i="19"/>
  <c r="P560" i="19"/>
  <c r="Q560" i="19"/>
  <c r="F561" i="19"/>
  <c r="G561" i="19"/>
  <c r="H561" i="19"/>
  <c r="I561" i="19"/>
  <c r="J561" i="19"/>
  <c r="K561" i="19"/>
  <c r="L561" i="19"/>
  <c r="M561" i="19"/>
  <c r="N561" i="19"/>
  <c r="O561" i="19"/>
  <c r="P561" i="19"/>
  <c r="Q561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F563" i="19"/>
  <c r="G563" i="19"/>
  <c r="H563" i="19"/>
  <c r="I563" i="19"/>
  <c r="J563" i="19"/>
  <c r="K563" i="19"/>
  <c r="L563" i="19"/>
  <c r="M563" i="19"/>
  <c r="N563" i="19"/>
  <c r="O563" i="19"/>
  <c r="P563" i="19"/>
  <c r="Q563" i="19"/>
  <c r="F564" i="19"/>
  <c r="G564" i="19"/>
  <c r="H564" i="19"/>
  <c r="I564" i="19"/>
  <c r="J564" i="19"/>
  <c r="K564" i="19"/>
  <c r="L564" i="19"/>
  <c r="M564" i="19"/>
  <c r="N564" i="19"/>
  <c r="O564" i="19"/>
  <c r="P564" i="19"/>
  <c r="Q564" i="19"/>
  <c r="F565" i="19"/>
  <c r="G565" i="19"/>
  <c r="H565" i="19"/>
  <c r="I565" i="19"/>
  <c r="J565" i="19"/>
  <c r="K565" i="19"/>
  <c r="L565" i="19"/>
  <c r="M565" i="19"/>
  <c r="N565" i="19"/>
  <c r="O565" i="19"/>
  <c r="P565" i="19"/>
  <c r="Q565" i="19"/>
  <c r="F566" i="19"/>
  <c r="G566" i="19"/>
  <c r="H566" i="19"/>
  <c r="I566" i="19"/>
  <c r="J566" i="19"/>
  <c r="K566" i="19"/>
  <c r="L566" i="19"/>
  <c r="M566" i="19"/>
  <c r="N566" i="19"/>
  <c r="O566" i="19"/>
  <c r="P566" i="19"/>
  <c r="Q566" i="19"/>
  <c r="F567" i="19"/>
  <c r="G567" i="19"/>
  <c r="H567" i="19"/>
  <c r="I567" i="19"/>
  <c r="J567" i="19"/>
  <c r="K567" i="19"/>
  <c r="L567" i="19"/>
  <c r="M567" i="19"/>
  <c r="N567" i="19"/>
  <c r="O567" i="19"/>
  <c r="P567" i="19"/>
  <c r="Q567" i="19"/>
  <c r="F568" i="19"/>
  <c r="G568" i="19"/>
  <c r="H568" i="19"/>
  <c r="I568" i="19"/>
  <c r="J568" i="19"/>
  <c r="K568" i="19"/>
  <c r="L568" i="19"/>
  <c r="M568" i="19"/>
  <c r="N568" i="19"/>
  <c r="O568" i="19"/>
  <c r="P568" i="19"/>
  <c r="Q568" i="19"/>
  <c r="F569" i="19"/>
  <c r="G569" i="19"/>
  <c r="H569" i="19"/>
  <c r="I569" i="19"/>
  <c r="J569" i="19"/>
  <c r="K569" i="19"/>
  <c r="L569" i="19"/>
  <c r="M569" i="19"/>
  <c r="N569" i="19"/>
  <c r="O569" i="19"/>
  <c r="P569" i="19"/>
  <c r="Q569" i="19"/>
  <c r="F570" i="19"/>
  <c r="G570" i="19"/>
  <c r="H570" i="19"/>
  <c r="I570" i="19"/>
  <c r="J570" i="19"/>
  <c r="K570" i="19"/>
  <c r="L570" i="19"/>
  <c r="M570" i="19"/>
  <c r="N570" i="19"/>
  <c r="O570" i="19"/>
  <c r="P570" i="19"/>
  <c r="Q570" i="19"/>
  <c r="F571" i="19"/>
  <c r="G571" i="19"/>
  <c r="H571" i="19"/>
  <c r="I571" i="19"/>
  <c r="J571" i="19"/>
  <c r="K571" i="19"/>
  <c r="L571" i="19"/>
  <c r="M571" i="19"/>
  <c r="N571" i="19"/>
  <c r="O571" i="19"/>
  <c r="P571" i="19"/>
  <c r="Q571" i="19"/>
  <c r="F572" i="19"/>
  <c r="G572" i="19"/>
  <c r="H572" i="19"/>
  <c r="I572" i="19"/>
  <c r="J572" i="19"/>
  <c r="K572" i="19"/>
  <c r="L572" i="19"/>
  <c r="M572" i="19"/>
  <c r="N572" i="19"/>
  <c r="O572" i="19"/>
  <c r="P572" i="19"/>
  <c r="Q572" i="19"/>
  <c r="F573" i="19"/>
  <c r="G573" i="19"/>
  <c r="H573" i="19"/>
  <c r="I573" i="19"/>
  <c r="J573" i="19"/>
  <c r="K573" i="19"/>
  <c r="L573" i="19"/>
  <c r="M573" i="19"/>
  <c r="N573" i="19"/>
  <c r="O573" i="19"/>
  <c r="P573" i="19"/>
  <c r="Q573" i="19"/>
  <c r="F574" i="19"/>
  <c r="G574" i="19"/>
  <c r="H574" i="19"/>
  <c r="I574" i="19"/>
  <c r="J574" i="19"/>
  <c r="K574" i="19"/>
  <c r="L574" i="19"/>
  <c r="M574" i="19"/>
  <c r="N574" i="19"/>
  <c r="O574" i="19"/>
  <c r="P574" i="19"/>
  <c r="Q574" i="19"/>
  <c r="F575" i="19"/>
  <c r="G575" i="19"/>
  <c r="H575" i="19"/>
  <c r="I575" i="19"/>
  <c r="J575" i="19"/>
  <c r="K575" i="19"/>
  <c r="L575" i="19"/>
  <c r="M575" i="19"/>
  <c r="N575" i="19"/>
  <c r="O575" i="19"/>
  <c r="P575" i="19"/>
  <c r="Q575" i="19"/>
  <c r="F576" i="19"/>
  <c r="G576" i="19"/>
  <c r="H576" i="19"/>
  <c r="I576" i="19"/>
  <c r="J576" i="19"/>
  <c r="K576" i="19"/>
  <c r="L576" i="19"/>
  <c r="M576" i="19"/>
  <c r="N576" i="19"/>
  <c r="O576" i="19"/>
  <c r="P576" i="19"/>
  <c r="Q576" i="19"/>
  <c r="F577" i="19"/>
  <c r="G577" i="19"/>
  <c r="H577" i="19"/>
  <c r="I577" i="19"/>
  <c r="J577" i="19"/>
  <c r="K577" i="19"/>
  <c r="L577" i="19"/>
  <c r="M577" i="19"/>
  <c r="N577" i="19"/>
  <c r="O577" i="19"/>
  <c r="P577" i="19"/>
  <c r="Q577" i="19"/>
  <c r="F578" i="19"/>
  <c r="G578" i="19"/>
  <c r="H578" i="19"/>
  <c r="I578" i="19"/>
  <c r="J578" i="19"/>
  <c r="K578" i="19"/>
  <c r="L578" i="19"/>
  <c r="M578" i="19"/>
  <c r="N578" i="19"/>
  <c r="O578" i="19"/>
  <c r="P578" i="19"/>
  <c r="Q578" i="19"/>
  <c r="F579" i="19"/>
  <c r="G579" i="19"/>
  <c r="H579" i="19"/>
  <c r="I579" i="19"/>
  <c r="J579" i="19"/>
  <c r="K579" i="19"/>
  <c r="L579" i="19"/>
  <c r="M579" i="19"/>
  <c r="N579" i="19"/>
  <c r="O579" i="19"/>
  <c r="P579" i="19"/>
  <c r="Q579" i="19"/>
  <c r="F580" i="19"/>
  <c r="G580" i="19"/>
  <c r="H580" i="19"/>
  <c r="I580" i="19"/>
  <c r="J580" i="19"/>
  <c r="K580" i="19"/>
  <c r="L580" i="19"/>
  <c r="M580" i="19"/>
  <c r="N580" i="19"/>
  <c r="O580" i="19"/>
  <c r="P580" i="19"/>
  <c r="Q580" i="19"/>
  <c r="F581" i="19"/>
  <c r="G581" i="19"/>
  <c r="H581" i="19"/>
  <c r="I581" i="19"/>
  <c r="J581" i="19"/>
  <c r="K581" i="19"/>
  <c r="L581" i="19"/>
  <c r="M581" i="19"/>
  <c r="N581" i="19"/>
  <c r="O581" i="19"/>
  <c r="P581" i="19"/>
  <c r="Q581" i="19"/>
  <c r="F582" i="19"/>
  <c r="G582" i="19"/>
  <c r="H582" i="19"/>
  <c r="I582" i="19"/>
  <c r="J582" i="19"/>
  <c r="K582" i="19"/>
  <c r="L582" i="19"/>
  <c r="M582" i="19"/>
  <c r="N582" i="19"/>
  <c r="O582" i="19"/>
  <c r="P582" i="19"/>
  <c r="Q582" i="19"/>
  <c r="F583" i="19"/>
  <c r="G583" i="19"/>
  <c r="H583" i="19"/>
  <c r="I583" i="19"/>
  <c r="J583" i="19"/>
  <c r="K583" i="19"/>
  <c r="L583" i="19"/>
  <c r="M583" i="19"/>
  <c r="N583" i="19"/>
  <c r="O583" i="19"/>
  <c r="P583" i="19"/>
  <c r="Q583" i="19"/>
  <c r="F584" i="19"/>
  <c r="G584" i="19"/>
  <c r="H584" i="19"/>
  <c r="I584" i="19"/>
  <c r="J584" i="19"/>
  <c r="K584" i="19"/>
  <c r="L584" i="19"/>
  <c r="M584" i="19"/>
  <c r="N584" i="19"/>
  <c r="O584" i="19"/>
  <c r="P584" i="19"/>
  <c r="Q584" i="19"/>
  <c r="F585" i="19"/>
  <c r="G585" i="19"/>
  <c r="H585" i="19"/>
  <c r="I585" i="19"/>
  <c r="J585" i="19"/>
  <c r="K585" i="19"/>
  <c r="L585" i="19"/>
  <c r="M585" i="19"/>
  <c r="N585" i="19"/>
  <c r="O585" i="19"/>
  <c r="P585" i="19"/>
  <c r="Q585" i="19"/>
  <c r="F586" i="19"/>
  <c r="G586" i="19"/>
  <c r="H586" i="19"/>
  <c r="I586" i="19"/>
  <c r="J586" i="19"/>
  <c r="K586" i="19"/>
  <c r="L586" i="19"/>
  <c r="M586" i="19"/>
  <c r="N586" i="19"/>
  <c r="O586" i="19"/>
  <c r="P586" i="19"/>
  <c r="Q586" i="19"/>
  <c r="F587" i="19"/>
  <c r="G587" i="19"/>
  <c r="H587" i="19"/>
  <c r="I587" i="19"/>
  <c r="J587" i="19"/>
  <c r="K587" i="19"/>
  <c r="L587" i="19"/>
  <c r="M587" i="19"/>
  <c r="N587" i="19"/>
  <c r="O587" i="19"/>
  <c r="P587" i="19"/>
  <c r="Q587" i="19"/>
  <c r="F588" i="19"/>
  <c r="G588" i="19"/>
  <c r="H588" i="19"/>
  <c r="I588" i="19"/>
  <c r="J588" i="19"/>
  <c r="K588" i="19"/>
  <c r="L588" i="19"/>
  <c r="M588" i="19"/>
  <c r="N588" i="19"/>
  <c r="O588" i="19"/>
  <c r="P588" i="19"/>
  <c r="Q588" i="19"/>
  <c r="F589" i="19"/>
  <c r="G589" i="19"/>
  <c r="H589" i="19"/>
  <c r="I589" i="19"/>
  <c r="J589" i="19"/>
  <c r="K589" i="19"/>
  <c r="L589" i="19"/>
  <c r="M589" i="19"/>
  <c r="N589" i="19"/>
  <c r="O589" i="19"/>
  <c r="P589" i="19"/>
  <c r="Q589" i="19"/>
  <c r="F590" i="19"/>
  <c r="G590" i="19"/>
  <c r="H590" i="19"/>
  <c r="I590" i="19"/>
  <c r="J590" i="19"/>
  <c r="K590" i="19"/>
  <c r="L590" i="19"/>
  <c r="M590" i="19"/>
  <c r="N590" i="19"/>
  <c r="O590" i="19"/>
  <c r="P590" i="19"/>
  <c r="Q590" i="19"/>
  <c r="F591" i="19"/>
  <c r="G591" i="19"/>
  <c r="H591" i="19"/>
  <c r="I591" i="19"/>
  <c r="J591" i="19"/>
  <c r="K591" i="19"/>
  <c r="L591" i="19"/>
  <c r="M591" i="19"/>
  <c r="N591" i="19"/>
  <c r="O591" i="19"/>
  <c r="P591" i="19"/>
  <c r="Q591" i="19"/>
  <c r="F592" i="19"/>
  <c r="G592" i="19"/>
  <c r="H592" i="19"/>
  <c r="I592" i="19"/>
  <c r="J592" i="19"/>
  <c r="K592" i="19"/>
  <c r="L592" i="19"/>
  <c r="M592" i="19"/>
  <c r="N592" i="19"/>
  <c r="O592" i="19"/>
  <c r="P592" i="19"/>
  <c r="Q592" i="19"/>
  <c r="F593" i="19"/>
  <c r="G593" i="19"/>
  <c r="H593" i="19"/>
  <c r="I593" i="19"/>
  <c r="J593" i="19"/>
  <c r="K593" i="19"/>
  <c r="L593" i="19"/>
  <c r="M593" i="19"/>
  <c r="N593" i="19"/>
  <c r="O593" i="19"/>
  <c r="P593" i="19"/>
  <c r="Q593" i="19"/>
  <c r="F594" i="19"/>
  <c r="G594" i="19"/>
  <c r="H594" i="19"/>
  <c r="I594" i="19"/>
  <c r="J594" i="19"/>
  <c r="K594" i="19"/>
  <c r="L594" i="19"/>
  <c r="M594" i="19"/>
  <c r="N594" i="19"/>
  <c r="O594" i="19"/>
  <c r="P594" i="19"/>
  <c r="Q594" i="19"/>
  <c r="F595" i="19"/>
  <c r="G595" i="19"/>
  <c r="H595" i="19"/>
  <c r="I595" i="19"/>
  <c r="J595" i="19"/>
  <c r="K595" i="19"/>
  <c r="L595" i="19"/>
  <c r="M595" i="19"/>
  <c r="N595" i="19"/>
  <c r="O595" i="19"/>
  <c r="P595" i="19"/>
  <c r="Q595" i="19"/>
  <c r="F596" i="19"/>
  <c r="G596" i="19"/>
  <c r="H596" i="19"/>
  <c r="I596" i="19"/>
  <c r="J596" i="19"/>
  <c r="K596" i="19"/>
  <c r="L596" i="19"/>
  <c r="M596" i="19"/>
  <c r="N596" i="19"/>
  <c r="O596" i="19"/>
  <c r="P596" i="19"/>
  <c r="Q596" i="19"/>
  <c r="F597" i="19"/>
  <c r="G597" i="19"/>
  <c r="H597" i="19"/>
  <c r="I597" i="19"/>
  <c r="J597" i="19"/>
  <c r="K597" i="19"/>
  <c r="L597" i="19"/>
  <c r="M597" i="19"/>
  <c r="N597" i="19"/>
  <c r="O597" i="19"/>
  <c r="P597" i="19"/>
  <c r="Q597" i="19"/>
  <c r="F598" i="19"/>
  <c r="G598" i="19"/>
  <c r="H598" i="19"/>
  <c r="I598" i="19"/>
  <c r="J598" i="19"/>
  <c r="K598" i="19"/>
  <c r="L598" i="19"/>
  <c r="M598" i="19"/>
  <c r="N598" i="19"/>
  <c r="O598" i="19"/>
  <c r="P598" i="19"/>
  <c r="Q598" i="19"/>
  <c r="F599" i="19"/>
  <c r="G599" i="19"/>
  <c r="H599" i="19"/>
  <c r="I599" i="19"/>
  <c r="J599" i="19"/>
  <c r="K599" i="19"/>
  <c r="L599" i="19"/>
  <c r="M599" i="19"/>
  <c r="N599" i="19"/>
  <c r="O599" i="19"/>
  <c r="P599" i="19"/>
  <c r="Q599" i="19"/>
  <c r="F600" i="19"/>
  <c r="G600" i="19"/>
  <c r="H600" i="19"/>
  <c r="I600" i="19"/>
  <c r="J600" i="19"/>
  <c r="K600" i="19"/>
  <c r="L600" i="19"/>
  <c r="M600" i="19"/>
  <c r="N600" i="19"/>
  <c r="O600" i="19"/>
  <c r="P600" i="19"/>
  <c r="Q600" i="19"/>
  <c r="F601" i="19"/>
  <c r="G601" i="19"/>
  <c r="H601" i="19"/>
  <c r="I601" i="19"/>
  <c r="J601" i="19"/>
  <c r="K601" i="19"/>
  <c r="L601" i="19"/>
  <c r="M601" i="19"/>
  <c r="N601" i="19"/>
  <c r="O601" i="19"/>
  <c r="P601" i="19"/>
  <c r="Q601" i="19"/>
  <c r="F602" i="19"/>
  <c r="G602" i="19"/>
  <c r="H602" i="19"/>
  <c r="I602" i="19"/>
  <c r="J602" i="19"/>
  <c r="K602" i="19"/>
  <c r="L602" i="19"/>
  <c r="M602" i="19"/>
  <c r="N602" i="19"/>
  <c r="O602" i="19"/>
  <c r="P602" i="19"/>
  <c r="Q602" i="19"/>
  <c r="F603" i="19"/>
  <c r="G603" i="19"/>
  <c r="H603" i="19"/>
  <c r="I603" i="19"/>
  <c r="J603" i="19"/>
  <c r="K603" i="19"/>
  <c r="L603" i="19"/>
  <c r="M603" i="19"/>
  <c r="N603" i="19"/>
  <c r="O603" i="19"/>
  <c r="P603" i="19"/>
  <c r="Q603" i="19"/>
  <c r="F604" i="19"/>
  <c r="G604" i="19"/>
  <c r="H604" i="19"/>
  <c r="I604" i="19"/>
  <c r="J604" i="19"/>
  <c r="K604" i="19"/>
  <c r="L604" i="19"/>
  <c r="M604" i="19"/>
  <c r="N604" i="19"/>
  <c r="O604" i="19"/>
  <c r="P604" i="19"/>
  <c r="Q604" i="19"/>
  <c r="F605" i="19"/>
  <c r="G605" i="19"/>
  <c r="H605" i="19"/>
  <c r="I605" i="19"/>
  <c r="J605" i="19"/>
  <c r="K605" i="19"/>
  <c r="L605" i="19"/>
  <c r="M605" i="19"/>
  <c r="N605" i="19"/>
  <c r="O605" i="19"/>
  <c r="P605" i="19"/>
  <c r="Q605" i="19"/>
  <c r="F606" i="19"/>
  <c r="G606" i="19"/>
  <c r="H606" i="19"/>
  <c r="I606" i="19"/>
  <c r="J606" i="19"/>
  <c r="K606" i="19"/>
  <c r="L606" i="19"/>
  <c r="M606" i="19"/>
  <c r="N606" i="19"/>
  <c r="O606" i="19"/>
  <c r="P606" i="19"/>
  <c r="Q606" i="19"/>
  <c r="F607" i="19"/>
  <c r="G607" i="19"/>
  <c r="H607" i="19"/>
  <c r="I607" i="19"/>
  <c r="J607" i="19"/>
  <c r="K607" i="19"/>
  <c r="L607" i="19"/>
  <c r="M607" i="19"/>
  <c r="N607" i="19"/>
  <c r="O607" i="19"/>
  <c r="P607" i="19"/>
  <c r="Q607" i="19"/>
  <c r="F608" i="19"/>
  <c r="G608" i="19"/>
  <c r="H608" i="19"/>
  <c r="I608" i="19"/>
  <c r="J608" i="19"/>
  <c r="K608" i="19"/>
  <c r="L608" i="19"/>
  <c r="M608" i="19"/>
  <c r="N608" i="19"/>
  <c r="O608" i="19"/>
  <c r="P608" i="19"/>
  <c r="Q608" i="19"/>
  <c r="F609" i="19"/>
  <c r="G609" i="19"/>
  <c r="H609" i="19"/>
  <c r="I609" i="19"/>
  <c r="J609" i="19"/>
  <c r="K609" i="19"/>
  <c r="L609" i="19"/>
  <c r="M609" i="19"/>
  <c r="N609" i="19"/>
  <c r="O609" i="19"/>
  <c r="P609" i="19"/>
  <c r="Q609" i="19"/>
  <c r="F610" i="19"/>
  <c r="G610" i="19"/>
  <c r="H610" i="19"/>
  <c r="I610" i="19"/>
  <c r="J610" i="19"/>
  <c r="K610" i="19"/>
  <c r="L610" i="19"/>
  <c r="M610" i="19"/>
  <c r="N610" i="19"/>
  <c r="O610" i="19"/>
  <c r="P610" i="19"/>
  <c r="Q610" i="19"/>
  <c r="F611" i="19"/>
  <c r="G611" i="19"/>
  <c r="H611" i="19"/>
  <c r="I611" i="19"/>
  <c r="J611" i="19"/>
  <c r="K611" i="19"/>
  <c r="L611" i="19"/>
  <c r="M611" i="19"/>
  <c r="N611" i="19"/>
  <c r="O611" i="19"/>
  <c r="P611" i="19"/>
  <c r="Q611" i="19"/>
  <c r="F612" i="19"/>
  <c r="G612" i="19"/>
  <c r="H612" i="19"/>
  <c r="I612" i="19"/>
  <c r="J612" i="19"/>
  <c r="K612" i="19"/>
  <c r="L612" i="19"/>
  <c r="M612" i="19"/>
  <c r="N612" i="19"/>
  <c r="O612" i="19"/>
  <c r="P612" i="19"/>
  <c r="Q612" i="19"/>
  <c r="F613" i="19"/>
  <c r="G613" i="19"/>
  <c r="H613" i="19"/>
  <c r="I613" i="19"/>
  <c r="J613" i="19"/>
  <c r="K613" i="19"/>
  <c r="L613" i="19"/>
  <c r="M613" i="19"/>
  <c r="N613" i="19"/>
  <c r="O613" i="19"/>
  <c r="P613" i="19"/>
  <c r="Q613" i="19"/>
  <c r="F614" i="19"/>
  <c r="G614" i="19"/>
  <c r="H614" i="19"/>
  <c r="I614" i="19"/>
  <c r="J614" i="19"/>
  <c r="K614" i="19"/>
  <c r="L614" i="19"/>
  <c r="M614" i="19"/>
  <c r="N614" i="19"/>
  <c r="O614" i="19"/>
  <c r="P614" i="19"/>
  <c r="Q614" i="19"/>
  <c r="F615" i="19"/>
  <c r="G615" i="19"/>
  <c r="H615" i="19"/>
  <c r="I615" i="19"/>
  <c r="J615" i="19"/>
  <c r="K615" i="19"/>
  <c r="L615" i="19"/>
  <c r="M615" i="19"/>
  <c r="N615" i="19"/>
  <c r="O615" i="19"/>
  <c r="P615" i="19"/>
  <c r="Q615" i="19"/>
  <c r="F616" i="19"/>
  <c r="G616" i="19"/>
  <c r="H616" i="19"/>
  <c r="I616" i="19"/>
  <c r="J616" i="19"/>
  <c r="K616" i="19"/>
  <c r="L616" i="19"/>
  <c r="M616" i="19"/>
  <c r="N616" i="19"/>
  <c r="O616" i="19"/>
  <c r="P616" i="19"/>
  <c r="Q616" i="19"/>
  <c r="F617" i="19"/>
  <c r="G617" i="19"/>
  <c r="H617" i="19"/>
  <c r="I617" i="19"/>
  <c r="J617" i="19"/>
  <c r="K617" i="19"/>
  <c r="L617" i="19"/>
  <c r="M617" i="19"/>
  <c r="N617" i="19"/>
  <c r="O617" i="19"/>
  <c r="P617" i="19"/>
  <c r="Q617" i="19"/>
  <c r="F618" i="19"/>
  <c r="G618" i="19"/>
  <c r="H618" i="19"/>
  <c r="I618" i="19"/>
  <c r="J618" i="19"/>
  <c r="K618" i="19"/>
  <c r="L618" i="19"/>
  <c r="M618" i="19"/>
  <c r="N618" i="19"/>
  <c r="O618" i="19"/>
  <c r="P618" i="19"/>
  <c r="Q618" i="19"/>
  <c r="F619" i="19"/>
  <c r="G619" i="19"/>
  <c r="H619" i="19"/>
  <c r="I619" i="19"/>
  <c r="J619" i="19"/>
  <c r="K619" i="19"/>
  <c r="L619" i="19"/>
  <c r="M619" i="19"/>
  <c r="N619" i="19"/>
  <c r="O619" i="19"/>
  <c r="P619" i="19"/>
  <c r="Q619" i="19"/>
  <c r="F620" i="19"/>
  <c r="G620" i="19"/>
  <c r="H620" i="19"/>
  <c r="I620" i="19"/>
  <c r="J620" i="19"/>
  <c r="K620" i="19"/>
  <c r="L620" i="19"/>
  <c r="M620" i="19"/>
  <c r="N620" i="19"/>
  <c r="O620" i="19"/>
  <c r="P620" i="19"/>
  <c r="Q620" i="19"/>
  <c r="F621" i="19"/>
  <c r="G621" i="19"/>
  <c r="H621" i="19"/>
  <c r="I621" i="19"/>
  <c r="J621" i="19"/>
  <c r="K621" i="19"/>
  <c r="L621" i="19"/>
  <c r="M621" i="19"/>
  <c r="N621" i="19"/>
  <c r="O621" i="19"/>
  <c r="P621" i="19"/>
  <c r="Q621" i="19"/>
  <c r="F622" i="19"/>
  <c r="G622" i="19"/>
  <c r="H622" i="19"/>
  <c r="I622" i="19"/>
  <c r="J622" i="19"/>
  <c r="K622" i="19"/>
  <c r="L622" i="19"/>
  <c r="M622" i="19"/>
  <c r="N622" i="19"/>
  <c r="O622" i="19"/>
  <c r="P622" i="19"/>
  <c r="Q622" i="19"/>
  <c r="F623" i="19"/>
  <c r="G623" i="19"/>
  <c r="H623" i="19"/>
  <c r="I623" i="19"/>
  <c r="J623" i="19"/>
  <c r="K623" i="19"/>
  <c r="L623" i="19"/>
  <c r="M623" i="19"/>
  <c r="N623" i="19"/>
  <c r="O623" i="19"/>
  <c r="P623" i="19"/>
  <c r="Q623" i="19"/>
  <c r="F624" i="19"/>
  <c r="G624" i="19"/>
  <c r="H624" i="19"/>
  <c r="I624" i="19"/>
  <c r="J624" i="19"/>
  <c r="K624" i="19"/>
  <c r="L624" i="19"/>
  <c r="M624" i="19"/>
  <c r="N624" i="19"/>
  <c r="O624" i="19"/>
  <c r="P624" i="19"/>
  <c r="Q624" i="19"/>
  <c r="F625" i="19"/>
  <c r="G625" i="19"/>
  <c r="H625" i="19"/>
  <c r="I625" i="19"/>
  <c r="J625" i="19"/>
  <c r="K625" i="19"/>
  <c r="L625" i="19"/>
  <c r="M625" i="19"/>
  <c r="N625" i="19"/>
  <c r="O625" i="19"/>
  <c r="P625" i="19"/>
  <c r="Q625" i="19"/>
  <c r="F626" i="19"/>
  <c r="G626" i="19"/>
  <c r="H626" i="19"/>
  <c r="I626" i="19"/>
  <c r="J626" i="19"/>
  <c r="K626" i="19"/>
  <c r="L626" i="19"/>
  <c r="M626" i="19"/>
  <c r="N626" i="19"/>
  <c r="O626" i="19"/>
  <c r="P626" i="19"/>
  <c r="Q626" i="19"/>
  <c r="F627" i="19"/>
  <c r="G627" i="19"/>
  <c r="H627" i="19"/>
  <c r="I627" i="19"/>
  <c r="J627" i="19"/>
  <c r="K627" i="19"/>
  <c r="L627" i="19"/>
  <c r="M627" i="19"/>
  <c r="N627" i="19"/>
  <c r="O627" i="19"/>
  <c r="P627" i="19"/>
  <c r="Q627" i="19"/>
  <c r="F628" i="19"/>
  <c r="G628" i="19"/>
  <c r="H628" i="19"/>
  <c r="I628" i="19"/>
  <c r="J628" i="19"/>
  <c r="K628" i="19"/>
  <c r="L628" i="19"/>
  <c r="M628" i="19"/>
  <c r="N628" i="19"/>
  <c r="O628" i="19"/>
  <c r="P628" i="19"/>
  <c r="Q628" i="19"/>
  <c r="F629" i="19"/>
  <c r="G629" i="19"/>
  <c r="H629" i="19"/>
  <c r="I629" i="19"/>
  <c r="J629" i="19"/>
  <c r="K629" i="19"/>
  <c r="L629" i="19"/>
  <c r="M629" i="19"/>
  <c r="N629" i="19"/>
  <c r="O629" i="19"/>
  <c r="P629" i="19"/>
  <c r="Q629" i="19"/>
  <c r="F630" i="19"/>
  <c r="G630" i="19"/>
  <c r="H630" i="19"/>
  <c r="I630" i="19"/>
  <c r="J630" i="19"/>
  <c r="K630" i="19"/>
  <c r="L630" i="19"/>
  <c r="M630" i="19"/>
  <c r="N630" i="19"/>
  <c r="O630" i="19"/>
  <c r="P630" i="19"/>
  <c r="Q630" i="19"/>
  <c r="F631" i="19"/>
  <c r="G631" i="19"/>
  <c r="H631" i="19"/>
  <c r="I631" i="19"/>
  <c r="J631" i="19"/>
  <c r="K631" i="19"/>
  <c r="L631" i="19"/>
  <c r="M631" i="19"/>
  <c r="N631" i="19"/>
  <c r="O631" i="19"/>
  <c r="P631" i="19"/>
  <c r="Q631" i="19"/>
  <c r="F632" i="19"/>
  <c r="G632" i="19"/>
  <c r="H632" i="19"/>
  <c r="I632" i="19"/>
  <c r="J632" i="19"/>
  <c r="K632" i="19"/>
  <c r="L632" i="19"/>
  <c r="M632" i="19"/>
  <c r="N632" i="19"/>
  <c r="O632" i="19"/>
  <c r="P632" i="19"/>
  <c r="Q632" i="19"/>
  <c r="F633" i="19"/>
  <c r="G633" i="19"/>
  <c r="H633" i="19"/>
  <c r="I633" i="19"/>
  <c r="J633" i="19"/>
  <c r="K633" i="19"/>
  <c r="L633" i="19"/>
  <c r="M633" i="19"/>
  <c r="N633" i="19"/>
  <c r="O633" i="19"/>
  <c r="P633" i="19"/>
  <c r="Q633" i="19"/>
  <c r="F634" i="19"/>
  <c r="G634" i="19"/>
  <c r="H634" i="19"/>
  <c r="I634" i="19"/>
  <c r="J634" i="19"/>
  <c r="K634" i="19"/>
  <c r="L634" i="19"/>
  <c r="M634" i="19"/>
  <c r="N634" i="19"/>
  <c r="O634" i="19"/>
  <c r="P634" i="19"/>
  <c r="Q634" i="19"/>
  <c r="F635" i="19"/>
  <c r="G635" i="19"/>
  <c r="H635" i="19"/>
  <c r="I635" i="19"/>
  <c r="J635" i="19"/>
  <c r="K635" i="19"/>
  <c r="L635" i="19"/>
  <c r="M635" i="19"/>
  <c r="N635" i="19"/>
  <c r="O635" i="19"/>
  <c r="P635" i="19"/>
  <c r="Q635" i="19"/>
  <c r="F636" i="19"/>
  <c r="G636" i="19"/>
  <c r="H636" i="19"/>
  <c r="I636" i="19"/>
  <c r="J636" i="19"/>
  <c r="K636" i="19"/>
  <c r="L636" i="19"/>
  <c r="M636" i="19"/>
  <c r="N636" i="19"/>
  <c r="O636" i="19"/>
  <c r="P636" i="19"/>
  <c r="Q636" i="19"/>
  <c r="F637" i="19"/>
  <c r="G637" i="19"/>
  <c r="H637" i="19"/>
  <c r="I637" i="19"/>
  <c r="J637" i="19"/>
  <c r="K637" i="19"/>
  <c r="L637" i="19"/>
  <c r="M637" i="19"/>
  <c r="N637" i="19"/>
  <c r="O637" i="19"/>
  <c r="P637" i="19"/>
  <c r="Q637" i="19"/>
  <c r="F638" i="19"/>
  <c r="G638" i="19"/>
  <c r="H638" i="19"/>
  <c r="I638" i="19"/>
  <c r="J638" i="19"/>
  <c r="K638" i="19"/>
  <c r="L638" i="19"/>
  <c r="M638" i="19"/>
  <c r="N638" i="19"/>
  <c r="O638" i="19"/>
  <c r="P638" i="19"/>
  <c r="Q638" i="19"/>
  <c r="F639" i="19"/>
  <c r="G639" i="19"/>
  <c r="H639" i="19"/>
  <c r="I639" i="19"/>
  <c r="J639" i="19"/>
  <c r="K639" i="19"/>
  <c r="L639" i="19"/>
  <c r="M639" i="19"/>
  <c r="N639" i="19"/>
  <c r="O639" i="19"/>
  <c r="P639" i="19"/>
  <c r="Q639" i="19"/>
  <c r="F640" i="19"/>
  <c r="G640" i="19"/>
  <c r="H640" i="19"/>
  <c r="I640" i="19"/>
  <c r="J640" i="19"/>
  <c r="K640" i="19"/>
  <c r="L640" i="19"/>
  <c r="M640" i="19"/>
  <c r="N640" i="19"/>
  <c r="O640" i="19"/>
  <c r="P640" i="19"/>
  <c r="Q640" i="19"/>
  <c r="F641" i="19"/>
  <c r="G641" i="19"/>
  <c r="H641" i="19"/>
  <c r="I641" i="19"/>
  <c r="J641" i="19"/>
  <c r="K641" i="19"/>
  <c r="L641" i="19"/>
  <c r="M641" i="19"/>
  <c r="N641" i="19"/>
  <c r="O641" i="19"/>
  <c r="P641" i="19"/>
  <c r="Q641" i="19"/>
  <c r="F642" i="19"/>
  <c r="G642" i="19"/>
  <c r="H642" i="19"/>
  <c r="I642" i="19"/>
  <c r="J642" i="19"/>
  <c r="K642" i="19"/>
  <c r="L642" i="19"/>
  <c r="M642" i="19"/>
  <c r="N642" i="19"/>
  <c r="O642" i="19"/>
  <c r="P642" i="19"/>
  <c r="Q642" i="19"/>
  <c r="F643" i="19"/>
  <c r="G643" i="19"/>
  <c r="H643" i="19"/>
  <c r="I643" i="19"/>
  <c r="J643" i="19"/>
  <c r="K643" i="19"/>
  <c r="L643" i="19"/>
  <c r="M643" i="19"/>
  <c r="N643" i="19"/>
  <c r="O643" i="19"/>
  <c r="P643" i="19"/>
  <c r="Q643" i="19"/>
  <c r="F644" i="19"/>
  <c r="G644" i="19"/>
  <c r="H644" i="19"/>
  <c r="I644" i="19"/>
  <c r="J644" i="19"/>
  <c r="K644" i="19"/>
  <c r="L644" i="19"/>
  <c r="M644" i="19"/>
  <c r="N644" i="19"/>
  <c r="O644" i="19"/>
  <c r="P644" i="19"/>
  <c r="Q644" i="19"/>
  <c r="F645" i="19"/>
  <c r="G645" i="19"/>
  <c r="H645" i="19"/>
  <c r="I645" i="19"/>
  <c r="J645" i="19"/>
  <c r="K645" i="19"/>
  <c r="L645" i="19"/>
  <c r="M645" i="19"/>
  <c r="N645" i="19"/>
  <c r="O645" i="19"/>
  <c r="P645" i="19"/>
  <c r="Q645" i="19"/>
  <c r="F646" i="19"/>
  <c r="G646" i="19"/>
  <c r="H646" i="19"/>
  <c r="I646" i="19"/>
  <c r="J646" i="19"/>
  <c r="K646" i="19"/>
  <c r="L646" i="19"/>
  <c r="M646" i="19"/>
  <c r="N646" i="19"/>
  <c r="O646" i="19"/>
  <c r="P646" i="19"/>
  <c r="Q646" i="19"/>
  <c r="F647" i="19"/>
  <c r="G647" i="19"/>
  <c r="H647" i="19"/>
  <c r="I647" i="19"/>
  <c r="J647" i="19"/>
  <c r="K647" i="19"/>
  <c r="L647" i="19"/>
  <c r="M647" i="19"/>
  <c r="N647" i="19"/>
  <c r="O647" i="19"/>
  <c r="P647" i="19"/>
  <c r="Q647" i="19"/>
  <c r="F648" i="19"/>
  <c r="G648" i="19"/>
  <c r="H648" i="19"/>
  <c r="I648" i="19"/>
  <c r="J648" i="19"/>
  <c r="K648" i="19"/>
  <c r="L648" i="19"/>
  <c r="M648" i="19"/>
  <c r="N648" i="19"/>
  <c r="O648" i="19"/>
  <c r="P648" i="19"/>
  <c r="Q648" i="19"/>
  <c r="F649" i="19"/>
  <c r="G649" i="19"/>
  <c r="H649" i="19"/>
  <c r="I649" i="19"/>
  <c r="J649" i="19"/>
  <c r="K649" i="19"/>
  <c r="L649" i="19"/>
  <c r="M649" i="19"/>
  <c r="N649" i="19"/>
  <c r="O649" i="19"/>
  <c r="P649" i="19"/>
  <c r="Q649" i="19"/>
  <c r="F650" i="19"/>
  <c r="G650" i="19"/>
  <c r="H650" i="19"/>
  <c r="I650" i="19"/>
  <c r="J650" i="19"/>
  <c r="K650" i="19"/>
  <c r="L650" i="19"/>
  <c r="M650" i="19"/>
  <c r="N650" i="19"/>
  <c r="O650" i="19"/>
  <c r="P650" i="19"/>
  <c r="Q650" i="19"/>
  <c r="F651" i="19"/>
  <c r="G651" i="19"/>
  <c r="H651" i="19"/>
  <c r="I651" i="19"/>
  <c r="J651" i="19"/>
  <c r="K651" i="19"/>
  <c r="L651" i="19"/>
  <c r="M651" i="19"/>
  <c r="N651" i="19"/>
  <c r="O651" i="19"/>
  <c r="P651" i="19"/>
  <c r="Q651" i="19"/>
  <c r="F652" i="19"/>
  <c r="G652" i="19"/>
  <c r="H652" i="19"/>
  <c r="I652" i="19"/>
  <c r="J652" i="19"/>
  <c r="K652" i="19"/>
  <c r="L652" i="19"/>
  <c r="M652" i="19"/>
  <c r="N652" i="19"/>
  <c r="O652" i="19"/>
  <c r="P652" i="19"/>
  <c r="Q652" i="19"/>
  <c r="F653" i="19"/>
  <c r="G653" i="19"/>
  <c r="H653" i="19"/>
  <c r="I653" i="19"/>
  <c r="J653" i="19"/>
  <c r="K653" i="19"/>
  <c r="L653" i="19"/>
  <c r="M653" i="19"/>
  <c r="N653" i="19"/>
  <c r="O653" i="19"/>
  <c r="P653" i="19"/>
  <c r="Q653" i="19"/>
  <c r="F654" i="19"/>
  <c r="G654" i="19"/>
  <c r="H654" i="19"/>
  <c r="I654" i="19"/>
  <c r="J654" i="19"/>
  <c r="K654" i="19"/>
  <c r="L654" i="19"/>
  <c r="M654" i="19"/>
  <c r="N654" i="19"/>
  <c r="O654" i="19"/>
  <c r="P654" i="19"/>
  <c r="Q654" i="19"/>
  <c r="F655" i="19"/>
  <c r="G655" i="19"/>
  <c r="H655" i="19"/>
  <c r="I655" i="19"/>
  <c r="J655" i="19"/>
  <c r="K655" i="19"/>
  <c r="L655" i="19"/>
  <c r="M655" i="19"/>
  <c r="N655" i="19"/>
  <c r="O655" i="19"/>
  <c r="P655" i="19"/>
  <c r="Q655" i="19"/>
  <c r="F656" i="19"/>
  <c r="G656" i="19"/>
  <c r="H656" i="19"/>
  <c r="I656" i="19"/>
  <c r="J656" i="19"/>
  <c r="K656" i="19"/>
  <c r="L656" i="19"/>
  <c r="M656" i="19"/>
  <c r="N656" i="19"/>
  <c r="O656" i="19"/>
  <c r="P656" i="19"/>
  <c r="Q656" i="19"/>
  <c r="F657" i="19"/>
  <c r="G657" i="19"/>
  <c r="H657" i="19"/>
  <c r="I657" i="19"/>
  <c r="J657" i="19"/>
  <c r="K657" i="19"/>
  <c r="L657" i="19"/>
  <c r="M657" i="19"/>
  <c r="N657" i="19"/>
  <c r="O657" i="19"/>
  <c r="P657" i="19"/>
  <c r="Q657" i="19"/>
  <c r="F658" i="19"/>
  <c r="G658" i="19"/>
  <c r="H658" i="19"/>
  <c r="I658" i="19"/>
  <c r="J658" i="19"/>
  <c r="K658" i="19"/>
  <c r="L658" i="19"/>
  <c r="M658" i="19"/>
  <c r="N658" i="19"/>
  <c r="O658" i="19"/>
  <c r="P658" i="19"/>
  <c r="Q658" i="19"/>
  <c r="F659" i="19"/>
  <c r="G659" i="19"/>
  <c r="H659" i="19"/>
  <c r="I659" i="19"/>
  <c r="J659" i="19"/>
  <c r="K659" i="19"/>
  <c r="L659" i="19"/>
  <c r="M659" i="19"/>
  <c r="N659" i="19"/>
  <c r="O659" i="19"/>
  <c r="P659" i="19"/>
  <c r="Q659" i="19"/>
  <c r="F660" i="19"/>
  <c r="G660" i="19"/>
  <c r="H660" i="19"/>
  <c r="I660" i="19"/>
  <c r="J660" i="19"/>
  <c r="K660" i="19"/>
  <c r="L660" i="19"/>
  <c r="M660" i="19"/>
  <c r="N660" i="19"/>
  <c r="O660" i="19"/>
  <c r="P660" i="19"/>
  <c r="Q660" i="19"/>
  <c r="F661" i="19"/>
  <c r="G661" i="19"/>
  <c r="H661" i="19"/>
  <c r="I661" i="19"/>
  <c r="J661" i="19"/>
  <c r="K661" i="19"/>
  <c r="L661" i="19"/>
  <c r="M661" i="19"/>
  <c r="N661" i="19"/>
  <c r="O661" i="19"/>
  <c r="P661" i="19"/>
  <c r="Q661" i="19"/>
  <c r="F662" i="19"/>
  <c r="G662" i="19"/>
  <c r="H662" i="19"/>
  <c r="I662" i="19"/>
  <c r="J662" i="19"/>
  <c r="K662" i="19"/>
  <c r="L662" i="19"/>
  <c r="M662" i="19"/>
  <c r="N662" i="19"/>
  <c r="O662" i="19"/>
  <c r="P662" i="19"/>
  <c r="Q662" i="19"/>
  <c r="F663" i="19"/>
  <c r="G663" i="19"/>
  <c r="H663" i="19"/>
  <c r="I663" i="19"/>
  <c r="J663" i="19"/>
  <c r="K663" i="19"/>
  <c r="L663" i="19"/>
  <c r="M663" i="19"/>
  <c r="N663" i="19"/>
  <c r="O663" i="19"/>
  <c r="P663" i="19"/>
  <c r="Q663" i="19"/>
  <c r="F664" i="19"/>
  <c r="G664" i="19"/>
  <c r="H664" i="19"/>
  <c r="I664" i="19"/>
  <c r="J664" i="19"/>
  <c r="K664" i="19"/>
  <c r="L664" i="19"/>
  <c r="M664" i="19"/>
  <c r="N664" i="19"/>
  <c r="O664" i="19"/>
  <c r="P664" i="19"/>
  <c r="Q664" i="19"/>
  <c r="F665" i="19"/>
  <c r="G665" i="19"/>
  <c r="H665" i="19"/>
  <c r="I665" i="19"/>
  <c r="J665" i="19"/>
  <c r="K665" i="19"/>
  <c r="L665" i="19"/>
  <c r="M665" i="19"/>
  <c r="N665" i="19"/>
  <c r="O665" i="19"/>
  <c r="P665" i="19"/>
  <c r="Q665" i="19"/>
  <c r="F666" i="19"/>
  <c r="G666" i="19"/>
  <c r="H666" i="19"/>
  <c r="I666" i="19"/>
  <c r="J666" i="19"/>
  <c r="K666" i="19"/>
  <c r="L666" i="19"/>
  <c r="M666" i="19"/>
  <c r="N666" i="19"/>
  <c r="O666" i="19"/>
  <c r="P666" i="19"/>
  <c r="Q666" i="19"/>
  <c r="F667" i="19"/>
  <c r="G667" i="19"/>
  <c r="H667" i="19"/>
  <c r="I667" i="19"/>
  <c r="J667" i="19"/>
  <c r="K667" i="19"/>
  <c r="L667" i="19"/>
  <c r="M667" i="19"/>
  <c r="N667" i="19"/>
  <c r="O667" i="19"/>
  <c r="P667" i="19"/>
  <c r="Q667" i="19"/>
  <c r="F668" i="19"/>
  <c r="G668" i="19"/>
  <c r="H668" i="19"/>
  <c r="I668" i="19"/>
  <c r="J668" i="19"/>
  <c r="K668" i="19"/>
  <c r="L668" i="19"/>
  <c r="M668" i="19"/>
  <c r="N668" i="19"/>
  <c r="O668" i="19"/>
  <c r="P668" i="19"/>
  <c r="Q668" i="19"/>
  <c r="F669" i="19"/>
  <c r="G669" i="19"/>
  <c r="H669" i="19"/>
  <c r="I669" i="19"/>
  <c r="J669" i="19"/>
  <c r="K669" i="19"/>
  <c r="L669" i="19"/>
  <c r="M669" i="19"/>
  <c r="N669" i="19"/>
  <c r="O669" i="19"/>
  <c r="P669" i="19"/>
  <c r="Q669" i="19"/>
  <c r="F670" i="19"/>
  <c r="G670" i="19"/>
  <c r="H670" i="19"/>
  <c r="I670" i="19"/>
  <c r="J670" i="19"/>
  <c r="K670" i="19"/>
  <c r="L670" i="19"/>
  <c r="M670" i="19"/>
  <c r="N670" i="19"/>
  <c r="O670" i="19"/>
  <c r="P670" i="19"/>
  <c r="Q670" i="19"/>
  <c r="F671" i="19"/>
  <c r="G671" i="19"/>
  <c r="H671" i="19"/>
  <c r="I671" i="19"/>
  <c r="J671" i="19"/>
  <c r="K671" i="19"/>
  <c r="L671" i="19"/>
  <c r="M671" i="19"/>
  <c r="N671" i="19"/>
  <c r="O671" i="19"/>
  <c r="P671" i="19"/>
  <c r="Q671" i="19"/>
  <c r="F672" i="19"/>
  <c r="G672" i="19"/>
  <c r="H672" i="19"/>
  <c r="I672" i="19"/>
  <c r="J672" i="19"/>
  <c r="K672" i="19"/>
  <c r="L672" i="19"/>
  <c r="M672" i="19"/>
  <c r="N672" i="19"/>
  <c r="O672" i="19"/>
  <c r="P672" i="19"/>
  <c r="Q672" i="19"/>
  <c r="F673" i="19"/>
  <c r="G673" i="19"/>
  <c r="H673" i="19"/>
  <c r="I673" i="19"/>
  <c r="J673" i="19"/>
  <c r="K673" i="19"/>
  <c r="L673" i="19"/>
  <c r="M673" i="19"/>
  <c r="N673" i="19"/>
  <c r="O673" i="19"/>
  <c r="P673" i="19"/>
  <c r="Q673" i="19"/>
  <c r="F674" i="19"/>
  <c r="G674" i="19"/>
  <c r="H674" i="19"/>
  <c r="I674" i="19"/>
  <c r="J674" i="19"/>
  <c r="K674" i="19"/>
  <c r="L674" i="19"/>
  <c r="M674" i="19"/>
  <c r="N674" i="19"/>
  <c r="O674" i="19"/>
  <c r="P674" i="19"/>
  <c r="Q674" i="19"/>
  <c r="F675" i="19"/>
  <c r="G675" i="19"/>
  <c r="H675" i="19"/>
  <c r="I675" i="19"/>
  <c r="J675" i="19"/>
  <c r="K675" i="19"/>
  <c r="L675" i="19"/>
  <c r="M675" i="19"/>
  <c r="N675" i="19"/>
  <c r="O675" i="19"/>
  <c r="P675" i="19"/>
  <c r="Q675" i="19"/>
  <c r="F676" i="19"/>
  <c r="G676" i="19"/>
  <c r="H676" i="19"/>
  <c r="I676" i="19"/>
  <c r="J676" i="19"/>
  <c r="K676" i="19"/>
  <c r="L676" i="19"/>
  <c r="M676" i="19"/>
  <c r="N676" i="19"/>
  <c r="O676" i="19"/>
  <c r="P676" i="19"/>
  <c r="Q676" i="19"/>
  <c r="F677" i="19"/>
  <c r="G677" i="19"/>
  <c r="H677" i="19"/>
  <c r="I677" i="19"/>
  <c r="J677" i="19"/>
  <c r="K677" i="19"/>
  <c r="L677" i="19"/>
  <c r="M677" i="19"/>
  <c r="N677" i="19"/>
  <c r="O677" i="19"/>
  <c r="P677" i="19"/>
  <c r="Q677" i="19"/>
  <c r="F678" i="19"/>
  <c r="G678" i="19"/>
  <c r="H678" i="19"/>
  <c r="I678" i="19"/>
  <c r="J678" i="19"/>
  <c r="K678" i="19"/>
  <c r="L678" i="19"/>
  <c r="M678" i="19"/>
  <c r="N678" i="19"/>
  <c r="O678" i="19"/>
  <c r="P678" i="19"/>
  <c r="Q678" i="19"/>
  <c r="F679" i="19"/>
  <c r="G679" i="19"/>
  <c r="H679" i="19"/>
  <c r="I679" i="19"/>
  <c r="J679" i="19"/>
  <c r="K679" i="19"/>
  <c r="L679" i="19"/>
  <c r="M679" i="19"/>
  <c r="N679" i="19"/>
  <c r="O679" i="19"/>
  <c r="P679" i="19"/>
  <c r="Q679" i="19"/>
  <c r="F680" i="19"/>
  <c r="G680" i="19"/>
  <c r="H680" i="19"/>
  <c r="I680" i="19"/>
  <c r="J680" i="19"/>
  <c r="K680" i="19"/>
  <c r="L680" i="19"/>
  <c r="M680" i="19"/>
  <c r="N680" i="19"/>
  <c r="O680" i="19"/>
  <c r="P680" i="19"/>
  <c r="Q680" i="19"/>
  <c r="F681" i="19"/>
  <c r="G681" i="19"/>
  <c r="H681" i="19"/>
  <c r="I681" i="19"/>
  <c r="J681" i="19"/>
  <c r="K681" i="19"/>
  <c r="L681" i="19"/>
  <c r="M681" i="19"/>
  <c r="N681" i="19"/>
  <c r="O681" i="19"/>
  <c r="P681" i="19"/>
  <c r="Q681" i="19"/>
  <c r="F682" i="19"/>
  <c r="G682" i="19"/>
  <c r="H682" i="19"/>
  <c r="I682" i="19"/>
  <c r="J682" i="19"/>
  <c r="K682" i="19"/>
  <c r="L682" i="19"/>
  <c r="M682" i="19"/>
  <c r="N682" i="19"/>
  <c r="O682" i="19"/>
  <c r="P682" i="19"/>
  <c r="Q682" i="19"/>
  <c r="F683" i="19"/>
  <c r="G683" i="19"/>
  <c r="H683" i="19"/>
  <c r="I683" i="19"/>
  <c r="J683" i="19"/>
  <c r="K683" i="19"/>
  <c r="L683" i="19"/>
  <c r="M683" i="19"/>
  <c r="N683" i="19"/>
  <c r="O683" i="19"/>
  <c r="P683" i="19"/>
  <c r="Q683" i="19"/>
  <c r="F684" i="19"/>
  <c r="G684" i="19"/>
  <c r="H684" i="19"/>
  <c r="I684" i="19"/>
  <c r="J684" i="19"/>
  <c r="K684" i="19"/>
  <c r="L684" i="19"/>
  <c r="M684" i="19"/>
  <c r="N684" i="19"/>
  <c r="O684" i="19"/>
  <c r="P684" i="19"/>
  <c r="Q684" i="19"/>
  <c r="F685" i="19"/>
  <c r="G685" i="19"/>
  <c r="H685" i="19"/>
  <c r="I685" i="19"/>
  <c r="J685" i="19"/>
  <c r="K685" i="19"/>
  <c r="L685" i="19"/>
  <c r="M685" i="19"/>
  <c r="N685" i="19"/>
  <c r="O685" i="19"/>
  <c r="P685" i="19"/>
  <c r="Q685" i="19"/>
  <c r="F686" i="19"/>
  <c r="G686" i="19"/>
  <c r="H686" i="19"/>
  <c r="I686" i="19"/>
  <c r="J686" i="19"/>
  <c r="K686" i="19"/>
  <c r="L686" i="19"/>
  <c r="M686" i="19"/>
  <c r="N686" i="19"/>
  <c r="O686" i="19"/>
  <c r="P686" i="19"/>
  <c r="Q686" i="19"/>
  <c r="F687" i="19"/>
  <c r="G687" i="19"/>
  <c r="H687" i="19"/>
  <c r="I687" i="19"/>
  <c r="J687" i="19"/>
  <c r="K687" i="19"/>
  <c r="L687" i="19"/>
  <c r="M687" i="19"/>
  <c r="N687" i="19"/>
  <c r="O687" i="19"/>
  <c r="P687" i="19"/>
  <c r="Q687" i="19"/>
  <c r="F688" i="19"/>
  <c r="G688" i="19"/>
  <c r="H688" i="19"/>
  <c r="I688" i="19"/>
  <c r="J688" i="19"/>
  <c r="K688" i="19"/>
  <c r="L688" i="19"/>
  <c r="M688" i="19"/>
  <c r="N688" i="19"/>
  <c r="O688" i="19"/>
  <c r="P688" i="19"/>
  <c r="Q688" i="19"/>
  <c r="F689" i="19"/>
  <c r="G689" i="19"/>
  <c r="H689" i="19"/>
  <c r="I689" i="19"/>
  <c r="J689" i="19"/>
  <c r="K689" i="19"/>
  <c r="L689" i="19"/>
  <c r="M689" i="19"/>
  <c r="N689" i="19"/>
  <c r="O689" i="19"/>
  <c r="P689" i="19"/>
  <c r="Q689" i="19"/>
  <c r="F690" i="19"/>
  <c r="G690" i="19"/>
  <c r="H690" i="19"/>
  <c r="I690" i="19"/>
  <c r="J690" i="19"/>
  <c r="K690" i="19"/>
  <c r="L690" i="19"/>
  <c r="M690" i="19"/>
  <c r="N690" i="19"/>
  <c r="O690" i="19"/>
  <c r="P690" i="19"/>
  <c r="Q690" i="19"/>
  <c r="F691" i="19"/>
  <c r="G691" i="19"/>
  <c r="H691" i="19"/>
  <c r="I691" i="19"/>
  <c r="J691" i="19"/>
  <c r="K691" i="19"/>
  <c r="L691" i="19"/>
  <c r="M691" i="19"/>
  <c r="N691" i="19"/>
  <c r="O691" i="19"/>
  <c r="P691" i="19"/>
  <c r="Q691" i="19"/>
  <c r="F692" i="19"/>
  <c r="G692" i="19"/>
  <c r="H692" i="19"/>
  <c r="I692" i="19"/>
  <c r="J692" i="19"/>
  <c r="K692" i="19"/>
  <c r="L692" i="19"/>
  <c r="M692" i="19"/>
  <c r="N692" i="19"/>
  <c r="O692" i="19"/>
  <c r="P692" i="19"/>
  <c r="Q692" i="19"/>
  <c r="F693" i="19"/>
  <c r="G693" i="19"/>
  <c r="H693" i="19"/>
  <c r="I693" i="19"/>
  <c r="J693" i="19"/>
  <c r="K693" i="19"/>
  <c r="L693" i="19"/>
  <c r="M693" i="19"/>
  <c r="N693" i="19"/>
  <c r="O693" i="19"/>
  <c r="P693" i="19"/>
  <c r="Q693" i="19"/>
  <c r="F694" i="19"/>
  <c r="G694" i="19"/>
  <c r="H694" i="19"/>
  <c r="I694" i="19"/>
  <c r="J694" i="19"/>
  <c r="K694" i="19"/>
  <c r="L694" i="19"/>
  <c r="M694" i="19"/>
  <c r="N694" i="19"/>
  <c r="O694" i="19"/>
  <c r="P694" i="19"/>
  <c r="Q694" i="19"/>
  <c r="F695" i="19"/>
  <c r="G695" i="19"/>
  <c r="H695" i="19"/>
  <c r="I695" i="19"/>
  <c r="J695" i="19"/>
  <c r="K695" i="19"/>
  <c r="L695" i="19"/>
  <c r="M695" i="19"/>
  <c r="N695" i="19"/>
  <c r="O695" i="19"/>
  <c r="P695" i="19"/>
  <c r="Q695" i="19"/>
  <c r="F696" i="19"/>
  <c r="G696" i="19"/>
  <c r="H696" i="19"/>
  <c r="I696" i="19"/>
  <c r="J696" i="19"/>
  <c r="K696" i="19"/>
  <c r="L696" i="19"/>
  <c r="M696" i="19"/>
  <c r="N696" i="19"/>
  <c r="O696" i="19"/>
  <c r="P696" i="19"/>
  <c r="Q696" i="19"/>
  <c r="F697" i="19"/>
  <c r="G697" i="19"/>
  <c r="H697" i="19"/>
  <c r="I697" i="19"/>
  <c r="J697" i="19"/>
  <c r="K697" i="19"/>
  <c r="L697" i="19"/>
  <c r="M697" i="19"/>
  <c r="N697" i="19"/>
  <c r="O697" i="19"/>
  <c r="P697" i="19"/>
  <c r="Q697" i="19"/>
  <c r="F698" i="19"/>
  <c r="G698" i="19"/>
  <c r="H698" i="19"/>
  <c r="I698" i="19"/>
  <c r="J698" i="19"/>
  <c r="K698" i="19"/>
  <c r="L698" i="19"/>
  <c r="M698" i="19"/>
  <c r="N698" i="19"/>
  <c r="O698" i="19"/>
  <c r="P698" i="19"/>
  <c r="Q698" i="19"/>
  <c r="F699" i="19"/>
  <c r="G699" i="19"/>
  <c r="H699" i="19"/>
  <c r="I699" i="19"/>
  <c r="J699" i="19"/>
  <c r="K699" i="19"/>
  <c r="L699" i="19"/>
  <c r="M699" i="19"/>
  <c r="N699" i="19"/>
  <c r="O699" i="19"/>
  <c r="P699" i="19"/>
  <c r="Q699" i="19"/>
  <c r="F700" i="19"/>
  <c r="G700" i="19"/>
  <c r="H700" i="19"/>
  <c r="I700" i="19"/>
  <c r="J700" i="19"/>
  <c r="K700" i="19"/>
  <c r="L700" i="19"/>
  <c r="M700" i="19"/>
  <c r="N700" i="19"/>
  <c r="O700" i="19"/>
  <c r="P700" i="19"/>
  <c r="Q700" i="19"/>
  <c r="F701" i="19"/>
  <c r="G701" i="19"/>
  <c r="H701" i="19"/>
  <c r="I701" i="19"/>
  <c r="J701" i="19"/>
  <c r="K701" i="19"/>
  <c r="L701" i="19"/>
  <c r="M701" i="19"/>
  <c r="N701" i="19"/>
  <c r="O701" i="19"/>
  <c r="P701" i="19"/>
  <c r="Q701" i="19"/>
  <c r="F702" i="19"/>
  <c r="G702" i="19"/>
  <c r="H702" i="19"/>
  <c r="I702" i="19"/>
  <c r="J702" i="19"/>
  <c r="K702" i="19"/>
  <c r="L702" i="19"/>
  <c r="M702" i="19"/>
  <c r="N702" i="19"/>
  <c r="O702" i="19"/>
  <c r="P702" i="19"/>
  <c r="Q702" i="19"/>
  <c r="F703" i="19"/>
  <c r="G703" i="19"/>
  <c r="H703" i="19"/>
  <c r="I703" i="19"/>
  <c r="J703" i="19"/>
  <c r="K703" i="19"/>
  <c r="L703" i="19"/>
  <c r="M703" i="19"/>
  <c r="N703" i="19"/>
  <c r="O703" i="19"/>
  <c r="P703" i="19"/>
  <c r="Q703" i="19"/>
  <c r="F704" i="19"/>
  <c r="G704" i="19"/>
  <c r="H704" i="19"/>
  <c r="I704" i="19"/>
  <c r="J704" i="19"/>
  <c r="K704" i="19"/>
  <c r="L704" i="19"/>
  <c r="M704" i="19"/>
  <c r="N704" i="19"/>
  <c r="O704" i="19"/>
  <c r="P704" i="19"/>
  <c r="Q704" i="19"/>
  <c r="F705" i="19"/>
  <c r="G705" i="19"/>
  <c r="H705" i="19"/>
  <c r="I705" i="19"/>
  <c r="J705" i="19"/>
  <c r="K705" i="19"/>
  <c r="L705" i="19"/>
  <c r="M705" i="19"/>
  <c r="N705" i="19"/>
  <c r="O705" i="19"/>
  <c r="P705" i="19"/>
  <c r="Q705" i="19"/>
  <c r="F706" i="19"/>
  <c r="G706" i="19"/>
  <c r="H706" i="19"/>
  <c r="I706" i="19"/>
  <c r="J706" i="19"/>
  <c r="K706" i="19"/>
  <c r="L706" i="19"/>
  <c r="M706" i="19"/>
  <c r="N706" i="19"/>
  <c r="O706" i="19"/>
  <c r="P706" i="19"/>
  <c r="Q706" i="19"/>
  <c r="F707" i="19"/>
  <c r="G707" i="19"/>
  <c r="H707" i="19"/>
  <c r="I707" i="19"/>
  <c r="J707" i="19"/>
  <c r="K707" i="19"/>
  <c r="L707" i="19"/>
  <c r="M707" i="19"/>
  <c r="N707" i="19"/>
  <c r="O707" i="19"/>
  <c r="P707" i="19"/>
  <c r="Q707" i="19"/>
  <c r="F708" i="19"/>
  <c r="G708" i="19"/>
  <c r="H708" i="19"/>
  <c r="I708" i="19"/>
  <c r="J708" i="19"/>
  <c r="K708" i="19"/>
  <c r="L708" i="19"/>
  <c r="M708" i="19"/>
  <c r="N708" i="19"/>
  <c r="O708" i="19"/>
  <c r="P708" i="19"/>
  <c r="Q708" i="19"/>
  <c r="F709" i="19"/>
  <c r="G709" i="19"/>
  <c r="H709" i="19"/>
  <c r="I709" i="19"/>
  <c r="J709" i="19"/>
  <c r="K709" i="19"/>
  <c r="L709" i="19"/>
  <c r="M709" i="19"/>
  <c r="N709" i="19"/>
  <c r="O709" i="19"/>
  <c r="P709" i="19"/>
  <c r="Q709" i="19"/>
  <c r="F710" i="19"/>
  <c r="G710" i="19"/>
  <c r="H710" i="19"/>
  <c r="I710" i="19"/>
  <c r="J710" i="19"/>
  <c r="K710" i="19"/>
  <c r="L710" i="19"/>
  <c r="M710" i="19"/>
  <c r="N710" i="19"/>
  <c r="O710" i="19"/>
  <c r="P710" i="19"/>
  <c r="Q710" i="19"/>
  <c r="F711" i="19"/>
  <c r="G711" i="19"/>
  <c r="H711" i="19"/>
  <c r="I711" i="19"/>
  <c r="J711" i="19"/>
  <c r="K711" i="19"/>
  <c r="L711" i="19"/>
  <c r="M711" i="19"/>
  <c r="N711" i="19"/>
  <c r="O711" i="19"/>
  <c r="P711" i="19"/>
  <c r="Q711" i="19"/>
  <c r="F712" i="19"/>
  <c r="G712" i="19"/>
  <c r="H712" i="19"/>
  <c r="I712" i="19"/>
  <c r="J712" i="19"/>
  <c r="K712" i="19"/>
  <c r="L712" i="19"/>
  <c r="M712" i="19"/>
  <c r="N712" i="19"/>
  <c r="O712" i="19"/>
  <c r="P712" i="19"/>
  <c r="Q712" i="19"/>
  <c r="F713" i="19"/>
  <c r="G713" i="19"/>
  <c r="H713" i="19"/>
  <c r="I713" i="19"/>
  <c r="J713" i="19"/>
  <c r="K713" i="19"/>
  <c r="L713" i="19"/>
  <c r="M713" i="19"/>
  <c r="N713" i="19"/>
  <c r="O713" i="19"/>
  <c r="P713" i="19"/>
  <c r="Q713" i="19"/>
  <c r="F714" i="19"/>
  <c r="G714" i="19"/>
  <c r="H714" i="19"/>
  <c r="I714" i="19"/>
  <c r="J714" i="19"/>
  <c r="K714" i="19"/>
  <c r="L714" i="19"/>
  <c r="M714" i="19"/>
  <c r="N714" i="19"/>
  <c r="O714" i="19"/>
  <c r="P714" i="19"/>
  <c r="Q714" i="19"/>
  <c r="F715" i="19"/>
  <c r="G715" i="19"/>
  <c r="H715" i="19"/>
  <c r="I715" i="19"/>
  <c r="J715" i="19"/>
  <c r="K715" i="19"/>
  <c r="L715" i="19"/>
  <c r="M715" i="19"/>
  <c r="N715" i="19"/>
  <c r="O715" i="19"/>
  <c r="P715" i="19"/>
  <c r="Q715" i="19"/>
  <c r="Z1262" i="19" l="1"/>
  <c r="Z1261" i="19" s="1"/>
  <c r="W1262" i="19"/>
  <c r="W1261" i="19" s="1"/>
  <c r="AD1262" i="19"/>
  <c r="AD1261" i="19" s="1"/>
  <c r="V1262" i="19"/>
  <c r="V1261" i="19" s="1"/>
  <c r="AC1262" i="19"/>
  <c r="AC1261" i="19" s="1"/>
  <c r="U1262" i="19"/>
  <c r="U1261" i="19" s="1"/>
  <c r="AB1262" i="19"/>
  <c r="AB1261" i="19" s="1"/>
  <c r="T1262" i="19"/>
  <c r="T1261" i="19" s="1"/>
  <c r="AA1262" i="19"/>
  <c r="S1262" i="19"/>
  <c r="X1262" i="19"/>
  <c r="Y1262" i="19"/>
  <c r="K7" i="8"/>
  <c r="Q7" i="8" s="1"/>
  <c r="R22" i="21" l="1"/>
  <c r="T22" i="21"/>
  <c r="T1260" i="19"/>
  <c r="V1260" i="19"/>
  <c r="AC1260" i="19"/>
  <c r="Y1261" i="19"/>
  <c r="AB1260" i="19"/>
  <c r="W1260" i="19"/>
  <c r="AA1261" i="19"/>
  <c r="X1261" i="19"/>
  <c r="AD1260" i="19"/>
  <c r="U1260" i="19"/>
  <c r="S1261" i="19"/>
  <c r="Z1260" i="19"/>
  <c r="G7" i="17"/>
  <c r="G8" i="17"/>
  <c r="G9" i="17"/>
  <c r="G10" i="17"/>
  <c r="G11" i="17"/>
  <c r="G12" i="17"/>
  <c r="G13" i="17"/>
  <c r="G14" i="17"/>
  <c r="G15" i="17"/>
  <c r="G16" i="17"/>
  <c r="G17" i="17"/>
  <c r="G6" i="17"/>
  <c r="X1260" i="19" l="1"/>
  <c r="AC1259" i="19"/>
  <c r="Y1260" i="19"/>
  <c r="S1260" i="19"/>
  <c r="AA1260" i="19"/>
  <c r="U1259" i="19"/>
  <c r="W1259" i="19"/>
  <c r="V1259" i="19"/>
  <c r="Z1259" i="19"/>
  <c r="AD1259" i="19"/>
  <c r="AB1259" i="19"/>
  <c r="T1259" i="19"/>
  <c r="F286" i="19"/>
  <c r="G286" i="19"/>
  <c r="H286" i="19"/>
  <c r="I286" i="19"/>
  <c r="J286" i="19"/>
  <c r="K286" i="19"/>
  <c r="L286" i="19"/>
  <c r="M286" i="19"/>
  <c r="N286" i="19"/>
  <c r="O286" i="19"/>
  <c r="P286" i="19"/>
  <c r="Q286" i="19"/>
  <c r="T1258" i="19" l="1"/>
  <c r="V1258" i="19"/>
  <c r="Y1259" i="19"/>
  <c r="AB1258" i="19"/>
  <c r="W1258" i="19"/>
  <c r="U1258" i="19"/>
  <c r="AC1258" i="19"/>
  <c r="S1259" i="19"/>
  <c r="AD1258" i="19"/>
  <c r="Z1258" i="19"/>
  <c r="AA1259" i="19"/>
  <c r="X1259" i="19"/>
  <c r="K6" i="20"/>
  <c r="R6" i="20" s="1"/>
  <c r="L6" i="20"/>
  <c r="M6" i="20"/>
  <c r="N6" i="20"/>
  <c r="O6" i="20"/>
  <c r="P6" i="20"/>
  <c r="U6" i="20"/>
  <c r="V6" i="20"/>
  <c r="W6" i="20"/>
  <c r="X6" i="20"/>
  <c r="Y6" i="20"/>
  <c r="Z6" i="20"/>
  <c r="AA6" i="20"/>
  <c r="AB6" i="20"/>
  <c r="AC6" i="20"/>
  <c r="AD6" i="20"/>
  <c r="AE6" i="20"/>
  <c r="AF6" i="20"/>
  <c r="K7" i="20"/>
  <c r="R7" i="20" s="1"/>
  <c r="L7" i="20"/>
  <c r="M7" i="20"/>
  <c r="N7" i="20"/>
  <c r="O7" i="20"/>
  <c r="P7" i="20"/>
  <c r="U7" i="20"/>
  <c r="V7" i="20"/>
  <c r="W7" i="20"/>
  <c r="X7" i="20"/>
  <c r="Y7" i="20"/>
  <c r="Z7" i="20"/>
  <c r="AA7" i="20"/>
  <c r="AB7" i="20"/>
  <c r="AC7" i="20"/>
  <c r="AD7" i="20"/>
  <c r="AE7" i="20"/>
  <c r="AF7" i="20"/>
  <c r="K8" i="20"/>
  <c r="R8" i="20" s="1"/>
  <c r="L8" i="20"/>
  <c r="M8" i="20"/>
  <c r="N8" i="20"/>
  <c r="O8" i="20"/>
  <c r="P8" i="20"/>
  <c r="U8" i="20"/>
  <c r="V8" i="20"/>
  <c r="W8" i="20"/>
  <c r="X8" i="20"/>
  <c r="Y8" i="20"/>
  <c r="Z8" i="20"/>
  <c r="AA8" i="20"/>
  <c r="AB8" i="20"/>
  <c r="AC8" i="20"/>
  <c r="AD8" i="20"/>
  <c r="AE8" i="20"/>
  <c r="AF8" i="20"/>
  <c r="K9" i="20"/>
  <c r="L9" i="20"/>
  <c r="M9" i="20"/>
  <c r="O9" i="20"/>
  <c r="P9" i="20"/>
  <c r="U9" i="20"/>
  <c r="V9" i="20"/>
  <c r="W9" i="20"/>
  <c r="X9" i="20"/>
  <c r="Y9" i="20"/>
  <c r="Z9" i="20"/>
  <c r="AA9" i="20"/>
  <c r="AB9" i="20"/>
  <c r="AC9" i="20"/>
  <c r="AD9" i="20"/>
  <c r="AE9" i="20"/>
  <c r="AF9" i="20"/>
  <c r="K10" i="20"/>
  <c r="L10" i="20"/>
  <c r="M10" i="20"/>
  <c r="O10" i="20"/>
  <c r="P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K11" i="20"/>
  <c r="R11" i="20" s="1"/>
  <c r="L11" i="20"/>
  <c r="M11" i="20"/>
  <c r="O11" i="20"/>
  <c r="P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K12" i="20"/>
  <c r="R12" i="20" s="1"/>
  <c r="L12" i="20"/>
  <c r="M12" i="20"/>
  <c r="N12" i="20"/>
  <c r="O12" i="20"/>
  <c r="P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K13" i="20"/>
  <c r="L13" i="20"/>
  <c r="M13" i="20"/>
  <c r="O13" i="20"/>
  <c r="P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K14" i="20"/>
  <c r="L14" i="20"/>
  <c r="M14" i="20"/>
  <c r="O14" i="20"/>
  <c r="P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K15" i="20"/>
  <c r="R15" i="20" s="1"/>
  <c r="L15" i="20"/>
  <c r="M15" i="20"/>
  <c r="N15" i="20"/>
  <c r="O15" i="20"/>
  <c r="P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K16" i="20"/>
  <c r="R16" i="20" s="1"/>
  <c r="L16" i="20"/>
  <c r="M16" i="20"/>
  <c r="O16" i="20"/>
  <c r="P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K17" i="20"/>
  <c r="L17" i="20"/>
  <c r="M17" i="20"/>
  <c r="O17" i="20"/>
  <c r="P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K18" i="20"/>
  <c r="L18" i="20"/>
  <c r="M18" i="20"/>
  <c r="O18" i="20"/>
  <c r="P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K19" i="20"/>
  <c r="R19" i="20" s="1"/>
  <c r="L19" i="20"/>
  <c r="M19" i="20"/>
  <c r="O19" i="20"/>
  <c r="P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K20" i="20"/>
  <c r="R20" i="20" s="1"/>
  <c r="L20" i="20"/>
  <c r="M20" i="20"/>
  <c r="N20" i="20"/>
  <c r="O20" i="20"/>
  <c r="P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K21" i="20"/>
  <c r="R21" i="20" s="1"/>
  <c r="L21" i="20"/>
  <c r="M21" i="20"/>
  <c r="O21" i="20"/>
  <c r="P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K22" i="20"/>
  <c r="L22" i="20"/>
  <c r="M22" i="20"/>
  <c r="O22" i="20"/>
  <c r="P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N13" i="20" l="1"/>
  <c r="R13" i="20"/>
  <c r="N18" i="20"/>
  <c r="R18" i="20"/>
  <c r="N16" i="20"/>
  <c r="N11" i="20"/>
  <c r="N10" i="20"/>
  <c r="R10" i="20"/>
  <c r="N19" i="20"/>
  <c r="N17" i="20"/>
  <c r="R17" i="20"/>
  <c r="N9" i="20"/>
  <c r="R9" i="20"/>
  <c r="N22" i="20"/>
  <c r="R22" i="20"/>
  <c r="N14" i="20"/>
  <c r="R14" i="20"/>
  <c r="S1258" i="19"/>
  <c r="AB1257" i="19"/>
  <c r="AA1258" i="19"/>
  <c r="Y1258" i="19"/>
  <c r="AC1257" i="19"/>
  <c r="Z1257" i="19"/>
  <c r="X1258" i="19"/>
  <c r="U1257" i="19"/>
  <c r="V1257" i="19"/>
  <c r="AD1257" i="19"/>
  <c r="W1257" i="19"/>
  <c r="T1257" i="19"/>
  <c r="N21" i="20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P20" i="16"/>
  <c r="O20" i="16"/>
  <c r="N20" i="16"/>
  <c r="M20" i="16"/>
  <c r="L20" i="16"/>
  <c r="K20" i="16"/>
  <c r="S20" i="16" s="1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P19" i="16"/>
  <c r="O19" i="16"/>
  <c r="N19" i="16"/>
  <c r="M19" i="16"/>
  <c r="L19" i="16"/>
  <c r="K19" i="16"/>
  <c r="S19" i="16" s="1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P18" i="16"/>
  <c r="O18" i="16"/>
  <c r="N18" i="16"/>
  <c r="M18" i="16"/>
  <c r="L18" i="16"/>
  <c r="K18" i="16"/>
  <c r="S18" i="16" s="1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P17" i="16"/>
  <c r="O17" i="16"/>
  <c r="N17" i="16"/>
  <c r="M17" i="16"/>
  <c r="L17" i="16"/>
  <c r="K17" i="16"/>
  <c r="S17" i="16" s="1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P16" i="16"/>
  <c r="O16" i="16"/>
  <c r="M16" i="16"/>
  <c r="L16" i="16"/>
  <c r="K16" i="16"/>
  <c r="S16" i="16" s="1"/>
  <c r="K13" i="15"/>
  <c r="S13" i="15" s="1"/>
  <c r="L13" i="15"/>
  <c r="M13" i="15"/>
  <c r="N13" i="15"/>
  <c r="O13" i="15"/>
  <c r="P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K14" i="15"/>
  <c r="S14" i="15" s="1"/>
  <c r="L14" i="15"/>
  <c r="M14" i="15"/>
  <c r="N14" i="15"/>
  <c r="O14" i="15"/>
  <c r="P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P16" i="15"/>
  <c r="O16" i="15"/>
  <c r="N16" i="15"/>
  <c r="M16" i="15"/>
  <c r="L16" i="15"/>
  <c r="K16" i="15"/>
  <c r="S16" i="15" s="1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P15" i="15"/>
  <c r="O15" i="15"/>
  <c r="N15" i="15"/>
  <c r="M15" i="15"/>
  <c r="L15" i="15"/>
  <c r="K15" i="15"/>
  <c r="S15" i="15" s="1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P12" i="15"/>
  <c r="O12" i="15"/>
  <c r="M12" i="15"/>
  <c r="L12" i="15"/>
  <c r="K12" i="15"/>
  <c r="R12" i="15" s="1"/>
  <c r="L14" i="14"/>
  <c r="L15" i="14"/>
  <c r="L16" i="14"/>
  <c r="L17" i="14"/>
  <c r="L18" i="14"/>
  <c r="L19" i="14"/>
  <c r="L20" i="14"/>
  <c r="K14" i="14"/>
  <c r="S14" i="14" s="1"/>
  <c r="K15" i="14"/>
  <c r="S15" i="14" s="1"/>
  <c r="K16" i="14"/>
  <c r="S16" i="14" s="1"/>
  <c r="K17" i="14"/>
  <c r="S17" i="14" s="1"/>
  <c r="K18" i="14"/>
  <c r="S18" i="14" s="1"/>
  <c r="K19" i="14"/>
  <c r="S19" i="14" s="1"/>
  <c r="K20" i="14"/>
  <c r="S20" i="14" s="1"/>
  <c r="K21" i="14"/>
  <c r="S21" i="14" s="1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P19" i="13"/>
  <c r="O19" i="13"/>
  <c r="N19" i="13"/>
  <c r="M19" i="13"/>
  <c r="L19" i="13"/>
  <c r="K19" i="13"/>
  <c r="S19" i="13" s="1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P21" i="13"/>
  <c r="O21" i="13"/>
  <c r="N21" i="13"/>
  <c r="M21" i="13"/>
  <c r="L21" i="13"/>
  <c r="K21" i="13"/>
  <c r="S21" i="13" s="1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P20" i="13"/>
  <c r="O20" i="13"/>
  <c r="N20" i="13"/>
  <c r="M20" i="13"/>
  <c r="L20" i="13"/>
  <c r="K20" i="13"/>
  <c r="S20" i="13" s="1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P18" i="13"/>
  <c r="O18" i="13"/>
  <c r="N18" i="13"/>
  <c r="M18" i="13"/>
  <c r="L18" i="13"/>
  <c r="K18" i="13"/>
  <c r="S18" i="13" s="1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P17" i="13"/>
  <c r="O17" i="13"/>
  <c r="N17" i="13"/>
  <c r="M17" i="13"/>
  <c r="L17" i="13"/>
  <c r="K17" i="13"/>
  <c r="S17" i="13" s="1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L16" i="12"/>
  <c r="K16" i="12"/>
  <c r="S16" i="12" s="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P21" i="11"/>
  <c r="O21" i="11"/>
  <c r="N21" i="11"/>
  <c r="M21" i="11"/>
  <c r="L21" i="11"/>
  <c r="K21" i="11"/>
  <c r="S21" i="11" s="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P20" i="11"/>
  <c r="O20" i="11"/>
  <c r="N20" i="11"/>
  <c r="M20" i="11"/>
  <c r="L20" i="11"/>
  <c r="K20" i="11"/>
  <c r="S20" i="11" s="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P19" i="11"/>
  <c r="O19" i="11"/>
  <c r="N19" i="11"/>
  <c r="M19" i="11"/>
  <c r="L19" i="11"/>
  <c r="K19" i="11"/>
  <c r="S19" i="11" s="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P18" i="11"/>
  <c r="O18" i="11"/>
  <c r="N18" i="11"/>
  <c r="M18" i="11"/>
  <c r="L18" i="11"/>
  <c r="K18" i="11"/>
  <c r="S18" i="11" s="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P17" i="11"/>
  <c r="O17" i="11"/>
  <c r="N17" i="11"/>
  <c r="M17" i="11"/>
  <c r="L17" i="11"/>
  <c r="K17" i="11"/>
  <c r="S17" i="11" s="1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P21" i="10"/>
  <c r="O21" i="10"/>
  <c r="N21" i="10"/>
  <c r="M21" i="10"/>
  <c r="L21" i="10"/>
  <c r="K21" i="10"/>
  <c r="S21" i="10" s="1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P20" i="10"/>
  <c r="O20" i="10"/>
  <c r="N20" i="10"/>
  <c r="M20" i="10"/>
  <c r="L20" i="10"/>
  <c r="K20" i="10"/>
  <c r="S20" i="10" s="1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P19" i="10"/>
  <c r="O19" i="10"/>
  <c r="N19" i="10"/>
  <c r="M19" i="10"/>
  <c r="L19" i="10"/>
  <c r="K19" i="10"/>
  <c r="S19" i="10" s="1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P18" i="10"/>
  <c r="O18" i="10"/>
  <c r="N18" i="10"/>
  <c r="M18" i="10"/>
  <c r="L18" i="10"/>
  <c r="K18" i="10"/>
  <c r="S18" i="10" s="1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P17" i="10"/>
  <c r="O17" i="10"/>
  <c r="N17" i="10"/>
  <c r="M17" i="10"/>
  <c r="L17" i="10"/>
  <c r="K17" i="10"/>
  <c r="S17" i="10" s="1"/>
  <c r="AF16" i="9"/>
  <c r="AE16" i="9"/>
  <c r="AD16" i="9"/>
  <c r="AC16" i="9"/>
  <c r="AB16" i="9"/>
  <c r="AA16" i="9"/>
  <c r="Z16" i="9"/>
  <c r="Y16" i="9"/>
  <c r="X16" i="9"/>
  <c r="W16" i="9"/>
  <c r="V16" i="9"/>
  <c r="U16" i="9"/>
  <c r="P16" i="9"/>
  <c r="O16" i="9"/>
  <c r="N16" i="9"/>
  <c r="M16" i="9"/>
  <c r="L16" i="9"/>
  <c r="K16" i="9"/>
  <c r="S16" i="9" s="1"/>
  <c r="AF15" i="9"/>
  <c r="AE15" i="9"/>
  <c r="AD15" i="9"/>
  <c r="AC15" i="9"/>
  <c r="AB15" i="9"/>
  <c r="AA15" i="9"/>
  <c r="Z15" i="9"/>
  <c r="Y15" i="9"/>
  <c r="X15" i="9"/>
  <c r="W15" i="9"/>
  <c r="V15" i="9"/>
  <c r="U15" i="9"/>
  <c r="P15" i="9"/>
  <c r="O15" i="9"/>
  <c r="N15" i="9"/>
  <c r="M15" i="9"/>
  <c r="L15" i="9"/>
  <c r="K15" i="9"/>
  <c r="S15" i="9" s="1"/>
  <c r="AF14" i="9"/>
  <c r="AE14" i="9"/>
  <c r="AD14" i="9"/>
  <c r="AC14" i="9"/>
  <c r="AB14" i="9"/>
  <c r="AA14" i="9"/>
  <c r="Z14" i="9"/>
  <c r="Y14" i="9"/>
  <c r="X14" i="9"/>
  <c r="W14" i="9"/>
  <c r="V14" i="9"/>
  <c r="U14" i="9"/>
  <c r="P14" i="9"/>
  <c r="O14" i="9"/>
  <c r="N14" i="9"/>
  <c r="M14" i="9"/>
  <c r="L14" i="9"/>
  <c r="K14" i="9"/>
  <c r="S14" i="9" s="1"/>
  <c r="AF13" i="9"/>
  <c r="AE13" i="9"/>
  <c r="AD13" i="9"/>
  <c r="AC13" i="9"/>
  <c r="AB13" i="9"/>
  <c r="AA13" i="9"/>
  <c r="Z13" i="9"/>
  <c r="Y13" i="9"/>
  <c r="X13" i="9"/>
  <c r="W13" i="9"/>
  <c r="V13" i="9"/>
  <c r="U13" i="9"/>
  <c r="P13" i="9"/>
  <c r="O13" i="9"/>
  <c r="N13" i="9"/>
  <c r="M13" i="9"/>
  <c r="L13" i="9"/>
  <c r="K13" i="9"/>
  <c r="S13" i="9" s="1"/>
  <c r="AF12" i="9"/>
  <c r="AE12" i="9"/>
  <c r="AD12" i="9"/>
  <c r="AC12" i="9"/>
  <c r="AB12" i="9"/>
  <c r="AA12" i="9"/>
  <c r="Z12" i="9"/>
  <c r="Y12" i="9"/>
  <c r="X12" i="9"/>
  <c r="W12" i="9"/>
  <c r="V12" i="9"/>
  <c r="U12" i="9"/>
  <c r="P12" i="9"/>
  <c r="O12" i="9"/>
  <c r="N12" i="9"/>
  <c r="M12" i="9"/>
  <c r="L12" i="9"/>
  <c r="K12" i="9"/>
  <c r="S12" i="9" s="1"/>
  <c r="AF19" i="8"/>
  <c r="AE19" i="8"/>
  <c r="AD19" i="8"/>
  <c r="AC19" i="8"/>
  <c r="AB19" i="8"/>
  <c r="AA19" i="8"/>
  <c r="Z19" i="8"/>
  <c r="Y19" i="8"/>
  <c r="X19" i="8"/>
  <c r="W19" i="8"/>
  <c r="V19" i="8"/>
  <c r="U19" i="8"/>
  <c r="P19" i="8"/>
  <c r="O19" i="8"/>
  <c r="N19" i="8"/>
  <c r="M19" i="8"/>
  <c r="L19" i="8"/>
  <c r="K19" i="8"/>
  <c r="S19" i="8" s="1"/>
  <c r="AF18" i="8"/>
  <c r="AE18" i="8"/>
  <c r="AD18" i="8"/>
  <c r="AC18" i="8"/>
  <c r="AB18" i="8"/>
  <c r="AA18" i="8"/>
  <c r="Z18" i="8"/>
  <c r="Y18" i="8"/>
  <c r="X18" i="8"/>
  <c r="W18" i="8"/>
  <c r="V18" i="8"/>
  <c r="U18" i="8"/>
  <c r="P18" i="8"/>
  <c r="O18" i="8"/>
  <c r="N18" i="8"/>
  <c r="M18" i="8"/>
  <c r="L18" i="8"/>
  <c r="K18" i="8"/>
  <c r="S18" i="8" s="1"/>
  <c r="AF17" i="8"/>
  <c r="AE17" i="8"/>
  <c r="AD17" i="8"/>
  <c r="AC17" i="8"/>
  <c r="AB17" i="8"/>
  <c r="AA17" i="8"/>
  <c r="Z17" i="8"/>
  <c r="Y17" i="8"/>
  <c r="X17" i="8"/>
  <c r="W17" i="8"/>
  <c r="V17" i="8"/>
  <c r="U17" i="8"/>
  <c r="P17" i="8"/>
  <c r="O17" i="8"/>
  <c r="N17" i="8"/>
  <c r="M17" i="8"/>
  <c r="L17" i="8"/>
  <c r="K17" i="8"/>
  <c r="S17" i="8" s="1"/>
  <c r="AF16" i="8"/>
  <c r="AE16" i="8"/>
  <c r="AD16" i="8"/>
  <c r="AC16" i="8"/>
  <c r="AB16" i="8"/>
  <c r="AA16" i="8"/>
  <c r="Z16" i="8"/>
  <c r="Y16" i="8"/>
  <c r="X16" i="8"/>
  <c r="W16" i="8"/>
  <c r="V16" i="8"/>
  <c r="U16" i="8"/>
  <c r="P16" i="8"/>
  <c r="O16" i="8"/>
  <c r="N16" i="8"/>
  <c r="M16" i="8"/>
  <c r="L16" i="8"/>
  <c r="K16" i="8"/>
  <c r="S16" i="8" s="1"/>
  <c r="AF15" i="8"/>
  <c r="AE15" i="8"/>
  <c r="AD15" i="8"/>
  <c r="AC15" i="8"/>
  <c r="AB15" i="8"/>
  <c r="AA15" i="8"/>
  <c r="Z15" i="8"/>
  <c r="Y15" i="8"/>
  <c r="X15" i="8"/>
  <c r="W15" i="8"/>
  <c r="V15" i="8"/>
  <c r="U15" i="8"/>
  <c r="P15" i="8"/>
  <c r="O15" i="8"/>
  <c r="N15" i="8"/>
  <c r="M15" i="8"/>
  <c r="L15" i="8"/>
  <c r="K15" i="8"/>
  <c r="S15" i="8" s="1"/>
  <c r="AF20" i="7"/>
  <c r="AE20" i="7"/>
  <c r="AD20" i="7"/>
  <c r="AC20" i="7"/>
  <c r="AB20" i="7"/>
  <c r="AA20" i="7"/>
  <c r="Z20" i="7"/>
  <c r="Y20" i="7"/>
  <c r="X20" i="7"/>
  <c r="W20" i="7"/>
  <c r="V20" i="7"/>
  <c r="U20" i="7"/>
  <c r="P20" i="7"/>
  <c r="O20" i="7"/>
  <c r="N20" i="7"/>
  <c r="M20" i="7"/>
  <c r="L20" i="7"/>
  <c r="K20" i="7"/>
  <c r="S20" i="7" s="1"/>
  <c r="AF19" i="7"/>
  <c r="AE19" i="7"/>
  <c r="AD19" i="7"/>
  <c r="AC19" i="7"/>
  <c r="AB19" i="7"/>
  <c r="AA19" i="7"/>
  <c r="Z19" i="7"/>
  <c r="Y19" i="7"/>
  <c r="X19" i="7"/>
  <c r="W19" i="7"/>
  <c r="V19" i="7"/>
  <c r="U19" i="7"/>
  <c r="P19" i="7"/>
  <c r="O19" i="7"/>
  <c r="N19" i="7"/>
  <c r="M19" i="7"/>
  <c r="L19" i="7"/>
  <c r="K19" i="7"/>
  <c r="S19" i="7" s="1"/>
  <c r="AF18" i="7"/>
  <c r="AE18" i="7"/>
  <c r="AD18" i="7"/>
  <c r="AC18" i="7"/>
  <c r="AB18" i="7"/>
  <c r="AA18" i="7"/>
  <c r="Z18" i="7"/>
  <c r="Y18" i="7"/>
  <c r="X18" i="7"/>
  <c r="W18" i="7"/>
  <c r="V18" i="7"/>
  <c r="U18" i="7"/>
  <c r="P18" i="7"/>
  <c r="O18" i="7"/>
  <c r="N18" i="7"/>
  <c r="M18" i="7"/>
  <c r="L18" i="7"/>
  <c r="K18" i="7"/>
  <c r="S18" i="7" s="1"/>
  <c r="AF17" i="7"/>
  <c r="AE17" i="7"/>
  <c r="AD17" i="7"/>
  <c r="AC17" i="7"/>
  <c r="AB17" i="7"/>
  <c r="AA17" i="7"/>
  <c r="Z17" i="7"/>
  <c r="Y17" i="7"/>
  <c r="X17" i="7"/>
  <c r="W17" i="7"/>
  <c r="V17" i="7"/>
  <c r="U17" i="7"/>
  <c r="P17" i="7"/>
  <c r="O17" i="7"/>
  <c r="N17" i="7"/>
  <c r="M17" i="7"/>
  <c r="L17" i="7"/>
  <c r="K17" i="7"/>
  <c r="S17" i="7" s="1"/>
  <c r="AF16" i="7"/>
  <c r="AE16" i="7"/>
  <c r="AD16" i="7"/>
  <c r="AC16" i="7"/>
  <c r="AB16" i="7"/>
  <c r="AA16" i="7"/>
  <c r="Z16" i="7"/>
  <c r="Y16" i="7"/>
  <c r="X16" i="7"/>
  <c r="W16" i="7"/>
  <c r="V16" i="7"/>
  <c r="U16" i="7"/>
  <c r="P16" i="7"/>
  <c r="O16" i="7"/>
  <c r="N16" i="7"/>
  <c r="M16" i="7"/>
  <c r="L16" i="7"/>
  <c r="K16" i="7"/>
  <c r="S16" i="7" s="1"/>
  <c r="U16" i="6"/>
  <c r="V16" i="6"/>
  <c r="W16" i="6"/>
  <c r="X16" i="6"/>
  <c r="Y16" i="6"/>
  <c r="Z16" i="6"/>
  <c r="AA16" i="6"/>
  <c r="AB16" i="6"/>
  <c r="AC16" i="6"/>
  <c r="AD16" i="6"/>
  <c r="AE16" i="6"/>
  <c r="AF16" i="6"/>
  <c r="U17" i="6"/>
  <c r="V17" i="6"/>
  <c r="W17" i="6"/>
  <c r="X17" i="6"/>
  <c r="Y17" i="6"/>
  <c r="Z17" i="6"/>
  <c r="AA17" i="6"/>
  <c r="AB17" i="6"/>
  <c r="AC17" i="6"/>
  <c r="AD17" i="6"/>
  <c r="AE17" i="6"/>
  <c r="AF17" i="6"/>
  <c r="U18" i="6"/>
  <c r="V18" i="6"/>
  <c r="W18" i="6"/>
  <c r="X18" i="6"/>
  <c r="Y18" i="6"/>
  <c r="Z18" i="6"/>
  <c r="AA18" i="6"/>
  <c r="AB18" i="6"/>
  <c r="AC18" i="6"/>
  <c r="AD18" i="6"/>
  <c r="AE18" i="6"/>
  <c r="AF18" i="6"/>
  <c r="U19" i="6"/>
  <c r="V19" i="6"/>
  <c r="W19" i="6"/>
  <c r="X19" i="6"/>
  <c r="Y19" i="6"/>
  <c r="Z19" i="6"/>
  <c r="AA19" i="6"/>
  <c r="AB19" i="6"/>
  <c r="AC19" i="6"/>
  <c r="AD19" i="6"/>
  <c r="AE19" i="6"/>
  <c r="AF19" i="6"/>
  <c r="U20" i="6"/>
  <c r="V20" i="6"/>
  <c r="W20" i="6"/>
  <c r="X20" i="6"/>
  <c r="Y20" i="6"/>
  <c r="Z20" i="6"/>
  <c r="AA20" i="6"/>
  <c r="AB20" i="6"/>
  <c r="AC20" i="6"/>
  <c r="AD20" i="6"/>
  <c r="AE20" i="6"/>
  <c r="AF20" i="6"/>
  <c r="U21" i="6"/>
  <c r="V21" i="6"/>
  <c r="W21" i="6"/>
  <c r="X21" i="6"/>
  <c r="Y21" i="6"/>
  <c r="Z21" i="6"/>
  <c r="AA21" i="6"/>
  <c r="AB21" i="6"/>
  <c r="AC21" i="6"/>
  <c r="AD21" i="6"/>
  <c r="AE21" i="6"/>
  <c r="AF21" i="6"/>
  <c r="U22" i="6"/>
  <c r="V22" i="6"/>
  <c r="W22" i="6"/>
  <c r="X22" i="6"/>
  <c r="Y22" i="6"/>
  <c r="Z22" i="6"/>
  <c r="AA22" i="6"/>
  <c r="AB22" i="6"/>
  <c r="AC22" i="6"/>
  <c r="AD22" i="6"/>
  <c r="AE22" i="6"/>
  <c r="AF22" i="6"/>
  <c r="AF18" i="5"/>
  <c r="AE18" i="5"/>
  <c r="AD18" i="5"/>
  <c r="AC18" i="5"/>
  <c r="AB18" i="5"/>
  <c r="AA18" i="5"/>
  <c r="Z18" i="5"/>
  <c r="Y18" i="5"/>
  <c r="X18" i="5"/>
  <c r="W18" i="5"/>
  <c r="V18" i="5"/>
  <c r="U18" i="5"/>
  <c r="P18" i="5"/>
  <c r="O18" i="5"/>
  <c r="N18" i="5"/>
  <c r="M18" i="5"/>
  <c r="L18" i="5"/>
  <c r="K18" i="5"/>
  <c r="S18" i="5" s="1"/>
  <c r="AF17" i="5"/>
  <c r="AE17" i="5"/>
  <c r="AD17" i="5"/>
  <c r="AC17" i="5"/>
  <c r="AB17" i="5"/>
  <c r="AA17" i="5"/>
  <c r="Z17" i="5"/>
  <c r="Y17" i="5"/>
  <c r="X17" i="5"/>
  <c r="W17" i="5"/>
  <c r="V17" i="5"/>
  <c r="U17" i="5"/>
  <c r="P17" i="5"/>
  <c r="O17" i="5"/>
  <c r="N17" i="5"/>
  <c r="M17" i="5"/>
  <c r="L17" i="5"/>
  <c r="K17" i="5"/>
  <c r="S17" i="5" s="1"/>
  <c r="AF16" i="5"/>
  <c r="AE16" i="5"/>
  <c r="AD16" i="5"/>
  <c r="AC16" i="5"/>
  <c r="AB16" i="5"/>
  <c r="AA16" i="5"/>
  <c r="Z16" i="5"/>
  <c r="Y16" i="5"/>
  <c r="X16" i="5"/>
  <c r="W16" i="5"/>
  <c r="V16" i="5"/>
  <c r="U16" i="5"/>
  <c r="P16" i="5"/>
  <c r="O16" i="5"/>
  <c r="N16" i="5"/>
  <c r="M16" i="5"/>
  <c r="L16" i="5"/>
  <c r="K16" i="5"/>
  <c r="S16" i="5" s="1"/>
  <c r="AF15" i="5"/>
  <c r="AE15" i="5"/>
  <c r="AD15" i="5"/>
  <c r="AC15" i="5"/>
  <c r="AB15" i="5"/>
  <c r="AA15" i="5"/>
  <c r="Z15" i="5"/>
  <c r="Y15" i="5"/>
  <c r="X15" i="5"/>
  <c r="W15" i="5"/>
  <c r="V15" i="5"/>
  <c r="U15" i="5"/>
  <c r="P15" i="5"/>
  <c r="O15" i="5"/>
  <c r="N15" i="5"/>
  <c r="M15" i="5"/>
  <c r="L15" i="5"/>
  <c r="K15" i="5"/>
  <c r="S15" i="5" s="1"/>
  <c r="AF14" i="5"/>
  <c r="AE14" i="5"/>
  <c r="AD14" i="5"/>
  <c r="AC14" i="5"/>
  <c r="AB14" i="5"/>
  <c r="AA14" i="5"/>
  <c r="Z14" i="5"/>
  <c r="Y14" i="5"/>
  <c r="X14" i="5"/>
  <c r="W14" i="5"/>
  <c r="V14" i="5"/>
  <c r="U14" i="5"/>
  <c r="P14" i="5"/>
  <c r="O14" i="5"/>
  <c r="N14" i="5"/>
  <c r="M14" i="5"/>
  <c r="L14" i="5"/>
  <c r="K14" i="5"/>
  <c r="S14" i="5" s="1"/>
  <c r="P15" i="4"/>
  <c r="O15" i="4"/>
  <c r="N15" i="4"/>
  <c r="M15" i="4"/>
  <c r="L15" i="4"/>
  <c r="K15" i="4"/>
  <c r="S15" i="4" s="1"/>
  <c r="P14" i="4"/>
  <c r="O14" i="4"/>
  <c r="M14" i="4"/>
  <c r="L14" i="4"/>
  <c r="K14" i="4"/>
  <c r="S14" i="4" s="1"/>
  <c r="O13" i="4"/>
  <c r="M13" i="4"/>
  <c r="L13" i="4"/>
  <c r="K13" i="4"/>
  <c r="S13" i="4" s="1"/>
  <c r="O12" i="4"/>
  <c r="M12" i="4"/>
  <c r="L12" i="4"/>
  <c r="K12" i="4"/>
  <c r="R12" i="4" s="1"/>
  <c r="P11" i="4"/>
  <c r="O11" i="4"/>
  <c r="M11" i="4"/>
  <c r="L11" i="4"/>
  <c r="K11" i="4"/>
  <c r="Q11" i="4" s="1"/>
  <c r="AF19" i="3"/>
  <c r="AE19" i="3"/>
  <c r="AD19" i="3"/>
  <c r="AC19" i="3"/>
  <c r="AB19" i="3"/>
  <c r="AA19" i="3"/>
  <c r="Z19" i="3"/>
  <c r="Y19" i="3"/>
  <c r="X19" i="3"/>
  <c r="W19" i="3"/>
  <c r="V19" i="3"/>
  <c r="U19" i="3"/>
  <c r="P19" i="3"/>
  <c r="O19" i="3"/>
  <c r="N19" i="3"/>
  <c r="M19" i="3"/>
  <c r="L19" i="3"/>
  <c r="K19" i="3"/>
  <c r="S19" i="3" s="1"/>
  <c r="AF18" i="3"/>
  <c r="AE18" i="3"/>
  <c r="AD18" i="3"/>
  <c r="AC18" i="3"/>
  <c r="AB18" i="3"/>
  <c r="AA18" i="3"/>
  <c r="Z18" i="3"/>
  <c r="Y18" i="3"/>
  <c r="X18" i="3"/>
  <c r="W18" i="3"/>
  <c r="V18" i="3"/>
  <c r="U18" i="3"/>
  <c r="P18" i="3"/>
  <c r="O18" i="3"/>
  <c r="N18" i="3"/>
  <c r="M18" i="3"/>
  <c r="L18" i="3"/>
  <c r="K18" i="3"/>
  <c r="S18" i="3" s="1"/>
  <c r="AF17" i="3"/>
  <c r="AE17" i="3"/>
  <c r="AD17" i="3"/>
  <c r="AC17" i="3"/>
  <c r="AB17" i="3"/>
  <c r="AA17" i="3"/>
  <c r="Z17" i="3"/>
  <c r="Y17" i="3"/>
  <c r="X17" i="3"/>
  <c r="W17" i="3"/>
  <c r="V17" i="3"/>
  <c r="U17" i="3"/>
  <c r="P17" i="3"/>
  <c r="O17" i="3"/>
  <c r="N17" i="3"/>
  <c r="M17" i="3"/>
  <c r="L17" i="3"/>
  <c r="K17" i="3"/>
  <c r="S17" i="3" s="1"/>
  <c r="AF16" i="3"/>
  <c r="AE16" i="3"/>
  <c r="AD16" i="3"/>
  <c r="AC16" i="3"/>
  <c r="AB16" i="3"/>
  <c r="AA16" i="3"/>
  <c r="Z16" i="3"/>
  <c r="Y16" i="3"/>
  <c r="X16" i="3"/>
  <c r="W16" i="3"/>
  <c r="V16" i="3"/>
  <c r="U16" i="3"/>
  <c r="P16" i="3"/>
  <c r="O16" i="3"/>
  <c r="N16" i="3"/>
  <c r="M16" i="3"/>
  <c r="L16" i="3"/>
  <c r="K16" i="3"/>
  <c r="S16" i="3" s="1"/>
  <c r="AF15" i="3"/>
  <c r="AE15" i="3"/>
  <c r="AD15" i="3"/>
  <c r="AC15" i="3"/>
  <c r="AB15" i="3"/>
  <c r="AA15" i="3"/>
  <c r="Z15" i="3"/>
  <c r="Y15" i="3"/>
  <c r="X15" i="3"/>
  <c r="W15" i="3"/>
  <c r="V15" i="3"/>
  <c r="U15" i="3"/>
  <c r="P15" i="3"/>
  <c r="O15" i="3"/>
  <c r="N15" i="3"/>
  <c r="M15" i="3"/>
  <c r="L15" i="3"/>
  <c r="K15" i="3"/>
  <c r="S15" i="3" s="1"/>
  <c r="AF18" i="2"/>
  <c r="AE18" i="2"/>
  <c r="AD18" i="2"/>
  <c r="AC18" i="2"/>
  <c r="AB18" i="2"/>
  <c r="AA18" i="2"/>
  <c r="Z18" i="2"/>
  <c r="Y18" i="2"/>
  <c r="X18" i="2"/>
  <c r="W18" i="2"/>
  <c r="V18" i="2"/>
  <c r="U18" i="2"/>
  <c r="P18" i="2"/>
  <c r="O18" i="2"/>
  <c r="N18" i="2"/>
  <c r="M18" i="2"/>
  <c r="L18" i="2"/>
  <c r="K18" i="2"/>
  <c r="S18" i="2" s="1"/>
  <c r="AF19" i="2"/>
  <c r="AE19" i="2"/>
  <c r="AD19" i="2"/>
  <c r="AC19" i="2"/>
  <c r="AB19" i="2"/>
  <c r="AA19" i="2"/>
  <c r="Z19" i="2"/>
  <c r="Y19" i="2"/>
  <c r="X19" i="2"/>
  <c r="W19" i="2"/>
  <c r="V19" i="2"/>
  <c r="U19" i="2"/>
  <c r="P19" i="2"/>
  <c r="O19" i="2"/>
  <c r="N19" i="2"/>
  <c r="M19" i="2"/>
  <c r="L19" i="2"/>
  <c r="K19" i="2"/>
  <c r="S19" i="2" s="1"/>
  <c r="AF17" i="2"/>
  <c r="AE17" i="2"/>
  <c r="AD17" i="2"/>
  <c r="AC17" i="2"/>
  <c r="AB17" i="2"/>
  <c r="AA17" i="2"/>
  <c r="Z17" i="2"/>
  <c r="Y17" i="2"/>
  <c r="X17" i="2"/>
  <c r="W17" i="2"/>
  <c r="V17" i="2"/>
  <c r="U17" i="2"/>
  <c r="P17" i="2"/>
  <c r="O17" i="2"/>
  <c r="N17" i="2"/>
  <c r="M17" i="2"/>
  <c r="L17" i="2"/>
  <c r="K17" i="2"/>
  <c r="S17" i="2" s="1"/>
  <c r="AF16" i="2"/>
  <c r="AE16" i="2"/>
  <c r="AD16" i="2"/>
  <c r="AC16" i="2"/>
  <c r="AB16" i="2"/>
  <c r="AA16" i="2"/>
  <c r="Z16" i="2"/>
  <c r="Y16" i="2"/>
  <c r="X16" i="2"/>
  <c r="W16" i="2"/>
  <c r="V16" i="2"/>
  <c r="U16" i="2"/>
  <c r="P16" i="2"/>
  <c r="O16" i="2"/>
  <c r="N16" i="2"/>
  <c r="M16" i="2"/>
  <c r="L16" i="2"/>
  <c r="K16" i="2"/>
  <c r="S16" i="2" s="1"/>
  <c r="AF15" i="2"/>
  <c r="AE15" i="2"/>
  <c r="AD15" i="2"/>
  <c r="AC15" i="2"/>
  <c r="AB15" i="2"/>
  <c r="AA15" i="2"/>
  <c r="Z15" i="2"/>
  <c r="Y15" i="2"/>
  <c r="X15" i="2"/>
  <c r="W15" i="2"/>
  <c r="V15" i="2"/>
  <c r="U15" i="2"/>
  <c r="P15" i="2"/>
  <c r="O15" i="2"/>
  <c r="M15" i="2"/>
  <c r="L15" i="2"/>
  <c r="K15" i="2"/>
  <c r="S15" i="2" s="1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P27" i="20"/>
  <c r="O27" i="20"/>
  <c r="M27" i="20"/>
  <c r="L27" i="20"/>
  <c r="K27" i="20"/>
  <c r="S27" i="20" s="1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P26" i="20"/>
  <c r="O26" i="20"/>
  <c r="M26" i="20"/>
  <c r="L26" i="20"/>
  <c r="K26" i="20"/>
  <c r="S26" i="20" s="1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P25" i="20"/>
  <c r="O25" i="20"/>
  <c r="M25" i="20"/>
  <c r="L25" i="20"/>
  <c r="K25" i="20"/>
  <c r="S25" i="20" s="1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P31" i="20"/>
  <c r="O31" i="20"/>
  <c r="M31" i="20"/>
  <c r="L31" i="20"/>
  <c r="K31" i="20"/>
  <c r="S31" i="20" s="1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P30" i="20"/>
  <c r="O30" i="20"/>
  <c r="M30" i="20"/>
  <c r="L30" i="20"/>
  <c r="K30" i="20"/>
  <c r="S30" i="20" s="1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P29" i="20"/>
  <c r="O29" i="20"/>
  <c r="M29" i="20"/>
  <c r="L29" i="20"/>
  <c r="K29" i="20"/>
  <c r="S29" i="20" s="1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P28" i="20"/>
  <c r="O28" i="20"/>
  <c r="M28" i="20"/>
  <c r="L28" i="20"/>
  <c r="K28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P24" i="20"/>
  <c r="O24" i="20"/>
  <c r="M24" i="20"/>
  <c r="L24" i="20"/>
  <c r="K24" i="20"/>
  <c r="S24" i="20" s="1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P23" i="20"/>
  <c r="O23" i="20"/>
  <c r="K41" i="20" s="1"/>
  <c r="M23" i="20"/>
  <c r="L23" i="20"/>
  <c r="K23" i="20"/>
  <c r="S23" i="20" s="1"/>
  <c r="K32" i="20"/>
  <c r="S32" i="20" s="1"/>
  <c r="L32" i="20"/>
  <c r="M32" i="20"/>
  <c r="O32" i="20"/>
  <c r="P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K33" i="20"/>
  <c r="L33" i="20"/>
  <c r="M33" i="20"/>
  <c r="O33" i="20"/>
  <c r="P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K34" i="20"/>
  <c r="L34" i="20"/>
  <c r="M34" i="20"/>
  <c r="O34" i="20"/>
  <c r="P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K35" i="20"/>
  <c r="L35" i="20"/>
  <c r="M35" i="20"/>
  <c r="O35" i="20"/>
  <c r="P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K36" i="20"/>
  <c r="S36" i="20" s="1"/>
  <c r="L36" i="20"/>
  <c r="M36" i="20"/>
  <c r="O36" i="20"/>
  <c r="P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F37" i="20"/>
  <c r="K12" i="1"/>
  <c r="S12" i="1" s="1"/>
  <c r="L12" i="1"/>
  <c r="M12" i="1"/>
  <c r="N12" i="1"/>
  <c r="O12" i="1"/>
  <c r="P12" i="1"/>
  <c r="U12" i="1"/>
  <c r="V12" i="1"/>
  <c r="W12" i="1"/>
  <c r="X12" i="1"/>
  <c r="Y12" i="1"/>
  <c r="Z12" i="1"/>
  <c r="AA12" i="1"/>
  <c r="AB12" i="1"/>
  <c r="AC12" i="1"/>
  <c r="AD12" i="1"/>
  <c r="AE12" i="1"/>
  <c r="AF12" i="1"/>
  <c r="K13" i="1"/>
  <c r="S13" i="1" s="1"/>
  <c r="L13" i="1"/>
  <c r="M13" i="1"/>
  <c r="N13" i="1"/>
  <c r="O13" i="1"/>
  <c r="P13" i="1"/>
  <c r="U13" i="1"/>
  <c r="V13" i="1"/>
  <c r="W13" i="1"/>
  <c r="X13" i="1"/>
  <c r="Y13" i="1"/>
  <c r="Z13" i="1"/>
  <c r="AA13" i="1"/>
  <c r="AB13" i="1"/>
  <c r="AC13" i="1"/>
  <c r="AD13" i="1"/>
  <c r="AE13" i="1"/>
  <c r="AF13" i="1"/>
  <c r="K14" i="1"/>
  <c r="S14" i="1" s="1"/>
  <c r="L14" i="1"/>
  <c r="M14" i="1"/>
  <c r="N14" i="1"/>
  <c r="O14" i="1"/>
  <c r="P14" i="1"/>
  <c r="U14" i="1"/>
  <c r="V14" i="1"/>
  <c r="W14" i="1"/>
  <c r="X14" i="1"/>
  <c r="Y14" i="1"/>
  <c r="Z14" i="1"/>
  <c r="AA14" i="1"/>
  <c r="AB14" i="1"/>
  <c r="AC14" i="1"/>
  <c r="AD14" i="1"/>
  <c r="AE14" i="1"/>
  <c r="AF14" i="1"/>
  <c r="K15" i="1"/>
  <c r="S15" i="1" s="1"/>
  <c r="L15" i="1"/>
  <c r="M15" i="1"/>
  <c r="N15" i="1"/>
  <c r="O15" i="1"/>
  <c r="P15" i="1"/>
  <c r="U15" i="1"/>
  <c r="V15" i="1"/>
  <c r="W15" i="1"/>
  <c r="X15" i="1"/>
  <c r="Y15" i="1"/>
  <c r="Z15" i="1"/>
  <c r="AA15" i="1"/>
  <c r="AB15" i="1"/>
  <c r="AC15" i="1"/>
  <c r="AD15" i="1"/>
  <c r="AE15" i="1"/>
  <c r="AF15" i="1"/>
  <c r="K16" i="1"/>
  <c r="S16" i="1" s="1"/>
  <c r="L16" i="1"/>
  <c r="M16" i="1"/>
  <c r="N16" i="1"/>
  <c r="O16" i="1"/>
  <c r="P16" i="1"/>
  <c r="U16" i="1"/>
  <c r="V16" i="1"/>
  <c r="W16" i="1"/>
  <c r="X16" i="1"/>
  <c r="Y16" i="1"/>
  <c r="Z16" i="1"/>
  <c r="AA16" i="1"/>
  <c r="AB16" i="1"/>
  <c r="AC16" i="1"/>
  <c r="AD16" i="1"/>
  <c r="AE16" i="1"/>
  <c r="AF16" i="1"/>
  <c r="N35" i="20" l="1"/>
  <c r="S35" i="20"/>
  <c r="N34" i="20"/>
  <c r="S34" i="20"/>
  <c r="N32" i="20"/>
  <c r="N33" i="20"/>
  <c r="S33" i="20"/>
  <c r="N28" i="20"/>
  <c r="S28" i="20"/>
  <c r="N15" i="2"/>
  <c r="N14" i="4"/>
  <c r="N13" i="4"/>
  <c r="P13" i="4"/>
  <c r="P12" i="4"/>
  <c r="N12" i="15"/>
  <c r="U1256" i="19"/>
  <c r="Y1257" i="19"/>
  <c r="T1256" i="19"/>
  <c r="AA1257" i="19"/>
  <c r="Z1256" i="19"/>
  <c r="X1257" i="19"/>
  <c r="AD1256" i="19"/>
  <c r="AB1256" i="19"/>
  <c r="S1257" i="19"/>
  <c r="W1256" i="19"/>
  <c r="V1256" i="19"/>
  <c r="AC1256" i="19"/>
  <c r="N12" i="4"/>
  <c r="N11" i="4"/>
  <c r="N16" i="16"/>
  <c r="N36" i="20"/>
  <c r="N23" i="20"/>
  <c r="N24" i="20"/>
  <c r="N29" i="20"/>
  <c r="N30" i="20"/>
  <c r="N31" i="20"/>
  <c r="N27" i="20"/>
  <c r="N25" i="20"/>
  <c r="N26" i="20"/>
  <c r="K37" i="20"/>
  <c r="V37" i="20"/>
  <c r="L38" i="20" s="1"/>
  <c r="AD37" i="20"/>
  <c r="L46" i="20" s="1"/>
  <c r="Z37" i="20"/>
  <c r="AC37" i="20"/>
  <c r="L45" i="20" s="1"/>
  <c r="Y37" i="20"/>
  <c r="L41" i="20" s="1"/>
  <c r="W37" i="20"/>
  <c r="L39" i="20" s="1"/>
  <c r="AA37" i="20"/>
  <c r="L43" i="20" s="1"/>
  <c r="AE37" i="20"/>
  <c r="L47" i="20" s="1"/>
  <c r="U37" i="20"/>
  <c r="L37" i="20" s="1"/>
  <c r="X37" i="20"/>
  <c r="L40" i="20" s="1"/>
  <c r="AB37" i="20"/>
  <c r="L44" i="20" s="1"/>
  <c r="AF37" i="20"/>
  <c r="L48" i="20" s="1"/>
  <c r="K44" i="20"/>
  <c r="K38" i="20"/>
  <c r="L42" i="20"/>
  <c r="K46" i="20"/>
  <c r="T29" i="17" s="1"/>
  <c r="K42" i="20"/>
  <c r="K43" i="20"/>
  <c r="G5" i="17"/>
  <c r="AC1255" i="19" l="1"/>
  <c r="AB1255" i="19"/>
  <c r="U1255" i="19"/>
  <c r="AA1256" i="19"/>
  <c r="AD1255" i="19"/>
  <c r="T1255" i="19"/>
  <c r="X1256" i="19"/>
  <c r="Y1256" i="19"/>
  <c r="V1255" i="19"/>
  <c r="W1255" i="19"/>
  <c r="S1256" i="19"/>
  <c r="Z1255" i="19"/>
  <c r="K45" i="20"/>
  <c r="K47" i="20"/>
  <c r="T30" i="17" s="1"/>
  <c r="K40" i="20"/>
  <c r="K39" i="20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AF9" i="16"/>
  <c r="AE9" i="16"/>
  <c r="AD9" i="16"/>
  <c r="AC9" i="16"/>
  <c r="AB9" i="16"/>
  <c r="AA9" i="16"/>
  <c r="Z9" i="16"/>
  <c r="Y9" i="16"/>
  <c r="X9" i="16"/>
  <c r="W9" i="16"/>
  <c r="V9" i="16"/>
  <c r="U9" i="16"/>
  <c r="AF8" i="16"/>
  <c r="AE8" i="16"/>
  <c r="AD8" i="16"/>
  <c r="AC8" i="16"/>
  <c r="AB8" i="16"/>
  <c r="AA8" i="16"/>
  <c r="Z8" i="16"/>
  <c r="Y8" i="16"/>
  <c r="X8" i="16"/>
  <c r="W8" i="16"/>
  <c r="V8" i="16"/>
  <c r="U8" i="16"/>
  <c r="AF7" i="16"/>
  <c r="AE7" i="16"/>
  <c r="AD7" i="16"/>
  <c r="AC7" i="16"/>
  <c r="AB7" i="16"/>
  <c r="AA7" i="16"/>
  <c r="Z7" i="16"/>
  <c r="Y7" i="16"/>
  <c r="X7" i="16"/>
  <c r="W7" i="16"/>
  <c r="V7" i="16"/>
  <c r="U7" i="16"/>
  <c r="AF6" i="16"/>
  <c r="AE6" i="16"/>
  <c r="AD6" i="16"/>
  <c r="AD23" i="16" s="1"/>
  <c r="L32" i="16" s="1"/>
  <c r="S15" i="17" s="1"/>
  <c r="AC6" i="16"/>
  <c r="AB6" i="16"/>
  <c r="AA6" i="16"/>
  <c r="Z6" i="16"/>
  <c r="Y6" i="16"/>
  <c r="X6" i="16"/>
  <c r="W6" i="16"/>
  <c r="V6" i="16"/>
  <c r="U6" i="16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AF9" i="15"/>
  <c r="AE9" i="15"/>
  <c r="AD9" i="15"/>
  <c r="AC9" i="15"/>
  <c r="AB9" i="15"/>
  <c r="AA9" i="15"/>
  <c r="Z9" i="15"/>
  <c r="Y9" i="15"/>
  <c r="X9" i="15"/>
  <c r="W9" i="15"/>
  <c r="V9" i="15"/>
  <c r="U9" i="15"/>
  <c r="AF8" i="15"/>
  <c r="AE8" i="15"/>
  <c r="AD8" i="15"/>
  <c r="AC8" i="15"/>
  <c r="AB8" i="15"/>
  <c r="AA8" i="15"/>
  <c r="Z8" i="15"/>
  <c r="Y8" i="15"/>
  <c r="X8" i="15"/>
  <c r="W8" i="15"/>
  <c r="V8" i="15"/>
  <c r="U8" i="15"/>
  <c r="AF7" i="15"/>
  <c r="AE7" i="15"/>
  <c r="AD7" i="15"/>
  <c r="AC7" i="15"/>
  <c r="AB7" i="15"/>
  <c r="AA7" i="15"/>
  <c r="Z7" i="15"/>
  <c r="Y7" i="15"/>
  <c r="X7" i="15"/>
  <c r="W7" i="15"/>
  <c r="V7" i="15"/>
  <c r="U7" i="15"/>
  <c r="AF6" i="15"/>
  <c r="AE6" i="15"/>
  <c r="AE19" i="15" s="1"/>
  <c r="L29" i="15" s="1"/>
  <c r="R16" i="17" s="1"/>
  <c r="AD6" i="15"/>
  <c r="AC6" i="15"/>
  <c r="AB6" i="15"/>
  <c r="AA6" i="15"/>
  <c r="Z6" i="15"/>
  <c r="Y6" i="15"/>
  <c r="X6" i="15"/>
  <c r="W6" i="15"/>
  <c r="V6" i="15"/>
  <c r="U6" i="15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AF9" i="14"/>
  <c r="AE9" i="14"/>
  <c r="AD9" i="14"/>
  <c r="AC9" i="14"/>
  <c r="AB9" i="14"/>
  <c r="AA9" i="14"/>
  <c r="Z9" i="14"/>
  <c r="Y9" i="14"/>
  <c r="X9" i="14"/>
  <c r="W9" i="14"/>
  <c r="V9" i="14"/>
  <c r="U9" i="14"/>
  <c r="AF8" i="14"/>
  <c r="AE8" i="14"/>
  <c r="AD8" i="14"/>
  <c r="AC8" i="14"/>
  <c r="AB8" i="14"/>
  <c r="AA8" i="14"/>
  <c r="Z8" i="14"/>
  <c r="Y8" i="14"/>
  <c r="X8" i="14"/>
  <c r="W8" i="14"/>
  <c r="V8" i="14"/>
  <c r="U8" i="14"/>
  <c r="AF7" i="14"/>
  <c r="AE7" i="14"/>
  <c r="AD7" i="14"/>
  <c r="AC7" i="14"/>
  <c r="AB7" i="14"/>
  <c r="AA7" i="14"/>
  <c r="Z7" i="14"/>
  <c r="Y7" i="14"/>
  <c r="X7" i="14"/>
  <c r="W7" i="14"/>
  <c r="V7" i="14"/>
  <c r="U7" i="14"/>
  <c r="AF6" i="14"/>
  <c r="AF22" i="14" s="1"/>
  <c r="L33" i="14" s="1"/>
  <c r="Q17" i="17" s="1"/>
  <c r="AE6" i="14"/>
  <c r="AE22" i="14" s="1"/>
  <c r="L32" i="14" s="1"/>
  <c r="Q16" i="17" s="1"/>
  <c r="AD6" i="14"/>
  <c r="AC6" i="14"/>
  <c r="AC22" i="14" s="1"/>
  <c r="L30" i="14" s="1"/>
  <c r="Q14" i="17" s="1"/>
  <c r="AB6" i="14"/>
  <c r="AB22" i="14" s="1"/>
  <c r="L29" i="14" s="1"/>
  <c r="Q13" i="17" s="1"/>
  <c r="AA6" i="14"/>
  <c r="Z6" i="14"/>
  <c r="Y6" i="14"/>
  <c r="X6" i="14"/>
  <c r="W6" i="14"/>
  <c r="W22" i="14" s="1"/>
  <c r="L24" i="14" s="1"/>
  <c r="Q8" i="17" s="1"/>
  <c r="V6" i="14"/>
  <c r="U6" i="14"/>
  <c r="U22" i="14" s="1"/>
  <c r="L22" i="14" s="1"/>
  <c r="Q6" i="17" s="1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AF9" i="13"/>
  <c r="AE9" i="13"/>
  <c r="AD9" i="13"/>
  <c r="AC9" i="13"/>
  <c r="AB9" i="13"/>
  <c r="AA9" i="13"/>
  <c r="Z9" i="13"/>
  <c r="Y9" i="13"/>
  <c r="X9" i="13"/>
  <c r="W9" i="13"/>
  <c r="V9" i="13"/>
  <c r="U9" i="13"/>
  <c r="AF8" i="13"/>
  <c r="AE8" i="13"/>
  <c r="AD8" i="13"/>
  <c r="AC8" i="13"/>
  <c r="AB8" i="13"/>
  <c r="AA8" i="13"/>
  <c r="Z8" i="13"/>
  <c r="Y8" i="13"/>
  <c r="X8" i="13"/>
  <c r="W8" i="13"/>
  <c r="V8" i="13"/>
  <c r="U8" i="13"/>
  <c r="AF7" i="13"/>
  <c r="AE7" i="13"/>
  <c r="AD7" i="13"/>
  <c r="AC7" i="13"/>
  <c r="AB7" i="13"/>
  <c r="AA7" i="13"/>
  <c r="Z7" i="13"/>
  <c r="Y7" i="13"/>
  <c r="X7" i="13"/>
  <c r="W7" i="13"/>
  <c r="V7" i="13"/>
  <c r="U7" i="13"/>
  <c r="AF6" i="13"/>
  <c r="AF23" i="13" s="1"/>
  <c r="L34" i="13" s="1"/>
  <c r="P17" i="17" s="1"/>
  <c r="AE6" i="13"/>
  <c r="AD6" i="13"/>
  <c r="AD23" i="13" s="1"/>
  <c r="L32" i="13" s="1"/>
  <c r="P15" i="17" s="1"/>
  <c r="AC6" i="13"/>
  <c r="AB6" i="13"/>
  <c r="AA6" i="13"/>
  <c r="Z6" i="13"/>
  <c r="Y6" i="13"/>
  <c r="X6" i="13"/>
  <c r="W6" i="13"/>
  <c r="V6" i="13"/>
  <c r="U6" i="13"/>
  <c r="U23" i="13" s="1"/>
  <c r="L23" i="13" s="1"/>
  <c r="P6" i="17" s="1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AF9" i="12"/>
  <c r="AE9" i="12"/>
  <c r="AD9" i="12"/>
  <c r="AC9" i="12"/>
  <c r="AB9" i="12"/>
  <c r="AA9" i="12"/>
  <c r="Z9" i="12"/>
  <c r="Y9" i="12"/>
  <c r="X9" i="12"/>
  <c r="W9" i="12"/>
  <c r="V9" i="12"/>
  <c r="U9" i="12"/>
  <c r="AF8" i="12"/>
  <c r="AE8" i="12"/>
  <c r="AD8" i="12"/>
  <c r="AC8" i="12"/>
  <c r="AB8" i="12"/>
  <c r="AA8" i="12"/>
  <c r="Z8" i="12"/>
  <c r="Y8" i="12"/>
  <c r="X8" i="12"/>
  <c r="W8" i="12"/>
  <c r="V8" i="12"/>
  <c r="U8" i="12"/>
  <c r="AF7" i="12"/>
  <c r="AE7" i="12"/>
  <c r="AD7" i="12"/>
  <c r="AC7" i="12"/>
  <c r="AB7" i="12"/>
  <c r="AA7" i="12"/>
  <c r="Z7" i="12"/>
  <c r="Y7" i="12"/>
  <c r="X7" i="12"/>
  <c r="W7" i="12"/>
  <c r="V7" i="12"/>
  <c r="U7" i="12"/>
  <c r="AF6" i="12"/>
  <c r="AE6" i="12"/>
  <c r="AD6" i="12"/>
  <c r="AC6" i="12"/>
  <c r="AB6" i="12"/>
  <c r="AA6" i="12"/>
  <c r="Z6" i="12"/>
  <c r="Y6" i="12"/>
  <c r="X6" i="12"/>
  <c r="W6" i="12"/>
  <c r="V6" i="12"/>
  <c r="U6" i="12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AF9" i="11"/>
  <c r="AE9" i="11"/>
  <c r="AD9" i="11"/>
  <c r="AC9" i="11"/>
  <c r="AB9" i="11"/>
  <c r="AA9" i="11"/>
  <c r="Z9" i="11"/>
  <c r="Y9" i="11"/>
  <c r="X9" i="11"/>
  <c r="W9" i="11"/>
  <c r="V9" i="11"/>
  <c r="U9" i="11"/>
  <c r="AF8" i="11"/>
  <c r="AE8" i="11"/>
  <c r="AD8" i="11"/>
  <c r="AC8" i="11"/>
  <c r="AB8" i="11"/>
  <c r="AA8" i="11"/>
  <c r="Z8" i="11"/>
  <c r="Y8" i="11"/>
  <c r="X8" i="11"/>
  <c r="W8" i="11"/>
  <c r="V8" i="11"/>
  <c r="U8" i="11"/>
  <c r="AF7" i="11"/>
  <c r="AE7" i="11"/>
  <c r="AD7" i="11"/>
  <c r="AC7" i="11"/>
  <c r="AB7" i="11"/>
  <c r="AA7" i="11"/>
  <c r="Z7" i="11"/>
  <c r="Y7" i="11"/>
  <c r="X7" i="11"/>
  <c r="W7" i="11"/>
  <c r="V7" i="11"/>
  <c r="U7" i="11"/>
  <c r="AF6" i="11"/>
  <c r="AF23" i="11" s="1"/>
  <c r="L34" i="11" s="1"/>
  <c r="N17" i="17" s="1"/>
  <c r="AE6" i="11"/>
  <c r="AD6" i="11"/>
  <c r="AC6" i="11"/>
  <c r="AB6" i="11"/>
  <c r="AA6" i="11"/>
  <c r="Z6" i="11"/>
  <c r="Y6" i="11"/>
  <c r="X6" i="11"/>
  <c r="W6" i="11"/>
  <c r="W23" i="11" s="1"/>
  <c r="L25" i="11" s="1"/>
  <c r="N8" i="17" s="1"/>
  <c r="V6" i="11"/>
  <c r="U6" i="11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AF9" i="10"/>
  <c r="AE9" i="10"/>
  <c r="AD9" i="10"/>
  <c r="AC9" i="10"/>
  <c r="AB9" i="10"/>
  <c r="AA9" i="10"/>
  <c r="Z9" i="10"/>
  <c r="Y9" i="10"/>
  <c r="X9" i="10"/>
  <c r="W9" i="10"/>
  <c r="V9" i="10"/>
  <c r="U9" i="10"/>
  <c r="AF8" i="10"/>
  <c r="AE8" i="10"/>
  <c r="AD8" i="10"/>
  <c r="AC8" i="10"/>
  <c r="AB8" i="10"/>
  <c r="AA8" i="10"/>
  <c r="Z8" i="10"/>
  <c r="Y8" i="10"/>
  <c r="X8" i="10"/>
  <c r="W8" i="10"/>
  <c r="V8" i="10"/>
  <c r="U8" i="10"/>
  <c r="AF7" i="10"/>
  <c r="AE7" i="10"/>
  <c r="AD7" i="10"/>
  <c r="AC7" i="10"/>
  <c r="AB7" i="10"/>
  <c r="AA7" i="10"/>
  <c r="Z7" i="10"/>
  <c r="Y7" i="10"/>
  <c r="X7" i="10"/>
  <c r="W7" i="10"/>
  <c r="V7" i="10"/>
  <c r="U7" i="10"/>
  <c r="AF6" i="10"/>
  <c r="AF23" i="10" s="1"/>
  <c r="L34" i="10" s="1"/>
  <c r="M17" i="17" s="1"/>
  <c r="AE6" i="10"/>
  <c r="AD6" i="10"/>
  <c r="AC6" i="10"/>
  <c r="AB6" i="10"/>
  <c r="AA6" i="10"/>
  <c r="Z6" i="10"/>
  <c r="Y6" i="10"/>
  <c r="X6" i="10"/>
  <c r="W6" i="10"/>
  <c r="V6" i="10"/>
  <c r="U6" i="10"/>
  <c r="U23" i="10" s="1"/>
  <c r="L23" i="10" s="1"/>
  <c r="M6" i="17" s="1"/>
  <c r="AF19" i="9"/>
  <c r="AE19" i="9"/>
  <c r="AD19" i="9"/>
  <c r="AC19" i="9"/>
  <c r="AB19" i="9"/>
  <c r="AA19" i="9"/>
  <c r="Z19" i="9"/>
  <c r="Y19" i="9"/>
  <c r="X19" i="9"/>
  <c r="W19" i="9"/>
  <c r="V19" i="9"/>
  <c r="U19" i="9"/>
  <c r="AF18" i="9"/>
  <c r="AE18" i="9"/>
  <c r="AD18" i="9"/>
  <c r="AC18" i="9"/>
  <c r="AB18" i="9"/>
  <c r="AA18" i="9"/>
  <c r="Z18" i="9"/>
  <c r="Y18" i="9"/>
  <c r="X18" i="9"/>
  <c r="W18" i="9"/>
  <c r="V18" i="9"/>
  <c r="U18" i="9"/>
  <c r="AF17" i="9"/>
  <c r="AE17" i="9"/>
  <c r="AD17" i="9"/>
  <c r="AC17" i="9"/>
  <c r="AB17" i="9"/>
  <c r="AA17" i="9"/>
  <c r="Z17" i="9"/>
  <c r="Y17" i="9"/>
  <c r="X17" i="9"/>
  <c r="W17" i="9"/>
  <c r="V17" i="9"/>
  <c r="U17" i="9"/>
  <c r="AF11" i="9"/>
  <c r="AE11" i="9"/>
  <c r="AD11" i="9"/>
  <c r="AC11" i="9"/>
  <c r="AB11" i="9"/>
  <c r="AA11" i="9"/>
  <c r="Z11" i="9"/>
  <c r="Y11" i="9"/>
  <c r="X11" i="9"/>
  <c r="W11" i="9"/>
  <c r="V11" i="9"/>
  <c r="U11" i="9"/>
  <c r="AF10" i="9"/>
  <c r="AE10" i="9"/>
  <c r="AD10" i="9"/>
  <c r="AC10" i="9"/>
  <c r="AB10" i="9"/>
  <c r="AA10" i="9"/>
  <c r="Z10" i="9"/>
  <c r="Y10" i="9"/>
  <c r="X10" i="9"/>
  <c r="W10" i="9"/>
  <c r="V10" i="9"/>
  <c r="U10" i="9"/>
  <c r="AF9" i="9"/>
  <c r="AE9" i="9"/>
  <c r="AD9" i="9"/>
  <c r="AC9" i="9"/>
  <c r="AB9" i="9"/>
  <c r="AA9" i="9"/>
  <c r="Z9" i="9"/>
  <c r="Y9" i="9"/>
  <c r="X9" i="9"/>
  <c r="W9" i="9"/>
  <c r="V9" i="9"/>
  <c r="U9" i="9"/>
  <c r="AF8" i="9"/>
  <c r="AE8" i="9"/>
  <c r="AD8" i="9"/>
  <c r="AC8" i="9"/>
  <c r="AB8" i="9"/>
  <c r="AA8" i="9"/>
  <c r="Z8" i="9"/>
  <c r="Y8" i="9"/>
  <c r="X8" i="9"/>
  <c r="W8" i="9"/>
  <c r="V8" i="9"/>
  <c r="U8" i="9"/>
  <c r="AF7" i="9"/>
  <c r="AE7" i="9"/>
  <c r="AD7" i="9"/>
  <c r="AC7" i="9"/>
  <c r="AB7" i="9"/>
  <c r="AA7" i="9"/>
  <c r="Z7" i="9"/>
  <c r="Y7" i="9"/>
  <c r="X7" i="9"/>
  <c r="W7" i="9"/>
  <c r="V7" i="9"/>
  <c r="U7" i="9"/>
  <c r="AF6" i="9"/>
  <c r="AE6" i="9"/>
  <c r="AD6" i="9"/>
  <c r="AC6" i="9"/>
  <c r="AC20" i="9" s="1"/>
  <c r="L28" i="9" s="1"/>
  <c r="L14" i="17" s="1"/>
  <c r="AB6" i="9"/>
  <c r="AA6" i="9"/>
  <c r="Z6" i="9"/>
  <c r="Y6" i="9"/>
  <c r="X6" i="9"/>
  <c r="W6" i="9"/>
  <c r="W20" i="9" s="1"/>
  <c r="L22" i="9" s="1"/>
  <c r="L8" i="17" s="1"/>
  <c r="V6" i="9"/>
  <c r="V20" i="9" s="1"/>
  <c r="L21" i="9" s="1"/>
  <c r="L7" i="17" s="1"/>
  <c r="U6" i="9"/>
  <c r="U20" i="9" s="1"/>
  <c r="L20" i="9" s="1"/>
  <c r="L6" i="17" s="1"/>
  <c r="AF20" i="9"/>
  <c r="L31" i="9" s="1"/>
  <c r="L17" i="17" s="1"/>
  <c r="AE20" i="9"/>
  <c r="L30" i="9" s="1"/>
  <c r="L16" i="17" s="1"/>
  <c r="AD20" i="9"/>
  <c r="L29" i="9" s="1"/>
  <c r="L15" i="17" s="1"/>
  <c r="X20" i="9"/>
  <c r="L23" i="9" s="1"/>
  <c r="L9" i="17" s="1"/>
  <c r="AF22" i="8"/>
  <c r="AE22" i="8"/>
  <c r="AD22" i="8"/>
  <c r="AC22" i="8"/>
  <c r="AB22" i="8"/>
  <c r="AA22" i="8"/>
  <c r="Z22" i="8"/>
  <c r="Y22" i="8"/>
  <c r="X22" i="8"/>
  <c r="W22" i="8"/>
  <c r="V22" i="8"/>
  <c r="U22" i="8"/>
  <c r="AF21" i="8"/>
  <c r="AE21" i="8"/>
  <c r="AD21" i="8"/>
  <c r="AC21" i="8"/>
  <c r="AB21" i="8"/>
  <c r="AA21" i="8"/>
  <c r="Z21" i="8"/>
  <c r="Y21" i="8"/>
  <c r="X21" i="8"/>
  <c r="W21" i="8"/>
  <c r="V21" i="8"/>
  <c r="U21" i="8"/>
  <c r="AF20" i="8"/>
  <c r="AE20" i="8"/>
  <c r="AD20" i="8"/>
  <c r="AC20" i="8"/>
  <c r="AB20" i="8"/>
  <c r="AA20" i="8"/>
  <c r="Z20" i="8"/>
  <c r="Y20" i="8"/>
  <c r="X20" i="8"/>
  <c r="W20" i="8"/>
  <c r="V20" i="8"/>
  <c r="U20" i="8"/>
  <c r="AF14" i="8"/>
  <c r="AE14" i="8"/>
  <c r="AD14" i="8"/>
  <c r="AC14" i="8"/>
  <c r="AB14" i="8"/>
  <c r="AA14" i="8"/>
  <c r="Z14" i="8"/>
  <c r="Y14" i="8"/>
  <c r="X14" i="8"/>
  <c r="W14" i="8"/>
  <c r="V14" i="8"/>
  <c r="U14" i="8"/>
  <c r="AF13" i="8"/>
  <c r="AE13" i="8"/>
  <c r="AD13" i="8"/>
  <c r="AC13" i="8"/>
  <c r="AB13" i="8"/>
  <c r="AA13" i="8"/>
  <c r="Z13" i="8"/>
  <c r="Y13" i="8"/>
  <c r="X13" i="8"/>
  <c r="W13" i="8"/>
  <c r="V13" i="8"/>
  <c r="U13" i="8"/>
  <c r="AF12" i="8"/>
  <c r="AE12" i="8"/>
  <c r="AD12" i="8"/>
  <c r="AC12" i="8"/>
  <c r="AB12" i="8"/>
  <c r="AA12" i="8"/>
  <c r="Z12" i="8"/>
  <c r="Y12" i="8"/>
  <c r="X12" i="8"/>
  <c r="W12" i="8"/>
  <c r="V12" i="8"/>
  <c r="U12" i="8"/>
  <c r="AF11" i="8"/>
  <c r="AE11" i="8"/>
  <c r="AD11" i="8"/>
  <c r="AC11" i="8"/>
  <c r="AB11" i="8"/>
  <c r="AA11" i="8"/>
  <c r="Z11" i="8"/>
  <c r="Y11" i="8"/>
  <c r="X11" i="8"/>
  <c r="W11" i="8"/>
  <c r="V11" i="8"/>
  <c r="U11" i="8"/>
  <c r="AF10" i="8"/>
  <c r="AE10" i="8"/>
  <c r="AD10" i="8"/>
  <c r="AC10" i="8"/>
  <c r="AB10" i="8"/>
  <c r="AA10" i="8"/>
  <c r="Z10" i="8"/>
  <c r="Y10" i="8"/>
  <c r="X10" i="8"/>
  <c r="W10" i="8"/>
  <c r="V10" i="8"/>
  <c r="U10" i="8"/>
  <c r="AF9" i="8"/>
  <c r="AE9" i="8"/>
  <c r="AD9" i="8"/>
  <c r="AC9" i="8"/>
  <c r="AB9" i="8"/>
  <c r="AA9" i="8"/>
  <c r="Z9" i="8"/>
  <c r="Y9" i="8"/>
  <c r="X9" i="8"/>
  <c r="W9" i="8"/>
  <c r="V9" i="8"/>
  <c r="U9" i="8"/>
  <c r="AF8" i="8"/>
  <c r="AE8" i="8"/>
  <c r="AD8" i="8"/>
  <c r="AC8" i="8"/>
  <c r="AB8" i="8"/>
  <c r="AA8" i="8"/>
  <c r="Z8" i="8"/>
  <c r="Y8" i="8"/>
  <c r="X8" i="8"/>
  <c r="W8" i="8"/>
  <c r="V8" i="8"/>
  <c r="U8" i="8"/>
  <c r="AF7" i="8"/>
  <c r="AE7" i="8"/>
  <c r="AD7" i="8"/>
  <c r="AC7" i="8"/>
  <c r="AB7" i="8"/>
  <c r="AA7" i="8"/>
  <c r="Z7" i="8"/>
  <c r="Y7" i="8"/>
  <c r="X7" i="8"/>
  <c r="W7" i="8"/>
  <c r="V7" i="8"/>
  <c r="U7" i="8"/>
  <c r="AF6" i="8"/>
  <c r="AE6" i="8"/>
  <c r="AD6" i="8"/>
  <c r="AD23" i="8" s="1"/>
  <c r="L32" i="8" s="1"/>
  <c r="K15" i="17" s="1"/>
  <c r="AC6" i="8"/>
  <c r="AB6" i="8"/>
  <c r="AA6" i="8"/>
  <c r="AA23" i="8" s="1"/>
  <c r="L29" i="8" s="1"/>
  <c r="K12" i="17" s="1"/>
  <c r="Z6" i="8"/>
  <c r="Y6" i="8"/>
  <c r="X6" i="8"/>
  <c r="W6" i="8"/>
  <c r="W23" i="8" s="1"/>
  <c r="L25" i="8" s="1"/>
  <c r="K8" i="17" s="1"/>
  <c r="V6" i="8"/>
  <c r="U6" i="8"/>
  <c r="AF22" i="7"/>
  <c r="AE22" i="7"/>
  <c r="AD22" i="7"/>
  <c r="AC22" i="7"/>
  <c r="AB22" i="7"/>
  <c r="AA22" i="7"/>
  <c r="Z22" i="7"/>
  <c r="Y22" i="7"/>
  <c r="X22" i="7"/>
  <c r="W22" i="7"/>
  <c r="V22" i="7"/>
  <c r="U22" i="7"/>
  <c r="AF21" i="7"/>
  <c r="AE21" i="7"/>
  <c r="AD21" i="7"/>
  <c r="AC21" i="7"/>
  <c r="AB21" i="7"/>
  <c r="AA21" i="7"/>
  <c r="Z21" i="7"/>
  <c r="Y21" i="7"/>
  <c r="X21" i="7"/>
  <c r="W21" i="7"/>
  <c r="V21" i="7"/>
  <c r="U21" i="7"/>
  <c r="AF15" i="7"/>
  <c r="AE15" i="7"/>
  <c r="AD15" i="7"/>
  <c r="AC15" i="7"/>
  <c r="AB15" i="7"/>
  <c r="AA15" i="7"/>
  <c r="Z15" i="7"/>
  <c r="Y15" i="7"/>
  <c r="X15" i="7"/>
  <c r="W15" i="7"/>
  <c r="V15" i="7"/>
  <c r="U15" i="7"/>
  <c r="AF14" i="7"/>
  <c r="AE14" i="7"/>
  <c r="AD14" i="7"/>
  <c r="AC14" i="7"/>
  <c r="AB14" i="7"/>
  <c r="AA14" i="7"/>
  <c r="Z14" i="7"/>
  <c r="Y14" i="7"/>
  <c r="X14" i="7"/>
  <c r="W14" i="7"/>
  <c r="V14" i="7"/>
  <c r="U14" i="7"/>
  <c r="AF13" i="7"/>
  <c r="AE13" i="7"/>
  <c r="AD13" i="7"/>
  <c r="AC13" i="7"/>
  <c r="AB13" i="7"/>
  <c r="AA13" i="7"/>
  <c r="Z13" i="7"/>
  <c r="Y13" i="7"/>
  <c r="X13" i="7"/>
  <c r="W13" i="7"/>
  <c r="V13" i="7"/>
  <c r="U13" i="7"/>
  <c r="AF12" i="7"/>
  <c r="AE12" i="7"/>
  <c r="AD12" i="7"/>
  <c r="AC12" i="7"/>
  <c r="AB12" i="7"/>
  <c r="AA12" i="7"/>
  <c r="Z12" i="7"/>
  <c r="Y12" i="7"/>
  <c r="X12" i="7"/>
  <c r="W12" i="7"/>
  <c r="V12" i="7"/>
  <c r="U12" i="7"/>
  <c r="AF11" i="7"/>
  <c r="AE11" i="7"/>
  <c r="AD11" i="7"/>
  <c r="AC11" i="7"/>
  <c r="AB11" i="7"/>
  <c r="AA11" i="7"/>
  <c r="Z11" i="7"/>
  <c r="Y11" i="7"/>
  <c r="X11" i="7"/>
  <c r="W11" i="7"/>
  <c r="V11" i="7"/>
  <c r="U11" i="7"/>
  <c r="AF10" i="7"/>
  <c r="AE10" i="7"/>
  <c r="AD10" i="7"/>
  <c r="AC10" i="7"/>
  <c r="AB10" i="7"/>
  <c r="AA10" i="7"/>
  <c r="Z10" i="7"/>
  <c r="Y10" i="7"/>
  <c r="X10" i="7"/>
  <c r="W10" i="7"/>
  <c r="V10" i="7"/>
  <c r="U10" i="7"/>
  <c r="AF9" i="7"/>
  <c r="AE9" i="7"/>
  <c r="AD9" i="7"/>
  <c r="AC9" i="7"/>
  <c r="AB9" i="7"/>
  <c r="AA9" i="7"/>
  <c r="Z9" i="7"/>
  <c r="Y9" i="7"/>
  <c r="X9" i="7"/>
  <c r="W9" i="7"/>
  <c r="V9" i="7"/>
  <c r="U9" i="7"/>
  <c r="AF8" i="7"/>
  <c r="AE8" i="7"/>
  <c r="AD8" i="7"/>
  <c r="AC8" i="7"/>
  <c r="AB8" i="7"/>
  <c r="AA8" i="7"/>
  <c r="Z8" i="7"/>
  <c r="Y8" i="7"/>
  <c r="X8" i="7"/>
  <c r="W8" i="7"/>
  <c r="V8" i="7"/>
  <c r="U8" i="7"/>
  <c r="AF7" i="7"/>
  <c r="AE7" i="7"/>
  <c r="AD7" i="7"/>
  <c r="AC7" i="7"/>
  <c r="AB7" i="7"/>
  <c r="AA7" i="7"/>
  <c r="Z7" i="7"/>
  <c r="Y7" i="7"/>
  <c r="X7" i="7"/>
  <c r="W7" i="7"/>
  <c r="V7" i="7"/>
  <c r="U7" i="7"/>
  <c r="AF6" i="7"/>
  <c r="AE6" i="7"/>
  <c r="AD6" i="7"/>
  <c r="AC6" i="7"/>
  <c r="AB6" i="7"/>
  <c r="AA6" i="7"/>
  <c r="Z6" i="7"/>
  <c r="Y6" i="7"/>
  <c r="X6" i="7"/>
  <c r="W6" i="7"/>
  <c r="W23" i="7" s="1"/>
  <c r="L25" i="7" s="1"/>
  <c r="J8" i="17" s="1"/>
  <c r="V6" i="7"/>
  <c r="V23" i="7" s="1"/>
  <c r="L24" i="7" s="1"/>
  <c r="J7" i="17" s="1"/>
  <c r="U6" i="7"/>
  <c r="AF15" i="6"/>
  <c r="AE15" i="6"/>
  <c r="AD15" i="6"/>
  <c r="AC15" i="6"/>
  <c r="AB15" i="6"/>
  <c r="AA15" i="6"/>
  <c r="Z15" i="6"/>
  <c r="Y15" i="6"/>
  <c r="X15" i="6"/>
  <c r="W15" i="6"/>
  <c r="V15" i="6"/>
  <c r="U15" i="6"/>
  <c r="AF14" i="6"/>
  <c r="AE14" i="6"/>
  <c r="AD14" i="6"/>
  <c r="AC14" i="6"/>
  <c r="AB14" i="6"/>
  <c r="AA14" i="6"/>
  <c r="Z14" i="6"/>
  <c r="Y14" i="6"/>
  <c r="X14" i="6"/>
  <c r="W14" i="6"/>
  <c r="V14" i="6"/>
  <c r="U14" i="6"/>
  <c r="AF13" i="6"/>
  <c r="AE13" i="6"/>
  <c r="AD13" i="6"/>
  <c r="AC13" i="6"/>
  <c r="AB13" i="6"/>
  <c r="AA13" i="6"/>
  <c r="Z13" i="6"/>
  <c r="Y13" i="6"/>
  <c r="X13" i="6"/>
  <c r="W13" i="6"/>
  <c r="V13" i="6"/>
  <c r="U13" i="6"/>
  <c r="AF12" i="6"/>
  <c r="AE12" i="6"/>
  <c r="AD12" i="6"/>
  <c r="AC12" i="6"/>
  <c r="AB12" i="6"/>
  <c r="AA12" i="6"/>
  <c r="Z12" i="6"/>
  <c r="Y12" i="6"/>
  <c r="X12" i="6"/>
  <c r="W12" i="6"/>
  <c r="V12" i="6"/>
  <c r="U12" i="6"/>
  <c r="AF11" i="6"/>
  <c r="AE11" i="6"/>
  <c r="AD11" i="6"/>
  <c r="AC11" i="6"/>
  <c r="AB11" i="6"/>
  <c r="AA11" i="6"/>
  <c r="Z11" i="6"/>
  <c r="Y11" i="6"/>
  <c r="X11" i="6"/>
  <c r="W11" i="6"/>
  <c r="V11" i="6"/>
  <c r="U11" i="6"/>
  <c r="AF10" i="6"/>
  <c r="AE10" i="6"/>
  <c r="AD10" i="6"/>
  <c r="AC10" i="6"/>
  <c r="AB10" i="6"/>
  <c r="AA10" i="6"/>
  <c r="Z10" i="6"/>
  <c r="Y10" i="6"/>
  <c r="X10" i="6"/>
  <c r="W10" i="6"/>
  <c r="V10" i="6"/>
  <c r="U10" i="6"/>
  <c r="AF9" i="6"/>
  <c r="AE9" i="6"/>
  <c r="AD9" i="6"/>
  <c r="AC9" i="6"/>
  <c r="AB9" i="6"/>
  <c r="AA9" i="6"/>
  <c r="Z9" i="6"/>
  <c r="Y9" i="6"/>
  <c r="X9" i="6"/>
  <c r="W9" i="6"/>
  <c r="V9" i="6"/>
  <c r="U9" i="6"/>
  <c r="AF8" i="6"/>
  <c r="AE8" i="6"/>
  <c r="AD8" i="6"/>
  <c r="AC8" i="6"/>
  <c r="AB8" i="6"/>
  <c r="AA8" i="6"/>
  <c r="Z8" i="6"/>
  <c r="Y8" i="6"/>
  <c r="X8" i="6"/>
  <c r="W8" i="6"/>
  <c r="V8" i="6"/>
  <c r="U8" i="6"/>
  <c r="AF7" i="6"/>
  <c r="AE7" i="6"/>
  <c r="AD7" i="6"/>
  <c r="AC7" i="6"/>
  <c r="AB7" i="6"/>
  <c r="AA7" i="6"/>
  <c r="Z7" i="6"/>
  <c r="Y7" i="6"/>
  <c r="X7" i="6"/>
  <c r="W7" i="6"/>
  <c r="V7" i="6"/>
  <c r="U7" i="6"/>
  <c r="AF6" i="6"/>
  <c r="AF23" i="6" s="1"/>
  <c r="L34" i="6" s="1"/>
  <c r="I17" i="17" s="1"/>
  <c r="AE6" i="6"/>
  <c r="AD6" i="6"/>
  <c r="AD23" i="6" s="1"/>
  <c r="L32" i="6" s="1"/>
  <c r="I15" i="17" s="1"/>
  <c r="AC6" i="6"/>
  <c r="AB6" i="6"/>
  <c r="AA6" i="6"/>
  <c r="Z6" i="6"/>
  <c r="Y6" i="6"/>
  <c r="X6" i="6"/>
  <c r="W6" i="6"/>
  <c r="V6" i="6"/>
  <c r="U6" i="6"/>
  <c r="AF22" i="5"/>
  <c r="AE22" i="5"/>
  <c r="AD22" i="5"/>
  <c r="AC22" i="5"/>
  <c r="AB22" i="5"/>
  <c r="AA22" i="5"/>
  <c r="Z22" i="5"/>
  <c r="Y22" i="5"/>
  <c r="X22" i="5"/>
  <c r="W22" i="5"/>
  <c r="V22" i="5"/>
  <c r="U22" i="5"/>
  <c r="AF21" i="5"/>
  <c r="AE21" i="5"/>
  <c r="AD21" i="5"/>
  <c r="AC21" i="5"/>
  <c r="AB21" i="5"/>
  <c r="AA21" i="5"/>
  <c r="Z21" i="5"/>
  <c r="Y21" i="5"/>
  <c r="X21" i="5"/>
  <c r="W21" i="5"/>
  <c r="V21" i="5"/>
  <c r="U21" i="5"/>
  <c r="AF20" i="5"/>
  <c r="AE20" i="5"/>
  <c r="AD20" i="5"/>
  <c r="AC20" i="5"/>
  <c r="AB20" i="5"/>
  <c r="AA20" i="5"/>
  <c r="Z20" i="5"/>
  <c r="Y20" i="5"/>
  <c r="X20" i="5"/>
  <c r="W20" i="5"/>
  <c r="V20" i="5"/>
  <c r="U20" i="5"/>
  <c r="AF19" i="5"/>
  <c r="AE19" i="5"/>
  <c r="AD19" i="5"/>
  <c r="AC19" i="5"/>
  <c r="AB19" i="5"/>
  <c r="AA19" i="5"/>
  <c r="Z19" i="5"/>
  <c r="Y19" i="5"/>
  <c r="X19" i="5"/>
  <c r="W19" i="5"/>
  <c r="V19" i="5"/>
  <c r="U19" i="5"/>
  <c r="AF13" i="5"/>
  <c r="AE13" i="5"/>
  <c r="AD13" i="5"/>
  <c r="AC13" i="5"/>
  <c r="AB13" i="5"/>
  <c r="AA13" i="5"/>
  <c r="Z13" i="5"/>
  <c r="Y13" i="5"/>
  <c r="X13" i="5"/>
  <c r="W13" i="5"/>
  <c r="V13" i="5"/>
  <c r="U13" i="5"/>
  <c r="AF12" i="5"/>
  <c r="AE12" i="5"/>
  <c r="AD12" i="5"/>
  <c r="AC12" i="5"/>
  <c r="AB12" i="5"/>
  <c r="AA12" i="5"/>
  <c r="Z12" i="5"/>
  <c r="Y12" i="5"/>
  <c r="X12" i="5"/>
  <c r="W12" i="5"/>
  <c r="V12" i="5"/>
  <c r="U12" i="5"/>
  <c r="AF11" i="5"/>
  <c r="AE11" i="5"/>
  <c r="AD11" i="5"/>
  <c r="AC11" i="5"/>
  <c r="AB11" i="5"/>
  <c r="AA11" i="5"/>
  <c r="Z11" i="5"/>
  <c r="Y11" i="5"/>
  <c r="X11" i="5"/>
  <c r="W11" i="5"/>
  <c r="V11" i="5"/>
  <c r="U11" i="5"/>
  <c r="AF10" i="5"/>
  <c r="AE10" i="5"/>
  <c r="AD10" i="5"/>
  <c r="AC10" i="5"/>
  <c r="AB10" i="5"/>
  <c r="AA10" i="5"/>
  <c r="Z10" i="5"/>
  <c r="Y10" i="5"/>
  <c r="X10" i="5"/>
  <c r="W10" i="5"/>
  <c r="V10" i="5"/>
  <c r="U10" i="5"/>
  <c r="AF9" i="5"/>
  <c r="AE9" i="5"/>
  <c r="AD9" i="5"/>
  <c r="AC9" i="5"/>
  <c r="AB9" i="5"/>
  <c r="AA9" i="5"/>
  <c r="Z9" i="5"/>
  <c r="Y9" i="5"/>
  <c r="X9" i="5"/>
  <c r="W9" i="5"/>
  <c r="V9" i="5"/>
  <c r="U9" i="5"/>
  <c r="AF8" i="5"/>
  <c r="AE8" i="5"/>
  <c r="AD8" i="5"/>
  <c r="AC8" i="5"/>
  <c r="AB8" i="5"/>
  <c r="AA8" i="5"/>
  <c r="Z8" i="5"/>
  <c r="Y8" i="5"/>
  <c r="X8" i="5"/>
  <c r="W8" i="5"/>
  <c r="V8" i="5"/>
  <c r="U8" i="5"/>
  <c r="AF7" i="5"/>
  <c r="AE7" i="5"/>
  <c r="AD7" i="5"/>
  <c r="AC7" i="5"/>
  <c r="AB7" i="5"/>
  <c r="AA7" i="5"/>
  <c r="Z7" i="5"/>
  <c r="Y7" i="5"/>
  <c r="X7" i="5"/>
  <c r="W7" i="5"/>
  <c r="V7" i="5"/>
  <c r="U7" i="5"/>
  <c r="AF6" i="5"/>
  <c r="AE6" i="5"/>
  <c r="AE23" i="5" s="1"/>
  <c r="L33" i="5" s="1"/>
  <c r="H16" i="17" s="1"/>
  <c r="AD6" i="5"/>
  <c r="AC6" i="5"/>
  <c r="AB6" i="5"/>
  <c r="AA6" i="5"/>
  <c r="Z6" i="5"/>
  <c r="Y6" i="5"/>
  <c r="X6" i="5"/>
  <c r="W6" i="5"/>
  <c r="V6" i="5"/>
  <c r="V23" i="5" s="1"/>
  <c r="L24" i="5" s="1"/>
  <c r="H7" i="17" s="1"/>
  <c r="U6" i="5"/>
  <c r="AF22" i="3"/>
  <c r="AE22" i="3"/>
  <c r="AD22" i="3"/>
  <c r="AC22" i="3"/>
  <c r="AB22" i="3"/>
  <c r="AA22" i="3"/>
  <c r="Z22" i="3"/>
  <c r="Y22" i="3"/>
  <c r="X22" i="3"/>
  <c r="W22" i="3"/>
  <c r="V22" i="3"/>
  <c r="U22" i="3"/>
  <c r="AF21" i="3"/>
  <c r="AE21" i="3"/>
  <c r="AD21" i="3"/>
  <c r="AC21" i="3"/>
  <c r="AB21" i="3"/>
  <c r="AA21" i="3"/>
  <c r="Z21" i="3"/>
  <c r="Y21" i="3"/>
  <c r="X21" i="3"/>
  <c r="W21" i="3"/>
  <c r="V21" i="3"/>
  <c r="U21" i="3"/>
  <c r="AF20" i="3"/>
  <c r="AE20" i="3"/>
  <c r="AD20" i="3"/>
  <c r="AC20" i="3"/>
  <c r="AB20" i="3"/>
  <c r="AA20" i="3"/>
  <c r="Z20" i="3"/>
  <c r="Y20" i="3"/>
  <c r="X20" i="3"/>
  <c r="W20" i="3"/>
  <c r="V20" i="3"/>
  <c r="U20" i="3"/>
  <c r="AF14" i="3"/>
  <c r="AE14" i="3"/>
  <c r="AD14" i="3"/>
  <c r="AC14" i="3"/>
  <c r="AB14" i="3"/>
  <c r="AA14" i="3"/>
  <c r="Z14" i="3"/>
  <c r="Y14" i="3"/>
  <c r="X14" i="3"/>
  <c r="W14" i="3"/>
  <c r="V14" i="3"/>
  <c r="U14" i="3"/>
  <c r="AF13" i="3"/>
  <c r="AE13" i="3"/>
  <c r="AD13" i="3"/>
  <c r="AC13" i="3"/>
  <c r="AB13" i="3"/>
  <c r="AA13" i="3"/>
  <c r="Z13" i="3"/>
  <c r="Y13" i="3"/>
  <c r="X13" i="3"/>
  <c r="W13" i="3"/>
  <c r="V13" i="3"/>
  <c r="U13" i="3"/>
  <c r="AF12" i="3"/>
  <c r="AE12" i="3"/>
  <c r="AD12" i="3"/>
  <c r="AC12" i="3"/>
  <c r="AB12" i="3"/>
  <c r="AA12" i="3"/>
  <c r="Z12" i="3"/>
  <c r="Y12" i="3"/>
  <c r="X12" i="3"/>
  <c r="W12" i="3"/>
  <c r="V12" i="3"/>
  <c r="U12" i="3"/>
  <c r="AF11" i="3"/>
  <c r="AE11" i="3"/>
  <c r="AD11" i="3"/>
  <c r="AC11" i="3"/>
  <c r="AB11" i="3"/>
  <c r="AA11" i="3"/>
  <c r="Z11" i="3"/>
  <c r="Y11" i="3"/>
  <c r="X11" i="3"/>
  <c r="W11" i="3"/>
  <c r="V11" i="3"/>
  <c r="U11" i="3"/>
  <c r="AF10" i="3"/>
  <c r="AE10" i="3"/>
  <c r="AD10" i="3"/>
  <c r="AC10" i="3"/>
  <c r="AB10" i="3"/>
  <c r="AA10" i="3"/>
  <c r="Z10" i="3"/>
  <c r="Y10" i="3"/>
  <c r="X10" i="3"/>
  <c r="W10" i="3"/>
  <c r="V10" i="3"/>
  <c r="U10" i="3"/>
  <c r="AF9" i="3"/>
  <c r="AE9" i="3"/>
  <c r="AD9" i="3"/>
  <c r="AC9" i="3"/>
  <c r="AB9" i="3"/>
  <c r="AA9" i="3"/>
  <c r="Z9" i="3"/>
  <c r="Y9" i="3"/>
  <c r="X9" i="3"/>
  <c r="W9" i="3"/>
  <c r="V9" i="3"/>
  <c r="U9" i="3"/>
  <c r="AF8" i="3"/>
  <c r="AE8" i="3"/>
  <c r="AD8" i="3"/>
  <c r="AC8" i="3"/>
  <c r="AB8" i="3"/>
  <c r="AA8" i="3"/>
  <c r="Z8" i="3"/>
  <c r="Y8" i="3"/>
  <c r="X8" i="3"/>
  <c r="W8" i="3"/>
  <c r="V8" i="3"/>
  <c r="U8" i="3"/>
  <c r="AF7" i="3"/>
  <c r="AE7" i="3"/>
  <c r="AD7" i="3"/>
  <c r="AC7" i="3"/>
  <c r="AB7" i="3"/>
  <c r="AA7" i="3"/>
  <c r="Z7" i="3"/>
  <c r="Y7" i="3"/>
  <c r="X7" i="3"/>
  <c r="W7" i="3"/>
  <c r="V7" i="3"/>
  <c r="U7" i="3"/>
  <c r="AF6" i="3"/>
  <c r="AE6" i="3"/>
  <c r="AD6" i="3"/>
  <c r="AC6" i="3"/>
  <c r="AC23" i="3" s="1"/>
  <c r="L31" i="3" s="1"/>
  <c r="F14" i="17" s="1"/>
  <c r="AB6" i="3"/>
  <c r="AA6" i="3"/>
  <c r="Z6" i="3"/>
  <c r="Y6" i="3"/>
  <c r="X6" i="3"/>
  <c r="W6" i="3"/>
  <c r="V6" i="3"/>
  <c r="U6" i="3"/>
  <c r="AF22" i="2"/>
  <c r="AE22" i="2"/>
  <c r="AD22" i="2"/>
  <c r="AC22" i="2"/>
  <c r="AB22" i="2"/>
  <c r="AA22" i="2"/>
  <c r="Z22" i="2"/>
  <c r="Y22" i="2"/>
  <c r="X22" i="2"/>
  <c r="W22" i="2"/>
  <c r="V22" i="2"/>
  <c r="U22" i="2"/>
  <c r="AF21" i="2"/>
  <c r="AE21" i="2"/>
  <c r="AD21" i="2"/>
  <c r="AC21" i="2"/>
  <c r="AB21" i="2"/>
  <c r="AA21" i="2"/>
  <c r="Z21" i="2"/>
  <c r="Y21" i="2"/>
  <c r="X21" i="2"/>
  <c r="W21" i="2"/>
  <c r="V21" i="2"/>
  <c r="U21" i="2"/>
  <c r="AF20" i="2"/>
  <c r="AE20" i="2"/>
  <c r="AD20" i="2"/>
  <c r="AC20" i="2"/>
  <c r="AB20" i="2"/>
  <c r="AA20" i="2"/>
  <c r="Z20" i="2"/>
  <c r="Y20" i="2"/>
  <c r="X20" i="2"/>
  <c r="W20" i="2"/>
  <c r="V20" i="2"/>
  <c r="U20" i="2"/>
  <c r="AF14" i="2"/>
  <c r="AE14" i="2"/>
  <c r="AD14" i="2"/>
  <c r="AC14" i="2"/>
  <c r="AB14" i="2"/>
  <c r="AA14" i="2"/>
  <c r="Z14" i="2"/>
  <c r="Y14" i="2"/>
  <c r="X14" i="2"/>
  <c r="W14" i="2"/>
  <c r="V14" i="2"/>
  <c r="U14" i="2"/>
  <c r="AF13" i="2"/>
  <c r="AE13" i="2"/>
  <c r="AD13" i="2"/>
  <c r="AC13" i="2"/>
  <c r="AB13" i="2"/>
  <c r="AA13" i="2"/>
  <c r="Z13" i="2"/>
  <c r="Y13" i="2"/>
  <c r="X13" i="2"/>
  <c r="W13" i="2"/>
  <c r="V13" i="2"/>
  <c r="U13" i="2"/>
  <c r="AF12" i="2"/>
  <c r="AE12" i="2"/>
  <c r="AD12" i="2"/>
  <c r="AC12" i="2"/>
  <c r="AB12" i="2"/>
  <c r="AA12" i="2"/>
  <c r="Z12" i="2"/>
  <c r="Y12" i="2"/>
  <c r="X12" i="2"/>
  <c r="W12" i="2"/>
  <c r="V12" i="2"/>
  <c r="U12" i="2"/>
  <c r="AF11" i="2"/>
  <c r="AE11" i="2"/>
  <c r="AD11" i="2"/>
  <c r="AC11" i="2"/>
  <c r="AB11" i="2"/>
  <c r="AA11" i="2"/>
  <c r="Z11" i="2"/>
  <c r="Y11" i="2"/>
  <c r="X11" i="2"/>
  <c r="W11" i="2"/>
  <c r="V11" i="2"/>
  <c r="U11" i="2"/>
  <c r="AF10" i="2"/>
  <c r="AE10" i="2"/>
  <c r="AD10" i="2"/>
  <c r="AC10" i="2"/>
  <c r="AB10" i="2"/>
  <c r="AA10" i="2"/>
  <c r="Z10" i="2"/>
  <c r="Y10" i="2"/>
  <c r="X10" i="2"/>
  <c r="W10" i="2"/>
  <c r="V10" i="2"/>
  <c r="U10" i="2"/>
  <c r="AF9" i="2"/>
  <c r="AE9" i="2"/>
  <c r="AD9" i="2"/>
  <c r="AC9" i="2"/>
  <c r="AB9" i="2"/>
  <c r="AA9" i="2"/>
  <c r="Z9" i="2"/>
  <c r="Y9" i="2"/>
  <c r="X9" i="2"/>
  <c r="W9" i="2"/>
  <c r="V9" i="2"/>
  <c r="U9" i="2"/>
  <c r="AF8" i="2"/>
  <c r="AE8" i="2"/>
  <c r="AD8" i="2"/>
  <c r="AC8" i="2"/>
  <c r="AB8" i="2"/>
  <c r="AA8" i="2"/>
  <c r="Z8" i="2"/>
  <c r="Y8" i="2"/>
  <c r="X8" i="2"/>
  <c r="W8" i="2"/>
  <c r="V8" i="2"/>
  <c r="U8" i="2"/>
  <c r="AF7" i="2"/>
  <c r="AE7" i="2"/>
  <c r="AD7" i="2"/>
  <c r="AC7" i="2"/>
  <c r="AB7" i="2"/>
  <c r="AA7" i="2"/>
  <c r="Z7" i="2"/>
  <c r="Y7" i="2"/>
  <c r="X7" i="2"/>
  <c r="W7" i="2"/>
  <c r="V7" i="2"/>
  <c r="U7" i="2"/>
  <c r="AF6" i="2"/>
  <c r="AF23" i="2" s="1"/>
  <c r="L34" i="2" s="1"/>
  <c r="E17" i="17" s="1"/>
  <c r="AE6" i="2"/>
  <c r="AD6" i="2"/>
  <c r="AC6" i="2"/>
  <c r="AB6" i="2"/>
  <c r="AA6" i="2"/>
  <c r="AA23" i="2" s="1"/>
  <c r="L29" i="2" s="1"/>
  <c r="E12" i="17" s="1"/>
  <c r="Z6" i="2"/>
  <c r="Y6" i="2"/>
  <c r="X6" i="2"/>
  <c r="W6" i="2"/>
  <c r="V6" i="2"/>
  <c r="U6" i="2"/>
  <c r="U7" i="1"/>
  <c r="V7" i="1"/>
  <c r="W7" i="1"/>
  <c r="X7" i="1"/>
  <c r="Y7" i="1"/>
  <c r="Z7" i="1"/>
  <c r="AA7" i="1"/>
  <c r="AB7" i="1"/>
  <c r="AC7" i="1"/>
  <c r="AD7" i="1"/>
  <c r="AE7" i="1"/>
  <c r="AF7" i="1"/>
  <c r="U8" i="1"/>
  <c r="V8" i="1"/>
  <c r="W8" i="1"/>
  <c r="X8" i="1"/>
  <c r="Y8" i="1"/>
  <c r="Z8" i="1"/>
  <c r="AA8" i="1"/>
  <c r="AB8" i="1"/>
  <c r="AC8" i="1"/>
  <c r="AD8" i="1"/>
  <c r="AE8" i="1"/>
  <c r="AF8" i="1"/>
  <c r="U9" i="1"/>
  <c r="V9" i="1"/>
  <c r="W9" i="1"/>
  <c r="X9" i="1"/>
  <c r="Y9" i="1"/>
  <c r="Z9" i="1"/>
  <c r="AA9" i="1"/>
  <c r="AB9" i="1"/>
  <c r="AC9" i="1"/>
  <c r="AD9" i="1"/>
  <c r="AE9" i="1"/>
  <c r="AF9" i="1"/>
  <c r="U10" i="1"/>
  <c r="V10" i="1"/>
  <c r="W10" i="1"/>
  <c r="X10" i="1"/>
  <c r="Y10" i="1"/>
  <c r="Z10" i="1"/>
  <c r="AA10" i="1"/>
  <c r="AB10" i="1"/>
  <c r="AC10" i="1"/>
  <c r="AD10" i="1"/>
  <c r="AE10" i="1"/>
  <c r="AF10" i="1"/>
  <c r="U11" i="1"/>
  <c r="V11" i="1"/>
  <c r="W11" i="1"/>
  <c r="X11" i="1"/>
  <c r="Y11" i="1"/>
  <c r="Z11" i="1"/>
  <c r="AA11" i="1"/>
  <c r="AB11" i="1"/>
  <c r="AC11" i="1"/>
  <c r="AD11" i="1"/>
  <c r="AE11" i="1"/>
  <c r="AF11" i="1"/>
  <c r="U17" i="1"/>
  <c r="V17" i="1"/>
  <c r="W17" i="1"/>
  <c r="X17" i="1"/>
  <c r="Y17" i="1"/>
  <c r="Z17" i="1"/>
  <c r="AA17" i="1"/>
  <c r="AB17" i="1"/>
  <c r="AC17" i="1"/>
  <c r="AD17" i="1"/>
  <c r="AE17" i="1"/>
  <c r="AF17" i="1"/>
  <c r="U18" i="1"/>
  <c r="V18" i="1"/>
  <c r="W18" i="1"/>
  <c r="X18" i="1"/>
  <c r="Y18" i="1"/>
  <c r="Z18" i="1"/>
  <c r="AA18" i="1"/>
  <c r="AB18" i="1"/>
  <c r="AC18" i="1"/>
  <c r="AD18" i="1"/>
  <c r="AE18" i="1"/>
  <c r="AF18" i="1"/>
  <c r="U19" i="1"/>
  <c r="V19" i="1"/>
  <c r="W19" i="1"/>
  <c r="X19" i="1"/>
  <c r="Y19" i="1"/>
  <c r="Z19" i="1"/>
  <c r="AA19" i="1"/>
  <c r="AB19" i="1"/>
  <c r="AC19" i="1"/>
  <c r="AD19" i="1"/>
  <c r="AE19" i="1"/>
  <c r="AF19" i="1"/>
  <c r="U20" i="1"/>
  <c r="V20" i="1"/>
  <c r="W20" i="1"/>
  <c r="X20" i="1"/>
  <c r="Y20" i="1"/>
  <c r="Z20" i="1"/>
  <c r="AA20" i="1"/>
  <c r="AB20" i="1"/>
  <c r="AC20" i="1"/>
  <c r="AD20" i="1"/>
  <c r="AE20" i="1"/>
  <c r="AF20" i="1"/>
  <c r="U21" i="1"/>
  <c r="V21" i="1"/>
  <c r="W21" i="1"/>
  <c r="X21" i="1"/>
  <c r="Y21" i="1"/>
  <c r="Z21" i="1"/>
  <c r="AA21" i="1"/>
  <c r="AB21" i="1"/>
  <c r="AC21" i="1"/>
  <c r="AD21" i="1"/>
  <c r="AE21" i="1"/>
  <c r="AF21" i="1"/>
  <c r="U22" i="1"/>
  <c r="V22" i="1"/>
  <c r="W22" i="1"/>
  <c r="X22" i="1"/>
  <c r="Y22" i="1"/>
  <c r="Z22" i="1"/>
  <c r="AA22" i="1"/>
  <c r="AB22" i="1"/>
  <c r="AC22" i="1"/>
  <c r="AD22" i="1"/>
  <c r="AE22" i="1"/>
  <c r="AF22" i="1"/>
  <c r="Y6" i="1"/>
  <c r="X6" i="1"/>
  <c r="AF6" i="1"/>
  <c r="AE6" i="1"/>
  <c r="AD6" i="1"/>
  <c r="AC6" i="1"/>
  <c r="AB6" i="1"/>
  <c r="AA6" i="1"/>
  <c r="Z6" i="1"/>
  <c r="W6" i="1"/>
  <c r="V6" i="1"/>
  <c r="U6" i="1"/>
  <c r="X19" i="15" l="1"/>
  <c r="L22" i="15" s="1"/>
  <c r="R9" i="17" s="1"/>
  <c r="U23" i="8"/>
  <c r="L23" i="8" s="1"/>
  <c r="K6" i="17" s="1"/>
  <c r="AE23" i="6"/>
  <c r="L33" i="6" s="1"/>
  <c r="I16" i="17" s="1"/>
  <c r="X23" i="6"/>
  <c r="L26" i="6" s="1"/>
  <c r="I9" i="17" s="1"/>
  <c r="W23" i="5"/>
  <c r="L25" i="5" s="1"/>
  <c r="H8" i="17" s="1"/>
  <c r="AB23" i="11"/>
  <c r="L30" i="11" s="1"/>
  <c r="N13" i="17" s="1"/>
  <c r="AC23" i="11"/>
  <c r="L31" i="11" s="1"/>
  <c r="N14" i="17" s="1"/>
  <c r="U23" i="5"/>
  <c r="L23" i="5" s="1"/>
  <c r="H6" i="17" s="1"/>
  <c r="U23" i="2"/>
  <c r="L23" i="2" s="1"/>
  <c r="E6" i="17" s="1"/>
  <c r="AF23" i="8"/>
  <c r="L34" i="8" s="1"/>
  <c r="K17" i="17" s="1"/>
  <c r="X23" i="8"/>
  <c r="L26" i="8" s="1"/>
  <c r="K9" i="17" s="1"/>
  <c r="AF23" i="3"/>
  <c r="L34" i="3" s="1"/>
  <c r="F17" i="17" s="1"/>
  <c r="Y23" i="8"/>
  <c r="L27" i="8" s="1"/>
  <c r="K10" i="17" s="1"/>
  <c r="S1255" i="19"/>
  <c r="X1255" i="19"/>
  <c r="U1254" i="19"/>
  <c r="AA1255" i="19"/>
  <c r="W1254" i="19"/>
  <c r="T1254" i="19"/>
  <c r="AB1254" i="19"/>
  <c r="Z1254" i="19"/>
  <c r="Y1255" i="19"/>
  <c r="V1254" i="19"/>
  <c r="AD1254" i="19"/>
  <c r="AC1254" i="19"/>
  <c r="V22" i="14"/>
  <c r="L23" i="14" s="1"/>
  <c r="Q7" i="17" s="1"/>
  <c r="U23" i="3"/>
  <c r="L23" i="3" s="1"/>
  <c r="F6" i="17" s="1"/>
  <c r="U23" i="16"/>
  <c r="L23" i="16" s="1"/>
  <c r="S6" i="17" s="1"/>
  <c r="AB23" i="3"/>
  <c r="L30" i="3" s="1"/>
  <c r="F13" i="17" s="1"/>
  <c r="AE23" i="8"/>
  <c r="L33" i="8" s="1"/>
  <c r="K16" i="17" s="1"/>
  <c r="U19" i="15"/>
  <c r="L19" i="15" s="1"/>
  <c r="R6" i="17" s="1"/>
  <c r="AD19" i="15"/>
  <c r="L28" i="15" s="1"/>
  <c r="R15" i="17" s="1"/>
  <c r="X22" i="14"/>
  <c r="L25" i="14" s="1"/>
  <c r="Q9" i="17" s="1"/>
  <c r="W19" i="15"/>
  <c r="L21" i="15" s="1"/>
  <c r="R8" i="17" s="1"/>
  <c r="X23" i="2"/>
  <c r="L26" i="2" s="1"/>
  <c r="E9" i="17" s="1"/>
  <c r="AA20" i="9"/>
  <c r="L26" i="9" s="1"/>
  <c r="L12" i="17" s="1"/>
  <c r="W23" i="10"/>
  <c r="L25" i="10" s="1"/>
  <c r="M8" i="17" s="1"/>
  <c r="AB23" i="6"/>
  <c r="L30" i="6" s="1"/>
  <c r="I13" i="17" s="1"/>
  <c r="V23" i="6"/>
  <c r="L24" i="6" s="1"/>
  <c r="I7" i="17" s="1"/>
  <c r="Z22" i="14"/>
  <c r="L27" i="14" s="1"/>
  <c r="Q11" i="17" s="1"/>
  <c r="X23" i="13"/>
  <c r="L26" i="13" s="1"/>
  <c r="P9" i="17" s="1"/>
  <c r="AE23" i="11"/>
  <c r="L33" i="11" s="1"/>
  <c r="N16" i="17" s="1"/>
  <c r="AA23" i="5"/>
  <c r="L29" i="5" s="1"/>
  <c r="H12" i="17" s="1"/>
  <c r="AB23" i="10"/>
  <c r="L30" i="10" s="1"/>
  <c r="M13" i="17" s="1"/>
  <c r="V23" i="10"/>
  <c r="L24" i="10" s="1"/>
  <c r="M7" i="17" s="1"/>
  <c r="AA23" i="10"/>
  <c r="L29" i="10" s="1"/>
  <c r="M12" i="17" s="1"/>
  <c r="AD23" i="5"/>
  <c r="L32" i="5" s="1"/>
  <c r="H15" i="17" s="1"/>
  <c r="X23" i="5"/>
  <c r="L26" i="5" s="1"/>
  <c r="H9" i="17" s="1"/>
  <c r="W23" i="3"/>
  <c r="L25" i="3" s="1"/>
  <c r="F8" i="17" s="1"/>
  <c r="V23" i="3"/>
  <c r="L24" i="3" s="1"/>
  <c r="F7" i="17" s="1"/>
  <c r="X23" i="3"/>
  <c r="L26" i="3" s="1"/>
  <c r="F9" i="17" s="1"/>
  <c r="AE23" i="7"/>
  <c r="L33" i="7" s="1"/>
  <c r="J16" i="17" s="1"/>
  <c r="Y23" i="10"/>
  <c r="L27" i="10" s="1"/>
  <c r="M10" i="17" s="1"/>
  <c r="AF23" i="5"/>
  <c r="L34" i="5" s="1"/>
  <c r="H17" i="17" s="1"/>
  <c r="AA23" i="11"/>
  <c r="L29" i="11" s="1"/>
  <c r="N12" i="17" s="1"/>
  <c r="AD23" i="11"/>
  <c r="L32" i="11" s="1"/>
  <c r="N15" i="17" s="1"/>
  <c r="U23" i="11"/>
  <c r="L23" i="11" s="1"/>
  <c r="N6" i="17" s="1"/>
  <c r="AE23" i="10"/>
  <c r="L33" i="10" s="1"/>
  <c r="M16" i="17" s="1"/>
  <c r="W23" i="2"/>
  <c r="L25" i="2" s="1"/>
  <c r="E8" i="17" s="1"/>
  <c r="AD23" i="2"/>
  <c r="L32" i="2" s="1"/>
  <c r="E15" i="17" s="1"/>
  <c r="AC23" i="2"/>
  <c r="L31" i="2" s="1"/>
  <c r="E14" i="17" s="1"/>
  <c r="AA23" i="6"/>
  <c r="L29" i="6" s="1"/>
  <c r="I12" i="17" s="1"/>
  <c r="W23" i="16"/>
  <c r="L25" i="16" s="1"/>
  <c r="S8" i="17" s="1"/>
  <c r="AE23" i="13"/>
  <c r="L33" i="13" s="1"/>
  <c r="P16" i="17" s="1"/>
  <c r="AC23" i="5"/>
  <c r="L31" i="5" s="1"/>
  <c r="H14" i="17" s="1"/>
  <c r="AD23" i="3"/>
  <c r="L32" i="3" s="1"/>
  <c r="F15" i="17" s="1"/>
  <c r="Y23" i="5"/>
  <c r="L27" i="5" s="1"/>
  <c r="H10" i="17" s="1"/>
  <c r="AB23" i="5"/>
  <c r="L30" i="5" s="1"/>
  <c r="H13" i="17" s="1"/>
  <c r="Z23" i="5"/>
  <c r="L28" i="5" s="1"/>
  <c r="H11" i="17" s="1"/>
  <c r="AB20" i="9"/>
  <c r="L27" i="9" s="1"/>
  <c r="L13" i="17" s="1"/>
  <c r="Y19" i="15"/>
  <c r="L23" i="15" s="1"/>
  <c r="R10" i="17" s="1"/>
  <c r="AC19" i="15"/>
  <c r="L27" i="15" s="1"/>
  <c r="R14" i="17" s="1"/>
  <c r="Y23" i="2"/>
  <c r="L27" i="2" s="1"/>
  <c r="E10" i="17" s="1"/>
  <c r="AE23" i="2"/>
  <c r="L33" i="2" s="1"/>
  <c r="E16" i="17" s="1"/>
  <c r="Z19" i="15"/>
  <c r="L24" i="15" s="1"/>
  <c r="R11" i="17" s="1"/>
  <c r="AB19" i="15"/>
  <c r="L26" i="15" s="1"/>
  <c r="R13" i="17" s="1"/>
  <c r="Y23" i="11"/>
  <c r="L27" i="11" s="1"/>
  <c r="N10" i="17" s="1"/>
  <c r="AE23" i="16"/>
  <c r="L33" i="16" s="1"/>
  <c r="S16" i="17" s="1"/>
  <c r="Y23" i="16"/>
  <c r="L27" i="16" s="1"/>
  <c r="S10" i="17" s="1"/>
  <c r="Y23" i="3"/>
  <c r="L27" i="3" s="1"/>
  <c r="F10" i="17" s="1"/>
  <c r="V23" i="16"/>
  <c r="L24" i="16" s="1"/>
  <c r="S7" i="17" s="1"/>
  <c r="V23" i="11"/>
  <c r="L24" i="11" s="1"/>
  <c r="N7" i="17" s="1"/>
  <c r="U23" i="7"/>
  <c r="L23" i="7" s="1"/>
  <c r="J6" i="17" s="1"/>
  <c r="AA23" i="16"/>
  <c r="L29" i="16" s="1"/>
  <c r="S12" i="17" s="1"/>
  <c r="Z23" i="13"/>
  <c r="L28" i="13" s="1"/>
  <c r="P11" i="17" s="1"/>
  <c r="AC23" i="13"/>
  <c r="L31" i="13" s="1"/>
  <c r="P14" i="17" s="1"/>
  <c r="V23" i="13"/>
  <c r="L24" i="13" s="1"/>
  <c r="P7" i="17" s="1"/>
  <c r="AC23" i="8"/>
  <c r="L31" i="8" s="1"/>
  <c r="K14" i="17" s="1"/>
  <c r="Z23" i="16"/>
  <c r="L28" i="16" s="1"/>
  <c r="S11" i="17" s="1"/>
  <c r="Z23" i="2"/>
  <c r="L28" i="2" s="1"/>
  <c r="E11" i="17" s="1"/>
  <c r="X23" i="16"/>
  <c r="L26" i="16" s="1"/>
  <c r="S9" i="17" s="1"/>
  <c r="AC23" i="16"/>
  <c r="L31" i="16" s="1"/>
  <c r="S14" i="17" s="1"/>
  <c r="V23" i="2"/>
  <c r="L24" i="2" s="1"/>
  <c r="E7" i="17" s="1"/>
  <c r="AB23" i="2"/>
  <c r="L30" i="2" s="1"/>
  <c r="E13" i="17" s="1"/>
  <c r="AB23" i="7"/>
  <c r="L30" i="7" s="1"/>
  <c r="J13" i="17" s="1"/>
  <c r="Z23" i="8"/>
  <c r="L28" i="8" s="1"/>
  <c r="K11" i="17" s="1"/>
  <c r="W23" i="6"/>
  <c r="L25" i="6" s="1"/>
  <c r="I8" i="17" s="1"/>
  <c r="Z23" i="7"/>
  <c r="L28" i="7" s="1"/>
  <c r="J11" i="17" s="1"/>
  <c r="AC23" i="10"/>
  <c r="L31" i="10" s="1"/>
  <c r="M14" i="17" s="1"/>
  <c r="Z23" i="11"/>
  <c r="L28" i="11" s="1"/>
  <c r="N11" i="17" s="1"/>
  <c r="W23" i="13"/>
  <c r="L25" i="13" s="1"/>
  <c r="P8" i="17" s="1"/>
  <c r="AB23" i="13"/>
  <c r="L30" i="13" s="1"/>
  <c r="P13" i="17" s="1"/>
  <c r="AE21" i="12"/>
  <c r="L31" i="12" s="1"/>
  <c r="O16" i="17" s="1"/>
  <c r="U21" i="12"/>
  <c r="L21" i="12" s="1"/>
  <c r="O6" i="17" s="1"/>
  <c r="Z20" i="9"/>
  <c r="L25" i="9" s="1"/>
  <c r="L11" i="17" s="1"/>
  <c r="Y20" i="9"/>
  <c r="L24" i="9" s="1"/>
  <c r="L10" i="17" s="1"/>
  <c r="Z23" i="3"/>
  <c r="L28" i="3" s="1"/>
  <c r="F11" i="17" s="1"/>
  <c r="AD23" i="7"/>
  <c r="L32" i="7" s="1"/>
  <c r="J15" i="17" s="1"/>
  <c r="Y23" i="7"/>
  <c r="L27" i="7" s="1"/>
  <c r="J10" i="17" s="1"/>
  <c r="X23" i="7"/>
  <c r="L26" i="7" s="1"/>
  <c r="J9" i="17" s="1"/>
  <c r="AA23" i="7"/>
  <c r="L29" i="7" s="1"/>
  <c r="J12" i="17" s="1"/>
  <c r="AC23" i="7"/>
  <c r="L31" i="7" s="1"/>
  <c r="J14" i="17" s="1"/>
  <c r="AF23" i="7"/>
  <c r="L34" i="7" s="1"/>
  <c r="J17" i="17" s="1"/>
  <c r="Y23" i="13"/>
  <c r="L27" i="13" s="1"/>
  <c r="P10" i="17" s="1"/>
  <c r="AF19" i="15"/>
  <c r="L30" i="15" s="1"/>
  <c r="R17" i="17" s="1"/>
  <c r="V19" i="15"/>
  <c r="L20" i="15" s="1"/>
  <c r="R7" i="17" s="1"/>
  <c r="Z23" i="6"/>
  <c r="L28" i="6" s="1"/>
  <c r="I11" i="17" s="1"/>
  <c r="AC23" i="6"/>
  <c r="L31" i="6" s="1"/>
  <c r="I14" i="17" s="1"/>
  <c r="U23" i="6"/>
  <c r="L23" i="6" s="1"/>
  <c r="I6" i="17" s="1"/>
  <c r="V23" i="8"/>
  <c r="L24" i="8" s="1"/>
  <c r="K7" i="17" s="1"/>
  <c r="AE23" i="3"/>
  <c r="L33" i="3" s="1"/>
  <c r="F16" i="17" s="1"/>
  <c r="AB23" i="8"/>
  <c r="L30" i="8" s="1"/>
  <c r="K13" i="17" s="1"/>
  <c r="X23" i="11"/>
  <c r="L26" i="11" s="1"/>
  <c r="N9" i="17" s="1"/>
  <c r="Z23" i="10"/>
  <c r="L28" i="10" s="1"/>
  <c r="M11" i="17" s="1"/>
  <c r="AD23" i="10"/>
  <c r="L32" i="10" s="1"/>
  <c r="M15" i="17" s="1"/>
  <c r="AA23" i="13"/>
  <c r="L29" i="13" s="1"/>
  <c r="P12" i="17" s="1"/>
  <c r="Y22" i="14"/>
  <c r="L26" i="14" s="1"/>
  <c r="Q10" i="17" s="1"/>
  <c r="AD22" i="14"/>
  <c r="L31" i="14" s="1"/>
  <c r="Q15" i="17" s="1"/>
  <c r="AA22" i="14"/>
  <c r="L28" i="14" s="1"/>
  <c r="Q12" i="17" s="1"/>
  <c r="Y21" i="12"/>
  <c r="L25" i="12" s="1"/>
  <c r="O10" i="17" s="1"/>
  <c r="AA19" i="15"/>
  <c r="L25" i="15" s="1"/>
  <c r="R12" i="17" s="1"/>
  <c r="X23" i="10"/>
  <c r="L26" i="10" s="1"/>
  <c r="M9" i="17" s="1"/>
  <c r="AB21" i="12"/>
  <c r="L28" i="12" s="1"/>
  <c r="O13" i="17" s="1"/>
  <c r="AD21" i="12"/>
  <c r="L30" i="12" s="1"/>
  <c r="O15" i="17" s="1"/>
  <c r="X21" i="12"/>
  <c r="L24" i="12" s="1"/>
  <c r="O9" i="17" s="1"/>
  <c r="Z21" i="12"/>
  <c r="L26" i="12" s="1"/>
  <c r="O11" i="17" s="1"/>
  <c r="AF23" i="16"/>
  <c r="L34" i="16" s="1"/>
  <c r="S17" i="17" s="1"/>
  <c r="AA21" i="12"/>
  <c r="L27" i="12" s="1"/>
  <c r="O12" i="17" s="1"/>
  <c r="AC21" i="12"/>
  <c r="L29" i="12" s="1"/>
  <c r="O14" i="17" s="1"/>
  <c r="AF21" i="12"/>
  <c r="L32" i="12" s="1"/>
  <c r="O17" i="17" s="1"/>
  <c r="V21" i="12"/>
  <c r="L22" i="12" s="1"/>
  <c r="O7" i="17" s="1"/>
  <c r="W21" i="12"/>
  <c r="L23" i="12" s="1"/>
  <c r="O8" i="17" s="1"/>
  <c r="AE23" i="1"/>
  <c r="L33" i="1" s="1"/>
  <c r="D16" i="17" s="1"/>
  <c r="AD23" i="1"/>
  <c r="L32" i="1" s="1"/>
  <c r="D15" i="17" s="1"/>
  <c r="AC23" i="1"/>
  <c r="L31" i="1" s="1"/>
  <c r="D14" i="17" s="1"/>
  <c r="AA23" i="1"/>
  <c r="L29" i="1" s="1"/>
  <c r="D12" i="17" s="1"/>
  <c r="Z23" i="1"/>
  <c r="L28" i="1" s="1"/>
  <c r="D11" i="17" s="1"/>
  <c r="Y23" i="1"/>
  <c r="L27" i="1" s="1"/>
  <c r="D10" i="17" s="1"/>
  <c r="X23" i="1"/>
  <c r="L26" i="1" s="1"/>
  <c r="D9" i="17" s="1"/>
  <c r="W23" i="1"/>
  <c r="L25" i="1" s="1"/>
  <c r="D8" i="17" s="1"/>
  <c r="V23" i="1"/>
  <c r="L24" i="1" s="1"/>
  <c r="D7" i="17" s="1"/>
  <c r="U23" i="1"/>
  <c r="L23" i="1" s="1"/>
  <c r="D6" i="17" s="1"/>
  <c r="AF23" i="1"/>
  <c r="L34" i="1" s="1"/>
  <c r="D17" i="17" s="1"/>
  <c r="AB23" i="16"/>
  <c r="L30" i="16" s="1"/>
  <c r="S13" i="17" s="1"/>
  <c r="Y23" i="6"/>
  <c r="L27" i="6" s="1"/>
  <c r="I10" i="17" s="1"/>
  <c r="AA23" i="3"/>
  <c r="L29" i="3" s="1"/>
  <c r="F12" i="17" s="1"/>
  <c r="AB23" i="1"/>
  <c r="L30" i="1" s="1"/>
  <c r="D13" i="17" s="1"/>
  <c r="AT1" i="19"/>
  <c r="AO1255" i="19" s="1"/>
  <c r="F173" i="19"/>
  <c r="G173" i="19"/>
  <c r="H173" i="19"/>
  <c r="I173" i="19"/>
  <c r="J173" i="19"/>
  <c r="K173" i="19"/>
  <c r="L173" i="19"/>
  <c r="M173" i="19"/>
  <c r="N173" i="19"/>
  <c r="O173" i="19"/>
  <c r="P173" i="19"/>
  <c r="Q173" i="19"/>
  <c r="F174" i="19"/>
  <c r="G174" i="19"/>
  <c r="H174" i="19"/>
  <c r="I174" i="19"/>
  <c r="J174" i="19"/>
  <c r="K174" i="19"/>
  <c r="L174" i="19"/>
  <c r="M174" i="19"/>
  <c r="N174" i="19"/>
  <c r="O174" i="19"/>
  <c r="P174" i="19"/>
  <c r="Q174" i="19"/>
  <c r="F175" i="19"/>
  <c r="G175" i="19"/>
  <c r="H175" i="19"/>
  <c r="I175" i="19"/>
  <c r="J175" i="19"/>
  <c r="K175" i="19"/>
  <c r="L175" i="19"/>
  <c r="M175" i="19"/>
  <c r="N175" i="19"/>
  <c r="O175" i="19"/>
  <c r="P175" i="19"/>
  <c r="Q175" i="19"/>
  <c r="F176" i="19"/>
  <c r="G176" i="19"/>
  <c r="H176" i="19"/>
  <c r="I176" i="19"/>
  <c r="J176" i="19"/>
  <c r="K176" i="19"/>
  <c r="L176" i="19"/>
  <c r="M176" i="19"/>
  <c r="N176" i="19"/>
  <c r="O176" i="19"/>
  <c r="P176" i="19"/>
  <c r="Q176" i="19"/>
  <c r="F177" i="19"/>
  <c r="G177" i="19"/>
  <c r="H177" i="19"/>
  <c r="I177" i="19"/>
  <c r="J177" i="19"/>
  <c r="K177" i="19"/>
  <c r="L177" i="19"/>
  <c r="M177" i="19"/>
  <c r="N177" i="19"/>
  <c r="O177" i="19"/>
  <c r="P177" i="19"/>
  <c r="Q177" i="19"/>
  <c r="F178" i="19"/>
  <c r="G178" i="19"/>
  <c r="H178" i="19"/>
  <c r="I178" i="19"/>
  <c r="J178" i="19"/>
  <c r="K178" i="19"/>
  <c r="L178" i="19"/>
  <c r="M178" i="19"/>
  <c r="N178" i="19"/>
  <c r="O178" i="19"/>
  <c r="P178" i="19"/>
  <c r="Q178" i="19"/>
  <c r="F179" i="19"/>
  <c r="G179" i="19"/>
  <c r="H179" i="19"/>
  <c r="I179" i="19"/>
  <c r="J179" i="19"/>
  <c r="K179" i="19"/>
  <c r="L179" i="19"/>
  <c r="M179" i="19"/>
  <c r="N179" i="19"/>
  <c r="O179" i="19"/>
  <c r="P179" i="19"/>
  <c r="Q179" i="19"/>
  <c r="F180" i="19"/>
  <c r="G180" i="19"/>
  <c r="H180" i="19"/>
  <c r="I180" i="19"/>
  <c r="J180" i="19"/>
  <c r="K180" i="19"/>
  <c r="L180" i="19"/>
  <c r="M180" i="19"/>
  <c r="N180" i="19"/>
  <c r="O180" i="19"/>
  <c r="P180" i="19"/>
  <c r="Q180" i="19"/>
  <c r="F181" i="19"/>
  <c r="G181" i="19"/>
  <c r="H181" i="19"/>
  <c r="I181" i="19"/>
  <c r="J181" i="19"/>
  <c r="K181" i="19"/>
  <c r="L181" i="19"/>
  <c r="M181" i="19"/>
  <c r="N181" i="19"/>
  <c r="O181" i="19"/>
  <c r="P181" i="19"/>
  <c r="Q181" i="19"/>
  <c r="F182" i="19"/>
  <c r="G182" i="19"/>
  <c r="H182" i="19"/>
  <c r="I182" i="19"/>
  <c r="J182" i="19"/>
  <c r="K182" i="19"/>
  <c r="L182" i="19"/>
  <c r="M182" i="19"/>
  <c r="N182" i="19"/>
  <c r="O182" i="19"/>
  <c r="P182" i="19"/>
  <c r="Q182" i="19"/>
  <c r="F183" i="19"/>
  <c r="G183" i="19"/>
  <c r="H183" i="19"/>
  <c r="I183" i="19"/>
  <c r="J183" i="19"/>
  <c r="K183" i="19"/>
  <c r="L183" i="19"/>
  <c r="M183" i="19"/>
  <c r="N183" i="19"/>
  <c r="O183" i="19"/>
  <c r="P183" i="19"/>
  <c r="Q183" i="19"/>
  <c r="F184" i="19"/>
  <c r="G184" i="19"/>
  <c r="H184" i="19"/>
  <c r="I184" i="19"/>
  <c r="J184" i="19"/>
  <c r="K184" i="19"/>
  <c r="L184" i="19"/>
  <c r="M184" i="19"/>
  <c r="N184" i="19"/>
  <c r="O184" i="19"/>
  <c r="P184" i="19"/>
  <c r="Q184" i="19"/>
  <c r="F185" i="19"/>
  <c r="G185" i="19"/>
  <c r="H185" i="19"/>
  <c r="I185" i="19"/>
  <c r="J185" i="19"/>
  <c r="K185" i="19"/>
  <c r="L185" i="19"/>
  <c r="M185" i="19"/>
  <c r="N185" i="19"/>
  <c r="O185" i="19"/>
  <c r="P185" i="19"/>
  <c r="Q185" i="19"/>
  <c r="F186" i="19"/>
  <c r="G186" i="19"/>
  <c r="H186" i="19"/>
  <c r="I186" i="19"/>
  <c r="J186" i="19"/>
  <c r="K186" i="19"/>
  <c r="L186" i="19"/>
  <c r="M186" i="19"/>
  <c r="N186" i="19"/>
  <c r="O186" i="19"/>
  <c r="P186" i="19"/>
  <c r="Q186" i="19"/>
  <c r="F187" i="19"/>
  <c r="G187" i="19"/>
  <c r="H187" i="19"/>
  <c r="I187" i="19"/>
  <c r="J187" i="19"/>
  <c r="K187" i="19"/>
  <c r="L187" i="19"/>
  <c r="M187" i="19"/>
  <c r="N187" i="19"/>
  <c r="O187" i="19"/>
  <c r="P187" i="19"/>
  <c r="Q187" i="19"/>
  <c r="F188" i="19"/>
  <c r="G188" i="19"/>
  <c r="H188" i="19"/>
  <c r="I188" i="19"/>
  <c r="J188" i="19"/>
  <c r="K188" i="19"/>
  <c r="L188" i="19"/>
  <c r="M188" i="19"/>
  <c r="N188" i="19"/>
  <c r="O188" i="19"/>
  <c r="P188" i="19"/>
  <c r="Q188" i="19"/>
  <c r="F189" i="19"/>
  <c r="G189" i="19"/>
  <c r="H189" i="19"/>
  <c r="I189" i="19"/>
  <c r="J189" i="19"/>
  <c r="K189" i="19"/>
  <c r="L189" i="19"/>
  <c r="M189" i="19"/>
  <c r="N189" i="19"/>
  <c r="O189" i="19"/>
  <c r="P189" i="19"/>
  <c r="Q189" i="19"/>
  <c r="F190" i="19"/>
  <c r="G190" i="19"/>
  <c r="H190" i="19"/>
  <c r="I190" i="19"/>
  <c r="J190" i="19"/>
  <c r="K190" i="19"/>
  <c r="L190" i="19"/>
  <c r="M190" i="19"/>
  <c r="N190" i="19"/>
  <c r="O190" i="19"/>
  <c r="P190" i="19"/>
  <c r="Q190" i="19"/>
  <c r="F191" i="19"/>
  <c r="G191" i="19"/>
  <c r="H191" i="19"/>
  <c r="I191" i="19"/>
  <c r="J191" i="19"/>
  <c r="K191" i="19"/>
  <c r="L191" i="19"/>
  <c r="M191" i="19"/>
  <c r="N191" i="19"/>
  <c r="O191" i="19"/>
  <c r="P191" i="19"/>
  <c r="Q191" i="19"/>
  <c r="F192" i="19"/>
  <c r="G192" i="19"/>
  <c r="H192" i="19"/>
  <c r="I192" i="19"/>
  <c r="J192" i="19"/>
  <c r="K192" i="19"/>
  <c r="L192" i="19"/>
  <c r="M192" i="19"/>
  <c r="N192" i="19"/>
  <c r="O192" i="19"/>
  <c r="P192" i="19"/>
  <c r="Q192" i="19"/>
  <c r="F193" i="19"/>
  <c r="G193" i="19"/>
  <c r="H193" i="19"/>
  <c r="I193" i="19"/>
  <c r="J193" i="19"/>
  <c r="K193" i="19"/>
  <c r="L193" i="19"/>
  <c r="M193" i="19"/>
  <c r="N193" i="19"/>
  <c r="O193" i="19"/>
  <c r="P193" i="19"/>
  <c r="Q193" i="19"/>
  <c r="F194" i="19"/>
  <c r="G194" i="19"/>
  <c r="H194" i="19"/>
  <c r="I194" i="19"/>
  <c r="J194" i="19"/>
  <c r="K194" i="19"/>
  <c r="L194" i="19"/>
  <c r="M194" i="19"/>
  <c r="N194" i="19"/>
  <c r="O194" i="19"/>
  <c r="P194" i="19"/>
  <c r="Q194" i="19"/>
  <c r="F195" i="19"/>
  <c r="G195" i="19"/>
  <c r="H195" i="19"/>
  <c r="I195" i="19"/>
  <c r="J195" i="19"/>
  <c r="K195" i="19"/>
  <c r="L195" i="19"/>
  <c r="M195" i="19"/>
  <c r="N195" i="19"/>
  <c r="O195" i="19"/>
  <c r="P195" i="19"/>
  <c r="Q195" i="19"/>
  <c r="F196" i="19"/>
  <c r="G196" i="19"/>
  <c r="H196" i="19"/>
  <c r="I196" i="19"/>
  <c r="J196" i="19"/>
  <c r="K196" i="19"/>
  <c r="L196" i="19"/>
  <c r="M196" i="19"/>
  <c r="N196" i="19"/>
  <c r="O196" i="19"/>
  <c r="P196" i="19"/>
  <c r="Q196" i="19"/>
  <c r="F197" i="19"/>
  <c r="G197" i="19"/>
  <c r="H197" i="19"/>
  <c r="I197" i="19"/>
  <c r="J197" i="19"/>
  <c r="K197" i="19"/>
  <c r="L197" i="19"/>
  <c r="M197" i="19"/>
  <c r="N197" i="19"/>
  <c r="O197" i="19"/>
  <c r="P197" i="19"/>
  <c r="Q197" i="19"/>
  <c r="F198" i="19"/>
  <c r="G198" i="19"/>
  <c r="H198" i="19"/>
  <c r="I198" i="19"/>
  <c r="J198" i="19"/>
  <c r="K198" i="19"/>
  <c r="L198" i="19"/>
  <c r="M198" i="19"/>
  <c r="N198" i="19"/>
  <c r="O198" i="19"/>
  <c r="P198" i="19"/>
  <c r="Q198" i="19"/>
  <c r="F199" i="19"/>
  <c r="G199" i="19"/>
  <c r="H199" i="19"/>
  <c r="I199" i="19"/>
  <c r="J199" i="19"/>
  <c r="K199" i="19"/>
  <c r="L199" i="19"/>
  <c r="M199" i="19"/>
  <c r="N199" i="19"/>
  <c r="O199" i="19"/>
  <c r="P199" i="19"/>
  <c r="Q199" i="19"/>
  <c r="F200" i="19"/>
  <c r="G200" i="19"/>
  <c r="H200" i="19"/>
  <c r="I200" i="19"/>
  <c r="J200" i="19"/>
  <c r="K200" i="19"/>
  <c r="L200" i="19"/>
  <c r="M200" i="19"/>
  <c r="N200" i="19"/>
  <c r="O200" i="19"/>
  <c r="P200" i="19"/>
  <c r="Q200" i="19"/>
  <c r="F201" i="19"/>
  <c r="G201" i="19"/>
  <c r="H201" i="19"/>
  <c r="I201" i="19"/>
  <c r="J201" i="19"/>
  <c r="K201" i="19"/>
  <c r="L201" i="19"/>
  <c r="M201" i="19"/>
  <c r="N201" i="19"/>
  <c r="O201" i="19"/>
  <c r="P201" i="19"/>
  <c r="Q201" i="19"/>
  <c r="F202" i="19"/>
  <c r="G202" i="19"/>
  <c r="H202" i="19"/>
  <c r="I202" i="19"/>
  <c r="J202" i="19"/>
  <c r="K202" i="19"/>
  <c r="L202" i="19"/>
  <c r="M202" i="19"/>
  <c r="N202" i="19"/>
  <c r="O202" i="19"/>
  <c r="P202" i="19"/>
  <c r="Q202" i="19"/>
  <c r="F203" i="19"/>
  <c r="G203" i="19"/>
  <c r="H203" i="19"/>
  <c r="I203" i="19"/>
  <c r="J203" i="19"/>
  <c r="K203" i="19"/>
  <c r="L203" i="19"/>
  <c r="M203" i="19"/>
  <c r="N203" i="19"/>
  <c r="O203" i="19"/>
  <c r="P203" i="19"/>
  <c r="Q203" i="19"/>
  <c r="F204" i="19"/>
  <c r="G204" i="19"/>
  <c r="H204" i="19"/>
  <c r="I204" i="19"/>
  <c r="J204" i="19"/>
  <c r="K204" i="19"/>
  <c r="L204" i="19"/>
  <c r="M204" i="19"/>
  <c r="N204" i="19"/>
  <c r="O204" i="19"/>
  <c r="P204" i="19"/>
  <c r="Q204" i="19"/>
  <c r="F205" i="19"/>
  <c r="G205" i="19"/>
  <c r="H205" i="19"/>
  <c r="I205" i="19"/>
  <c r="J205" i="19"/>
  <c r="K205" i="19"/>
  <c r="L205" i="19"/>
  <c r="M205" i="19"/>
  <c r="N205" i="19"/>
  <c r="O205" i="19"/>
  <c r="P205" i="19"/>
  <c r="Q205" i="19"/>
  <c r="F206" i="19"/>
  <c r="G206" i="19"/>
  <c r="H206" i="19"/>
  <c r="I206" i="19"/>
  <c r="J206" i="19"/>
  <c r="K206" i="19"/>
  <c r="L206" i="19"/>
  <c r="M206" i="19"/>
  <c r="N206" i="19"/>
  <c r="O206" i="19"/>
  <c r="P206" i="19"/>
  <c r="Q206" i="19"/>
  <c r="F207" i="19"/>
  <c r="G207" i="19"/>
  <c r="H207" i="19"/>
  <c r="I207" i="19"/>
  <c r="J207" i="19"/>
  <c r="K207" i="19"/>
  <c r="L207" i="19"/>
  <c r="M207" i="19"/>
  <c r="N207" i="19"/>
  <c r="O207" i="19"/>
  <c r="P207" i="19"/>
  <c r="Q207" i="19"/>
  <c r="F208" i="19"/>
  <c r="G208" i="19"/>
  <c r="H208" i="19"/>
  <c r="I208" i="19"/>
  <c r="J208" i="19"/>
  <c r="K208" i="19"/>
  <c r="L208" i="19"/>
  <c r="M208" i="19"/>
  <c r="N208" i="19"/>
  <c r="O208" i="19"/>
  <c r="P208" i="19"/>
  <c r="Q208" i="19"/>
  <c r="F209" i="19"/>
  <c r="G209" i="19"/>
  <c r="H209" i="19"/>
  <c r="I209" i="19"/>
  <c r="J209" i="19"/>
  <c r="K209" i="19"/>
  <c r="L209" i="19"/>
  <c r="M209" i="19"/>
  <c r="N209" i="19"/>
  <c r="O209" i="19"/>
  <c r="P209" i="19"/>
  <c r="Q209" i="19"/>
  <c r="F210" i="19"/>
  <c r="G210" i="19"/>
  <c r="H210" i="19"/>
  <c r="I210" i="19"/>
  <c r="J210" i="19"/>
  <c r="K210" i="19"/>
  <c r="L210" i="19"/>
  <c r="M210" i="19"/>
  <c r="N210" i="19"/>
  <c r="O210" i="19"/>
  <c r="P210" i="19"/>
  <c r="Q210" i="19"/>
  <c r="F211" i="19"/>
  <c r="G211" i="19"/>
  <c r="H211" i="19"/>
  <c r="I211" i="19"/>
  <c r="J211" i="19"/>
  <c r="K211" i="19"/>
  <c r="L211" i="19"/>
  <c r="M211" i="19"/>
  <c r="N211" i="19"/>
  <c r="O211" i="19"/>
  <c r="P211" i="19"/>
  <c r="Q211" i="19"/>
  <c r="F212" i="19"/>
  <c r="G212" i="19"/>
  <c r="H212" i="19"/>
  <c r="I212" i="19"/>
  <c r="J212" i="19"/>
  <c r="K212" i="19"/>
  <c r="L212" i="19"/>
  <c r="M212" i="19"/>
  <c r="N212" i="19"/>
  <c r="O212" i="19"/>
  <c r="P212" i="19"/>
  <c r="Q212" i="19"/>
  <c r="F213" i="19"/>
  <c r="G213" i="19"/>
  <c r="H213" i="19"/>
  <c r="I213" i="19"/>
  <c r="J213" i="19"/>
  <c r="K213" i="19"/>
  <c r="L213" i="19"/>
  <c r="M213" i="19"/>
  <c r="N213" i="19"/>
  <c r="O213" i="19"/>
  <c r="P213" i="19"/>
  <c r="Q213" i="19"/>
  <c r="F217" i="19"/>
  <c r="G217" i="19"/>
  <c r="H217" i="19"/>
  <c r="I217" i="19"/>
  <c r="J217" i="19"/>
  <c r="K217" i="19"/>
  <c r="L217" i="19"/>
  <c r="M217" i="19"/>
  <c r="N217" i="19"/>
  <c r="O217" i="19"/>
  <c r="P217" i="19"/>
  <c r="Q217" i="19"/>
  <c r="F218" i="19"/>
  <c r="G218" i="19"/>
  <c r="H218" i="19"/>
  <c r="I218" i="19"/>
  <c r="J218" i="19"/>
  <c r="K218" i="19"/>
  <c r="L218" i="19"/>
  <c r="M218" i="19"/>
  <c r="N218" i="19"/>
  <c r="O218" i="19"/>
  <c r="P218" i="19"/>
  <c r="Q218" i="19"/>
  <c r="F219" i="19"/>
  <c r="G219" i="19"/>
  <c r="H219" i="19"/>
  <c r="I219" i="19"/>
  <c r="J219" i="19"/>
  <c r="K219" i="19"/>
  <c r="L219" i="19"/>
  <c r="M219" i="19"/>
  <c r="N219" i="19"/>
  <c r="O219" i="19"/>
  <c r="P219" i="19"/>
  <c r="Q219" i="19"/>
  <c r="F220" i="19"/>
  <c r="G220" i="19"/>
  <c r="H220" i="19"/>
  <c r="I220" i="19"/>
  <c r="J220" i="19"/>
  <c r="K220" i="19"/>
  <c r="L220" i="19"/>
  <c r="M220" i="19"/>
  <c r="N220" i="19"/>
  <c r="O220" i="19"/>
  <c r="P220" i="19"/>
  <c r="Q220" i="19"/>
  <c r="F221" i="19"/>
  <c r="G221" i="19"/>
  <c r="H221" i="19"/>
  <c r="I221" i="19"/>
  <c r="J221" i="19"/>
  <c r="K221" i="19"/>
  <c r="L221" i="19"/>
  <c r="M221" i="19"/>
  <c r="N221" i="19"/>
  <c r="O221" i="19"/>
  <c r="P221" i="19"/>
  <c r="Q221" i="19"/>
  <c r="F222" i="19"/>
  <c r="G222" i="19"/>
  <c r="H222" i="19"/>
  <c r="I222" i="19"/>
  <c r="J222" i="19"/>
  <c r="K222" i="19"/>
  <c r="L222" i="19"/>
  <c r="M222" i="19"/>
  <c r="N222" i="19"/>
  <c r="O222" i="19"/>
  <c r="P222" i="19"/>
  <c r="Q222" i="19"/>
  <c r="F223" i="19"/>
  <c r="G223" i="19"/>
  <c r="H223" i="19"/>
  <c r="I223" i="19"/>
  <c r="J223" i="19"/>
  <c r="K223" i="19"/>
  <c r="L223" i="19"/>
  <c r="M223" i="19"/>
  <c r="N223" i="19"/>
  <c r="O223" i="19"/>
  <c r="P223" i="19"/>
  <c r="Q223" i="19"/>
  <c r="F224" i="19"/>
  <c r="G224" i="19"/>
  <c r="H224" i="19"/>
  <c r="I224" i="19"/>
  <c r="J224" i="19"/>
  <c r="K224" i="19"/>
  <c r="L224" i="19"/>
  <c r="M224" i="19"/>
  <c r="N224" i="19"/>
  <c r="O224" i="19"/>
  <c r="P224" i="19"/>
  <c r="Q224" i="19"/>
  <c r="F225" i="19"/>
  <c r="G225" i="19"/>
  <c r="H225" i="19"/>
  <c r="I225" i="19"/>
  <c r="J225" i="19"/>
  <c r="K225" i="19"/>
  <c r="L225" i="19"/>
  <c r="M225" i="19"/>
  <c r="N225" i="19"/>
  <c r="O225" i="19"/>
  <c r="P225" i="19"/>
  <c r="Q225" i="19"/>
  <c r="F226" i="19"/>
  <c r="G226" i="19"/>
  <c r="H226" i="19"/>
  <c r="I226" i="19"/>
  <c r="J226" i="19"/>
  <c r="K226" i="19"/>
  <c r="L226" i="19"/>
  <c r="M226" i="19"/>
  <c r="N226" i="19"/>
  <c r="O226" i="19"/>
  <c r="P226" i="19"/>
  <c r="Q226" i="19"/>
  <c r="F227" i="19"/>
  <c r="G227" i="19"/>
  <c r="H227" i="19"/>
  <c r="I227" i="19"/>
  <c r="J227" i="19"/>
  <c r="K227" i="19"/>
  <c r="L227" i="19"/>
  <c r="M227" i="19"/>
  <c r="N227" i="19"/>
  <c r="O227" i="19"/>
  <c r="P227" i="19"/>
  <c r="Q227" i="19"/>
  <c r="F228" i="19"/>
  <c r="G228" i="19"/>
  <c r="H228" i="19"/>
  <c r="I228" i="19"/>
  <c r="J228" i="19"/>
  <c r="K228" i="19"/>
  <c r="L228" i="19"/>
  <c r="M228" i="19"/>
  <c r="N228" i="19"/>
  <c r="O228" i="19"/>
  <c r="P228" i="19"/>
  <c r="Q228" i="19"/>
  <c r="F229" i="19"/>
  <c r="G229" i="19"/>
  <c r="H229" i="19"/>
  <c r="I229" i="19"/>
  <c r="J229" i="19"/>
  <c r="K229" i="19"/>
  <c r="L229" i="19"/>
  <c r="M229" i="19"/>
  <c r="N229" i="19"/>
  <c r="O229" i="19"/>
  <c r="P229" i="19"/>
  <c r="Q229" i="19"/>
  <c r="F230" i="19"/>
  <c r="G230" i="19"/>
  <c r="H230" i="19"/>
  <c r="I230" i="19"/>
  <c r="J230" i="19"/>
  <c r="K230" i="19"/>
  <c r="L230" i="19"/>
  <c r="M230" i="19"/>
  <c r="N230" i="19"/>
  <c r="O230" i="19"/>
  <c r="P230" i="19"/>
  <c r="Q230" i="19"/>
  <c r="F231" i="19"/>
  <c r="G231" i="19"/>
  <c r="H231" i="19"/>
  <c r="I231" i="19"/>
  <c r="J231" i="19"/>
  <c r="K231" i="19"/>
  <c r="L231" i="19"/>
  <c r="M231" i="19"/>
  <c r="N231" i="19"/>
  <c r="O231" i="19"/>
  <c r="P231" i="19"/>
  <c r="Q231" i="19"/>
  <c r="F232" i="19"/>
  <c r="G232" i="19"/>
  <c r="H232" i="19"/>
  <c r="I232" i="19"/>
  <c r="J232" i="19"/>
  <c r="K232" i="19"/>
  <c r="L232" i="19"/>
  <c r="M232" i="19"/>
  <c r="N232" i="19"/>
  <c r="O232" i="19"/>
  <c r="P232" i="19"/>
  <c r="Q232" i="19"/>
  <c r="F233" i="19"/>
  <c r="G233" i="19"/>
  <c r="H233" i="19"/>
  <c r="I233" i="19"/>
  <c r="J233" i="19"/>
  <c r="K233" i="19"/>
  <c r="L233" i="19"/>
  <c r="M233" i="19"/>
  <c r="N233" i="19"/>
  <c r="O233" i="19"/>
  <c r="P233" i="19"/>
  <c r="Q233" i="19"/>
  <c r="F234" i="19"/>
  <c r="G234" i="19"/>
  <c r="H234" i="19"/>
  <c r="I234" i="19"/>
  <c r="J234" i="19"/>
  <c r="K234" i="19"/>
  <c r="L234" i="19"/>
  <c r="M234" i="19"/>
  <c r="N234" i="19"/>
  <c r="O234" i="19"/>
  <c r="P234" i="19"/>
  <c r="Q234" i="19"/>
  <c r="F235" i="19"/>
  <c r="G235" i="19"/>
  <c r="H235" i="19"/>
  <c r="I235" i="19"/>
  <c r="J235" i="19"/>
  <c r="K235" i="19"/>
  <c r="L235" i="19"/>
  <c r="M235" i="19"/>
  <c r="N235" i="19"/>
  <c r="O235" i="19"/>
  <c r="P235" i="19"/>
  <c r="Q235" i="19"/>
  <c r="F236" i="19"/>
  <c r="G236" i="19"/>
  <c r="H236" i="19"/>
  <c r="I236" i="19"/>
  <c r="J236" i="19"/>
  <c r="K236" i="19"/>
  <c r="L236" i="19"/>
  <c r="M236" i="19"/>
  <c r="N236" i="19"/>
  <c r="O236" i="19"/>
  <c r="P236" i="19"/>
  <c r="Q236" i="19"/>
  <c r="F237" i="19"/>
  <c r="G237" i="19"/>
  <c r="H237" i="19"/>
  <c r="I237" i="19"/>
  <c r="J237" i="19"/>
  <c r="K237" i="19"/>
  <c r="L237" i="19"/>
  <c r="M237" i="19"/>
  <c r="N237" i="19"/>
  <c r="O237" i="19"/>
  <c r="P237" i="19"/>
  <c r="Q237" i="19"/>
  <c r="F238" i="19"/>
  <c r="G238" i="19"/>
  <c r="H238" i="19"/>
  <c r="I238" i="19"/>
  <c r="J238" i="19"/>
  <c r="K238" i="19"/>
  <c r="L238" i="19"/>
  <c r="M238" i="19"/>
  <c r="N238" i="19"/>
  <c r="O238" i="19"/>
  <c r="P238" i="19"/>
  <c r="Q238" i="19"/>
  <c r="F239" i="19"/>
  <c r="G239" i="19"/>
  <c r="H239" i="19"/>
  <c r="I239" i="19"/>
  <c r="J239" i="19"/>
  <c r="K239" i="19"/>
  <c r="L239" i="19"/>
  <c r="M239" i="19"/>
  <c r="N239" i="19"/>
  <c r="O239" i="19"/>
  <c r="P239" i="19"/>
  <c r="Q239" i="19"/>
  <c r="F240" i="19"/>
  <c r="G240" i="19"/>
  <c r="H240" i="19"/>
  <c r="I240" i="19"/>
  <c r="J240" i="19"/>
  <c r="K240" i="19"/>
  <c r="L240" i="19"/>
  <c r="M240" i="19"/>
  <c r="N240" i="19"/>
  <c r="O240" i="19"/>
  <c r="P240" i="19"/>
  <c r="Q240" i="19"/>
  <c r="F241" i="19"/>
  <c r="G241" i="19"/>
  <c r="H241" i="19"/>
  <c r="I241" i="19"/>
  <c r="J241" i="19"/>
  <c r="K241" i="19"/>
  <c r="L241" i="19"/>
  <c r="M241" i="19"/>
  <c r="N241" i="19"/>
  <c r="O241" i="19"/>
  <c r="P241" i="19"/>
  <c r="Q241" i="19"/>
  <c r="F242" i="19"/>
  <c r="G242" i="19"/>
  <c r="H242" i="19"/>
  <c r="I242" i="19"/>
  <c r="J242" i="19"/>
  <c r="K242" i="19"/>
  <c r="L242" i="19"/>
  <c r="M242" i="19"/>
  <c r="N242" i="19"/>
  <c r="O242" i="19"/>
  <c r="P242" i="19"/>
  <c r="Q242" i="19"/>
  <c r="F243" i="19"/>
  <c r="G243" i="19"/>
  <c r="H243" i="19"/>
  <c r="I243" i="19"/>
  <c r="J243" i="19"/>
  <c r="K243" i="19"/>
  <c r="L243" i="19"/>
  <c r="M243" i="19"/>
  <c r="N243" i="19"/>
  <c r="O243" i="19"/>
  <c r="P243" i="19"/>
  <c r="Q243" i="19"/>
  <c r="F244" i="19"/>
  <c r="G244" i="19"/>
  <c r="H244" i="19"/>
  <c r="I244" i="19"/>
  <c r="J244" i="19"/>
  <c r="K244" i="19"/>
  <c r="L244" i="19"/>
  <c r="M244" i="19"/>
  <c r="N244" i="19"/>
  <c r="O244" i="19"/>
  <c r="P244" i="19"/>
  <c r="Q244" i="19"/>
  <c r="F245" i="19"/>
  <c r="G245" i="19"/>
  <c r="H245" i="19"/>
  <c r="I245" i="19"/>
  <c r="J245" i="19"/>
  <c r="K245" i="19"/>
  <c r="L245" i="19"/>
  <c r="M245" i="19"/>
  <c r="N245" i="19"/>
  <c r="O245" i="19"/>
  <c r="P245" i="19"/>
  <c r="Q245" i="19"/>
  <c r="F246" i="19"/>
  <c r="G246" i="19"/>
  <c r="H246" i="19"/>
  <c r="I246" i="19"/>
  <c r="J246" i="19"/>
  <c r="K246" i="19"/>
  <c r="L246" i="19"/>
  <c r="M246" i="19"/>
  <c r="N246" i="19"/>
  <c r="O246" i="19"/>
  <c r="P246" i="19"/>
  <c r="Q246" i="19"/>
  <c r="F247" i="19"/>
  <c r="G247" i="19"/>
  <c r="H247" i="19"/>
  <c r="I247" i="19"/>
  <c r="J247" i="19"/>
  <c r="K247" i="19"/>
  <c r="L247" i="19"/>
  <c r="M247" i="19"/>
  <c r="N247" i="19"/>
  <c r="O247" i="19"/>
  <c r="P247" i="19"/>
  <c r="Q247" i="19"/>
  <c r="F248" i="19"/>
  <c r="G248" i="19"/>
  <c r="H248" i="19"/>
  <c r="I248" i="19"/>
  <c r="J248" i="19"/>
  <c r="K248" i="19"/>
  <c r="L248" i="19"/>
  <c r="M248" i="19"/>
  <c r="N248" i="19"/>
  <c r="O248" i="19"/>
  <c r="P248" i="19"/>
  <c r="Q248" i="19"/>
  <c r="F250" i="19"/>
  <c r="G250" i="19"/>
  <c r="H250" i="19"/>
  <c r="I250" i="19"/>
  <c r="J250" i="19"/>
  <c r="K250" i="19"/>
  <c r="L250" i="19"/>
  <c r="M250" i="19"/>
  <c r="N250" i="19"/>
  <c r="O250" i="19"/>
  <c r="P250" i="19"/>
  <c r="Q250" i="19"/>
  <c r="F251" i="19"/>
  <c r="G251" i="19"/>
  <c r="H251" i="19"/>
  <c r="I251" i="19"/>
  <c r="J251" i="19"/>
  <c r="K251" i="19"/>
  <c r="L251" i="19"/>
  <c r="M251" i="19"/>
  <c r="N251" i="19"/>
  <c r="O251" i="19"/>
  <c r="P251" i="19"/>
  <c r="Q251" i="19"/>
  <c r="F252" i="19"/>
  <c r="G252" i="19"/>
  <c r="H252" i="19"/>
  <c r="I252" i="19"/>
  <c r="J252" i="19"/>
  <c r="K252" i="19"/>
  <c r="L252" i="19"/>
  <c r="M252" i="19"/>
  <c r="N252" i="19"/>
  <c r="O252" i="19"/>
  <c r="P252" i="19"/>
  <c r="Q252" i="19"/>
  <c r="F253" i="19"/>
  <c r="G253" i="19"/>
  <c r="H253" i="19"/>
  <c r="I253" i="19"/>
  <c r="J253" i="19"/>
  <c r="K253" i="19"/>
  <c r="L253" i="19"/>
  <c r="M253" i="19"/>
  <c r="N253" i="19"/>
  <c r="O253" i="19"/>
  <c r="P253" i="19"/>
  <c r="Q253" i="19"/>
  <c r="F254" i="19"/>
  <c r="G254" i="19"/>
  <c r="H254" i="19"/>
  <c r="I254" i="19"/>
  <c r="J254" i="19"/>
  <c r="K254" i="19"/>
  <c r="L254" i="19"/>
  <c r="M254" i="19"/>
  <c r="N254" i="19"/>
  <c r="O254" i="19"/>
  <c r="P254" i="19"/>
  <c r="Q254" i="19"/>
  <c r="F255" i="19"/>
  <c r="G255" i="19"/>
  <c r="H255" i="19"/>
  <c r="I255" i="19"/>
  <c r="J255" i="19"/>
  <c r="K255" i="19"/>
  <c r="L255" i="19"/>
  <c r="M255" i="19"/>
  <c r="N255" i="19"/>
  <c r="O255" i="19"/>
  <c r="P255" i="19"/>
  <c r="Q255" i="19"/>
  <c r="F256" i="19"/>
  <c r="G256" i="19"/>
  <c r="H256" i="19"/>
  <c r="I256" i="19"/>
  <c r="J256" i="19"/>
  <c r="K256" i="19"/>
  <c r="L256" i="19"/>
  <c r="M256" i="19"/>
  <c r="N256" i="19"/>
  <c r="O256" i="19"/>
  <c r="P256" i="19"/>
  <c r="Q256" i="19"/>
  <c r="F257" i="19"/>
  <c r="G257" i="19"/>
  <c r="H257" i="19"/>
  <c r="I257" i="19"/>
  <c r="J257" i="19"/>
  <c r="K257" i="19"/>
  <c r="L257" i="19"/>
  <c r="M257" i="19"/>
  <c r="N257" i="19"/>
  <c r="O257" i="19"/>
  <c r="P257" i="19"/>
  <c r="Q257" i="19"/>
  <c r="F258" i="19"/>
  <c r="G258" i="19"/>
  <c r="H258" i="19"/>
  <c r="I258" i="19"/>
  <c r="J258" i="19"/>
  <c r="K258" i="19"/>
  <c r="L258" i="19"/>
  <c r="M258" i="19"/>
  <c r="N258" i="19"/>
  <c r="O258" i="19"/>
  <c r="P258" i="19"/>
  <c r="Q258" i="19"/>
  <c r="F259" i="19"/>
  <c r="G259" i="19"/>
  <c r="H259" i="19"/>
  <c r="I259" i="19"/>
  <c r="J259" i="19"/>
  <c r="K259" i="19"/>
  <c r="L259" i="19"/>
  <c r="M259" i="19"/>
  <c r="N259" i="19"/>
  <c r="O259" i="19"/>
  <c r="P259" i="19"/>
  <c r="Q259" i="19"/>
  <c r="F260" i="19"/>
  <c r="G260" i="19"/>
  <c r="H260" i="19"/>
  <c r="I260" i="19"/>
  <c r="J260" i="19"/>
  <c r="K260" i="19"/>
  <c r="L260" i="19"/>
  <c r="M260" i="19"/>
  <c r="N260" i="19"/>
  <c r="O260" i="19"/>
  <c r="P260" i="19"/>
  <c r="Q260" i="19"/>
  <c r="F261" i="19"/>
  <c r="G261" i="19"/>
  <c r="H261" i="19"/>
  <c r="I261" i="19"/>
  <c r="J261" i="19"/>
  <c r="K261" i="19"/>
  <c r="L261" i="19"/>
  <c r="M261" i="19"/>
  <c r="N261" i="19"/>
  <c r="O261" i="19"/>
  <c r="P261" i="19"/>
  <c r="Q261" i="19"/>
  <c r="F262" i="19"/>
  <c r="G262" i="19"/>
  <c r="H262" i="19"/>
  <c r="I262" i="19"/>
  <c r="J262" i="19"/>
  <c r="K262" i="19"/>
  <c r="L262" i="19"/>
  <c r="M262" i="19"/>
  <c r="N262" i="19"/>
  <c r="O262" i="19"/>
  <c r="P262" i="19"/>
  <c r="Q262" i="19"/>
  <c r="F263" i="19"/>
  <c r="G263" i="19"/>
  <c r="H263" i="19"/>
  <c r="I263" i="19"/>
  <c r="J263" i="19"/>
  <c r="K263" i="19"/>
  <c r="L263" i="19"/>
  <c r="M263" i="19"/>
  <c r="N263" i="19"/>
  <c r="O263" i="19"/>
  <c r="P263" i="19"/>
  <c r="Q263" i="19"/>
  <c r="F264" i="19"/>
  <c r="G264" i="19"/>
  <c r="H264" i="19"/>
  <c r="I264" i="19"/>
  <c r="J264" i="19"/>
  <c r="K264" i="19"/>
  <c r="L264" i="19"/>
  <c r="M264" i="19"/>
  <c r="N264" i="19"/>
  <c r="O264" i="19"/>
  <c r="P264" i="19"/>
  <c r="Q264" i="19"/>
  <c r="F265" i="19"/>
  <c r="G265" i="19"/>
  <c r="H265" i="19"/>
  <c r="I265" i="19"/>
  <c r="J265" i="19"/>
  <c r="K265" i="19"/>
  <c r="L265" i="19"/>
  <c r="M265" i="19"/>
  <c r="N265" i="19"/>
  <c r="O265" i="19"/>
  <c r="P265" i="19"/>
  <c r="Q265" i="19"/>
  <c r="F266" i="19"/>
  <c r="G266" i="19"/>
  <c r="H266" i="19"/>
  <c r="I266" i="19"/>
  <c r="J266" i="19"/>
  <c r="K266" i="19"/>
  <c r="L266" i="19"/>
  <c r="M266" i="19"/>
  <c r="N266" i="19"/>
  <c r="O266" i="19"/>
  <c r="P266" i="19"/>
  <c r="Q266" i="19"/>
  <c r="F267" i="19"/>
  <c r="G267" i="19"/>
  <c r="H267" i="19"/>
  <c r="I267" i="19"/>
  <c r="J267" i="19"/>
  <c r="K267" i="19"/>
  <c r="L267" i="19"/>
  <c r="M267" i="19"/>
  <c r="N267" i="19"/>
  <c r="O267" i="19"/>
  <c r="P267" i="19"/>
  <c r="Q267" i="19"/>
  <c r="F268" i="19"/>
  <c r="G268" i="19"/>
  <c r="H268" i="19"/>
  <c r="I268" i="19"/>
  <c r="J268" i="19"/>
  <c r="K268" i="19"/>
  <c r="L268" i="19"/>
  <c r="M268" i="19"/>
  <c r="N268" i="19"/>
  <c r="O268" i="19"/>
  <c r="P268" i="19"/>
  <c r="Q268" i="19"/>
  <c r="F269" i="19"/>
  <c r="G269" i="19"/>
  <c r="H269" i="19"/>
  <c r="I269" i="19"/>
  <c r="J269" i="19"/>
  <c r="K269" i="19"/>
  <c r="L269" i="19"/>
  <c r="M269" i="19"/>
  <c r="N269" i="19"/>
  <c r="O269" i="19"/>
  <c r="P269" i="19"/>
  <c r="Q269" i="19"/>
  <c r="F270" i="19"/>
  <c r="G270" i="19"/>
  <c r="H270" i="19"/>
  <c r="I270" i="19"/>
  <c r="J270" i="19"/>
  <c r="K270" i="19"/>
  <c r="L270" i="19"/>
  <c r="M270" i="19"/>
  <c r="N270" i="19"/>
  <c r="O270" i="19"/>
  <c r="P270" i="19"/>
  <c r="Q270" i="19"/>
  <c r="F271" i="19"/>
  <c r="G271" i="19"/>
  <c r="H271" i="19"/>
  <c r="I271" i="19"/>
  <c r="J271" i="19"/>
  <c r="K271" i="19"/>
  <c r="L271" i="19"/>
  <c r="M271" i="19"/>
  <c r="N271" i="19"/>
  <c r="O271" i="19"/>
  <c r="P271" i="19"/>
  <c r="Q271" i="19"/>
  <c r="F272" i="19"/>
  <c r="G272" i="19"/>
  <c r="H272" i="19"/>
  <c r="I272" i="19"/>
  <c r="J272" i="19"/>
  <c r="K272" i="19"/>
  <c r="L272" i="19"/>
  <c r="M272" i="19"/>
  <c r="N272" i="19"/>
  <c r="O272" i="19"/>
  <c r="P272" i="19"/>
  <c r="Q272" i="19"/>
  <c r="F273" i="19"/>
  <c r="G273" i="19"/>
  <c r="H273" i="19"/>
  <c r="I273" i="19"/>
  <c r="J273" i="19"/>
  <c r="K273" i="19"/>
  <c r="L273" i="19"/>
  <c r="M273" i="19"/>
  <c r="N273" i="19"/>
  <c r="O273" i="19"/>
  <c r="P273" i="19"/>
  <c r="Q273" i="19"/>
  <c r="F274" i="19"/>
  <c r="G274" i="19"/>
  <c r="H274" i="19"/>
  <c r="I274" i="19"/>
  <c r="J274" i="19"/>
  <c r="K274" i="19"/>
  <c r="L274" i="19"/>
  <c r="M274" i="19"/>
  <c r="N274" i="19"/>
  <c r="O274" i="19"/>
  <c r="P274" i="19"/>
  <c r="Q274" i="19"/>
  <c r="F275" i="19"/>
  <c r="G275" i="19"/>
  <c r="H275" i="19"/>
  <c r="I275" i="19"/>
  <c r="J275" i="19"/>
  <c r="K275" i="19"/>
  <c r="L275" i="19"/>
  <c r="M275" i="19"/>
  <c r="N275" i="19"/>
  <c r="O275" i="19"/>
  <c r="P275" i="19"/>
  <c r="Q275" i="19"/>
  <c r="F276" i="19"/>
  <c r="G276" i="19"/>
  <c r="H276" i="19"/>
  <c r="I276" i="19"/>
  <c r="J276" i="19"/>
  <c r="K276" i="19"/>
  <c r="L276" i="19"/>
  <c r="M276" i="19"/>
  <c r="N276" i="19"/>
  <c r="O276" i="19"/>
  <c r="P276" i="19"/>
  <c r="Q276" i="19"/>
  <c r="F277" i="19"/>
  <c r="G277" i="19"/>
  <c r="H277" i="19"/>
  <c r="I277" i="19"/>
  <c r="J277" i="19"/>
  <c r="K277" i="19"/>
  <c r="L277" i="19"/>
  <c r="M277" i="19"/>
  <c r="N277" i="19"/>
  <c r="O277" i="19"/>
  <c r="P277" i="19"/>
  <c r="Q277" i="19"/>
  <c r="F278" i="19"/>
  <c r="G278" i="19"/>
  <c r="H278" i="19"/>
  <c r="I278" i="19"/>
  <c r="J278" i="19"/>
  <c r="K278" i="19"/>
  <c r="L278" i="19"/>
  <c r="M278" i="19"/>
  <c r="N278" i="19"/>
  <c r="O278" i="19"/>
  <c r="P278" i="19"/>
  <c r="Q278" i="19"/>
  <c r="F279" i="19"/>
  <c r="G279" i="19"/>
  <c r="H279" i="19"/>
  <c r="I279" i="19"/>
  <c r="J279" i="19"/>
  <c r="K279" i="19"/>
  <c r="L279" i="19"/>
  <c r="M279" i="19"/>
  <c r="N279" i="19"/>
  <c r="O279" i="19"/>
  <c r="P279" i="19"/>
  <c r="Q279" i="19"/>
  <c r="F280" i="19"/>
  <c r="G280" i="19"/>
  <c r="H280" i="19"/>
  <c r="I280" i="19"/>
  <c r="J280" i="19"/>
  <c r="K280" i="19"/>
  <c r="L280" i="19"/>
  <c r="M280" i="19"/>
  <c r="N280" i="19"/>
  <c r="O280" i="19"/>
  <c r="P280" i="19"/>
  <c r="Q280" i="19"/>
  <c r="F281" i="19"/>
  <c r="G281" i="19"/>
  <c r="H281" i="19"/>
  <c r="I281" i="19"/>
  <c r="J281" i="19"/>
  <c r="K281" i="19"/>
  <c r="L281" i="19"/>
  <c r="M281" i="19"/>
  <c r="N281" i="19"/>
  <c r="O281" i="19"/>
  <c r="P281" i="19"/>
  <c r="Q281" i="19"/>
  <c r="F282" i="19"/>
  <c r="G282" i="19"/>
  <c r="H282" i="19"/>
  <c r="I282" i="19"/>
  <c r="J282" i="19"/>
  <c r="K282" i="19"/>
  <c r="L282" i="19"/>
  <c r="M282" i="19"/>
  <c r="N282" i="19"/>
  <c r="O282" i="19"/>
  <c r="P282" i="19"/>
  <c r="Q282" i="19"/>
  <c r="F283" i="19"/>
  <c r="G283" i="19"/>
  <c r="H283" i="19"/>
  <c r="I283" i="19"/>
  <c r="J283" i="19"/>
  <c r="K283" i="19"/>
  <c r="L283" i="19"/>
  <c r="M283" i="19"/>
  <c r="N283" i="19"/>
  <c r="O283" i="19"/>
  <c r="P283" i="19"/>
  <c r="Q283" i="19"/>
  <c r="F284" i="19"/>
  <c r="G284" i="19"/>
  <c r="H284" i="19"/>
  <c r="I284" i="19"/>
  <c r="J284" i="19"/>
  <c r="K284" i="19"/>
  <c r="L284" i="19"/>
  <c r="M284" i="19"/>
  <c r="N284" i="19"/>
  <c r="O284" i="19"/>
  <c r="P284" i="19"/>
  <c r="Q284" i="19"/>
  <c r="F287" i="19"/>
  <c r="G287" i="19"/>
  <c r="H287" i="19"/>
  <c r="I287" i="19"/>
  <c r="J287" i="19"/>
  <c r="K287" i="19"/>
  <c r="L287" i="19"/>
  <c r="M287" i="19"/>
  <c r="N287" i="19"/>
  <c r="O287" i="19"/>
  <c r="P287" i="19"/>
  <c r="Q287" i="19"/>
  <c r="F288" i="19"/>
  <c r="G288" i="19"/>
  <c r="H288" i="19"/>
  <c r="I288" i="19"/>
  <c r="J288" i="19"/>
  <c r="K288" i="19"/>
  <c r="L288" i="19"/>
  <c r="M288" i="19"/>
  <c r="N288" i="19"/>
  <c r="O288" i="19"/>
  <c r="P288" i="19"/>
  <c r="Q288" i="19"/>
  <c r="F289" i="19"/>
  <c r="G289" i="19"/>
  <c r="H289" i="19"/>
  <c r="I289" i="19"/>
  <c r="J289" i="19"/>
  <c r="K289" i="19"/>
  <c r="L289" i="19"/>
  <c r="M289" i="19"/>
  <c r="N289" i="19"/>
  <c r="O289" i="19"/>
  <c r="P289" i="19"/>
  <c r="Q289" i="19"/>
  <c r="F290" i="19"/>
  <c r="G290" i="19"/>
  <c r="H290" i="19"/>
  <c r="I290" i="19"/>
  <c r="J290" i="19"/>
  <c r="K290" i="19"/>
  <c r="L290" i="19"/>
  <c r="M290" i="19"/>
  <c r="N290" i="19"/>
  <c r="O290" i="19"/>
  <c r="P290" i="19"/>
  <c r="Q290" i="19"/>
  <c r="F291" i="19"/>
  <c r="G291" i="19"/>
  <c r="H291" i="19"/>
  <c r="I291" i="19"/>
  <c r="J291" i="19"/>
  <c r="K291" i="19"/>
  <c r="L291" i="19"/>
  <c r="M291" i="19"/>
  <c r="N291" i="19"/>
  <c r="O291" i="19"/>
  <c r="P291" i="19"/>
  <c r="Q291" i="19"/>
  <c r="F292" i="19"/>
  <c r="G292" i="19"/>
  <c r="H292" i="19"/>
  <c r="I292" i="19"/>
  <c r="J292" i="19"/>
  <c r="K292" i="19"/>
  <c r="L292" i="19"/>
  <c r="M292" i="19"/>
  <c r="N292" i="19"/>
  <c r="O292" i="19"/>
  <c r="P292" i="19"/>
  <c r="Q292" i="19"/>
  <c r="F293" i="19"/>
  <c r="G293" i="19"/>
  <c r="H293" i="19"/>
  <c r="I293" i="19"/>
  <c r="J293" i="19"/>
  <c r="K293" i="19"/>
  <c r="L293" i="19"/>
  <c r="M293" i="19"/>
  <c r="N293" i="19"/>
  <c r="O293" i="19"/>
  <c r="P293" i="19"/>
  <c r="Q293" i="19"/>
  <c r="F294" i="19"/>
  <c r="G294" i="19"/>
  <c r="H294" i="19"/>
  <c r="I294" i="19"/>
  <c r="J294" i="19"/>
  <c r="K294" i="19"/>
  <c r="L294" i="19"/>
  <c r="M294" i="19"/>
  <c r="N294" i="19"/>
  <c r="O294" i="19"/>
  <c r="P294" i="19"/>
  <c r="Q294" i="19"/>
  <c r="F295" i="19"/>
  <c r="G295" i="19"/>
  <c r="H295" i="19"/>
  <c r="I295" i="19"/>
  <c r="J295" i="19"/>
  <c r="K295" i="19"/>
  <c r="L295" i="19"/>
  <c r="M295" i="19"/>
  <c r="N295" i="19"/>
  <c r="O295" i="19"/>
  <c r="P295" i="19"/>
  <c r="Q295" i="19"/>
  <c r="F296" i="19"/>
  <c r="G296" i="19"/>
  <c r="H296" i="19"/>
  <c r="I296" i="19"/>
  <c r="J296" i="19"/>
  <c r="K296" i="19"/>
  <c r="L296" i="19"/>
  <c r="M296" i="19"/>
  <c r="N296" i="19"/>
  <c r="O296" i="19"/>
  <c r="P296" i="19"/>
  <c r="Q296" i="19"/>
  <c r="F297" i="19"/>
  <c r="G297" i="19"/>
  <c r="H297" i="19"/>
  <c r="I297" i="19"/>
  <c r="J297" i="19"/>
  <c r="K297" i="19"/>
  <c r="L297" i="19"/>
  <c r="M297" i="19"/>
  <c r="N297" i="19"/>
  <c r="O297" i="19"/>
  <c r="P297" i="19"/>
  <c r="Q297" i="19"/>
  <c r="F298" i="19"/>
  <c r="G298" i="19"/>
  <c r="H298" i="19"/>
  <c r="I298" i="19"/>
  <c r="J298" i="19"/>
  <c r="K298" i="19"/>
  <c r="L298" i="19"/>
  <c r="M298" i="19"/>
  <c r="N298" i="19"/>
  <c r="O298" i="19"/>
  <c r="P298" i="19"/>
  <c r="Q298" i="19"/>
  <c r="F299" i="19"/>
  <c r="G299" i="19"/>
  <c r="H299" i="19"/>
  <c r="I299" i="19"/>
  <c r="J299" i="19"/>
  <c r="K299" i="19"/>
  <c r="L299" i="19"/>
  <c r="M299" i="19"/>
  <c r="N299" i="19"/>
  <c r="O299" i="19"/>
  <c r="P299" i="19"/>
  <c r="Q299" i="19"/>
  <c r="F300" i="19"/>
  <c r="G300" i="19"/>
  <c r="H300" i="19"/>
  <c r="I300" i="19"/>
  <c r="J300" i="19"/>
  <c r="K300" i="19"/>
  <c r="L300" i="19"/>
  <c r="M300" i="19"/>
  <c r="N300" i="19"/>
  <c r="O300" i="19"/>
  <c r="P300" i="19"/>
  <c r="Q300" i="19"/>
  <c r="F301" i="19"/>
  <c r="G301" i="19"/>
  <c r="H301" i="19"/>
  <c r="I301" i="19"/>
  <c r="J301" i="19"/>
  <c r="K301" i="19"/>
  <c r="L301" i="19"/>
  <c r="M301" i="19"/>
  <c r="N301" i="19"/>
  <c r="O301" i="19"/>
  <c r="P301" i="19"/>
  <c r="Q301" i="19"/>
  <c r="F302" i="19"/>
  <c r="G302" i="19"/>
  <c r="H302" i="19"/>
  <c r="I302" i="19"/>
  <c r="J302" i="19"/>
  <c r="K302" i="19"/>
  <c r="L302" i="19"/>
  <c r="M302" i="19"/>
  <c r="N302" i="19"/>
  <c r="O302" i="19"/>
  <c r="P302" i="19"/>
  <c r="Q302" i="19"/>
  <c r="F303" i="19"/>
  <c r="G303" i="19"/>
  <c r="H303" i="19"/>
  <c r="I303" i="19"/>
  <c r="J303" i="19"/>
  <c r="K303" i="19"/>
  <c r="L303" i="19"/>
  <c r="M303" i="19"/>
  <c r="N303" i="19"/>
  <c r="O303" i="19"/>
  <c r="P303" i="19"/>
  <c r="Q303" i="19"/>
  <c r="F304" i="19"/>
  <c r="G304" i="19"/>
  <c r="H304" i="19"/>
  <c r="I304" i="19"/>
  <c r="J304" i="19"/>
  <c r="K304" i="19"/>
  <c r="L304" i="19"/>
  <c r="M304" i="19"/>
  <c r="N304" i="19"/>
  <c r="O304" i="19"/>
  <c r="P304" i="19"/>
  <c r="Q304" i="19"/>
  <c r="F305" i="19"/>
  <c r="G305" i="19"/>
  <c r="H305" i="19"/>
  <c r="I305" i="19"/>
  <c r="J305" i="19"/>
  <c r="K305" i="19"/>
  <c r="L305" i="19"/>
  <c r="M305" i="19"/>
  <c r="N305" i="19"/>
  <c r="O305" i="19"/>
  <c r="P305" i="19"/>
  <c r="Q305" i="19"/>
  <c r="F306" i="19"/>
  <c r="G306" i="19"/>
  <c r="H306" i="19"/>
  <c r="I306" i="19"/>
  <c r="J306" i="19"/>
  <c r="K306" i="19"/>
  <c r="L306" i="19"/>
  <c r="M306" i="19"/>
  <c r="N306" i="19"/>
  <c r="O306" i="19"/>
  <c r="P306" i="19"/>
  <c r="Q306" i="19"/>
  <c r="F307" i="19"/>
  <c r="G307" i="19"/>
  <c r="H307" i="19"/>
  <c r="I307" i="19"/>
  <c r="J307" i="19"/>
  <c r="K307" i="19"/>
  <c r="L307" i="19"/>
  <c r="M307" i="19"/>
  <c r="N307" i="19"/>
  <c r="O307" i="19"/>
  <c r="P307" i="19"/>
  <c r="Q307" i="19"/>
  <c r="F308" i="19"/>
  <c r="G308" i="19"/>
  <c r="H308" i="19"/>
  <c r="I308" i="19"/>
  <c r="J308" i="19"/>
  <c r="K308" i="19"/>
  <c r="L308" i="19"/>
  <c r="M308" i="19"/>
  <c r="N308" i="19"/>
  <c r="O308" i="19"/>
  <c r="P308" i="19"/>
  <c r="Q308" i="19"/>
  <c r="F309" i="19"/>
  <c r="G309" i="19"/>
  <c r="H309" i="19"/>
  <c r="I309" i="19"/>
  <c r="J309" i="19"/>
  <c r="K309" i="19"/>
  <c r="L309" i="19"/>
  <c r="M309" i="19"/>
  <c r="N309" i="19"/>
  <c r="O309" i="19"/>
  <c r="P309" i="19"/>
  <c r="Q309" i="19"/>
  <c r="F310" i="19"/>
  <c r="G310" i="19"/>
  <c r="H310" i="19"/>
  <c r="I310" i="19"/>
  <c r="J310" i="19"/>
  <c r="K310" i="19"/>
  <c r="L310" i="19"/>
  <c r="M310" i="19"/>
  <c r="N310" i="19"/>
  <c r="O310" i="19"/>
  <c r="P310" i="19"/>
  <c r="Q310" i="19"/>
  <c r="F311" i="19"/>
  <c r="G311" i="19"/>
  <c r="H311" i="19"/>
  <c r="I311" i="19"/>
  <c r="J311" i="19"/>
  <c r="K311" i="19"/>
  <c r="L311" i="19"/>
  <c r="M311" i="19"/>
  <c r="N311" i="19"/>
  <c r="O311" i="19"/>
  <c r="P311" i="19"/>
  <c r="Q311" i="19"/>
  <c r="F312" i="19"/>
  <c r="G312" i="19"/>
  <c r="H312" i="19"/>
  <c r="I312" i="19"/>
  <c r="J312" i="19"/>
  <c r="K312" i="19"/>
  <c r="L312" i="19"/>
  <c r="M312" i="19"/>
  <c r="N312" i="19"/>
  <c r="O312" i="19"/>
  <c r="P312" i="19"/>
  <c r="Q312" i="19"/>
  <c r="F313" i="19"/>
  <c r="G313" i="19"/>
  <c r="H313" i="19"/>
  <c r="I313" i="19"/>
  <c r="J313" i="19"/>
  <c r="K313" i="19"/>
  <c r="L313" i="19"/>
  <c r="M313" i="19"/>
  <c r="N313" i="19"/>
  <c r="O313" i="19"/>
  <c r="P313" i="19"/>
  <c r="Q313" i="19"/>
  <c r="F314" i="19"/>
  <c r="G314" i="19"/>
  <c r="H314" i="19"/>
  <c r="I314" i="19"/>
  <c r="J314" i="19"/>
  <c r="K314" i="19"/>
  <c r="L314" i="19"/>
  <c r="M314" i="19"/>
  <c r="N314" i="19"/>
  <c r="O314" i="19"/>
  <c r="P314" i="19"/>
  <c r="Q314" i="19"/>
  <c r="F315" i="19"/>
  <c r="G315" i="19"/>
  <c r="H315" i="19"/>
  <c r="I315" i="19"/>
  <c r="J315" i="19"/>
  <c r="K315" i="19"/>
  <c r="L315" i="19"/>
  <c r="M315" i="19"/>
  <c r="N315" i="19"/>
  <c r="O315" i="19"/>
  <c r="P315" i="19"/>
  <c r="Q315" i="19"/>
  <c r="F316" i="19"/>
  <c r="G316" i="19"/>
  <c r="H316" i="19"/>
  <c r="I316" i="19"/>
  <c r="J316" i="19"/>
  <c r="K316" i="19"/>
  <c r="L316" i="19"/>
  <c r="M316" i="19"/>
  <c r="N316" i="19"/>
  <c r="O316" i="19"/>
  <c r="P316" i="19"/>
  <c r="Q316" i="19"/>
  <c r="F317" i="19"/>
  <c r="G317" i="19"/>
  <c r="H317" i="19"/>
  <c r="I317" i="19"/>
  <c r="J317" i="19"/>
  <c r="K317" i="19"/>
  <c r="L317" i="19"/>
  <c r="M317" i="19"/>
  <c r="N317" i="19"/>
  <c r="O317" i="19"/>
  <c r="P317" i="19"/>
  <c r="Q317" i="19"/>
  <c r="F318" i="19"/>
  <c r="G318" i="19"/>
  <c r="H318" i="19"/>
  <c r="I318" i="19"/>
  <c r="J318" i="19"/>
  <c r="K318" i="19"/>
  <c r="L318" i="19"/>
  <c r="M318" i="19"/>
  <c r="N318" i="19"/>
  <c r="O318" i="19"/>
  <c r="P318" i="19"/>
  <c r="Q318" i="19"/>
  <c r="F319" i="19"/>
  <c r="G319" i="19"/>
  <c r="H319" i="19"/>
  <c r="I319" i="19"/>
  <c r="J319" i="19"/>
  <c r="K319" i="19"/>
  <c r="L319" i="19"/>
  <c r="M319" i="19"/>
  <c r="N319" i="19"/>
  <c r="O319" i="19"/>
  <c r="P319" i="19"/>
  <c r="Q319" i="19"/>
  <c r="F320" i="19"/>
  <c r="G320" i="19"/>
  <c r="H320" i="19"/>
  <c r="I320" i="19"/>
  <c r="J320" i="19"/>
  <c r="K320" i="19"/>
  <c r="L320" i="19"/>
  <c r="M320" i="19"/>
  <c r="N320" i="19"/>
  <c r="O320" i="19"/>
  <c r="P320" i="19"/>
  <c r="Q320" i="19"/>
  <c r="F321" i="19"/>
  <c r="G321" i="19"/>
  <c r="H321" i="19"/>
  <c r="I321" i="19"/>
  <c r="J321" i="19"/>
  <c r="K321" i="19"/>
  <c r="L321" i="19"/>
  <c r="M321" i="19"/>
  <c r="N321" i="19"/>
  <c r="O321" i="19"/>
  <c r="P321" i="19"/>
  <c r="Q321" i="19"/>
  <c r="F322" i="19"/>
  <c r="G322" i="19"/>
  <c r="H322" i="19"/>
  <c r="I322" i="19"/>
  <c r="J322" i="19"/>
  <c r="K322" i="19"/>
  <c r="L322" i="19"/>
  <c r="M322" i="19"/>
  <c r="N322" i="19"/>
  <c r="O322" i="19"/>
  <c r="P322" i="19"/>
  <c r="Q322" i="19"/>
  <c r="F323" i="19"/>
  <c r="G323" i="19"/>
  <c r="H323" i="19"/>
  <c r="I323" i="19"/>
  <c r="J323" i="19"/>
  <c r="K323" i="19"/>
  <c r="L323" i="19"/>
  <c r="M323" i="19"/>
  <c r="N323" i="19"/>
  <c r="O323" i="19"/>
  <c r="P323" i="19"/>
  <c r="Q323" i="19"/>
  <c r="F324" i="19"/>
  <c r="G324" i="19"/>
  <c r="H324" i="19"/>
  <c r="I324" i="19"/>
  <c r="J324" i="19"/>
  <c r="K324" i="19"/>
  <c r="L324" i="19"/>
  <c r="M324" i="19"/>
  <c r="N324" i="19"/>
  <c r="O324" i="19"/>
  <c r="P324" i="19"/>
  <c r="Q324" i="19"/>
  <c r="F325" i="19"/>
  <c r="G325" i="19"/>
  <c r="H325" i="19"/>
  <c r="I325" i="19"/>
  <c r="J325" i="19"/>
  <c r="K325" i="19"/>
  <c r="L325" i="19"/>
  <c r="M325" i="19"/>
  <c r="N325" i="19"/>
  <c r="O325" i="19"/>
  <c r="P325" i="19"/>
  <c r="Q325" i="19"/>
  <c r="F326" i="19"/>
  <c r="G326" i="19"/>
  <c r="H326" i="19"/>
  <c r="I326" i="19"/>
  <c r="J326" i="19"/>
  <c r="K326" i="19"/>
  <c r="L326" i="19"/>
  <c r="M326" i="19"/>
  <c r="N326" i="19"/>
  <c r="O326" i="19"/>
  <c r="P326" i="19"/>
  <c r="Q326" i="19"/>
  <c r="F327" i="19"/>
  <c r="G327" i="19"/>
  <c r="H327" i="19"/>
  <c r="I327" i="19"/>
  <c r="J327" i="19"/>
  <c r="K327" i="19"/>
  <c r="L327" i="19"/>
  <c r="M327" i="19"/>
  <c r="N327" i="19"/>
  <c r="O327" i="19"/>
  <c r="P327" i="19"/>
  <c r="Q327" i="19"/>
  <c r="F328" i="19"/>
  <c r="G328" i="19"/>
  <c r="H328" i="19"/>
  <c r="I328" i="19"/>
  <c r="J328" i="19"/>
  <c r="K328" i="19"/>
  <c r="L328" i="19"/>
  <c r="M328" i="19"/>
  <c r="N328" i="19"/>
  <c r="O328" i="19"/>
  <c r="P328" i="19"/>
  <c r="Q328" i="19"/>
  <c r="F329" i="19"/>
  <c r="G329" i="19"/>
  <c r="H329" i="19"/>
  <c r="I329" i="19"/>
  <c r="J329" i="19"/>
  <c r="K329" i="19"/>
  <c r="L329" i="19"/>
  <c r="M329" i="19"/>
  <c r="N329" i="19"/>
  <c r="O329" i="19"/>
  <c r="P329" i="19"/>
  <c r="Q329" i="19"/>
  <c r="F330" i="19"/>
  <c r="G330" i="19"/>
  <c r="H330" i="19"/>
  <c r="I330" i="19"/>
  <c r="J330" i="19"/>
  <c r="K330" i="19"/>
  <c r="L330" i="19"/>
  <c r="M330" i="19"/>
  <c r="N330" i="19"/>
  <c r="O330" i="19"/>
  <c r="P330" i="19"/>
  <c r="Q330" i="19"/>
  <c r="F331" i="19"/>
  <c r="G331" i="19"/>
  <c r="H331" i="19"/>
  <c r="I331" i="19"/>
  <c r="J331" i="19"/>
  <c r="K331" i="19"/>
  <c r="L331" i="19"/>
  <c r="M331" i="19"/>
  <c r="N331" i="19"/>
  <c r="O331" i="19"/>
  <c r="P331" i="19"/>
  <c r="Q331" i="19"/>
  <c r="F332" i="19"/>
  <c r="G332" i="19"/>
  <c r="H332" i="19"/>
  <c r="I332" i="19"/>
  <c r="J332" i="19"/>
  <c r="K332" i="19"/>
  <c r="L332" i="19"/>
  <c r="M332" i="19"/>
  <c r="N332" i="19"/>
  <c r="O332" i="19"/>
  <c r="P332" i="19"/>
  <c r="Q332" i="19"/>
  <c r="F333" i="19"/>
  <c r="G333" i="19"/>
  <c r="H333" i="19"/>
  <c r="I333" i="19"/>
  <c r="J333" i="19"/>
  <c r="K333" i="19"/>
  <c r="L333" i="19"/>
  <c r="M333" i="19"/>
  <c r="N333" i="19"/>
  <c r="O333" i="19"/>
  <c r="P333" i="19"/>
  <c r="Q333" i="19"/>
  <c r="F334" i="19"/>
  <c r="G334" i="19"/>
  <c r="H334" i="19"/>
  <c r="I334" i="19"/>
  <c r="J334" i="19"/>
  <c r="K334" i="19"/>
  <c r="L334" i="19"/>
  <c r="M334" i="19"/>
  <c r="N334" i="19"/>
  <c r="O334" i="19"/>
  <c r="P334" i="19"/>
  <c r="Q334" i="19"/>
  <c r="F335" i="19"/>
  <c r="G335" i="19"/>
  <c r="H335" i="19"/>
  <c r="I335" i="19"/>
  <c r="J335" i="19"/>
  <c r="K335" i="19"/>
  <c r="L335" i="19"/>
  <c r="M335" i="19"/>
  <c r="N335" i="19"/>
  <c r="O335" i="19"/>
  <c r="P335" i="19"/>
  <c r="Q335" i="19"/>
  <c r="F336" i="19"/>
  <c r="G336" i="19"/>
  <c r="H336" i="19"/>
  <c r="I336" i="19"/>
  <c r="J336" i="19"/>
  <c r="K336" i="19"/>
  <c r="L336" i="19"/>
  <c r="M336" i="19"/>
  <c r="N336" i="19"/>
  <c r="O336" i="19"/>
  <c r="P336" i="19"/>
  <c r="Q336" i="19"/>
  <c r="F337" i="19"/>
  <c r="G337" i="19"/>
  <c r="H337" i="19"/>
  <c r="I337" i="19"/>
  <c r="J337" i="19"/>
  <c r="K337" i="19"/>
  <c r="L337" i="19"/>
  <c r="M337" i="19"/>
  <c r="N337" i="19"/>
  <c r="O337" i="19"/>
  <c r="P337" i="19"/>
  <c r="Q337" i="19"/>
  <c r="F338" i="19"/>
  <c r="G338" i="19"/>
  <c r="H338" i="19"/>
  <c r="I338" i="19"/>
  <c r="J338" i="19"/>
  <c r="K338" i="19"/>
  <c r="L338" i="19"/>
  <c r="M338" i="19"/>
  <c r="N338" i="19"/>
  <c r="O338" i="19"/>
  <c r="P338" i="19"/>
  <c r="Q338" i="19"/>
  <c r="F339" i="19"/>
  <c r="G339" i="19"/>
  <c r="H339" i="19"/>
  <c r="I339" i="19"/>
  <c r="J339" i="19"/>
  <c r="K339" i="19"/>
  <c r="L339" i="19"/>
  <c r="M339" i="19"/>
  <c r="N339" i="19"/>
  <c r="O339" i="19"/>
  <c r="P339" i="19"/>
  <c r="Q339" i="19"/>
  <c r="F340" i="19"/>
  <c r="G340" i="19"/>
  <c r="H340" i="19"/>
  <c r="I340" i="19"/>
  <c r="J340" i="19"/>
  <c r="K340" i="19"/>
  <c r="L340" i="19"/>
  <c r="M340" i="19"/>
  <c r="N340" i="19"/>
  <c r="O340" i="19"/>
  <c r="P340" i="19"/>
  <c r="Q340" i="19"/>
  <c r="F341" i="19"/>
  <c r="G341" i="19"/>
  <c r="H341" i="19"/>
  <c r="I341" i="19"/>
  <c r="J341" i="19"/>
  <c r="K341" i="19"/>
  <c r="L341" i="19"/>
  <c r="M341" i="19"/>
  <c r="N341" i="19"/>
  <c r="O341" i="19"/>
  <c r="P341" i="19"/>
  <c r="Q341" i="19"/>
  <c r="F342" i="19"/>
  <c r="G342" i="19"/>
  <c r="H342" i="19"/>
  <c r="I342" i="19"/>
  <c r="J342" i="19"/>
  <c r="K342" i="19"/>
  <c r="L342" i="19"/>
  <c r="M342" i="19"/>
  <c r="N342" i="19"/>
  <c r="O342" i="19"/>
  <c r="P342" i="19"/>
  <c r="Q342" i="19"/>
  <c r="F343" i="19"/>
  <c r="G343" i="19"/>
  <c r="H343" i="19"/>
  <c r="I343" i="19"/>
  <c r="J343" i="19"/>
  <c r="K343" i="19"/>
  <c r="L343" i="19"/>
  <c r="M343" i="19"/>
  <c r="N343" i="19"/>
  <c r="O343" i="19"/>
  <c r="P343" i="19"/>
  <c r="Q343" i="19"/>
  <c r="F344" i="19"/>
  <c r="G344" i="19"/>
  <c r="H344" i="19"/>
  <c r="I344" i="19"/>
  <c r="J344" i="19"/>
  <c r="K344" i="19"/>
  <c r="L344" i="19"/>
  <c r="M344" i="19"/>
  <c r="N344" i="19"/>
  <c r="O344" i="19"/>
  <c r="P344" i="19"/>
  <c r="Q344" i="19"/>
  <c r="F345" i="19"/>
  <c r="G345" i="19"/>
  <c r="H345" i="19"/>
  <c r="I345" i="19"/>
  <c r="J345" i="19"/>
  <c r="K345" i="19"/>
  <c r="L345" i="19"/>
  <c r="M345" i="19"/>
  <c r="N345" i="19"/>
  <c r="O345" i="19"/>
  <c r="P345" i="19"/>
  <c r="Q345" i="19"/>
  <c r="F346" i="19"/>
  <c r="G346" i="19"/>
  <c r="H346" i="19"/>
  <c r="I346" i="19"/>
  <c r="J346" i="19"/>
  <c r="K346" i="19"/>
  <c r="L346" i="19"/>
  <c r="M346" i="19"/>
  <c r="N346" i="19"/>
  <c r="O346" i="19"/>
  <c r="P346" i="19"/>
  <c r="Q346" i="19"/>
  <c r="F347" i="19"/>
  <c r="G347" i="19"/>
  <c r="H347" i="19"/>
  <c r="I347" i="19"/>
  <c r="J347" i="19"/>
  <c r="K347" i="19"/>
  <c r="L347" i="19"/>
  <c r="M347" i="19"/>
  <c r="N347" i="19"/>
  <c r="O347" i="19"/>
  <c r="P347" i="19"/>
  <c r="Q347" i="19"/>
  <c r="F348" i="19"/>
  <c r="G348" i="19"/>
  <c r="H348" i="19"/>
  <c r="I348" i="19"/>
  <c r="J348" i="19"/>
  <c r="K348" i="19"/>
  <c r="L348" i="19"/>
  <c r="M348" i="19"/>
  <c r="N348" i="19"/>
  <c r="O348" i="19"/>
  <c r="P348" i="19"/>
  <c r="Q348" i="19"/>
  <c r="F349" i="19"/>
  <c r="G349" i="19"/>
  <c r="H349" i="19"/>
  <c r="I349" i="19"/>
  <c r="J349" i="19"/>
  <c r="K349" i="19"/>
  <c r="L349" i="19"/>
  <c r="M349" i="19"/>
  <c r="N349" i="19"/>
  <c r="O349" i="19"/>
  <c r="P349" i="19"/>
  <c r="Q349" i="19"/>
  <c r="F350" i="19"/>
  <c r="G350" i="19"/>
  <c r="H350" i="19"/>
  <c r="I350" i="19"/>
  <c r="J350" i="19"/>
  <c r="K350" i="19"/>
  <c r="L350" i="19"/>
  <c r="M350" i="19"/>
  <c r="N350" i="19"/>
  <c r="O350" i="19"/>
  <c r="P350" i="19"/>
  <c r="Q350" i="19"/>
  <c r="F351" i="19"/>
  <c r="G351" i="19"/>
  <c r="H351" i="19"/>
  <c r="I351" i="19"/>
  <c r="J351" i="19"/>
  <c r="K351" i="19"/>
  <c r="L351" i="19"/>
  <c r="M351" i="19"/>
  <c r="N351" i="19"/>
  <c r="O351" i="19"/>
  <c r="P351" i="19"/>
  <c r="Q351" i="19"/>
  <c r="F352" i="19"/>
  <c r="G352" i="19"/>
  <c r="H352" i="19"/>
  <c r="I352" i="19"/>
  <c r="J352" i="19"/>
  <c r="K352" i="19"/>
  <c r="L352" i="19"/>
  <c r="M352" i="19"/>
  <c r="N352" i="19"/>
  <c r="O352" i="19"/>
  <c r="P352" i="19"/>
  <c r="Q352" i="19"/>
  <c r="F353" i="19"/>
  <c r="G353" i="19"/>
  <c r="H353" i="19"/>
  <c r="I353" i="19"/>
  <c r="J353" i="19"/>
  <c r="K353" i="19"/>
  <c r="L353" i="19"/>
  <c r="M353" i="19"/>
  <c r="N353" i="19"/>
  <c r="O353" i="19"/>
  <c r="P353" i="19"/>
  <c r="Q353" i="19"/>
  <c r="F354" i="19"/>
  <c r="G354" i="19"/>
  <c r="H354" i="19"/>
  <c r="I354" i="19"/>
  <c r="J354" i="19"/>
  <c r="K354" i="19"/>
  <c r="L354" i="19"/>
  <c r="M354" i="19"/>
  <c r="N354" i="19"/>
  <c r="O354" i="19"/>
  <c r="P354" i="19"/>
  <c r="Q354" i="19"/>
  <c r="F355" i="19"/>
  <c r="G355" i="19"/>
  <c r="H355" i="19"/>
  <c r="I355" i="19"/>
  <c r="J355" i="19"/>
  <c r="K355" i="19"/>
  <c r="L355" i="19"/>
  <c r="M355" i="19"/>
  <c r="N355" i="19"/>
  <c r="O355" i="19"/>
  <c r="P355" i="19"/>
  <c r="Q355" i="19"/>
  <c r="F356" i="19"/>
  <c r="G356" i="19"/>
  <c r="H356" i="19"/>
  <c r="I356" i="19"/>
  <c r="J356" i="19"/>
  <c r="K356" i="19"/>
  <c r="L356" i="19"/>
  <c r="M356" i="19"/>
  <c r="N356" i="19"/>
  <c r="O356" i="19"/>
  <c r="P356" i="19"/>
  <c r="Q356" i="19"/>
  <c r="F357" i="19"/>
  <c r="G357" i="19"/>
  <c r="H357" i="19"/>
  <c r="I357" i="19"/>
  <c r="J357" i="19"/>
  <c r="K357" i="19"/>
  <c r="L357" i="19"/>
  <c r="M357" i="19"/>
  <c r="N357" i="19"/>
  <c r="O357" i="19"/>
  <c r="P357" i="19"/>
  <c r="Q357" i="19"/>
  <c r="F358" i="19"/>
  <c r="G358" i="19"/>
  <c r="H358" i="19"/>
  <c r="I358" i="19"/>
  <c r="J358" i="19"/>
  <c r="K358" i="19"/>
  <c r="L358" i="19"/>
  <c r="M358" i="19"/>
  <c r="N358" i="19"/>
  <c r="O358" i="19"/>
  <c r="P358" i="19"/>
  <c r="Q358" i="19"/>
  <c r="F359" i="19"/>
  <c r="G359" i="19"/>
  <c r="H359" i="19"/>
  <c r="I359" i="19"/>
  <c r="J359" i="19"/>
  <c r="K359" i="19"/>
  <c r="L359" i="19"/>
  <c r="M359" i="19"/>
  <c r="N359" i="19"/>
  <c r="O359" i="19"/>
  <c r="P359" i="19"/>
  <c r="Q359" i="19"/>
  <c r="F360" i="19"/>
  <c r="G360" i="19"/>
  <c r="H360" i="19"/>
  <c r="I360" i="19"/>
  <c r="J360" i="19"/>
  <c r="K360" i="19"/>
  <c r="L360" i="19"/>
  <c r="M360" i="19"/>
  <c r="N360" i="19"/>
  <c r="O360" i="19"/>
  <c r="P360" i="19"/>
  <c r="Q360" i="19"/>
  <c r="F361" i="19"/>
  <c r="G361" i="19"/>
  <c r="H361" i="19"/>
  <c r="I361" i="19"/>
  <c r="J361" i="19"/>
  <c r="K361" i="19"/>
  <c r="L361" i="19"/>
  <c r="M361" i="19"/>
  <c r="N361" i="19"/>
  <c r="O361" i="19"/>
  <c r="P361" i="19"/>
  <c r="Q361" i="19"/>
  <c r="F362" i="19"/>
  <c r="G362" i="19"/>
  <c r="H362" i="19"/>
  <c r="I362" i="19"/>
  <c r="J362" i="19"/>
  <c r="K362" i="19"/>
  <c r="L362" i="19"/>
  <c r="M362" i="19"/>
  <c r="N362" i="19"/>
  <c r="O362" i="19"/>
  <c r="P362" i="19"/>
  <c r="Q362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161" i="19"/>
  <c r="Q162" i="19"/>
  <c r="Q163" i="19"/>
  <c r="Q164" i="19"/>
  <c r="Q165" i="19"/>
  <c r="Q166" i="19"/>
  <c r="Q167" i="19"/>
  <c r="Q168" i="19"/>
  <c r="Q169" i="19"/>
  <c r="Q170" i="19"/>
  <c r="Q171" i="19"/>
  <c r="Q172" i="19"/>
  <c r="Q2" i="19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P89" i="19"/>
  <c r="P90" i="19"/>
  <c r="P91" i="19"/>
  <c r="P92" i="19"/>
  <c r="P93" i="19"/>
  <c r="P94" i="19"/>
  <c r="P95" i="19"/>
  <c r="P96" i="19"/>
  <c r="P97" i="19"/>
  <c r="P98" i="19"/>
  <c r="P99" i="19"/>
  <c r="P100" i="19"/>
  <c r="P101" i="19"/>
  <c r="P102" i="19"/>
  <c r="P103" i="19"/>
  <c r="P104" i="19"/>
  <c r="P105" i="19"/>
  <c r="P106" i="19"/>
  <c r="P107" i="19"/>
  <c r="P108" i="19"/>
  <c r="P109" i="19"/>
  <c r="P110" i="19"/>
  <c r="P111" i="19"/>
  <c r="P112" i="19"/>
  <c r="P113" i="19"/>
  <c r="P114" i="19"/>
  <c r="P115" i="19"/>
  <c r="P116" i="19"/>
  <c r="P117" i="19"/>
  <c r="P118" i="19"/>
  <c r="P119" i="19"/>
  <c r="P120" i="19"/>
  <c r="P121" i="19"/>
  <c r="P122" i="19"/>
  <c r="P123" i="19"/>
  <c r="P124" i="19"/>
  <c r="P125" i="19"/>
  <c r="P126" i="19"/>
  <c r="P127" i="19"/>
  <c r="P128" i="19"/>
  <c r="P129" i="19"/>
  <c r="P130" i="19"/>
  <c r="P131" i="19"/>
  <c r="P132" i="19"/>
  <c r="P133" i="19"/>
  <c r="P134" i="19"/>
  <c r="P135" i="19"/>
  <c r="P136" i="19"/>
  <c r="P137" i="19"/>
  <c r="P138" i="19"/>
  <c r="P139" i="19"/>
  <c r="P140" i="19"/>
  <c r="P141" i="19"/>
  <c r="P142" i="19"/>
  <c r="P143" i="19"/>
  <c r="P144" i="19"/>
  <c r="P145" i="19"/>
  <c r="P146" i="19"/>
  <c r="P147" i="19"/>
  <c r="P148" i="19"/>
  <c r="P149" i="19"/>
  <c r="P150" i="19"/>
  <c r="P151" i="19"/>
  <c r="P152" i="19"/>
  <c r="P153" i="19"/>
  <c r="P154" i="19"/>
  <c r="P155" i="19"/>
  <c r="P156" i="19"/>
  <c r="P157" i="19"/>
  <c r="P158" i="19"/>
  <c r="P159" i="19"/>
  <c r="P160" i="19"/>
  <c r="P161" i="19"/>
  <c r="P162" i="19"/>
  <c r="P163" i="19"/>
  <c r="P164" i="19"/>
  <c r="P165" i="19"/>
  <c r="P166" i="19"/>
  <c r="P167" i="19"/>
  <c r="P168" i="19"/>
  <c r="P169" i="19"/>
  <c r="P170" i="19"/>
  <c r="P171" i="19"/>
  <c r="P172" i="19"/>
  <c r="P2" i="19"/>
  <c r="F3" i="19"/>
  <c r="G3" i="19"/>
  <c r="H3" i="19"/>
  <c r="I3" i="19"/>
  <c r="J3" i="19"/>
  <c r="K3" i="19"/>
  <c r="L3" i="19"/>
  <c r="M3" i="19"/>
  <c r="N3" i="19"/>
  <c r="O3" i="19"/>
  <c r="F4" i="19"/>
  <c r="G4" i="19"/>
  <c r="H4" i="19"/>
  <c r="I4" i="19"/>
  <c r="J4" i="19"/>
  <c r="K4" i="19"/>
  <c r="L4" i="19"/>
  <c r="M4" i="19"/>
  <c r="N4" i="19"/>
  <c r="O4" i="19"/>
  <c r="F5" i="19"/>
  <c r="G5" i="19"/>
  <c r="H5" i="19"/>
  <c r="I5" i="19"/>
  <c r="J5" i="19"/>
  <c r="K5" i="19"/>
  <c r="L5" i="19"/>
  <c r="M5" i="19"/>
  <c r="N5" i="19"/>
  <c r="O5" i="19"/>
  <c r="F6" i="19"/>
  <c r="G6" i="19"/>
  <c r="H6" i="19"/>
  <c r="I6" i="19"/>
  <c r="J6" i="19"/>
  <c r="K6" i="19"/>
  <c r="L6" i="19"/>
  <c r="M6" i="19"/>
  <c r="N6" i="19"/>
  <c r="O6" i="19"/>
  <c r="F7" i="19"/>
  <c r="G7" i="19"/>
  <c r="H7" i="19"/>
  <c r="I7" i="19"/>
  <c r="J7" i="19"/>
  <c r="K7" i="19"/>
  <c r="L7" i="19"/>
  <c r="M7" i="19"/>
  <c r="N7" i="19"/>
  <c r="O7" i="19"/>
  <c r="F8" i="19"/>
  <c r="G8" i="19"/>
  <c r="H8" i="19"/>
  <c r="I8" i="19"/>
  <c r="J8" i="19"/>
  <c r="K8" i="19"/>
  <c r="L8" i="19"/>
  <c r="M8" i="19"/>
  <c r="N8" i="19"/>
  <c r="O8" i="19"/>
  <c r="F9" i="19"/>
  <c r="G9" i="19"/>
  <c r="H9" i="19"/>
  <c r="I9" i="19"/>
  <c r="J9" i="19"/>
  <c r="K9" i="19"/>
  <c r="L9" i="19"/>
  <c r="M9" i="19"/>
  <c r="N9" i="19"/>
  <c r="O9" i="19"/>
  <c r="F10" i="19"/>
  <c r="G10" i="19"/>
  <c r="H10" i="19"/>
  <c r="I10" i="19"/>
  <c r="J10" i="19"/>
  <c r="K10" i="19"/>
  <c r="L10" i="19"/>
  <c r="M10" i="19"/>
  <c r="N10" i="19"/>
  <c r="O10" i="19"/>
  <c r="F11" i="19"/>
  <c r="G11" i="19"/>
  <c r="H11" i="19"/>
  <c r="I11" i="19"/>
  <c r="J11" i="19"/>
  <c r="K11" i="19"/>
  <c r="L11" i="19"/>
  <c r="M11" i="19"/>
  <c r="N11" i="19"/>
  <c r="O11" i="19"/>
  <c r="F12" i="19"/>
  <c r="G12" i="19"/>
  <c r="H12" i="19"/>
  <c r="I12" i="19"/>
  <c r="J12" i="19"/>
  <c r="K12" i="19"/>
  <c r="L12" i="19"/>
  <c r="M12" i="19"/>
  <c r="N12" i="19"/>
  <c r="O12" i="19"/>
  <c r="F13" i="19"/>
  <c r="G13" i="19"/>
  <c r="H13" i="19"/>
  <c r="I13" i="19"/>
  <c r="J13" i="19"/>
  <c r="K13" i="19"/>
  <c r="L13" i="19"/>
  <c r="M13" i="19"/>
  <c r="N13" i="19"/>
  <c r="O13" i="19"/>
  <c r="F14" i="19"/>
  <c r="G14" i="19"/>
  <c r="H14" i="19"/>
  <c r="I14" i="19"/>
  <c r="J14" i="19"/>
  <c r="K14" i="19"/>
  <c r="L14" i="19"/>
  <c r="M14" i="19"/>
  <c r="N14" i="19"/>
  <c r="O14" i="19"/>
  <c r="F15" i="19"/>
  <c r="G15" i="19"/>
  <c r="H15" i="19"/>
  <c r="I15" i="19"/>
  <c r="J15" i="19"/>
  <c r="K15" i="19"/>
  <c r="L15" i="19"/>
  <c r="M15" i="19"/>
  <c r="N15" i="19"/>
  <c r="O15" i="19"/>
  <c r="F16" i="19"/>
  <c r="G16" i="19"/>
  <c r="H16" i="19"/>
  <c r="I16" i="19"/>
  <c r="J16" i="19"/>
  <c r="K16" i="19"/>
  <c r="L16" i="19"/>
  <c r="M16" i="19"/>
  <c r="N16" i="19"/>
  <c r="O16" i="19"/>
  <c r="F17" i="19"/>
  <c r="G17" i="19"/>
  <c r="H17" i="19"/>
  <c r="I17" i="19"/>
  <c r="J17" i="19"/>
  <c r="K17" i="19"/>
  <c r="L17" i="19"/>
  <c r="M17" i="19"/>
  <c r="N17" i="19"/>
  <c r="O17" i="19"/>
  <c r="F18" i="19"/>
  <c r="G18" i="19"/>
  <c r="H18" i="19"/>
  <c r="I18" i="19"/>
  <c r="J18" i="19"/>
  <c r="K18" i="19"/>
  <c r="L18" i="19"/>
  <c r="M18" i="19"/>
  <c r="N18" i="19"/>
  <c r="O18" i="19"/>
  <c r="F19" i="19"/>
  <c r="G19" i="19"/>
  <c r="H19" i="19"/>
  <c r="I19" i="19"/>
  <c r="J19" i="19"/>
  <c r="K19" i="19"/>
  <c r="L19" i="19"/>
  <c r="M19" i="19"/>
  <c r="N19" i="19"/>
  <c r="O19" i="19"/>
  <c r="F20" i="19"/>
  <c r="G20" i="19"/>
  <c r="H20" i="19"/>
  <c r="I20" i="19"/>
  <c r="J20" i="19"/>
  <c r="K20" i="19"/>
  <c r="L20" i="19"/>
  <c r="M20" i="19"/>
  <c r="N20" i="19"/>
  <c r="O20" i="19"/>
  <c r="F21" i="19"/>
  <c r="G21" i="19"/>
  <c r="H21" i="19"/>
  <c r="I21" i="19"/>
  <c r="J21" i="19"/>
  <c r="K21" i="19"/>
  <c r="L21" i="19"/>
  <c r="M21" i="19"/>
  <c r="N21" i="19"/>
  <c r="O21" i="19"/>
  <c r="F22" i="19"/>
  <c r="G22" i="19"/>
  <c r="H22" i="19"/>
  <c r="I22" i="19"/>
  <c r="J22" i="19"/>
  <c r="K22" i="19"/>
  <c r="L22" i="19"/>
  <c r="M22" i="19"/>
  <c r="N22" i="19"/>
  <c r="O22" i="19"/>
  <c r="F23" i="19"/>
  <c r="G23" i="19"/>
  <c r="H23" i="19"/>
  <c r="I23" i="19"/>
  <c r="J23" i="19"/>
  <c r="K23" i="19"/>
  <c r="L23" i="19"/>
  <c r="M23" i="19"/>
  <c r="N23" i="19"/>
  <c r="O23" i="19"/>
  <c r="F24" i="19"/>
  <c r="G24" i="19"/>
  <c r="H24" i="19"/>
  <c r="I24" i="19"/>
  <c r="J24" i="19"/>
  <c r="K24" i="19"/>
  <c r="L24" i="19"/>
  <c r="M24" i="19"/>
  <c r="N24" i="19"/>
  <c r="O24" i="19"/>
  <c r="F25" i="19"/>
  <c r="G25" i="19"/>
  <c r="H25" i="19"/>
  <c r="I25" i="19"/>
  <c r="J25" i="19"/>
  <c r="K25" i="19"/>
  <c r="L25" i="19"/>
  <c r="M25" i="19"/>
  <c r="N25" i="19"/>
  <c r="O25" i="19"/>
  <c r="F26" i="19"/>
  <c r="G26" i="19"/>
  <c r="H26" i="19"/>
  <c r="I26" i="19"/>
  <c r="J26" i="19"/>
  <c r="K26" i="19"/>
  <c r="L26" i="19"/>
  <c r="M26" i="19"/>
  <c r="N26" i="19"/>
  <c r="O26" i="19"/>
  <c r="F27" i="19"/>
  <c r="G27" i="19"/>
  <c r="H27" i="19"/>
  <c r="I27" i="19"/>
  <c r="J27" i="19"/>
  <c r="K27" i="19"/>
  <c r="L27" i="19"/>
  <c r="M27" i="19"/>
  <c r="N27" i="19"/>
  <c r="O27" i="19"/>
  <c r="F28" i="19"/>
  <c r="G28" i="19"/>
  <c r="H28" i="19"/>
  <c r="I28" i="19"/>
  <c r="J28" i="19"/>
  <c r="K28" i="19"/>
  <c r="L28" i="19"/>
  <c r="M28" i="19"/>
  <c r="N28" i="19"/>
  <c r="O28" i="19"/>
  <c r="F29" i="19"/>
  <c r="G29" i="19"/>
  <c r="H29" i="19"/>
  <c r="I29" i="19"/>
  <c r="J29" i="19"/>
  <c r="K29" i="19"/>
  <c r="L29" i="19"/>
  <c r="M29" i="19"/>
  <c r="N29" i="19"/>
  <c r="O29" i="19"/>
  <c r="F30" i="19"/>
  <c r="G30" i="19"/>
  <c r="H30" i="19"/>
  <c r="I30" i="19"/>
  <c r="J30" i="19"/>
  <c r="K30" i="19"/>
  <c r="L30" i="19"/>
  <c r="M30" i="19"/>
  <c r="N30" i="19"/>
  <c r="O30" i="19"/>
  <c r="F31" i="19"/>
  <c r="G31" i="19"/>
  <c r="H31" i="19"/>
  <c r="I31" i="19"/>
  <c r="J31" i="19"/>
  <c r="K31" i="19"/>
  <c r="L31" i="19"/>
  <c r="M31" i="19"/>
  <c r="N31" i="19"/>
  <c r="O31" i="19"/>
  <c r="F32" i="19"/>
  <c r="G32" i="19"/>
  <c r="H32" i="19"/>
  <c r="I32" i="19"/>
  <c r="J32" i="19"/>
  <c r="K32" i="19"/>
  <c r="L32" i="19"/>
  <c r="M32" i="19"/>
  <c r="N32" i="19"/>
  <c r="O32" i="19"/>
  <c r="F33" i="19"/>
  <c r="G33" i="19"/>
  <c r="H33" i="19"/>
  <c r="I33" i="19"/>
  <c r="J33" i="19"/>
  <c r="K33" i="19"/>
  <c r="L33" i="19"/>
  <c r="M33" i="19"/>
  <c r="N33" i="19"/>
  <c r="O33" i="19"/>
  <c r="F34" i="19"/>
  <c r="G34" i="19"/>
  <c r="H34" i="19"/>
  <c r="I34" i="19"/>
  <c r="J34" i="19"/>
  <c r="K34" i="19"/>
  <c r="L34" i="19"/>
  <c r="M34" i="19"/>
  <c r="N34" i="19"/>
  <c r="O34" i="19"/>
  <c r="F35" i="19"/>
  <c r="G35" i="19"/>
  <c r="H35" i="19"/>
  <c r="I35" i="19"/>
  <c r="J35" i="19"/>
  <c r="K35" i="19"/>
  <c r="L35" i="19"/>
  <c r="M35" i="19"/>
  <c r="N35" i="19"/>
  <c r="O35" i="19"/>
  <c r="F36" i="19"/>
  <c r="G36" i="19"/>
  <c r="H36" i="19"/>
  <c r="I36" i="19"/>
  <c r="J36" i="19"/>
  <c r="K36" i="19"/>
  <c r="L36" i="19"/>
  <c r="M36" i="19"/>
  <c r="N36" i="19"/>
  <c r="O36" i="19"/>
  <c r="F37" i="19"/>
  <c r="G37" i="19"/>
  <c r="H37" i="19"/>
  <c r="I37" i="19"/>
  <c r="J37" i="19"/>
  <c r="K37" i="19"/>
  <c r="L37" i="19"/>
  <c r="M37" i="19"/>
  <c r="N37" i="19"/>
  <c r="O37" i="19"/>
  <c r="F38" i="19"/>
  <c r="G38" i="19"/>
  <c r="H38" i="19"/>
  <c r="I38" i="19"/>
  <c r="J38" i="19"/>
  <c r="K38" i="19"/>
  <c r="L38" i="19"/>
  <c r="M38" i="19"/>
  <c r="N38" i="19"/>
  <c r="O38" i="19"/>
  <c r="F39" i="19"/>
  <c r="G39" i="19"/>
  <c r="H39" i="19"/>
  <c r="I39" i="19"/>
  <c r="J39" i="19"/>
  <c r="K39" i="19"/>
  <c r="L39" i="19"/>
  <c r="M39" i="19"/>
  <c r="N39" i="19"/>
  <c r="O39" i="19"/>
  <c r="F40" i="19"/>
  <c r="G40" i="19"/>
  <c r="H40" i="19"/>
  <c r="I40" i="19"/>
  <c r="J40" i="19"/>
  <c r="K40" i="19"/>
  <c r="L40" i="19"/>
  <c r="M40" i="19"/>
  <c r="N40" i="19"/>
  <c r="O40" i="19"/>
  <c r="F41" i="19"/>
  <c r="G41" i="19"/>
  <c r="H41" i="19"/>
  <c r="I41" i="19"/>
  <c r="J41" i="19"/>
  <c r="K41" i="19"/>
  <c r="L41" i="19"/>
  <c r="M41" i="19"/>
  <c r="N41" i="19"/>
  <c r="O41" i="19"/>
  <c r="F42" i="19"/>
  <c r="G42" i="19"/>
  <c r="H42" i="19"/>
  <c r="I42" i="19"/>
  <c r="J42" i="19"/>
  <c r="K42" i="19"/>
  <c r="L42" i="19"/>
  <c r="M42" i="19"/>
  <c r="N42" i="19"/>
  <c r="O42" i="19"/>
  <c r="F43" i="19"/>
  <c r="G43" i="19"/>
  <c r="H43" i="19"/>
  <c r="I43" i="19"/>
  <c r="J43" i="19"/>
  <c r="K43" i="19"/>
  <c r="L43" i="19"/>
  <c r="M43" i="19"/>
  <c r="N43" i="19"/>
  <c r="O43" i="19"/>
  <c r="F44" i="19"/>
  <c r="G44" i="19"/>
  <c r="H44" i="19"/>
  <c r="I44" i="19"/>
  <c r="J44" i="19"/>
  <c r="K44" i="19"/>
  <c r="L44" i="19"/>
  <c r="M44" i="19"/>
  <c r="N44" i="19"/>
  <c r="O44" i="19"/>
  <c r="F45" i="19"/>
  <c r="G45" i="19"/>
  <c r="H45" i="19"/>
  <c r="I45" i="19"/>
  <c r="J45" i="19"/>
  <c r="K45" i="19"/>
  <c r="L45" i="19"/>
  <c r="M45" i="19"/>
  <c r="N45" i="19"/>
  <c r="O45" i="19"/>
  <c r="F46" i="19"/>
  <c r="G46" i="19"/>
  <c r="H46" i="19"/>
  <c r="I46" i="19"/>
  <c r="J46" i="19"/>
  <c r="K46" i="19"/>
  <c r="L46" i="19"/>
  <c r="M46" i="19"/>
  <c r="N46" i="19"/>
  <c r="O46" i="19"/>
  <c r="F47" i="19"/>
  <c r="G47" i="19"/>
  <c r="H47" i="19"/>
  <c r="I47" i="19"/>
  <c r="J47" i="19"/>
  <c r="K47" i="19"/>
  <c r="L47" i="19"/>
  <c r="M47" i="19"/>
  <c r="N47" i="19"/>
  <c r="O47" i="19"/>
  <c r="F48" i="19"/>
  <c r="G48" i="19"/>
  <c r="H48" i="19"/>
  <c r="I48" i="19"/>
  <c r="J48" i="19"/>
  <c r="K48" i="19"/>
  <c r="L48" i="19"/>
  <c r="M48" i="19"/>
  <c r="N48" i="19"/>
  <c r="O48" i="19"/>
  <c r="F49" i="19"/>
  <c r="G49" i="19"/>
  <c r="H49" i="19"/>
  <c r="I49" i="19"/>
  <c r="J49" i="19"/>
  <c r="K49" i="19"/>
  <c r="L49" i="19"/>
  <c r="M49" i="19"/>
  <c r="N49" i="19"/>
  <c r="O49" i="19"/>
  <c r="F50" i="19"/>
  <c r="G50" i="19"/>
  <c r="H50" i="19"/>
  <c r="I50" i="19"/>
  <c r="J50" i="19"/>
  <c r="K50" i="19"/>
  <c r="L50" i="19"/>
  <c r="M50" i="19"/>
  <c r="N50" i="19"/>
  <c r="O50" i="19"/>
  <c r="F51" i="19"/>
  <c r="G51" i="19"/>
  <c r="H51" i="19"/>
  <c r="I51" i="19"/>
  <c r="J51" i="19"/>
  <c r="K51" i="19"/>
  <c r="L51" i="19"/>
  <c r="M51" i="19"/>
  <c r="N51" i="19"/>
  <c r="O51" i="19"/>
  <c r="F52" i="19"/>
  <c r="G52" i="19"/>
  <c r="H52" i="19"/>
  <c r="I52" i="19"/>
  <c r="J52" i="19"/>
  <c r="K52" i="19"/>
  <c r="L52" i="19"/>
  <c r="M52" i="19"/>
  <c r="N52" i="19"/>
  <c r="O52" i="19"/>
  <c r="F53" i="19"/>
  <c r="G53" i="19"/>
  <c r="H53" i="19"/>
  <c r="I53" i="19"/>
  <c r="J53" i="19"/>
  <c r="K53" i="19"/>
  <c r="L53" i="19"/>
  <c r="M53" i="19"/>
  <c r="N53" i="19"/>
  <c r="O53" i="19"/>
  <c r="F54" i="19"/>
  <c r="G54" i="19"/>
  <c r="H54" i="19"/>
  <c r="I54" i="19"/>
  <c r="J54" i="19"/>
  <c r="K54" i="19"/>
  <c r="L54" i="19"/>
  <c r="M54" i="19"/>
  <c r="N54" i="19"/>
  <c r="O54" i="19"/>
  <c r="F55" i="19"/>
  <c r="G55" i="19"/>
  <c r="H55" i="19"/>
  <c r="I55" i="19"/>
  <c r="J55" i="19"/>
  <c r="K55" i="19"/>
  <c r="L55" i="19"/>
  <c r="M55" i="19"/>
  <c r="N55" i="19"/>
  <c r="O55" i="19"/>
  <c r="F56" i="19"/>
  <c r="G56" i="19"/>
  <c r="H56" i="19"/>
  <c r="I56" i="19"/>
  <c r="J56" i="19"/>
  <c r="K56" i="19"/>
  <c r="L56" i="19"/>
  <c r="M56" i="19"/>
  <c r="N56" i="19"/>
  <c r="O56" i="19"/>
  <c r="F57" i="19"/>
  <c r="G57" i="19"/>
  <c r="H57" i="19"/>
  <c r="I57" i="19"/>
  <c r="J57" i="19"/>
  <c r="K57" i="19"/>
  <c r="L57" i="19"/>
  <c r="M57" i="19"/>
  <c r="N57" i="19"/>
  <c r="O57" i="19"/>
  <c r="F58" i="19"/>
  <c r="G58" i="19"/>
  <c r="H58" i="19"/>
  <c r="I58" i="19"/>
  <c r="J58" i="19"/>
  <c r="K58" i="19"/>
  <c r="L58" i="19"/>
  <c r="M58" i="19"/>
  <c r="N58" i="19"/>
  <c r="O58" i="19"/>
  <c r="F59" i="19"/>
  <c r="G59" i="19"/>
  <c r="H59" i="19"/>
  <c r="I59" i="19"/>
  <c r="J59" i="19"/>
  <c r="K59" i="19"/>
  <c r="L59" i="19"/>
  <c r="M59" i="19"/>
  <c r="N59" i="19"/>
  <c r="O59" i="19"/>
  <c r="F60" i="19"/>
  <c r="G60" i="19"/>
  <c r="H60" i="19"/>
  <c r="I60" i="19"/>
  <c r="J60" i="19"/>
  <c r="K60" i="19"/>
  <c r="L60" i="19"/>
  <c r="M60" i="19"/>
  <c r="N60" i="19"/>
  <c r="O60" i="19"/>
  <c r="F61" i="19"/>
  <c r="G61" i="19"/>
  <c r="H61" i="19"/>
  <c r="I61" i="19"/>
  <c r="J61" i="19"/>
  <c r="K61" i="19"/>
  <c r="L61" i="19"/>
  <c r="M61" i="19"/>
  <c r="N61" i="19"/>
  <c r="O61" i="19"/>
  <c r="F62" i="19"/>
  <c r="G62" i="19"/>
  <c r="H62" i="19"/>
  <c r="I62" i="19"/>
  <c r="J62" i="19"/>
  <c r="K62" i="19"/>
  <c r="L62" i="19"/>
  <c r="M62" i="19"/>
  <c r="N62" i="19"/>
  <c r="O62" i="19"/>
  <c r="F63" i="19"/>
  <c r="G63" i="19"/>
  <c r="H63" i="19"/>
  <c r="I63" i="19"/>
  <c r="J63" i="19"/>
  <c r="K63" i="19"/>
  <c r="L63" i="19"/>
  <c r="M63" i="19"/>
  <c r="N63" i="19"/>
  <c r="O63" i="19"/>
  <c r="F64" i="19"/>
  <c r="G64" i="19"/>
  <c r="H64" i="19"/>
  <c r="I64" i="19"/>
  <c r="J64" i="19"/>
  <c r="K64" i="19"/>
  <c r="L64" i="19"/>
  <c r="M64" i="19"/>
  <c r="N64" i="19"/>
  <c r="O64" i="19"/>
  <c r="F65" i="19"/>
  <c r="G65" i="19"/>
  <c r="H65" i="19"/>
  <c r="I65" i="19"/>
  <c r="J65" i="19"/>
  <c r="K65" i="19"/>
  <c r="L65" i="19"/>
  <c r="M65" i="19"/>
  <c r="N65" i="19"/>
  <c r="O65" i="19"/>
  <c r="F66" i="19"/>
  <c r="G66" i="19"/>
  <c r="H66" i="19"/>
  <c r="I66" i="19"/>
  <c r="J66" i="19"/>
  <c r="K66" i="19"/>
  <c r="L66" i="19"/>
  <c r="M66" i="19"/>
  <c r="N66" i="19"/>
  <c r="O66" i="19"/>
  <c r="F67" i="19"/>
  <c r="G67" i="19"/>
  <c r="H67" i="19"/>
  <c r="I67" i="19"/>
  <c r="J67" i="19"/>
  <c r="K67" i="19"/>
  <c r="L67" i="19"/>
  <c r="M67" i="19"/>
  <c r="N67" i="19"/>
  <c r="O67" i="19"/>
  <c r="F68" i="19"/>
  <c r="G68" i="19"/>
  <c r="H68" i="19"/>
  <c r="I68" i="19"/>
  <c r="J68" i="19"/>
  <c r="K68" i="19"/>
  <c r="L68" i="19"/>
  <c r="M68" i="19"/>
  <c r="N68" i="19"/>
  <c r="O68" i="19"/>
  <c r="F69" i="19"/>
  <c r="G69" i="19"/>
  <c r="H69" i="19"/>
  <c r="I69" i="19"/>
  <c r="J69" i="19"/>
  <c r="K69" i="19"/>
  <c r="L69" i="19"/>
  <c r="M69" i="19"/>
  <c r="N69" i="19"/>
  <c r="O69" i="19"/>
  <c r="F70" i="19"/>
  <c r="G70" i="19"/>
  <c r="H70" i="19"/>
  <c r="I70" i="19"/>
  <c r="J70" i="19"/>
  <c r="K70" i="19"/>
  <c r="L70" i="19"/>
  <c r="M70" i="19"/>
  <c r="N70" i="19"/>
  <c r="O70" i="19"/>
  <c r="F71" i="19"/>
  <c r="G71" i="19"/>
  <c r="H71" i="19"/>
  <c r="I71" i="19"/>
  <c r="J71" i="19"/>
  <c r="K71" i="19"/>
  <c r="L71" i="19"/>
  <c r="M71" i="19"/>
  <c r="N71" i="19"/>
  <c r="O71" i="19"/>
  <c r="F72" i="19"/>
  <c r="G72" i="19"/>
  <c r="H72" i="19"/>
  <c r="I72" i="19"/>
  <c r="J72" i="19"/>
  <c r="K72" i="19"/>
  <c r="L72" i="19"/>
  <c r="M72" i="19"/>
  <c r="N72" i="19"/>
  <c r="O72" i="19"/>
  <c r="F73" i="19"/>
  <c r="G73" i="19"/>
  <c r="H73" i="19"/>
  <c r="I73" i="19"/>
  <c r="J73" i="19"/>
  <c r="K73" i="19"/>
  <c r="L73" i="19"/>
  <c r="M73" i="19"/>
  <c r="N73" i="19"/>
  <c r="O73" i="19"/>
  <c r="F74" i="19"/>
  <c r="G74" i="19"/>
  <c r="H74" i="19"/>
  <c r="I74" i="19"/>
  <c r="J74" i="19"/>
  <c r="K74" i="19"/>
  <c r="L74" i="19"/>
  <c r="M74" i="19"/>
  <c r="N74" i="19"/>
  <c r="O74" i="19"/>
  <c r="F75" i="19"/>
  <c r="G75" i="19"/>
  <c r="H75" i="19"/>
  <c r="I75" i="19"/>
  <c r="J75" i="19"/>
  <c r="K75" i="19"/>
  <c r="L75" i="19"/>
  <c r="M75" i="19"/>
  <c r="N75" i="19"/>
  <c r="O75" i="19"/>
  <c r="F76" i="19"/>
  <c r="G76" i="19"/>
  <c r="H76" i="19"/>
  <c r="I76" i="19"/>
  <c r="J76" i="19"/>
  <c r="K76" i="19"/>
  <c r="L76" i="19"/>
  <c r="M76" i="19"/>
  <c r="N76" i="19"/>
  <c r="O76" i="19"/>
  <c r="F77" i="19"/>
  <c r="G77" i="19"/>
  <c r="H77" i="19"/>
  <c r="I77" i="19"/>
  <c r="J77" i="19"/>
  <c r="K77" i="19"/>
  <c r="L77" i="19"/>
  <c r="M77" i="19"/>
  <c r="N77" i="19"/>
  <c r="O77" i="19"/>
  <c r="F78" i="19"/>
  <c r="G78" i="19"/>
  <c r="H78" i="19"/>
  <c r="I78" i="19"/>
  <c r="J78" i="19"/>
  <c r="K78" i="19"/>
  <c r="L78" i="19"/>
  <c r="M78" i="19"/>
  <c r="N78" i="19"/>
  <c r="O78" i="19"/>
  <c r="F79" i="19"/>
  <c r="G79" i="19"/>
  <c r="H79" i="19"/>
  <c r="I79" i="19"/>
  <c r="J79" i="19"/>
  <c r="K79" i="19"/>
  <c r="L79" i="19"/>
  <c r="M79" i="19"/>
  <c r="N79" i="19"/>
  <c r="O79" i="19"/>
  <c r="F80" i="19"/>
  <c r="G80" i="19"/>
  <c r="H80" i="19"/>
  <c r="I80" i="19"/>
  <c r="J80" i="19"/>
  <c r="K80" i="19"/>
  <c r="L80" i="19"/>
  <c r="M80" i="19"/>
  <c r="N80" i="19"/>
  <c r="O80" i="19"/>
  <c r="F81" i="19"/>
  <c r="G81" i="19"/>
  <c r="H81" i="19"/>
  <c r="I81" i="19"/>
  <c r="J81" i="19"/>
  <c r="K81" i="19"/>
  <c r="L81" i="19"/>
  <c r="M81" i="19"/>
  <c r="N81" i="19"/>
  <c r="O81" i="19"/>
  <c r="F82" i="19"/>
  <c r="G82" i="19"/>
  <c r="H82" i="19"/>
  <c r="I82" i="19"/>
  <c r="J82" i="19"/>
  <c r="K82" i="19"/>
  <c r="L82" i="19"/>
  <c r="M82" i="19"/>
  <c r="N82" i="19"/>
  <c r="O82" i="19"/>
  <c r="F83" i="19"/>
  <c r="G83" i="19"/>
  <c r="H83" i="19"/>
  <c r="I83" i="19"/>
  <c r="J83" i="19"/>
  <c r="K83" i="19"/>
  <c r="L83" i="19"/>
  <c r="M83" i="19"/>
  <c r="N83" i="19"/>
  <c r="O83" i="19"/>
  <c r="F84" i="19"/>
  <c r="G84" i="19"/>
  <c r="H84" i="19"/>
  <c r="I84" i="19"/>
  <c r="J84" i="19"/>
  <c r="K84" i="19"/>
  <c r="L84" i="19"/>
  <c r="M84" i="19"/>
  <c r="N84" i="19"/>
  <c r="O84" i="19"/>
  <c r="F85" i="19"/>
  <c r="G85" i="19"/>
  <c r="H85" i="19"/>
  <c r="I85" i="19"/>
  <c r="J85" i="19"/>
  <c r="K85" i="19"/>
  <c r="L85" i="19"/>
  <c r="M85" i="19"/>
  <c r="N85" i="19"/>
  <c r="O85" i="19"/>
  <c r="F86" i="19"/>
  <c r="G86" i="19"/>
  <c r="H86" i="19"/>
  <c r="I86" i="19"/>
  <c r="J86" i="19"/>
  <c r="K86" i="19"/>
  <c r="L86" i="19"/>
  <c r="M86" i="19"/>
  <c r="N86" i="19"/>
  <c r="O86" i="19"/>
  <c r="F87" i="19"/>
  <c r="G87" i="19"/>
  <c r="H87" i="19"/>
  <c r="I87" i="19"/>
  <c r="J87" i="19"/>
  <c r="K87" i="19"/>
  <c r="L87" i="19"/>
  <c r="M87" i="19"/>
  <c r="N87" i="19"/>
  <c r="O87" i="19"/>
  <c r="F88" i="19"/>
  <c r="G88" i="19"/>
  <c r="H88" i="19"/>
  <c r="I88" i="19"/>
  <c r="J88" i="19"/>
  <c r="K88" i="19"/>
  <c r="L88" i="19"/>
  <c r="M88" i="19"/>
  <c r="N88" i="19"/>
  <c r="O88" i="19"/>
  <c r="F89" i="19"/>
  <c r="G89" i="19"/>
  <c r="H89" i="19"/>
  <c r="I89" i="19"/>
  <c r="J89" i="19"/>
  <c r="K89" i="19"/>
  <c r="L89" i="19"/>
  <c r="M89" i="19"/>
  <c r="N89" i="19"/>
  <c r="O89" i="19"/>
  <c r="F90" i="19"/>
  <c r="G90" i="19"/>
  <c r="H90" i="19"/>
  <c r="I90" i="19"/>
  <c r="J90" i="19"/>
  <c r="K90" i="19"/>
  <c r="L90" i="19"/>
  <c r="M90" i="19"/>
  <c r="N90" i="19"/>
  <c r="O90" i="19"/>
  <c r="F91" i="19"/>
  <c r="G91" i="19"/>
  <c r="H91" i="19"/>
  <c r="I91" i="19"/>
  <c r="J91" i="19"/>
  <c r="K91" i="19"/>
  <c r="L91" i="19"/>
  <c r="M91" i="19"/>
  <c r="N91" i="19"/>
  <c r="O91" i="19"/>
  <c r="F92" i="19"/>
  <c r="G92" i="19"/>
  <c r="H92" i="19"/>
  <c r="I92" i="19"/>
  <c r="J92" i="19"/>
  <c r="K92" i="19"/>
  <c r="L92" i="19"/>
  <c r="M92" i="19"/>
  <c r="N92" i="19"/>
  <c r="O92" i="19"/>
  <c r="F93" i="19"/>
  <c r="G93" i="19"/>
  <c r="H93" i="19"/>
  <c r="I93" i="19"/>
  <c r="J93" i="19"/>
  <c r="K93" i="19"/>
  <c r="L93" i="19"/>
  <c r="M93" i="19"/>
  <c r="N93" i="19"/>
  <c r="O93" i="19"/>
  <c r="F94" i="19"/>
  <c r="G94" i="19"/>
  <c r="H94" i="19"/>
  <c r="I94" i="19"/>
  <c r="J94" i="19"/>
  <c r="K94" i="19"/>
  <c r="L94" i="19"/>
  <c r="M94" i="19"/>
  <c r="N94" i="19"/>
  <c r="O94" i="19"/>
  <c r="F95" i="19"/>
  <c r="G95" i="19"/>
  <c r="H95" i="19"/>
  <c r="I95" i="19"/>
  <c r="J95" i="19"/>
  <c r="K95" i="19"/>
  <c r="L95" i="19"/>
  <c r="M95" i="19"/>
  <c r="N95" i="19"/>
  <c r="O95" i="19"/>
  <c r="F96" i="19"/>
  <c r="G96" i="19"/>
  <c r="H96" i="19"/>
  <c r="I96" i="19"/>
  <c r="J96" i="19"/>
  <c r="K96" i="19"/>
  <c r="L96" i="19"/>
  <c r="M96" i="19"/>
  <c r="N96" i="19"/>
  <c r="O96" i="19"/>
  <c r="F97" i="19"/>
  <c r="G97" i="19"/>
  <c r="H97" i="19"/>
  <c r="I97" i="19"/>
  <c r="J97" i="19"/>
  <c r="K97" i="19"/>
  <c r="L97" i="19"/>
  <c r="M97" i="19"/>
  <c r="N97" i="19"/>
  <c r="O97" i="19"/>
  <c r="F98" i="19"/>
  <c r="G98" i="19"/>
  <c r="H98" i="19"/>
  <c r="I98" i="19"/>
  <c r="J98" i="19"/>
  <c r="K98" i="19"/>
  <c r="L98" i="19"/>
  <c r="M98" i="19"/>
  <c r="N98" i="19"/>
  <c r="O98" i="19"/>
  <c r="F99" i="19"/>
  <c r="G99" i="19"/>
  <c r="H99" i="19"/>
  <c r="I99" i="19"/>
  <c r="J99" i="19"/>
  <c r="K99" i="19"/>
  <c r="L99" i="19"/>
  <c r="M99" i="19"/>
  <c r="N99" i="19"/>
  <c r="O99" i="19"/>
  <c r="F100" i="19"/>
  <c r="G100" i="19"/>
  <c r="H100" i="19"/>
  <c r="I100" i="19"/>
  <c r="J100" i="19"/>
  <c r="K100" i="19"/>
  <c r="L100" i="19"/>
  <c r="M100" i="19"/>
  <c r="N100" i="19"/>
  <c r="O100" i="19"/>
  <c r="F101" i="19"/>
  <c r="G101" i="19"/>
  <c r="H101" i="19"/>
  <c r="I101" i="19"/>
  <c r="J101" i="19"/>
  <c r="K101" i="19"/>
  <c r="L101" i="19"/>
  <c r="M101" i="19"/>
  <c r="N101" i="19"/>
  <c r="O101" i="19"/>
  <c r="F102" i="19"/>
  <c r="G102" i="19"/>
  <c r="H102" i="19"/>
  <c r="I102" i="19"/>
  <c r="J102" i="19"/>
  <c r="K102" i="19"/>
  <c r="L102" i="19"/>
  <c r="M102" i="19"/>
  <c r="N102" i="19"/>
  <c r="O102" i="19"/>
  <c r="F103" i="19"/>
  <c r="G103" i="19"/>
  <c r="H103" i="19"/>
  <c r="I103" i="19"/>
  <c r="J103" i="19"/>
  <c r="K103" i="19"/>
  <c r="L103" i="19"/>
  <c r="M103" i="19"/>
  <c r="N103" i="19"/>
  <c r="O103" i="19"/>
  <c r="F104" i="19"/>
  <c r="G104" i="19"/>
  <c r="H104" i="19"/>
  <c r="I104" i="19"/>
  <c r="J104" i="19"/>
  <c r="K104" i="19"/>
  <c r="L104" i="19"/>
  <c r="M104" i="19"/>
  <c r="N104" i="19"/>
  <c r="O104" i="19"/>
  <c r="F105" i="19"/>
  <c r="G105" i="19"/>
  <c r="H105" i="19"/>
  <c r="I105" i="19"/>
  <c r="J105" i="19"/>
  <c r="K105" i="19"/>
  <c r="L105" i="19"/>
  <c r="M105" i="19"/>
  <c r="N105" i="19"/>
  <c r="O105" i="19"/>
  <c r="F106" i="19"/>
  <c r="G106" i="19"/>
  <c r="H106" i="19"/>
  <c r="I106" i="19"/>
  <c r="J106" i="19"/>
  <c r="K106" i="19"/>
  <c r="L106" i="19"/>
  <c r="M106" i="19"/>
  <c r="N106" i="19"/>
  <c r="O106" i="19"/>
  <c r="F107" i="19"/>
  <c r="G107" i="19"/>
  <c r="H107" i="19"/>
  <c r="I107" i="19"/>
  <c r="J107" i="19"/>
  <c r="K107" i="19"/>
  <c r="L107" i="19"/>
  <c r="M107" i="19"/>
  <c r="N107" i="19"/>
  <c r="O107" i="19"/>
  <c r="F108" i="19"/>
  <c r="G108" i="19"/>
  <c r="H108" i="19"/>
  <c r="I108" i="19"/>
  <c r="J108" i="19"/>
  <c r="K108" i="19"/>
  <c r="L108" i="19"/>
  <c r="M108" i="19"/>
  <c r="N108" i="19"/>
  <c r="O108" i="19"/>
  <c r="F109" i="19"/>
  <c r="G109" i="19"/>
  <c r="H109" i="19"/>
  <c r="I109" i="19"/>
  <c r="J109" i="19"/>
  <c r="K109" i="19"/>
  <c r="L109" i="19"/>
  <c r="M109" i="19"/>
  <c r="N109" i="19"/>
  <c r="O109" i="19"/>
  <c r="F110" i="19"/>
  <c r="G110" i="19"/>
  <c r="H110" i="19"/>
  <c r="I110" i="19"/>
  <c r="J110" i="19"/>
  <c r="K110" i="19"/>
  <c r="L110" i="19"/>
  <c r="M110" i="19"/>
  <c r="N110" i="19"/>
  <c r="O110" i="19"/>
  <c r="F111" i="19"/>
  <c r="G111" i="19"/>
  <c r="H111" i="19"/>
  <c r="I111" i="19"/>
  <c r="J111" i="19"/>
  <c r="K111" i="19"/>
  <c r="L111" i="19"/>
  <c r="M111" i="19"/>
  <c r="N111" i="19"/>
  <c r="O111" i="19"/>
  <c r="F112" i="19"/>
  <c r="G112" i="19"/>
  <c r="H112" i="19"/>
  <c r="I112" i="19"/>
  <c r="J112" i="19"/>
  <c r="K112" i="19"/>
  <c r="L112" i="19"/>
  <c r="M112" i="19"/>
  <c r="N112" i="19"/>
  <c r="O112" i="19"/>
  <c r="F113" i="19"/>
  <c r="G113" i="19"/>
  <c r="H113" i="19"/>
  <c r="I113" i="19"/>
  <c r="J113" i="19"/>
  <c r="K113" i="19"/>
  <c r="L113" i="19"/>
  <c r="M113" i="19"/>
  <c r="N113" i="19"/>
  <c r="O113" i="19"/>
  <c r="F114" i="19"/>
  <c r="G114" i="19"/>
  <c r="H114" i="19"/>
  <c r="I114" i="19"/>
  <c r="J114" i="19"/>
  <c r="K114" i="19"/>
  <c r="L114" i="19"/>
  <c r="M114" i="19"/>
  <c r="N114" i="19"/>
  <c r="O114" i="19"/>
  <c r="F115" i="19"/>
  <c r="G115" i="19"/>
  <c r="H115" i="19"/>
  <c r="I115" i="19"/>
  <c r="J115" i="19"/>
  <c r="K115" i="19"/>
  <c r="L115" i="19"/>
  <c r="M115" i="19"/>
  <c r="N115" i="19"/>
  <c r="O115" i="19"/>
  <c r="F116" i="19"/>
  <c r="G116" i="19"/>
  <c r="H116" i="19"/>
  <c r="I116" i="19"/>
  <c r="J116" i="19"/>
  <c r="K116" i="19"/>
  <c r="L116" i="19"/>
  <c r="M116" i="19"/>
  <c r="N116" i="19"/>
  <c r="O116" i="19"/>
  <c r="F117" i="19"/>
  <c r="G117" i="19"/>
  <c r="H117" i="19"/>
  <c r="I117" i="19"/>
  <c r="J117" i="19"/>
  <c r="K117" i="19"/>
  <c r="L117" i="19"/>
  <c r="M117" i="19"/>
  <c r="N117" i="19"/>
  <c r="O117" i="19"/>
  <c r="F118" i="19"/>
  <c r="G118" i="19"/>
  <c r="H118" i="19"/>
  <c r="I118" i="19"/>
  <c r="J118" i="19"/>
  <c r="K118" i="19"/>
  <c r="L118" i="19"/>
  <c r="M118" i="19"/>
  <c r="N118" i="19"/>
  <c r="O118" i="19"/>
  <c r="F119" i="19"/>
  <c r="G119" i="19"/>
  <c r="H119" i="19"/>
  <c r="I119" i="19"/>
  <c r="J119" i="19"/>
  <c r="K119" i="19"/>
  <c r="L119" i="19"/>
  <c r="M119" i="19"/>
  <c r="N119" i="19"/>
  <c r="O119" i="19"/>
  <c r="F120" i="19"/>
  <c r="G120" i="19"/>
  <c r="H120" i="19"/>
  <c r="I120" i="19"/>
  <c r="J120" i="19"/>
  <c r="K120" i="19"/>
  <c r="L120" i="19"/>
  <c r="M120" i="19"/>
  <c r="N120" i="19"/>
  <c r="O120" i="19"/>
  <c r="F121" i="19"/>
  <c r="G121" i="19"/>
  <c r="H121" i="19"/>
  <c r="I121" i="19"/>
  <c r="J121" i="19"/>
  <c r="K121" i="19"/>
  <c r="L121" i="19"/>
  <c r="M121" i="19"/>
  <c r="N121" i="19"/>
  <c r="O121" i="19"/>
  <c r="F122" i="19"/>
  <c r="G122" i="19"/>
  <c r="H122" i="19"/>
  <c r="I122" i="19"/>
  <c r="J122" i="19"/>
  <c r="K122" i="19"/>
  <c r="L122" i="19"/>
  <c r="M122" i="19"/>
  <c r="N122" i="19"/>
  <c r="O122" i="19"/>
  <c r="F123" i="19"/>
  <c r="G123" i="19"/>
  <c r="H123" i="19"/>
  <c r="I123" i="19"/>
  <c r="J123" i="19"/>
  <c r="K123" i="19"/>
  <c r="L123" i="19"/>
  <c r="M123" i="19"/>
  <c r="N123" i="19"/>
  <c r="O123" i="19"/>
  <c r="F124" i="19"/>
  <c r="G124" i="19"/>
  <c r="H124" i="19"/>
  <c r="I124" i="19"/>
  <c r="J124" i="19"/>
  <c r="K124" i="19"/>
  <c r="L124" i="19"/>
  <c r="M124" i="19"/>
  <c r="N124" i="19"/>
  <c r="O124" i="19"/>
  <c r="F125" i="19"/>
  <c r="G125" i="19"/>
  <c r="H125" i="19"/>
  <c r="I125" i="19"/>
  <c r="J125" i="19"/>
  <c r="K125" i="19"/>
  <c r="L125" i="19"/>
  <c r="M125" i="19"/>
  <c r="N125" i="19"/>
  <c r="O125" i="19"/>
  <c r="F126" i="19"/>
  <c r="G126" i="19"/>
  <c r="H126" i="19"/>
  <c r="I126" i="19"/>
  <c r="J126" i="19"/>
  <c r="K126" i="19"/>
  <c r="L126" i="19"/>
  <c r="M126" i="19"/>
  <c r="N126" i="19"/>
  <c r="O126" i="19"/>
  <c r="F127" i="19"/>
  <c r="G127" i="19"/>
  <c r="H127" i="19"/>
  <c r="I127" i="19"/>
  <c r="J127" i="19"/>
  <c r="K127" i="19"/>
  <c r="L127" i="19"/>
  <c r="M127" i="19"/>
  <c r="N127" i="19"/>
  <c r="O127" i="19"/>
  <c r="F128" i="19"/>
  <c r="G128" i="19"/>
  <c r="H128" i="19"/>
  <c r="I128" i="19"/>
  <c r="J128" i="19"/>
  <c r="K128" i="19"/>
  <c r="L128" i="19"/>
  <c r="M128" i="19"/>
  <c r="N128" i="19"/>
  <c r="O128" i="19"/>
  <c r="F129" i="19"/>
  <c r="G129" i="19"/>
  <c r="H129" i="19"/>
  <c r="I129" i="19"/>
  <c r="J129" i="19"/>
  <c r="K129" i="19"/>
  <c r="L129" i="19"/>
  <c r="M129" i="19"/>
  <c r="N129" i="19"/>
  <c r="O129" i="19"/>
  <c r="F130" i="19"/>
  <c r="G130" i="19"/>
  <c r="H130" i="19"/>
  <c r="I130" i="19"/>
  <c r="J130" i="19"/>
  <c r="K130" i="19"/>
  <c r="L130" i="19"/>
  <c r="M130" i="19"/>
  <c r="N130" i="19"/>
  <c r="O130" i="19"/>
  <c r="F131" i="19"/>
  <c r="G131" i="19"/>
  <c r="H131" i="19"/>
  <c r="I131" i="19"/>
  <c r="J131" i="19"/>
  <c r="K131" i="19"/>
  <c r="L131" i="19"/>
  <c r="M131" i="19"/>
  <c r="N131" i="19"/>
  <c r="O131" i="19"/>
  <c r="F132" i="19"/>
  <c r="G132" i="19"/>
  <c r="H132" i="19"/>
  <c r="I132" i="19"/>
  <c r="J132" i="19"/>
  <c r="K132" i="19"/>
  <c r="L132" i="19"/>
  <c r="M132" i="19"/>
  <c r="N132" i="19"/>
  <c r="O132" i="19"/>
  <c r="F133" i="19"/>
  <c r="G133" i="19"/>
  <c r="H133" i="19"/>
  <c r="I133" i="19"/>
  <c r="J133" i="19"/>
  <c r="K133" i="19"/>
  <c r="L133" i="19"/>
  <c r="M133" i="19"/>
  <c r="N133" i="19"/>
  <c r="O133" i="19"/>
  <c r="F134" i="19"/>
  <c r="G134" i="19"/>
  <c r="H134" i="19"/>
  <c r="I134" i="19"/>
  <c r="J134" i="19"/>
  <c r="K134" i="19"/>
  <c r="L134" i="19"/>
  <c r="M134" i="19"/>
  <c r="N134" i="19"/>
  <c r="O134" i="19"/>
  <c r="F135" i="19"/>
  <c r="G135" i="19"/>
  <c r="H135" i="19"/>
  <c r="I135" i="19"/>
  <c r="J135" i="19"/>
  <c r="K135" i="19"/>
  <c r="L135" i="19"/>
  <c r="M135" i="19"/>
  <c r="N135" i="19"/>
  <c r="O135" i="19"/>
  <c r="F136" i="19"/>
  <c r="G136" i="19"/>
  <c r="H136" i="19"/>
  <c r="I136" i="19"/>
  <c r="J136" i="19"/>
  <c r="K136" i="19"/>
  <c r="L136" i="19"/>
  <c r="M136" i="19"/>
  <c r="N136" i="19"/>
  <c r="O136" i="19"/>
  <c r="F137" i="19"/>
  <c r="G137" i="19"/>
  <c r="H137" i="19"/>
  <c r="I137" i="19"/>
  <c r="J137" i="19"/>
  <c r="K137" i="19"/>
  <c r="L137" i="19"/>
  <c r="M137" i="19"/>
  <c r="N137" i="19"/>
  <c r="O137" i="19"/>
  <c r="F138" i="19"/>
  <c r="G138" i="19"/>
  <c r="H138" i="19"/>
  <c r="I138" i="19"/>
  <c r="J138" i="19"/>
  <c r="K138" i="19"/>
  <c r="L138" i="19"/>
  <c r="M138" i="19"/>
  <c r="N138" i="19"/>
  <c r="O138" i="19"/>
  <c r="F139" i="19"/>
  <c r="G139" i="19"/>
  <c r="H139" i="19"/>
  <c r="I139" i="19"/>
  <c r="J139" i="19"/>
  <c r="K139" i="19"/>
  <c r="L139" i="19"/>
  <c r="M139" i="19"/>
  <c r="N139" i="19"/>
  <c r="O139" i="19"/>
  <c r="F140" i="19"/>
  <c r="G140" i="19"/>
  <c r="H140" i="19"/>
  <c r="I140" i="19"/>
  <c r="J140" i="19"/>
  <c r="K140" i="19"/>
  <c r="L140" i="19"/>
  <c r="M140" i="19"/>
  <c r="N140" i="19"/>
  <c r="O140" i="19"/>
  <c r="F141" i="19"/>
  <c r="G141" i="19"/>
  <c r="H141" i="19"/>
  <c r="I141" i="19"/>
  <c r="J141" i="19"/>
  <c r="K141" i="19"/>
  <c r="L141" i="19"/>
  <c r="M141" i="19"/>
  <c r="N141" i="19"/>
  <c r="O141" i="19"/>
  <c r="F142" i="19"/>
  <c r="G142" i="19"/>
  <c r="H142" i="19"/>
  <c r="I142" i="19"/>
  <c r="J142" i="19"/>
  <c r="K142" i="19"/>
  <c r="L142" i="19"/>
  <c r="M142" i="19"/>
  <c r="N142" i="19"/>
  <c r="O142" i="19"/>
  <c r="F143" i="19"/>
  <c r="G143" i="19"/>
  <c r="H143" i="19"/>
  <c r="I143" i="19"/>
  <c r="J143" i="19"/>
  <c r="K143" i="19"/>
  <c r="L143" i="19"/>
  <c r="M143" i="19"/>
  <c r="N143" i="19"/>
  <c r="O143" i="19"/>
  <c r="F144" i="19"/>
  <c r="G144" i="19"/>
  <c r="H144" i="19"/>
  <c r="I144" i="19"/>
  <c r="J144" i="19"/>
  <c r="K144" i="19"/>
  <c r="L144" i="19"/>
  <c r="M144" i="19"/>
  <c r="N144" i="19"/>
  <c r="O144" i="19"/>
  <c r="F145" i="19"/>
  <c r="G145" i="19"/>
  <c r="H145" i="19"/>
  <c r="I145" i="19"/>
  <c r="J145" i="19"/>
  <c r="K145" i="19"/>
  <c r="L145" i="19"/>
  <c r="M145" i="19"/>
  <c r="N145" i="19"/>
  <c r="O145" i="19"/>
  <c r="F146" i="19"/>
  <c r="G146" i="19"/>
  <c r="H146" i="19"/>
  <c r="I146" i="19"/>
  <c r="J146" i="19"/>
  <c r="K146" i="19"/>
  <c r="L146" i="19"/>
  <c r="M146" i="19"/>
  <c r="N146" i="19"/>
  <c r="O146" i="19"/>
  <c r="F147" i="19"/>
  <c r="G147" i="19"/>
  <c r="H147" i="19"/>
  <c r="I147" i="19"/>
  <c r="J147" i="19"/>
  <c r="K147" i="19"/>
  <c r="L147" i="19"/>
  <c r="M147" i="19"/>
  <c r="N147" i="19"/>
  <c r="O147" i="19"/>
  <c r="F148" i="19"/>
  <c r="G148" i="19"/>
  <c r="H148" i="19"/>
  <c r="I148" i="19"/>
  <c r="J148" i="19"/>
  <c r="K148" i="19"/>
  <c r="L148" i="19"/>
  <c r="M148" i="19"/>
  <c r="N148" i="19"/>
  <c r="O148" i="19"/>
  <c r="F149" i="19"/>
  <c r="G149" i="19"/>
  <c r="H149" i="19"/>
  <c r="I149" i="19"/>
  <c r="J149" i="19"/>
  <c r="K149" i="19"/>
  <c r="L149" i="19"/>
  <c r="M149" i="19"/>
  <c r="N149" i="19"/>
  <c r="O149" i="19"/>
  <c r="F150" i="19"/>
  <c r="G150" i="19"/>
  <c r="H150" i="19"/>
  <c r="I150" i="19"/>
  <c r="J150" i="19"/>
  <c r="K150" i="19"/>
  <c r="L150" i="19"/>
  <c r="M150" i="19"/>
  <c r="N150" i="19"/>
  <c r="O150" i="19"/>
  <c r="F151" i="19"/>
  <c r="G151" i="19"/>
  <c r="H151" i="19"/>
  <c r="I151" i="19"/>
  <c r="J151" i="19"/>
  <c r="K151" i="19"/>
  <c r="L151" i="19"/>
  <c r="M151" i="19"/>
  <c r="N151" i="19"/>
  <c r="O151" i="19"/>
  <c r="F152" i="19"/>
  <c r="G152" i="19"/>
  <c r="H152" i="19"/>
  <c r="I152" i="19"/>
  <c r="J152" i="19"/>
  <c r="K152" i="19"/>
  <c r="L152" i="19"/>
  <c r="M152" i="19"/>
  <c r="N152" i="19"/>
  <c r="O152" i="19"/>
  <c r="F153" i="19"/>
  <c r="G153" i="19"/>
  <c r="H153" i="19"/>
  <c r="I153" i="19"/>
  <c r="J153" i="19"/>
  <c r="K153" i="19"/>
  <c r="L153" i="19"/>
  <c r="M153" i="19"/>
  <c r="N153" i="19"/>
  <c r="O153" i="19"/>
  <c r="F154" i="19"/>
  <c r="G154" i="19"/>
  <c r="H154" i="19"/>
  <c r="I154" i="19"/>
  <c r="J154" i="19"/>
  <c r="K154" i="19"/>
  <c r="L154" i="19"/>
  <c r="M154" i="19"/>
  <c r="N154" i="19"/>
  <c r="O154" i="19"/>
  <c r="F155" i="19"/>
  <c r="G155" i="19"/>
  <c r="H155" i="19"/>
  <c r="I155" i="19"/>
  <c r="J155" i="19"/>
  <c r="K155" i="19"/>
  <c r="L155" i="19"/>
  <c r="M155" i="19"/>
  <c r="N155" i="19"/>
  <c r="O155" i="19"/>
  <c r="F156" i="19"/>
  <c r="G156" i="19"/>
  <c r="H156" i="19"/>
  <c r="I156" i="19"/>
  <c r="J156" i="19"/>
  <c r="K156" i="19"/>
  <c r="L156" i="19"/>
  <c r="M156" i="19"/>
  <c r="N156" i="19"/>
  <c r="O156" i="19"/>
  <c r="F157" i="19"/>
  <c r="G157" i="19"/>
  <c r="H157" i="19"/>
  <c r="I157" i="19"/>
  <c r="J157" i="19"/>
  <c r="K157" i="19"/>
  <c r="L157" i="19"/>
  <c r="M157" i="19"/>
  <c r="N157" i="19"/>
  <c r="O157" i="19"/>
  <c r="F158" i="19"/>
  <c r="G158" i="19"/>
  <c r="H158" i="19"/>
  <c r="I158" i="19"/>
  <c r="J158" i="19"/>
  <c r="K158" i="19"/>
  <c r="L158" i="19"/>
  <c r="M158" i="19"/>
  <c r="N158" i="19"/>
  <c r="O158" i="19"/>
  <c r="F159" i="19"/>
  <c r="G159" i="19"/>
  <c r="H159" i="19"/>
  <c r="I159" i="19"/>
  <c r="J159" i="19"/>
  <c r="K159" i="19"/>
  <c r="L159" i="19"/>
  <c r="M159" i="19"/>
  <c r="N159" i="19"/>
  <c r="O159" i="19"/>
  <c r="F160" i="19"/>
  <c r="G160" i="19"/>
  <c r="H160" i="19"/>
  <c r="I160" i="19"/>
  <c r="J160" i="19"/>
  <c r="K160" i="19"/>
  <c r="L160" i="19"/>
  <c r="M160" i="19"/>
  <c r="N160" i="19"/>
  <c r="O160" i="19"/>
  <c r="F161" i="19"/>
  <c r="G161" i="19"/>
  <c r="H161" i="19"/>
  <c r="I161" i="19"/>
  <c r="J161" i="19"/>
  <c r="K161" i="19"/>
  <c r="L161" i="19"/>
  <c r="M161" i="19"/>
  <c r="N161" i="19"/>
  <c r="O161" i="19"/>
  <c r="F162" i="19"/>
  <c r="G162" i="19"/>
  <c r="H162" i="19"/>
  <c r="I162" i="19"/>
  <c r="J162" i="19"/>
  <c r="K162" i="19"/>
  <c r="L162" i="19"/>
  <c r="M162" i="19"/>
  <c r="N162" i="19"/>
  <c r="O162" i="19"/>
  <c r="F163" i="19"/>
  <c r="G163" i="19"/>
  <c r="H163" i="19"/>
  <c r="I163" i="19"/>
  <c r="J163" i="19"/>
  <c r="K163" i="19"/>
  <c r="L163" i="19"/>
  <c r="M163" i="19"/>
  <c r="N163" i="19"/>
  <c r="O163" i="19"/>
  <c r="F164" i="19"/>
  <c r="G164" i="19"/>
  <c r="H164" i="19"/>
  <c r="I164" i="19"/>
  <c r="J164" i="19"/>
  <c r="K164" i="19"/>
  <c r="L164" i="19"/>
  <c r="M164" i="19"/>
  <c r="N164" i="19"/>
  <c r="O164" i="19"/>
  <c r="F165" i="19"/>
  <c r="G165" i="19"/>
  <c r="H165" i="19"/>
  <c r="I165" i="19"/>
  <c r="J165" i="19"/>
  <c r="K165" i="19"/>
  <c r="L165" i="19"/>
  <c r="M165" i="19"/>
  <c r="N165" i="19"/>
  <c r="O165" i="19"/>
  <c r="F166" i="19"/>
  <c r="G166" i="19"/>
  <c r="H166" i="19"/>
  <c r="I166" i="19"/>
  <c r="J166" i="19"/>
  <c r="K166" i="19"/>
  <c r="L166" i="19"/>
  <c r="M166" i="19"/>
  <c r="N166" i="19"/>
  <c r="O166" i="19"/>
  <c r="F167" i="19"/>
  <c r="G167" i="19"/>
  <c r="H167" i="19"/>
  <c r="I167" i="19"/>
  <c r="J167" i="19"/>
  <c r="K167" i="19"/>
  <c r="L167" i="19"/>
  <c r="M167" i="19"/>
  <c r="N167" i="19"/>
  <c r="O167" i="19"/>
  <c r="F168" i="19"/>
  <c r="G168" i="19"/>
  <c r="H168" i="19"/>
  <c r="I168" i="19"/>
  <c r="J168" i="19"/>
  <c r="K168" i="19"/>
  <c r="L168" i="19"/>
  <c r="M168" i="19"/>
  <c r="N168" i="19"/>
  <c r="O168" i="19"/>
  <c r="F169" i="19"/>
  <c r="G169" i="19"/>
  <c r="H169" i="19"/>
  <c r="I169" i="19"/>
  <c r="J169" i="19"/>
  <c r="K169" i="19"/>
  <c r="L169" i="19"/>
  <c r="M169" i="19"/>
  <c r="N169" i="19"/>
  <c r="O169" i="19"/>
  <c r="F170" i="19"/>
  <c r="G170" i="19"/>
  <c r="H170" i="19"/>
  <c r="I170" i="19"/>
  <c r="J170" i="19"/>
  <c r="K170" i="19"/>
  <c r="L170" i="19"/>
  <c r="M170" i="19"/>
  <c r="N170" i="19"/>
  <c r="O170" i="19"/>
  <c r="F171" i="19"/>
  <c r="G171" i="19"/>
  <c r="H171" i="19"/>
  <c r="I171" i="19"/>
  <c r="J171" i="19"/>
  <c r="K171" i="19"/>
  <c r="L171" i="19"/>
  <c r="M171" i="19"/>
  <c r="N171" i="19"/>
  <c r="O171" i="19"/>
  <c r="F172" i="19"/>
  <c r="G172" i="19"/>
  <c r="H172" i="19"/>
  <c r="I172" i="19"/>
  <c r="J172" i="19"/>
  <c r="K172" i="19"/>
  <c r="L172" i="19"/>
  <c r="M172" i="19"/>
  <c r="N172" i="19"/>
  <c r="O172" i="19"/>
  <c r="O2" i="19"/>
  <c r="N2" i="19"/>
  <c r="M2" i="19"/>
  <c r="L2" i="19"/>
  <c r="H2" i="19"/>
  <c r="K2" i="19"/>
  <c r="J2" i="19"/>
  <c r="I2" i="19"/>
  <c r="G2" i="19"/>
  <c r="F2" i="19"/>
  <c r="AQ1255" i="19" l="1"/>
  <c r="AN1256" i="19"/>
  <c r="AH1255" i="19"/>
  <c r="AM1255" i="19"/>
  <c r="AP1255" i="19"/>
  <c r="AG1263" i="19"/>
  <c r="AH1263" i="19"/>
  <c r="AJ1263" i="19"/>
  <c r="AM1263" i="19"/>
  <c r="AO1263" i="19"/>
  <c r="AP1263" i="19"/>
  <c r="AN1263" i="19"/>
  <c r="AF1263" i="19"/>
  <c r="AQ1262" i="19"/>
  <c r="AO1262" i="19"/>
  <c r="AL1263" i="19"/>
  <c r="AI1262" i="19"/>
  <c r="AG1262" i="19"/>
  <c r="AP1262" i="19"/>
  <c r="AH1262" i="19"/>
  <c r="AI1263" i="19"/>
  <c r="AQ1263" i="19"/>
  <c r="AK1263" i="19"/>
  <c r="AJ1262" i="19"/>
  <c r="AM1262" i="19"/>
  <c r="AG1261" i="19"/>
  <c r="AO1261" i="19"/>
  <c r="AQ1261" i="19"/>
  <c r="AJ1261" i="19"/>
  <c r="AH1261" i="19"/>
  <c r="AP1261" i="19"/>
  <c r="AN1262" i="19"/>
  <c r="AF1262" i="19"/>
  <c r="AL1262" i="19"/>
  <c r="AK1262" i="19"/>
  <c r="AM1261" i="19"/>
  <c r="AI1261" i="19"/>
  <c r="AK1261" i="19"/>
  <c r="AN1261" i="19"/>
  <c r="AM1260" i="19"/>
  <c r="AH1260" i="19"/>
  <c r="AP1260" i="19"/>
  <c r="AQ1260" i="19"/>
  <c r="AL1261" i="19"/>
  <c r="AO1260" i="19"/>
  <c r="AF1261" i="19"/>
  <c r="AI1260" i="19"/>
  <c r="AJ1260" i="19"/>
  <c r="AG1260" i="19"/>
  <c r="AG1259" i="19"/>
  <c r="AJ1259" i="19"/>
  <c r="AQ1259" i="19"/>
  <c r="AP1259" i="19"/>
  <c r="AM1259" i="19"/>
  <c r="AK1260" i="19"/>
  <c r="AI1259" i="19"/>
  <c r="AH1259" i="19"/>
  <c r="AL1260" i="19"/>
  <c r="AN1260" i="19"/>
  <c r="AF1260" i="19"/>
  <c r="AO1259" i="19"/>
  <c r="AF1259" i="19"/>
  <c r="AG1258" i="19"/>
  <c r="AP1258" i="19"/>
  <c r="AI1258" i="19"/>
  <c r="AJ1258" i="19"/>
  <c r="AH1258" i="19"/>
  <c r="AM1258" i="19"/>
  <c r="AO1258" i="19"/>
  <c r="AQ1258" i="19"/>
  <c r="AN1259" i="19"/>
  <c r="AK1259" i="19"/>
  <c r="AL1259" i="19"/>
  <c r="AM1257" i="19"/>
  <c r="AF1258" i="19"/>
  <c r="AH1257" i="19"/>
  <c r="AL1258" i="19"/>
  <c r="AK1258" i="19"/>
  <c r="AP1257" i="19"/>
  <c r="AJ1257" i="19"/>
  <c r="AI1257" i="19"/>
  <c r="AO1257" i="19"/>
  <c r="AG1257" i="19"/>
  <c r="AQ1257" i="19"/>
  <c r="AN1258" i="19"/>
  <c r="AP1256" i="19"/>
  <c r="AQ1256" i="19"/>
  <c r="AI1256" i="19"/>
  <c r="AO1256" i="19"/>
  <c r="AG1256" i="19"/>
  <c r="AJ1256" i="19"/>
  <c r="AM1256" i="19"/>
  <c r="AH1256" i="19"/>
  <c r="AK1257" i="19"/>
  <c r="AF1257" i="19"/>
  <c r="AN1257" i="19"/>
  <c r="AL1257" i="19"/>
  <c r="AI1255" i="19"/>
  <c r="AG1255" i="19"/>
  <c r="AK1256" i="19"/>
  <c r="AJ1255" i="19"/>
  <c r="AL1256" i="19"/>
  <c r="AF1256" i="19"/>
  <c r="AN1255" i="19"/>
  <c r="AA1254" i="19"/>
  <c r="AP1254" i="19"/>
  <c r="AC1253" i="19"/>
  <c r="AM1254" i="19"/>
  <c r="Z1253" i="19"/>
  <c r="AD1253" i="19"/>
  <c r="AQ1254" i="19"/>
  <c r="AB1253" i="19"/>
  <c r="AO1254" i="19"/>
  <c r="U1253" i="19"/>
  <c r="AH1254" i="19"/>
  <c r="AK1255" i="19"/>
  <c r="X1254" i="19"/>
  <c r="V1253" i="19"/>
  <c r="AI1254" i="19"/>
  <c r="T1253" i="19"/>
  <c r="AG1254" i="19"/>
  <c r="AL1255" i="19"/>
  <c r="Y1254" i="19"/>
  <c r="AF1255" i="19"/>
  <c r="S1254" i="19"/>
  <c r="W1253" i="19"/>
  <c r="AJ1254" i="19"/>
  <c r="H5" i="17"/>
  <c r="R5" i="17"/>
  <c r="N5" i="17"/>
  <c r="F5" i="17"/>
  <c r="L5" i="17"/>
  <c r="E5" i="17"/>
  <c r="S5" i="17"/>
  <c r="K5" i="17"/>
  <c r="Q5" i="17"/>
  <c r="P5" i="17"/>
  <c r="I5" i="17"/>
  <c r="J5" i="17"/>
  <c r="M5" i="17"/>
  <c r="O5" i="17"/>
  <c r="D5" i="17"/>
  <c r="P23" i="3"/>
  <c r="N23" i="3"/>
  <c r="F23" i="3"/>
  <c r="P19" i="4"/>
  <c r="N19" i="4"/>
  <c r="F19" i="4"/>
  <c r="P23" i="5"/>
  <c r="N23" i="5"/>
  <c r="F23" i="5"/>
  <c r="P23" i="6"/>
  <c r="N23" i="6"/>
  <c r="F23" i="6"/>
  <c r="P23" i="7"/>
  <c r="N23" i="7"/>
  <c r="F23" i="7"/>
  <c r="P23" i="16"/>
  <c r="N23" i="16"/>
  <c r="F23" i="16"/>
  <c r="P19" i="15"/>
  <c r="N19" i="15"/>
  <c r="F19" i="15"/>
  <c r="P22" i="14"/>
  <c r="N22" i="14"/>
  <c r="F22" i="14"/>
  <c r="P23" i="13"/>
  <c r="N23" i="13"/>
  <c r="F23" i="13"/>
  <c r="P21" i="12"/>
  <c r="N21" i="12"/>
  <c r="F21" i="12"/>
  <c r="P23" i="11"/>
  <c r="N23" i="11"/>
  <c r="F23" i="11"/>
  <c r="P23" i="10"/>
  <c r="N23" i="10"/>
  <c r="F23" i="10"/>
  <c r="P20" i="9"/>
  <c r="N20" i="9"/>
  <c r="F20" i="9"/>
  <c r="B21" i="17"/>
  <c r="B22" i="17"/>
  <c r="B23" i="17"/>
  <c r="B24" i="17"/>
  <c r="B25" i="17"/>
  <c r="B26" i="17"/>
  <c r="B27" i="17"/>
  <c r="B28" i="17"/>
  <c r="Z6" i="21" s="1"/>
  <c r="B29" i="17"/>
  <c r="Z7" i="21" s="1"/>
  <c r="B30" i="17"/>
  <c r="Z8" i="21" s="1"/>
  <c r="B20" i="17"/>
  <c r="AM1253" i="19" l="1"/>
  <c r="Z1252" i="19"/>
  <c r="V1252" i="19"/>
  <c r="AI1253" i="19"/>
  <c r="U1252" i="19"/>
  <c r="AH1253" i="19"/>
  <c r="Y1253" i="19"/>
  <c r="AL1254" i="19"/>
  <c r="AB1252" i="19"/>
  <c r="AO1253" i="19"/>
  <c r="AC1252" i="19"/>
  <c r="AP1253" i="19"/>
  <c r="AK1254" i="19"/>
  <c r="X1253" i="19"/>
  <c r="AD1252" i="19"/>
  <c r="AQ1253" i="19"/>
  <c r="W1252" i="19"/>
  <c r="AJ1253" i="19"/>
  <c r="AN1254" i="19"/>
  <c r="AA1253" i="19"/>
  <c r="T1252" i="19"/>
  <c r="AG1253" i="19"/>
  <c r="AF1254" i="19"/>
  <c r="S1253" i="19"/>
  <c r="P22" i="16"/>
  <c r="O22" i="16"/>
  <c r="N22" i="16"/>
  <c r="M22" i="16"/>
  <c r="L22" i="16"/>
  <c r="K22" i="16"/>
  <c r="S22" i="16" s="1"/>
  <c r="P21" i="16"/>
  <c r="O21" i="16"/>
  <c r="N21" i="16"/>
  <c r="M21" i="16"/>
  <c r="L21" i="16"/>
  <c r="K21" i="16"/>
  <c r="S21" i="16" s="1"/>
  <c r="P15" i="16"/>
  <c r="O15" i="16"/>
  <c r="M15" i="16"/>
  <c r="L15" i="16"/>
  <c r="K15" i="16"/>
  <c r="S15" i="16" s="1"/>
  <c r="P14" i="16"/>
  <c r="O14" i="16"/>
  <c r="M14" i="16"/>
  <c r="L14" i="16"/>
  <c r="K14" i="16"/>
  <c r="S14" i="16" s="1"/>
  <c r="P13" i="16"/>
  <c r="O13" i="16"/>
  <c r="M13" i="16"/>
  <c r="L13" i="16"/>
  <c r="K13" i="16"/>
  <c r="S13" i="16" s="1"/>
  <c r="P12" i="16"/>
  <c r="O12" i="16"/>
  <c r="M12" i="16"/>
  <c r="L12" i="16"/>
  <c r="K12" i="16"/>
  <c r="S12" i="16" s="1"/>
  <c r="P11" i="16"/>
  <c r="O11" i="16"/>
  <c r="M11" i="16"/>
  <c r="L11" i="16"/>
  <c r="K11" i="16"/>
  <c r="S11" i="16" s="1"/>
  <c r="O10" i="16"/>
  <c r="M10" i="16"/>
  <c r="L10" i="16"/>
  <c r="K10" i="16"/>
  <c r="R10" i="16" s="1"/>
  <c r="O9" i="16"/>
  <c r="M9" i="16"/>
  <c r="L9" i="16"/>
  <c r="K9" i="16"/>
  <c r="R9" i="16" s="1"/>
  <c r="O8" i="16"/>
  <c r="M8" i="16"/>
  <c r="L8" i="16"/>
  <c r="K8" i="16"/>
  <c r="O7" i="16"/>
  <c r="M7" i="16"/>
  <c r="L7" i="16"/>
  <c r="K7" i="16"/>
  <c r="O6" i="16"/>
  <c r="N6" i="16"/>
  <c r="M6" i="16"/>
  <c r="L6" i="16"/>
  <c r="K6" i="16"/>
  <c r="Q6" i="16" s="1"/>
  <c r="P18" i="15"/>
  <c r="O18" i="15"/>
  <c r="N18" i="15"/>
  <c r="M18" i="15"/>
  <c r="L18" i="15"/>
  <c r="K18" i="15"/>
  <c r="S18" i="15" s="1"/>
  <c r="P17" i="15"/>
  <c r="O17" i="15"/>
  <c r="N17" i="15"/>
  <c r="M17" i="15"/>
  <c r="L17" i="15"/>
  <c r="K17" i="15"/>
  <c r="S17" i="15" s="1"/>
  <c r="P11" i="15"/>
  <c r="O11" i="15"/>
  <c r="M11" i="15"/>
  <c r="L11" i="15"/>
  <c r="K11" i="15"/>
  <c r="R11" i="15" s="1"/>
  <c r="O10" i="15"/>
  <c r="M10" i="15"/>
  <c r="L10" i="15"/>
  <c r="K10" i="15"/>
  <c r="R10" i="15" s="1"/>
  <c r="O9" i="15"/>
  <c r="N9" i="15"/>
  <c r="M9" i="15"/>
  <c r="L9" i="15"/>
  <c r="K9" i="15"/>
  <c r="Q9" i="15" s="1"/>
  <c r="O8" i="15"/>
  <c r="M8" i="15"/>
  <c r="L8" i="15"/>
  <c r="K8" i="15"/>
  <c r="R8" i="15" s="1"/>
  <c r="O7" i="15"/>
  <c r="M7" i="15"/>
  <c r="L7" i="15"/>
  <c r="K7" i="15"/>
  <c r="Q7" i="15" s="1"/>
  <c r="O6" i="15"/>
  <c r="M6" i="15"/>
  <c r="L6" i="15"/>
  <c r="K6" i="15"/>
  <c r="R6" i="15" s="1"/>
  <c r="L21" i="14"/>
  <c r="L13" i="14"/>
  <c r="K13" i="14"/>
  <c r="S13" i="14" s="1"/>
  <c r="P12" i="14"/>
  <c r="O12" i="14"/>
  <c r="M12" i="14"/>
  <c r="L12" i="14"/>
  <c r="K12" i="14"/>
  <c r="S12" i="14" s="1"/>
  <c r="P11" i="14"/>
  <c r="O11" i="14"/>
  <c r="M11" i="14"/>
  <c r="L11" i="14"/>
  <c r="K11" i="14"/>
  <c r="S11" i="14" s="1"/>
  <c r="P10" i="14"/>
  <c r="O10" i="14"/>
  <c r="M10" i="14"/>
  <c r="L10" i="14"/>
  <c r="K10" i="14"/>
  <c r="R10" i="14" s="1"/>
  <c r="O9" i="14"/>
  <c r="M9" i="14"/>
  <c r="L9" i="14"/>
  <c r="K9" i="14"/>
  <c r="Q9" i="14" s="1"/>
  <c r="O8" i="14"/>
  <c r="M8" i="14"/>
  <c r="L8" i="14"/>
  <c r="K8" i="14"/>
  <c r="Q8" i="14" s="1"/>
  <c r="O7" i="14"/>
  <c r="N7" i="14"/>
  <c r="M7" i="14"/>
  <c r="L7" i="14"/>
  <c r="K7" i="14"/>
  <c r="R7" i="14" s="1"/>
  <c r="O6" i="14"/>
  <c r="N6" i="14"/>
  <c r="M6" i="14"/>
  <c r="L6" i="14"/>
  <c r="K6" i="14"/>
  <c r="P22" i="13"/>
  <c r="O22" i="13"/>
  <c r="N22" i="13"/>
  <c r="M22" i="13"/>
  <c r="L22" i="13"/>
  <c r="K22" i="13"/>
  <c r="S22" i="13" s="1"/>
  <c r="P16" i="13"/>
  <c r="O16" i="13"/>
  <c r="N16" i="13"/>
  <c r="M16" i="13"/>
  <c r="L16" i="13"/>
  <c r="K16" i="13"/>
  <c r="S16" i="13" s="1"/>
  <c r="P15" i="13"/>
  <c r="O15" i="13"/>
  <c r="N15" i="13"/>
  <c r="M15" i="13"/>
  <c r="L15" i="13"/>
  <c r="K15" i="13"/>
  <c r="S15" i="13" s="1"/>
  <c r="P14" i="13"/>
  <c r="O14" i="13"/>
  <c r="N14" i="13"/>
  <c r="M14" i="13"/>
  <c r="L14" i="13"/>
  <c r="K14" i="13"/>
  <c r="S14" i="13" s="1"/>
  <c r="P13" i="13"/>
  <c r="O13" i="13"/>
  <c r="N13" i="13"/>
  <c r="M13" i="13"/>
  <c r="L13" i="13"/>
  <c r="K13" i="13"/>
  <c r="S13" i="13" s="1"/>
  <c r="P12" i="13"/>
  <c r="O12" i="13"/>
  <c r="M12" i="13"/>
  <c r="L12" i="13"/>
  <c r="K12" i="13"/>
  <c r="S12" i="13" s="1"/>
  <c r="P11" i="13"/>
  <c r="O11" i="13"/>
  <c r="M11" i="13"/>
  <c r="L11" i="13"/>
  <c r="K11" i="13"/>
  <c r="R11" i="13" s="1"/>
  <c r="P10" i="13"/>
  <c r="O10" i="13"/>
  <c r="M10" i="13"/>
  <c r="L10" i="13"/>
  <c r="K10" i="13"/>
  <c r="O9" i="13"/>
  <c r="M9" i="13"/>
  <c r="L9" i="13"/>
  <c r="K9" i="13"/>
  <c r="O8" i="13"/>
  <c r="M8" i="13"/>
  <c r="L8" i="13"/>
  <c r="K8" i="13"/>
  <c r="R8" i="13" s="1"/>
  <c r="O7" i="13"/>
  <c r="M7" i="13"/>
  <c r="L7" i="13"/>
  <c r="K7" i="13"/>
  <c r="Q7" i="13" s="1"/>
  <c r="O6" i="13"/>
  <c r="N6" i="13"/>
  <c r="M6" i="13"/>
  <c r="L6" i="13"/>
  <c r="K6" i="13"/>
  <c r="S6" i="13" s="1"/>
  <c r="L20" i="12"/>
  <c r="K20" i="12"/>
  <c r="S20" i="12" s="1"/>
  <c r="L19" i="12"/>
  <c r="K19" i="12"/>
  <c r="S19" i="12" s="1"/>
  <c r="L18" i="12"/>
  <c r="K18" i="12"/>
  <c r="S18" i="12" s="1"/>
  <c r="L17" i="12"/>
  <c r="K17" i="12"/>
  <c r="S17" i="12" s="1"/>
  <c r="P11" i="12"/>
  <c r="O11" i="12"/>
  <c r="M11" i="12"/>
  <c r="L11" i="12"/>
  <c r="K11" i="12"/>
  <c r="R11" i="12" s="1"/>
  <c r="P10" i="12"/>
  <c r="O10" i="12"/>
  <c r="M10" i="12"/>
  <c r="L10" i="12"/>
  <c r="K10" i="12"/>
  <c r="S10" i="12" s="1"/>
  <c r="O9" i="12"/>
  <c r="M9" i="12"/>
  <c r="L9" i="12"/>
  <c r="K9" i="12"/>
  <c r="O8" i="12"/>
  <c r="M8" i="12"/>
  <c r="L8" i="12"/>
  <c r="K8" i="12"/>
  <c r="Q8" i="12" s="1"/>
  <c r="O7" i="12"/>
  <c r="M7" i="12"/>
  <c r="L7" i="12"/>
  <c r="K7" i="12"/>
  <c r="S7" i="12" s="1"/>
  <c r="O6" i="12"/>
  <c r="N6" i="12"/>
  <c r="M6" i="12"/>
  <c r="L6" i="12"/>
  <c r="K6" i="12"/>
  <c r="R6" i="12" s="1"/>
  <c r="P22" i="11"/>
  <c r="O22" i="11"/>
  <c r="N22" i="11"/>
  <c r="M22" i="11"/>
  <c r="L22" i="11"/>
  <c r="K22" i="11"/>
  <c r="S22" i="11" s="1"/>
  <c r="P16" i="11"/>
  <c r="O16" i="11"/>
  <c r="N16" i="11"/>
  <c r="M16" i="11"/>
  <c r="L16" i="11"/>
  <c r="K16" i="11"/>
  <c r="S16" i="11" s="1"/>
  <c r="P15" i="11"/>
  <c r="O15" i="11"/>
  <c r="N15" i="11"/>
  <c r="M15" i="11"/>
  <c r="L15" i="11"/>
  <c r="K15" i="11"/>
  <c r="S15" i="11" s="1"/>
  <c r="P14" i="11"/>
  <c r="O14" i="11"/>
  <c r="N14" i="11"/>
  <c r="M14" i="11"/>
  <c r="L14" i="11"/>
  <c r="K14" i="11"/>
  <c r="S14" i="11" s="1"/>
  <c r="P13" i="11"/>
  <c r="O13" i="11"/>
  <c r="N13" i="11"/>
  <c r="M13" i="11"/>
  <c r="L13" i="11"/>
  <c r="K13" i="11"/>
  <c r="S13" i="11" s="1"/>
  <c r="P12" i="11"/>
  <c r="O12" i="11"/>
  <c r="N12" i="11"/>
  <c r="M12" i="11"/>
  <c r="L12" i="11"/>
  <c r="K12" i="11"/>
  <c r="S12" i="11" s="1"/>
  <c r="P11" i="11"/>
  <c r="O11" i="11"/>
  <c r="N11" i="11"/>
  <c r="M11" i="11"/>
  <c r="L11" i="11"/>
  <c r="K11" i="11"/>
  <c r="S11" i="11" s="1"/>
  <c r="O10" i="11"/>
  <c r="N10" i="11"/>
  <c r="M10" i="11"/>
  <c r="L10" i="11"/>
  <c r="K10" i="11"/>
  <c r="S10" i="11" s="1"/>
  <c r="P9" i="11"/>
  <c r="O9" i="11"/>
  <c r="M9" i="11"/>
  <c r="L9" i="11"/>
  <c r="K9" i="11"/>
  <c r="R9" i="11" s="1"/>
  <c r="O8" i="11"/>
  <c r="M8" i="11"/>
  <c r="L8" i="11"/>
  <c r="K8" i="11"/>
  <c r="R8" i="11" s="1"/>
  <c r="O7" i="11"/>
  <c r="M7" i="11"/>
  <c r="L7" i="11"/>
  <c r="K7" i="11"/>
  <c r="S7" i="11" s="1"/>
  <c r="O6" i="11"/>
  <c r="M6" i="11"/>
  <c r="L6" i="11"/>
  <c r="K6" i="11"/>
  <c r="R6" i="11" s="1"/>
  <c r="P22" i="10"/>
  <c r="O22" i="10"/>
  <c r="N22" i="10"/>
  <c r="M22" i="10"/>
  <c r="L22" i="10"/>
  <c r="K22" i="10"/>
  <c r="S22" i="10" s="1"/>
  <c r="P16" i="10"/>
  <c r="O16" i="10"/>
  <c r="N16" i="10"/>
  <c r="M16" i="10"/>
  <c r="L16" i="10"/>
  <c r="K16" i="10"/>
  <c r="S16" i="10" s="1"/>
  <c r="P15" i="10"/>
  <c r="O15" i="10"/>
  <c r="N15" i="10"/>
  <c r="M15" i="10"/>
  <c r="L15" i="10"/>
  <c r="K15" i="10"/>
  <c r="S15" i="10" s="1"/>
  <c r="P14" i="10"/>
  <c r="O14" i="10"/>
  <c r="N14" i="10"/>
  <c r="M14" i="10"/>
  <c r="L14" i="10"/>
  <c r="K14" i="10"/>
  <c r="S14" i="10" s="1"/>
  <c r="P13" i="10"/>
  <c r="O13" i="10"/>
  <c r="N13" i="10"/>
  <c r="M13" i="10"/>
  <c r="L13" i="10"/>
  <c r="K13" i="10"/>
  <c r="S13" i="10" s="1"/>
  <c r="P12" i="10"/>
  <c r="O12" i="10"/>
  <c r="N12" i="10"/>
  <c r="M12" i="10"/>
  <c r="L12" i="10"/>
  <c r="K12" i="10"/>
  <c r="S12" i="10" s="1"/>
  <c r="P11" i="10"/>
  <c r="O11" i="10"/>
  <c r="M11" i="10"/>
  <c r="L11" i="10"/>
  <c r="K11" i="10"/>
  <c r="O10" i="10"/>
  <c r="M10" i="10"/>
  <c r="L10" i="10"/>
  <c r="K10" i="10"/>
  <c r="R10" i="10" s="1"/>
  <c r="O9" i="10"/>
  <c r="M9" i="10"/>
  <c r="L9" i="10"/>
  <c r="K9" i="10"/>
  <c r="O8" i="10"/>
  <c r="M8" i="10"/>
  <c r="L8" i="10"/>
  <c r="K8" i="10"/>
  <c r="R8" i="10" s="1"/>
  <c r="O7" i="10"/>
  <c r="M7" i="10"/>
  <c r="L7" i="10"/>
  <c r="K7" i="10"/>
  <c r="S7" i="10" s="1"/>
  <c r="O6" i="10"/>
  <c r="N6" i="10"/>
  <c r="M6" i="10"/>
  <c r="L6" i="10"/>
  <c r="K6" i="10"/>
  <c r="P19" i="9"/>
  <c r="O19" i="9"/>
  <c r="N19" i="9"/>
  <c r="M19" i="9"/>
  <c r="L19" i="9"/>
  <c r="K19" i="9"/>
  <c r="S19" i="9" s="1"/>
  <c r="P18" i="9"/>
  <c r="O18" i="9"/>
  <c r="N18" i="9"/>
  <c r="M18" i="9"/>
  <c r="L18" i="9"/>
  <c r="K18" i="9"/>
  <c r="S18" i="9" s="1"/>
  <c r="P17" i="9"/>
  <c r="O17" i="9"/>
  <c r="N17" i="9"/>
  <c r="M17" i="9"/>
  <c r="L17" i="9"/>
  <c r="K17" i="9"/>
  <c r="S17" i="9" s="1"/>
  <c r="P11" i="9"/>
  <c r="O11" i="9"/>
  <c r="N11" i="9"/>
  <c r="M11" i="9"/>
  <c r="L11" i="9"/>
  <c r="K11" i="9"/>
  <c r="S11" i="9" s="1"/>
  <c r="P10" i="9"/>
  <c r="O10" i="9"/>
  <c r="N10" i="9"/>
  <c r="M10" i="9"/>
  <c r="L10" i="9"/>
  <c r="K10" i="9"/>
  <c r="S10" i="9" s="1"/>
  <c r="P9" i="9"/>
  <c r="O9" i="9"/>
  <c r="N9" i="9"/>
  <c r="M9" i="9"/>
  <c r="L9" i="9"/>
  <c r="K9" i="9"/>
  <c r="S9" i="9" s="1"/>
  <c r="O8" i="9"/>
  <c r="M8" i="9"/>
  <c r="L8" i="9"/>
  <c r="K8" i="9"/>
  <c r="O7" i="9"/>
  <c r="M7" i="9"/>
  <c r="L7" i="9"/>
  <c r="K7" i="9"/>
  <c r="S7" i="9" s="1"/>
  <c r="O6" i="9"/>
  <c r="M6" i="9"/>
  <c r="L6" i="9"/>
  <c r="K6" i="9"/>
  <c r="P23" i="8"/>
  <c r="N23" i="8"/>
  <c r="F23" i="8"/>
  <c r="P22" i="8"/>
  <c r="O22" i="8"/>
  <c r="N22" i="8"/>
  <c r="M22" i="8"/>
  <c r="L22" i="8"/>
  <c r="K22" i="8"/>
  <c r="S22" i="8" s="1"/>
  <c r="P21" i="8"/>
  <c r="O21" i="8"/>
  <c r="N21" i="8"/>
  <c r="M21" i="8"/>
  <c r="L21" i="8"/>
  <c r="K21" i="8"/>
  <c r="S21" i="8" s="1"/>
  <c r="P20" i="8"/>
  <c r="O20" i="8"/>
  <c r="N20" i="8"/>
  <c r="M20" i="8"/>
  <c r="L20" i="8"/>
  <c r="K20" i="8"/>
  <c r="S20" i="8" s="1"/>
  <c r="P14" i="8"/>
  <c r="O14" i="8"/>
  <c r="N14" i="8"/>
  <c r="M14" i="8"/>
  <c r="L14" i="8"/>
  <c r="K14" i="8"/>
  <c r="S14" i="8" s="1"/>
  <c r="P13" i="8"/>
  <c r="O13" i="8"/>
  <c r="N13" i="8"/>
  <c r="M13" i="8"/>
  <c r="L13" i="8"/>
  <c r="K13" i="8"/>
  <c r="S13" i="8" s="1"/>
  <c r="P12" i="8"/>
  <c r="O12" i="8"/>
  <c r="N12" i="8"/>
  <c r="M12" i="8"/>
  <c r="L12" i="8"/>
  <c r="K12" i="8"/>
  <c r="S12" i="8" s="1"/>
  <c r="P11" i="8"/>
  <c r="O11" i="8"/>
  <c r="N11" i="8"/>
  <c r="M11" i="8"/>
  <c r="L11" i="8"/>
  <c r="K11" i="8"/>
  <c r="S11" i="8" s="1"/>
  <c r="P10" i="8"/>
  <c r="O10" i="8"/>
  <c r="N10" i="8"/>
  <c r="M10" i="8"/>
  <c r="L10" i="8"/>
  <c r="K10" i="8"/>
  <c r="S10" i="8" s="1"/>
  <c r="P9" i="8"/>
  <c r="O9" i="8"/>
  <c r="M9" i="8"/>
  <c r="L9" i="8"/>
  <c r="K9" i="8"/>
  <c r="O8" i="8"/>
  <c r="N8" i="8"/>
  <c r="M8" i="8"/>
  <c r="L8" i="8"/>
  <c r="K8" i="8"/>
  <c r="S8" i="8" s="1"/>
  <c r="O7" i="8"/>
  <c r="M7" i="8"/>
  <c r="L7" i="8"/>
  <c r="O6" i="8"/>
  <c r="N6" i="8"/>
  <c r="M6" i="8"/>
  <c r="L6" i="8"/>
  <c r="K6" i="8"/>
  <c r="Q6" i="8" s="1"/>
  <c r="P22" i="7"/>
  <c r="O22" i="7"/>
  <c r="N22" i="7"/>
  <c r="M22" i="7"/>
  <c r="L22" i="7"/>
  <c r="K22" i="7"/>
  <c r="S22" i="7" s="1"/>
  <c r="P21" i="7"/>
  <c r="O21" i="7"/>
  <c r="N21" i="7"/>
  <c r="M21" i="7"/>
  <c r="L21" i="7"/>
  <c r="K21" i="7"/>
  <c r="S21" i="7" s="1"/>
  <c r="P15" i="7"/>
  <c r="O15" i="7"/>
  <c r="N15" i="7"/>
  <c r="M15" i="7"/>
  <c r="L15" i="7"/>
  <c r="K15" i="7"/>
  <c r="S15" i="7" s="1"/>
  <c r="P14" i="7"/>
  <c r="O14" i="7"/>
  <c r="N14" i="7"/>
  <c r="M14" i="7"/>
  <c r="L14" i="7"/>
  <c r="K14" i="7"/>
  <c r="S14" i="7" s="1"/>
  <c r="P13" i="7"/>
  <c r="O13" i="7"/>
  <c r="M13" i="7"/>
  <c r="L13" i="7"/>
  <c r="K13" i="7"/>
  <c r="Q13" i="7" s="1"/>
  <c r="P12" i="7"/>
  <c r="O12" i="7"/>
  <c r="M12" i="7"/>
  <c r="L12" i="7"/>
  <c r="K12" i="7"/>
  <c r="S12" i="7" s="1"/>
  <c r="P11" i="7"/>
  <c r="O11" i="7"/>
  <c r="M11" i="7"/>
  <c r="L11" i="7"/>
  <c r="K11" i="7"/>
  <c r="O10" i="7"/>
  <c r="M10" i="7"/>
  <c r="L10" i="7"/>
  <c r="K10" i="7"/>
  <c r="Q10" i="7" s="1"/>
  <c r="O9" i="7"/>
  <c r="M9" i="7"/>
  <c r="L9" i="7"/>
  <c r="K9" i="7"/>
  <c r="S9" i="7" s="1"/>
  <c r="O8" i="7"/>
  <c r="M8" i="7"/>
  <c r="L8" i="7"/>
  <c r="K8" i="7"/>
  <c r="S8" i="7" s="1"/>
  <c r="O7" i="7"/>
  <c r="M7" i="7"/>
  <c r="L7" i="7"/>
  <c r="K7" i="7"/>
  <c r="O6" i="7"/>
  <c r="N6" i="7"/>
  <c r="M6" i="7"/>
  <c r="L6" i="7"/>
  <c r="K6" i="7"/>
  <c r="S6" i="7" s="1"/>
  <c r="L15" i="6"/>
  <c r="K15" i="6"/>
  <c r="S15" i="6" s="1"/>
  <c r="L14" i="6"/>
  <c r="K14" i="6"/>
  <c r="S14" i="6" s="1"/>
  <c r="L13" i="6"/>
  <c r="K13" i="6"/>
  <c r="S13" i="6" s="1"/>
  <c r="L12" i="6"/>
  <c r="K12" i="6"/>
  <c r="S12" i="6" s="1"/>
  <c r="L11" i="6"/>
  <c r="K11" i="6"/>
  <c r="S11" i="6" s="1"/>
  <c r="L10" i="6"/>
  <c r="K10" i="6"/>
  <c r="S10" i="6" s="1"/>
  <c r="O9" i="6"/>
  <c r="M9" i="6"/>
  <c r="L9" i="6"/>
  <c r="K9" i="6"/>
  <c r="S9" i="6" s="1"/>
  <c r="O8" i="6"/>
  <c r="M8" i="6"/>
  <c r="L8" i="6"/>
  <c r="K8" i="6"/>
  <c r="S8" i="6" s="1"/>
  <c r="O7" i="6"/>
  <c r="M7" i="6"/>
  <c r="L7" i="6"/>
  <c r="K7" i="6"/>
  <c r="R7" i="6" s="1"/>
  <c r="O6" i="6"/>
  <c r="N6" i="6"/>
  <c r="M6" i="6"/>
  <c r="L6" i="6"/>
  <c r="K6" i="6"/>
  <c r="R6" i="6" s="1"/>
  <c r="P22" i="5"/>
  <c r="O22" i="5"/>
  <c r="N22" i="5"/>
  <c r="M22" i="5"/>
  <c r="L22" i="5"/>
  <c r="K22" i="5"/>
  <c r="S22" i="5" s="1"/>
  <c r="P21" i="5"/>
  <c r="O21" i="5"/>
  <c r="N21" i="5"/>
  <c r="M21" i="5"/>
  <c r="L21" i="5"/>
  <c r="K21" i="5"/>
  <c r="S21" i="5" s="1"/>
  <c r="P20" i="5"/>
  <c r="O20" i="5"/>
  <c r="N20" i="5"/>
  <c r="M20" i="5"/>
  <c r="L20" i="5"/>
  <c r="K20" i="5"/>
  <c r="S20" i="5" s="1"/>
  <c r="P19" i="5"/>
  <c r="O19" i="5"/>
  <c r="N19" i="5"/>
  <c r="M19" i="5"/>
  <c r="L19" i="5"/>
  <c r="K19" i="5"/>
  <c r="S19" i="5" s="1"/>
  <c r="P13" i="5"/>
  <c r="O13" i="5"/>
  <c r="M13" i="5"/>
  <c r="L13" i="5"/>
  <c r="K13" i="5"/>
  <c r="S13" i="5" s="1"/>
  <c r="P12" i="5"/>
  <c r="O12" i="5"/>
  <c r="M12" i="5"/>
  <c r="L12" i="5"/>
  <c r="K12" i="5"/>
  <c r="S12" i="5" s="1"/>
  <c r="P11" i="5"/>
  <c r="O11" i="5"/>
  <c r="M11" i="5"/>
  <c r="L11" i="5"/>
  <c r="K11" i="5"/>
  <c r="P10" i="5"/>
  <c r="O10" i="5"/>
  <c r="N10" i="5"/>
  <c r="M10" i="5"/>
  <c r="L10" i="5"/>
  <c r="K10" i="5"/>
  <c r="S10" i="5" s="1"/>
  <c r="O9" i="5"/>
  <c r="M9" i="5"/>
  <c r="L9" i="5"/>
  <c r="K9" i="5"/>
  <c r="S9" i="5" s="1"/>
  <c r="P8" i="5"/>
  <c r="O8" i="5"/>
  <c r="M8" i="5"/>
  <c r="L8" i="5"/>
  <c r="K8" i="5"/>
  <c r="S8" i="5" s="1"/>
  <c r="O7" i="5"/>
  <c r="M7" i="5"/>
  <c r="L7" i="5"/>
  <c r="K7" i="5"/>
  <c r="S7" i="5" s="1"/>
  <c r="O6" i="5"/>
  <c r="N6" i="5"/>
  <c r="M6" i="5"/>
  <c r="L6" i="5"/>
  <c r="K6" i="5"/>
  <c r="S6" i="5" s="1"/>
  <c r="P18" i="4"/>
  <c r="O18" i="4"/>
  <c r="N18" i="4"/>
  <c r="M18" i="4"/>
  <c r="L18" i="4"/>
  <c r="K18" i="4"/>
  <c r="S18" i="4" s="1"/>
  <c r="P17" i="4"/>
  <c r="O17" i="4"/>
  <c r="N17" i="4"/>
  <c r="M17" i="4"/>
  <c r="L17" i="4"/>
  <c r="K17" i="4"/>
  <c r="S17" i="4" s="1"/>
  <c r="P16" i="4"/>
  <c r="O16" i="4"/>
  <c r="N16" i="4"/>
  <c r="M16" i="4"/>
  <c r="L16" i="4"/>
  <c r="K16" i="4"/>
  <c r="S16" i="4" s="1"/>
  <c r="P10" i="4"/>
  <c r="O10" i="4"/>
  <c r="M10" i="4"/>
  <c r="L10" i="4"/>
  <c r="K10" i="4"/>
  <c r="Q10" i="4" s="1"/>
  <c r="P9" i="4"/>
  <c r="O9" i="4"/>
  <c r="M9" i="4"/>
  <c r="L9" i="4"/>
  <c r="K9" i="4"/>
  <c r="R9" i="4" s="1"/>
  <c r="O8" i="4"/>
  <c r="M8" i="4"/>
  <c r="L8" i="4"/>
  <c r="K8" i="4"/>
  <c r="Q8" i="4" s="1"/>
  <c r="O7" i="4"/>
  <c r="M7" i="4"/>
  <c r="L7" i="4"/>
  <c r="K7" i="4"/>
  <c r="Q7" i="4" s="1"/>
  <c r="O6" i="4"/>
  <c r="N6" i="4"/>
  <c r="M6" i="4"/>
  <c r="L6" i="4"/>
  <c r="K6" i="4"/>
  <c r="R6" i="4" s="1"/>
  <c r="P22" i="3"/>
  <c r="O22" i="3"/>
  <c r="N22" i="3"/>
  <c r="M22" i="3"/>
  <c r="L22" i="3"/>
  <c r="K22" i="3"/>
  <c r="S22" i="3" s="1"/>
  <c r="P21" i="3"/>
  <c r="O21" i="3"/>
  <c r="N21" i="3"/>
  <c r="M21" i="3"/>
  <c r="L21" i="3"/>
  <c r="K21" i="3"/>
  <c r="S21" i="3" s="1"/>
  <c r="P20" i="3"/>
  <c r="O20" i="3"/>
  <c r="N20" i="3"/>
  <c r="M20" i="3"/>
  <c r="L20" i="3"/>
  <c r="K20" i="3"/>
  <c r="S20" i="3" s="1"/>
  <c r="P14" i="3"/>
  <c r="O14" i="3"/>
  <c r="N14" i="3"/>
  <c r="M14" i="3"/>
  <c r="L14" i="3"/>
  <c r="K14" i="3"/>
  <c r="S14" i="3" s="1"/>
  <c r="P13" i="3"/>
  <c r="O13" i="3"/>
  <c r="N13" i="3"/>
  <c r="M13" i="3"/>
  <c r="L13" i="3"/>
  <c r="K13" i="3"/>
  <c r="S13" i="3" s="1"/>
  <c r="P12" i="3"/>
  <c r="O12" i="3"/>
  <c r="N12" i="3"/>
  <c r="M12" i="3"/>
  <c r="L12" i="3"/>
  <c r="K12" i="3"/>
  <c r="S12" i="3" s="1"/>
  <c r="P11" i="3"/>
  <c r="O11" i="3"/>
  <c r="M11" i="3"/>
  <c r="L11" i="3"/>
  <c r="K11" i="3"/>
  <c r="P10" i="3"/>
  <c r="O10" i="3"/>
  <c r="M10" i="3"/>
  <c r="L10" i="3"/>
  <c r="K10" i="3"/>
  <c r="Q10" i="3" s="1"/>
  <c r="P9" i="3"/>
  <c r="O9" i="3"/>
  <c r="M9" i="3"/>
  <c r="L9" i="3"/>
  <c r="K9" i="3"/>
  <c r="R9" i="3" s="1"/>
  <c r="O8" i="3"/>
  <c r="M8" i="3"/>
  <c r="L8" i="3"/>
  <c r="K8" i="3"/>
  <c r="O7" i="3"/>
  <c r="M7" i="3"/>
  <c r="L7" i="3"/>
  <c r="K7" i="3"/>
  <c r="O6" i="3"/>
  <c r="N6" i="3"/>
  <c r="M6" i="3"/>
  <c r="L6" i="3"/>
  <c r="K6" i="3"/>
  <c r="Q6" i="3" s="1"/>
  <c r="P23" i="2"/>
  <c r="N23" i="2"/>
  <c r="F23" i="2"/>
  <c r="P22" i="2"/>
  <c r="O22" i="2"/>
  <c r="N22" i="2"/>
  <c r="M22" i="2"/>
  <c r="L22" i="2"/>
  <c r="K22" i="2"/>
  <c r="S22" i="2" s="1"/>
  <c r="P21" i="2"/>
  <c r="O21" i="2"/>
  <c r="N21" i="2"/>
  <c r="M21" i="2"/>
  <c r="L21" i="2"/>
  <c r="K21" i="2"/>
  <c r="S21" i="2" s="1"/>
  <c r="P20" i="2"/>
  <c r="O20" i="2"/>
  <c r="N20" i="2"/>
  <c r="M20" i="2"/>
  <c r="L20" i="2"/>
  <c r="K20" i="2"/>
  <c r="S20" i="2" s="1"/>
  <c r="P14" i="2"/>
  <c r="O14" i="2"/>
  <c r="M14" i="2"/>
  <c r="L14" i="2"/>
  <c r="K14" i="2"/>
  <c r="S14" i="2" s="1"/>
  <c r="P13" i="2"/>
  <c r="O13" i="2"/>
  <c r="M13" i="2"/>
  <c r="L13" i="2"/>
  <c r="K13" i="2"/>
  <c r="S13" i="2" s="1"/>
  <c r="P12" i="2"/>
  <c r="O12" i="2"/>
  <c r="M12" i="2"/>
  <c r="L12" i="2"/>
  <c r="K12" i="2"/>
  <c r="R12" i="2" s="1"/>
  <c r="P11" i="2"/>
  <c r="O11" i="2"/>
  <c r="M11" i="2"/>
  <c r="L11" i="2"/>
  <c r="K11" i="2"/>
  <c r="P10" i="2"/>
  <c r="O10" i="2"/>
  <c r="M10" i="2"/>
  <c r="L10" i="2"/>
  <c r="K10" i="2"/>
  <c r="S10" i="2" s="1"/>
  <c r="P9" i="2"/>
  <c r="O9" i="2"/>
  <c r="M9" i="2"/>
  <c r="L9" i="2"/>
  <c r="K9" i="2"/>
  <c r="S9" i="2" s="1"/>
  <c r="O8" i="2"/>
  <c r="M8" i="2"/>
  <c r="L8" i="2"/>
  <c r="K8" i="2"/>
  <c r="S8" i="2" s="1"/>
  <c r="O7" i="2"/>
  <c r="M7" i="2"/>
  <c r="L7" i="2"/>
  <c r="K7" i="2"/>
  <c r="O6" i="2"/>
  <c r="N6" i="2"/>
  <c r="M6" i="2"/>
  <c r="L6" i="2"/>
  <c r="K6" i="2"/>
  <c r="S6" i="2" s="1"/>
  <c r="F23" i="1"/>
  <c r="P22" i="1"/>
  <c r="O22" i="1"/>
  <c r="N22" i="1"/>
  <c r="M22" i="1"/>
  <c r="L22" i="1"/>
  <c r="K22" i="1"/>
  <c r="S22" i="1" s="1"/>
  <c r="P21" i="1"/>
  <c r="O21" i="1"/>
  <c r="N21" i="1"/>
  <c r="M21" i="1"/>
  <c r="L21" i="1"/>
  <c r="K21" i="1"/>
  <c r="S21" i="1" s="1"/>
  <c r="P20" i="1"/>
  <c r="O20" i="1"/>
  <c r="N20" i="1"/>
  <c r="M20" i="1"/>
  <c r="L20" i="1"/>
  <c r="K20" i="1"/>
  <c r="S20" i="1" s="1"/>
  <c r="P19" i="1"/>
  <c r="O19" i="1"/>
  <c r="N19" i="1"/>
  <c r="M19" i="1"/>
  <c r="L19" i="1"/>
  <c r="K19" i="1"/>
  <c r="S19" i="1" s="1"/>
  <c r="P18" i="1"/>
  <c r="O18" i="1"/>
  <c r="N18" i="1"/>
  <c r="M18" i="1"/>
  <c r="L18" i="1"/>
  <c r="K18" i="1"/>
  <c r="S18" i="1" s="1"/>
  <c r="P17" i="1"/>
  <c r="O17" i="1"/>
  <c r="N17" i="1"/>
  <c r="M17" i="1"/>
  <c r="L17" i="1"/>
  <c r="K17" i="1"/>
  <c r="S17" i="1" s="1"/>
  <c r="P11" i="1"/>
  <c r="O11" i="1"/>
  <c r="M11" i="1"/>
  <c r="L11" i="1"/>
  <c r="K11" i="1"/>
  <c r="P10" i="1"/>
  <c r="O10" i="1"/>
  <c r="N10" i="1"/>
  <c r="M10" i="1"/>
  <c r="L10" i="1"/>
  <c r="K10" i="1"/>
  <c r="Q10" i="1" s="1"/>
  <c r="O9" i="1"/>
  <c r="M9" i="1"/>
  <c r="L9" i="1"/>
  <c r="K9" i="1"/>
  <c r="Q9" i="1" s="1"/>
  <c r="O8" i="1"/>
  <c r="M8" i="1"/>
  <c r="L8" i="1"/>
  <c r="K8" i="1"/>
  <c r="S8" i="1" s="1"/>
  <c r="O7" i="1"/>
  <c r="M7" i="1"/>
  <c r="L7" i="1"/>
  <c r="K7" i="1"/>
  <c r="O6" i="1"/>
  <c r="N6" i="1"/>
  <c r="M6" i="1"/>
  <c r="L6" i="1"/>
  <c r="K6" i="1"/>
  <c r="R6" i="1" s="1"/>
  <c r="N7" i="1" l="1"/>
  <c r="R7" i="1"/>
  <c r="N11" i="2"/>
  <c r="R11" i="2"/>
  <c r="K32" i="2" s="1"/>
  <c r="E29" i="17" s="1"/>
  <c r="N11" i="3"/>
  <c r="R11" i="3"/>
  <c r="N7" i="7"/>
  <c r="S7" i="7"/>
  <c r="P10" i="7"/>
  <c r="N9" i="13"/>
  <c r="R9" i="13"/>
  <c r="N10" i="13"/>
  <c r="S10" i="13"/>
  <c r="N11" i="5"/>
  <c r="S11" i="5"/>
  <c r="P9" i="10"/>
  <c r="R9" i="10"/>
  <c r="N11" i="10"/>
  <c r="S11" i="10"/>
  <c r="N7" i="2"/>
  <c r="R7" i="2"/>
  <c r="N10" i="2"/>
  <c r="N8" i="4"/>
  <c r="N11" i="7"/>
  <c r="R11" i="7"/>
  <c r="N9" i="8"/>
  <c r="S9" i="8"/>
  <c r="N6" i="9"/>
  <c r="R6" i="9"/>
  <c r="N8" i="9"/>
  <c r="R8" i="9"/>
  <c r="P8" i="9"/>
  <c r="N9" i="12"/>
  <c r="Q9" i="12"/>
  <c r="P6" i="14"/>
  <c r="R6" i="14"/>
  <c r="K31" i="14" s="1"/>
  <c r="Q29" i="17" s="1"/>
  <c r="N10" i="15"/>
  <c r="N11" i="1"/>
  <c r="S11" i="1"/>
  <c r="N7" i="3"/>
  <c r="Q7" i="3"/>
  <c r="P8" i="3"/>
  <c r="Q8" i="3"/>
  <c r="P6" i="10"/>
  <c r="R6" i="10"/>
  <c r="N11" i="15"/>
  <c r="P7" i="16"/>
  <c r="Q7" i="16"/>
  <c r="P8" i="16"/>
  <c r="S8" i="16"/>
  <c r="P7" i="5"/>
  <c r="P10" i="11"/>
  <c r="P9" i="5"/>
  <c r="N14" i="2"/>
  <c r="N13" i="5"/>
  <c r="N13" i="2"/>
  <c r="N12" i="2"/>
  <c r="N13" i="7"/>
  <c r="N9" i="6"/>
  <c r="AF1253" i="19"/>
  <c r="S1252" i="19"/>
  <c r="AD1251" i="19"/>
  <c r="AQ1252" i="19"/>
  <c r="AL1253" i="19"/>
  <c r="Y1252" i="19"/>
  <c r="AK1253" i="19"/>
  <c r="X1252" i="19"/>
  <c r="T1251" i="19"/>
  <c r="AG1252" i="19"/>
  <c r="U1251" i="19"/>
  <c r="AH1252" i="19"/>
  <c r="AN1253" i="19"/>
  <c r="AA1252" i="19"/>
  <c r="AC1251" i="19"/>
  <c r="AP1252" i="19"/>
  <c r="V1251" i="19"/>
  <c r="AI1252" i="19"/>
  <c r="AM1252" i="19"/>
  <c r="Z1251" i="19"/>
  <c r="W1251" i="19"/>
  <c r="AJ1252" i="19"/>
  <c r="AB1251" i="19"/>
  <c r="AO1252" i="19"/>
  <c r="N10" i="3"/>
  <c r="P10" i="15"/>
  <c r="P8" i="4"/>
  <c r="P9" i="15"/>
  <c r="P8" i="15"/>
  <c r="P6" i="15"/>
  <c r="P7" i="15"/>
  <c r="P7" i="9"/>
  <c r="K29" i="9"/>
  <c r="L29" i="17" s="1"/>
  <c r="P6" i="9"/>
  <c r="N8" i="7"/>
  <c r="K29" i="12"/>
  <c r="O28" i="17" s="1"/>
  <c r="N8" i="6"/>
  <c r="P8" i="12"/>
  <c r="N9" i="4"/>
  <c r="N10" i="4"/>
  <c r="N12" i="13"/>
  <c r="K31" i="2"/>
  <c r="E28" i="17" s="1"/>
  <c r="N12" i="5"/>
  <c r="N6" i="11"/>
  <c r="N10" i="10"/>
  <c r="N10" i="12"/>
  <c r="N11" i="12"/>
  <c r="K30" i="12"/>
  <c r="O29" i="17" s="1"/>
  <c r="P9" i="12"/>
  <c r="P7" i="4"/>
  <c r="N8" i="12"/>
  <c r="N8" i="5"/>
  <c r="N8" i="15"/>
  <c r="N12" i="16"/>
  <c r="N15" i="16"/>
  <c r="N14" i="16"/>
  <c r="N13" i="16"/>
  <c r="K32" i="3"/>
  <c r="F29" i="17" s="1"/>
  <c r="N7" i="9"/>
  <c r="P9" i="13"/>
  <c r="N8" i="3"/>
  <c r="N9" i="16"/>
  <c r="N8" i="13"/>
  <c r="N8" i="10"/>
  <c r="P9" i="16"/>
  <c r="N8" i="16"/>
  <c r="P7" i="12"/>
  <c r="P7" i="10"/>
  <c r="P8" i="11"/>
  <c r="P6" i="12"/>
  <c r="P7" i="3"/>
  <c r="K27" i="15"/>
  <c r="R28" i="17" s="1"/>
  <c r="K32" i="8"/>
  <c r="K29" i="17" s="1"/>
  <c r="P8" i="8"/>
  <c r="N7" i="6"/>
  <c r="P9" i="1"/>
  <c r="N10" i="16"/>
  <c r="N7" i="11"/>
  <c r="N7" i="13"/>
  <c r="N9" i="14"/>
  <c r="N12" i="7"/>
  <c r="N7" i="4"/>
  <c r="N11" i="16"/>
  <c r="N7" i="8"/>
  <c r="K26" i="8" s="1"/>
  <c r="K23" i="17" s="1"/>
  <c r="P6" i="8"/>
  <c r="N10" i="7"/>
  <c r="K32" i="7"/>
  <c r="J29" i="17" s="1"/>
  <c r="N9" i="3"/>
  <c r="P6" i="3"/>
  <c r="K23" i="16"/>
  <c r="S20" i="17" s="1"/>
  <c r="K19" i="15"/>
  <c r="R20" i="17" s="1"/>
  <c r="K22" i="14"/>
  <c r="Q20" i="17" s="1"/>
  <c r="N10" i="14"/>
  <c r="N11" i="14"/>
  <c r="K23" i="13"/>
  <c r="P20" i="17" s="1"/>
  <c r="K21" i="12"/>
  <c r="O20" i="17" s="1"/>
  <c r="K24" i="10"/>
  <c r="M21" i="17" s="1"/>
  <c r="P10" i="10"/>
  <c r="N7" i="10"/>
  <c r="K23" i="10"/>
  <c r="M20" i="17" s="1"/>
  <c r="K22" i="9"/>
  <c r="L22" i="17" s="1"/>
  <c r="K20" i="9"/>
  <c r="L20" i="17" s="1"/>
  <c r="P7" i="8"/>
  <c r="K23" i="6"/>
  <c r="I20" i="17" s="1"/>
  <c r="N7" i="5"/>
  <c r="K23" i="5"/>
  <c r="H20" i="17" s="1"/>
  <c r="K23" i="3"/>
  <c r="F20" i="17" s="1"/>
  <c r="P7" i="2"/>
  <c r="P7" i="1"/>
  <c r="K32" i="1"/>
  <c r="D29" i="17" s="1"/>
  <c r="N8" i="1"/>
  <c r="K23" i="7"/>
  <c r="J20" i="17" s="1"/>
  <c r="P9" i="7"/>
  <c r="N8" i="11"/>
  <c r="K23" i="11"/>
  <c r="N20" i="17" s="1"/>
  <c r="K19" i="4"/>
  <c r="G20" i="17" s="1"/>
  <c r="N8" i="2"/>
  <c r="P8" i="6"/>
  <c r="P9" i="6"/>
  <c r="K21" i="9"/>
  <c r="L21" i="17" s="1"/>
  <c r="P7" i="14"/>
  <c r="N6" i="15"/>
  <c r="N7" i="15"/>
  <c r="P7" i="7"/>
  <c r="K33" i="5"/>
  <c r="H30" i="17" s="1"/>
  <c r="P8" i="14"/>
  <c r="P9" i="14"/>
  <c r="N7" i="16"/>
  <c r="K32" i="16"/>
  <c r="S29" i="17" s="1"/>
  <c r="K28" i="15"/>
  <c r="R29" i="17" s="1"/>
  <c r="N12" i="14"/>
  <c r="P8" i="13"/>
  <c r="N11" i="13"/>
  <c r="P7" i="13"/>
  <c r="P6" i="13"/>
  <c r="P7" i="11"/>
  <c r="P6" i="11"/>
  <c r="K24" i="8"/>
  <c r="K21" i="17" s="1"/>
  <c r="K31" i="8"/>
  <c r="K28" i="17" s="1"/>
  <c r="K23" i="8"/>
  <c r="K20" i="17" s="1"/>
  <c r="P6" i="7"/>
  <c r="K31" i="7"/>
  <c r="J28" i="17" s="1"/>
  <c r="P7" i="6"/>
  <c r="P6" i="5"/>
  <c r="K27" i="5" s="1"/>
  <c r="H24" i="17" s="1"/>
  <c r="H10" i="21" s="1"/>
  <c r="K23" i="2"/>
  <c r="E20" i="17" s="1"/>
  <c r="P6" i="2"/>
  <c r="P6" i="1"/>
  <c r="P8" i="1"/>
  <c r="K30" i="16"/>
  <c r="K24" i="16"/>
  <c r="S21" i="17" s="1"/>
  <c r="P6" i="16"/>
  <c r="P10" i="16"/>
  <c r="K26" i="15"/>
  <c r="K29" i="16"/>
  <c r="K29" i="14"/>
  <c r="K20" i="15"/>
  <c r="R21" i="17" s="1"/>
  <c r="K28" i="14"/>
  <c r="K25" i="15"/>
  <c r="K30" i="14"/>
  <c r="Q28" i="17" s="1"/>
  <c r="K23" i="14"/>
  <c r="Q21" i="17" s="1"/>
  <c r="K28" i="12"/>
  <c r="N8" i="14"/>
  <c r="K30" i="13"/>
  <c r="K24" i="13"/>
  <c r="P21" i="17" s="1"/>
  <c r="K29" i="13"/>
  <c r="K22" i="12"/>
  <c r="O21" i="17" s="1"/>
  <c r="N7" i="12"/>
  <c r="K29" i="11"/>
  <c r="K27" i="12"/>
  <c r="K30" i="11"/>
  <c r="K32" i="11"/>
  <c r="N29" i="17" s="1"/>
  <c r="K24" i="11"/>
  <c r="N21" i="17" s="1"/>
  <c r="N9" i="11"/>
  <c r="K30" i="10"/>
  <c r="N9" i="10"/>
  <c r="K30" i="8"/>
  <c r="K27" i="9"/>
  <c r="K29" i="10"/>
  <c r="K26" i="9"/>
  <c r="P8" i="10"/>
  <c r="K30" i="7"/>
  <c r="K29" i="8"/>
  <c r="K24" i="7"/>
  <c r="J21" i="17" s="1"/>
  <c r="K29" i="6"/>
  <c r="N9" i="7"/>
  <c r="K29" i="7"/>
  <c r="P8" i="7"/>
  <c r="K30" i="6"/>
  <c r="K29" i="5"/>
  <c r="K24" i="6"/>
  <c r="I21" i="17" s="1"/>
  <c r="P6" i="6"/>
  <c r="K30" i="5"/>
  <c r="K26" i="4"/>
  <c r="K24" i="5"/>
  <c r="H21" i="17" s="1"/>
  <c r="K25" i="4"/>
  <c r="N9" i="5"/>
  <c r="K30" i="3"/>
  <c r="K20" i="4"/>
  <c r="G21" i="17" s="1"/>
  <c r="P6" i="4"/>
  <c r="K23" i="4" s="1"/>
  <c r="G24" i="17" s="1"/>
  <c r="H9" i="21" s="1"/>
  <c r="K24" i="3"/>
  <c r="F21" i="17" s="1"/>
  <c r="K30" i="2"/>
  <c r="K29" i="3"/>
  <c r="K29" i="1"/>
  <c r="K24" i="2"/>
  <c r="E21" i="17" s="1"/>
  <c r="N9" i="2"/>
  <c r="K29" i="2"/>
  <c r="K30" i="1"/>
  <c r="P8" i="2"/>
  <c r="K23" i="1"/>
  <c r="D20" i="17" s="1"/>
  <c r="K24" i="1"/>
  <c r="D21" i="17" s="1"/>
  <c r="N9" i="1"/>
  <c r="E27" i="17" l="1"/>
  <c r="L27" i="17"/>
  <c r="J14" i="21" s="1"/>
  <c r="P26" i="17"/>
  <c r="S27" i="17"/>
  <c r="J21" i="21" s="1"/>
  <c r="I27" i="17"/>
  <c r="J11" i="21" s="1"/>
  <c r="K27" i="17"/>
  <c r="J13" i="21" s="1"/>
  <c r="Q27" i="17"/>
  <c r="J19" i="21" s="1"/>
  <c r="F27" i="17"/>
  <c r="J8" i="21" s="1"/>
  <c r="J27" i="17"/>
  <c r="J12" i="21" s="1"/>
  <c r="O26" i="17"/>
  <c r="O27" i="17"/>
  <c r="J17" i="21" s="1"/>
  <c r="R27" i="17"/>
  <c r="J20" i="21" s="1"/>
  <c r="I26" i="17"/>
  <c r="N26" i="17"/>
  <c r="L26" i="17"/>
  <c r="P27" i="17"/>
  <c r="J18" i="21" s="1"/>
  <c r="E26" i="17"/>
  <c r="F26" i="17"/>
  <c r="J26" i="17"/>
  <c r="K26" i="17"/>
  <c r="M26" i="17"/>
  <c r="M27" i="17"/>
  <c r="J15" i="21" s="1"/>
  <c r="N27" i="17"/>
  <c r="J16" i="21" s="1"/>
  <c r="R26" i="17"/>
  <c r="S26" i="17"/>
  <c r="K24" i="14"/>
  <c r="Q22" i="17" s="1"/>
  <c r="G13" i="21"/>
  <c r="L13" i="21" s="1"/>
  <c r="O13" i="21" s="1"/>
  <c r="K25" i="7"/>
  <c r="J22" i="17" s="1"/>
  <c r="J7" i="21"/>
  <c r="U1250" i="19"/>
  <c r="AH1251" i="19"/>
  <c r="AK1252" i="19"/>
  <c r="X1251" i="19"/>
  <c r="AB1250" i="19"/>
  <c r="AO1251" i="19"/>
  <c r="AC1250" i="19"/>
  <c r="AP1251" i="19"/>
  <c r="AN1252" i="19"/>
  <c r="AA1251" i="19"/>
  <c r="Y1251" i="19"/>
  <c r="AL1252" i="19"/>
  <c r="W1250" i="19"/>
  <c r="AJ1251" i="19"/>
  <c r="AM1251" i="19"/>
  <c r="Z1250" i="19"/>
  <c r="AD1250" i="19"/>
  <c r="AQ1251" i="19"/>
  <c r="AF1252" i="19"/>
  <c r="S1251" i="19"/>
  <c r="V1250" i="19"/>
  <c r="AI1251" i="19"/>
  <c r="T1250" i="19"/>
  <c r="AG1251" i="19"/>
  <c r="K25" i="3"/>
  <c r="F22" i="17" s="1"/>
  <c r="K28" i="4"/>
  <c r="G29" i="17" s="1"/>
  <c r="K25" i="8"/>
  <c r="K22" i="17" s="1"/>
  <c r="K24" i="15"/>
  <c r="R25" i="17" s="1"/>
  <c r="K27" i="4"/>
  <c r="G28" i="17" s="1"/>
  <c r="K28" i="10"/>
  <c r="M25" i="17" s="1"/>
  <c r="K32" i="5"/>
  <c r="H29" i="17" s="1"/>
  <c r="K31" i="16"/>
  <c r="S28" i="17" s="1"/>
  <c r="K32" i="6"/>
  <c r="I29" i="17" s="1"/>
  <c r="K31" i="13"/>
  <c r="P28" i="17" s="1"/>
  <c r="K22" i="4"/>
  <c r="G23" i="17" s="1"/>
  <c r="K29" i="4"/>
  <c r="G30" i="17" s="1"/>
  <c r="K33" i="13"/>
  <c r="P30" i="17" s="1"/>
  <c r="K26" i="5"/>
  <c r="H23" i="17" s="1"/>
  <c r="K31" i="5"/>
  <c r="H28" i="17" s="1"/>
  <c r="K24" i="9"/>
  <c r="L24" i="17" s="1"/>
  <c r="H14" i="21" s="1"/>
  <c r="K26" i="3"/>
  <c r="F23" i="17" s="1"/>
  <c r="K27" i="3"/>
  <c r="F24" i="17" s="1"/>
  <c r="H8" i="21" s="1"/>
  <c r="K25" i="16"/>
  <c r="S22" i="17" s="1"/>
  <c r="K32" i="10"/>
  <c r="M29" i="17" s="1"/>
  <c r="K25" i="2"/>
  <c r="E22" i="17" s="1"/>
  <c r="K27" i="2"/>
  <c r="E24" i="17" s="1"/>
  <c r="H7" i="21" s="1"/>
  <c r="K28" i="3"/>
  <c r="F25" i="17" s="1"/>
  <c r="K25" i="10"/>
  <c r="M22" i="17" s="1"/>
  <c r="K31" i="6"/>
  <c r="I28" i="17" s="1"/>
  <c r="K25" i="12"/>
  <c r="O24" i="17" s="1"/>
  <c r="H17" i="21" s="1"/>
  <c r="K26" i="16"/>
  <c r="S23" i="17" s="1"/>
  <c r="K31" i="11"/>
  <c r="N28" i="17" s="1"/>
  <c r="K25" i="6"/>
  <c r="I22" i="17" s="1"/>
  <c r="K26" i="13"/>
  <c r="P23" i="17" s="1"/>
  <c r="K23" i="9"/>
  <c r="L23" i="17" s="1"/>
  <c r="K31" i="10"/>
  <c r="M28" i="17" s="1"/>
  <c r="N23" i="1"/>
  <c r="K29" i="15"/>
  <c r="R30" i="17" s="1"/>
  <c r="K31" i="1"/>
  <c r="D28" i="17" s="1"/>
  <c r="K27" i="1"/>
  <c r="D24" i="17" s="1"/>
  <c r="H6" i="21" s="1"/>
  <c r="S6" i="21" s="1"/>
  <c r="K33" i="16"/>
  <c r="S30" i="17" s="1"/>
  <c r="K28" i="9"/>
  <c r="L28" i="17" s="1"/>
  <c r="K33" i="7"/>
  <c r="J30" i="17" s="1"/>
  <c r="K33" i="8"/>
  <c r="K30" i="17" s="1"/>
  <c r="K27" i="13"/>
  <c r="P24" i="17" s="1"/>
  <c r="H18" i="21" s="1"/>
  <c r="K32" i="13"/>
  <c r="P29" i="17" s="1"/>
  <c r="K21" i="4"/>
  <c r="G22" i="17" s="1"/>
  <c r="K33" i="1"/>
  <c r="D30" i="17" s="1"/>
  <c r="K24" i="12"/>
  <c r="O23" i="17" s="1"/>
  <c r="K28" i="8"/>
  <c r="K25" i="17" s="1"/>
  <c r="F13" i="21" s="1"/>
  <c r="K13" i="21" s="1"/>
  <c r="K27" i="8"/>
  <c r="K24" i="17" s="1"/>
  <c r="H13" i="21" s="1"/>
  <c r="K26" i="12"/>
  <c r="O25" i="17" s="1"/>
  <c r="K26" i="6"/>
  <c r="I23" i="17" s="1"/>
  <c r="K27" i="14"/>
  <c r="Q25" i="17" s="1"/>
  <c r="K25" i="9"/>
  <c r="L25" i="17" s="1"/>
  <c r="D26" i="17"/>
  <c r="D27" i="17"/>
  <c r="J6" i="21" s="1"/>
  <c r="K28" i="13"/>
  <c r="P25" i="17" s="1"/>
  <c r="K33" i="6"/>
  <c r="I30" i="17" s="1"/>
  <c r="U20" i="17"/>
  <c r="U21" i="17" s="1"/>
  <c r="K26" i="1"/>
  <c r="D23" i="17" s="1"/>
  <c r="K33" i="11"/>
  <c r="N30" i="17" s="1"/>
  <c r="K26" i="11"/>
  <c r="N23" i="17" s="1"/>
  <c r="K27" i="7"/>
  <c r="J24" i="17" s="1"/>
  <c r="H12" i="21" s="1"/>
  <c r="K25" i="11"/>
  <c r="N22" i="17" s="1"/>
  <c r="K26" i="14"/>
  <c r="Q24" i="17" s="1"/>
  <c r="H19" i="21" s="1"/>
  <c r="K21" i="15"/>
  <c r="R22" i="17" s="1"/>
  <c r="K23" i="15"/>
  <c r="R24" i="17" s="1"/>
  <c r="H20" i="21" s="1"/>
  <c r="K23" i="12"/>
  <c r="O22" i="17" s="1"/>
  <c r="K27" i="16"/>
  <c r="S24" i="17" s="1"/>
  <c r="H21" i="21" s="1"/>
  <c r="K28" i="5"/>
  <c r="H25" i="17" s="1"/>
  <c r="K27" i="11"/>
  <c r="N24" i="17" s="1"/>
  <c r="H16" i="21" s="1"/>
  <c r="K31" i="12"/>
  <c r="O30" i="17" s="1"/>
  <c r="K25" i="13"/>
  <c r="P22" i="17" s="1"/>
  <c r="K31" i="3"/>
  <c r="F28" i="17" s="1"/>
  <c r="Q26" i="17"/>
  <c r="H27" i="17"/>
  <c r="J10" i="21" s="1"/>
  <c r="H26" i="17"/>
  <c r="G26" i="17"/>
  <c r="G27" i="17"/>
  <c r="K25" i="14"/>
  <c r="Q23" i="17" s="1"/>
  <c r="K32" i="14"/>
  <c r="Q30" i="17" s="1"/>
  <c r="K28" i="11"/>
  <c r="N25" i="17" s="1"/>
  <c r="K30" i="9"/>
  <c r="L30" i="17" s="1"/>
  <c r="K27" i="6"/>
  <c r="I24" i="17" s="1"/>
  <c r="H11" i="21" s="1"/>
  <c r="K25" i="5"/>
  <c r="H22" i="17" s="1"/>
  <c r="K33" i="3"/>
  <c r="F30" i="17" s="1"/>
  <c r="K33" i="2"/>
  <c r="E30" i="17" s="1"/>
  <c r="K28" i="1"/>
  <c r="D25" i="17" s="1"/>
  <c r="K25" i="1"/>
  <c r="D22" i="17" s="1"/>
  <c r="K28" i="16"/>
  <c r="S25" i="17" s="1"/>
  <c r="K22" i="15"/>
  <c r="R23" i="17" s="1"/>
  <c r="K33" i="10"/>
  <c r="M30" i="17" s="1"/>
  <c r="K27" i="10"/>
  <c r="M24" i="17" s="1"/>
  <c r="H15" i="21" s="1"/>
  <c r="K26" i="10"/>
  <c r="M23" i="17" s="1"/>
  <c r="K28" i="7"/>
  <c r="J25" i="17" s="1"/>
  <c r="K26" i="7"/>
  <c r="J23" i="17" s="1"/>
  <c r="K28" i="6"/>
  <c r="I25" i="17" s="1"/>
  <c r="K24" i="4"/>
  <c r="G25" i="17" s="1"/>
  <c r="K28" i="2"/>
  <c r="E25" i="17" s="1"/>
  <c r="K26" i="2"/>
  <c r="E23" i="17" s="1"/>
  <c r="N13" i="21" l="1"/>
  <c r="M13" i="21"/>
  <c r="P13" i="21" s="1"/>
  <c r="G7" i="21"/>
  <c r="L7" i="21" s="1"/>
  <c r="O7" i="21" s="1"/>
  <c r="F7" i="21"/>
  <c r="F20" i="21"/>
  <c r="G20" i="21"/>
  <c r="L20" i="21" s="1"/>
  <c r="O20" i="21" s="1"/>
  <c r="F12" i="21"/>
  <c r="G12" i="21"/>
  <c r="L12" i="21" s="1"/>
  <c r="O12" i="21" s="1"/>
  <c r="L6" i="21"/>
  <c r="O6" i="21" s="1"/>
  <c r="Q6" i="21" s="1"/>
  <c r="F8" i="21"/>
  <c r="G8" i="21"/>
  <c r="L8" i="21" s="1"/>
  <c r="O8" i="21" s="1"/>
  <c r="G15" i="21"/>
  <c r="L15" i="21" s="1"/>
  <c r="O15" i="21" s="1"/>
  <c r="F15" i="21"/>
  <c r="G16" i="21"/>
  <c r="L16" i="21" s="1"/>
  <c r="O16" i="21" s="1"/>
  <c r="F16" i="21"/>
  <c r="S13" i="21"/>
  <c r="F14" i="21"/>
  <c r="G14" i="21"/>
  <c r="L14" i="21" s="1"/>
  <c r="O14" i="21" s="1"/>
  <c r="G21" i="21"/>
  <c r="L21" i="21" s="1"/>
  <c r="O21" i="21" s="1"/>
  <c r="F21" i="21"/>
  <c r="F9" i="21"/>
  <c r="K9" i="21" s="1"/>
  <c r="G9" i="21"/>
  <c r="S21" i="21"/>
  <c r="G18" i="21"/>
  <c r="L18" i="21" s="1"/>
  <c r="O18" i="21" s="1"/>
  <c r="F18" i="21"/>
  <c r="G10" i="21"/>
  <c r="F10" i="21"/>
  <c r="J9" i="21"/>
  <c r="R6" i="21" s="1"/>
  <c r="T6" i="21" s="1"/>
  <c r="F19" i="21"/>
  <c r="G19" i="21"/>
  <c r="S19" i="21" s="1"/>
  <c r="G17" i="21"/>
  <c r="S17" i="21" s="1"/>
  <c r="F17" i="21"/>
  <c r="F11" i="21"/>
  <c r="G11" i="21"/>
  <c r="S11" i="21" s="1"/>
  <c r="U1249" i="19"/>
  <c r="AH1250" i="19"/>
  <c r="AM1250" i="19"/>
  <c r="Z1249" i="19"/>
  <c r="T1249" i="19"/>
  <c r="AG1250" i="19"/>
  <c r="AC1249" i="19"/>
  <c r="AP1250" i="19"/>
  <c r="V1249" i="19"/>
  <c r="AI1250" i="19"/>
  <c r="W1249" i="19"/>
  <c r="AJ1250" i="19"/>
  <c r="AB1249" i="19"/>
  <c r="AO1250" i="19"/>
  <c r="AF1251" i="19"/>
  <c r="S1250" i="19"/>
  <c r="AK1251" i="19"/>
  <c r="X1250" i="19"/>
  <c r="AD1249" i="19"/>
  <c r="AQ1250" i="19"/>
  <c r="AL1251" i="19"/>
  <c r="Y1250" i="19"/>
  <c r="AN1251" i="19"/>
  <c r="AA1250" i="19"/>
  <c r="U29" i="17"/>
  <c r="C29" i="17" s="1"/>
  <c r="AA7" i="21" s="1"/>
  <c r="U23" i="17"/>
  <c r="U22" i="17" s="1"/>
  <c r="C22" i="17" s="1"/>
  <c r="U30" i="17"/>
  <c r="C30" i="17" s="1"/>
  <c r="AA8" i="21" s="1"/>
  <c r="U28" i="17"/>
  <c r="C28" i="17" s="1"/>
  <c r="AA6" i="21" s="1"/>
  <c r="U27" i="17"/>
  <c r="C27" i="17" s="1"/>
  <c r="U26" i="17"/>
  <c r="C26" i="17" s="1"/>
  <c r="C21" i="17"/>
  <c r="C20" i="17"/>
  <c r="U25" i="17"/>
  <c r="S7" i="21" l="1"/>
  <c r="K15" i="21"/>
  <c r="K10" i="21"/>
  <c r="M10" i="21" s="1"/>
  <c r="P10" i="21" s="1"/>
  <c r="K8" i="21"/>
  <c r="M8" i="21" s="1"/>
  <c r="P8" i="21" s="1"/>
  <c r="K7" i="21"/>
  <c r="S8" i="21"/>
  <c r="K21" i="21"/>
  <c r="M21" i="21" s="1"/>
  <c r="P21" i="21" s="1"/>
  <c r="Q13" i="21"/>
  <c r="R13" i="21" s="1"/>
  <c r="T13" i="21" s="1"/>
  <c r="N9" i="21"/>
  <c r="M9" i="21"/>
  <c r="P9" i="21" s="1"/>
  <c r="S16" i="21"/>
  <c r="K14" i="21"/>
  <c r="N15" i="21"/>
  <c r="M15" i="21"/>
  <c r="P15" i="21" s="1"/>
  <c r="L9" i="21"/>
  <c r="O9" i="21" s="1"/>
  <c r="S9" i="21"/>
  <c r="AA9" i="21"/>
  <c r="AB8" i="21" s="1"/>
  <c r="N26" i="21" s="1"/>
  <c r="N10" i="21"/>
  <c r="K12" i="21"/>
  <c r="S12" i="21"/>
  <c r="K20" i="21"/>
  <c r="M7" i="21"/>
  <c r="P7" i="21" s="1"/>
  <c r="N7" i="21"/>
  <c r="L10" i="21"/>
  <c r="O10" i="21" s="1"/>
  <c r="S10" i="21"/>
  <c r="K18" i="21"/>
  <c r="S15" i="21"/>
  <c r="K16" i="21"/>
  <c r="S14" i="21"/>
  <c r="S20" i="21"/>
  <c r="S18" i="21"/>
  <c r="L11" i="21"/>
  <c r="O11" i="21" s="1"/>
  <c r="L19" i="21"/>
  <c r="O19" i="21" s="1"/>
  <c r="L17" i="21"/>
  <c r="O17" i="21" s="1"/>
  <c r="K11" i="21"/>
  <c r="M11" i="21" s="1"/>
  <c r="P11" i="21" s="1"/>
  <c r="K19" i="21"/>
  <c r="M19" i="21" s="1"/>
  <c r="P19" i="21" s="1"/>
  <c r="K17" i="21"/>
  <c r="M17" i="21" s="1"/>
  <c r="P17" i="21" s="1"/>
  <c r="W28" i="17"/>
  <c r="W30" i="17"/>
  <c r="W29" i="17"/>
  <c r="AN1250" i="19"/>
  <c r="AA1249" i="19"/>
  <c r="AF1250" i="19"/>
  <c r="S1249" i="19"/>
  <c r="AC1248" i="19"/>
  <c r="AP1249" i="19"/>
  <c r="Y1249" i="19"/>
  <c r="AL1250" i="19"/>
  <c r="AB1248" i="19"/>
  <c r="AO1249" i="19"/>
  <c r="T1248" i="19"/>
  <c r="AG1249" i="19"/>
  <c r="AM1249" i="19"/>
  <c r="Z1248" i="19"/>
  <c r="AD1248" i="19"/>
  <c r="AQ1249" i="19"/>
  <c r="W1248" i="19"/>
  <c r="AJ1249" i="19"/>
  <c r="AK1250" i="19"/>
  <c r="X1249" i="19"/>
  <c r="V1248" i="19"/>
  <c r="AI1249" i="19"/>
  <c r="U1248" i="19"/>
  <c r="AH1249" i="19"/>
  <c r="C23" i="17"/>
  <c r="U24" i="17"/>
  <c r="C24" i="17" s="1"/>
  <c r="C25" i="17"/>
  <c r="N21" i="21" l="1"/>
  <c r="Q21" i="21" s="1"/>
  <c r="N8" i="21"/>
  <c r="Q8" i="21" s="1"/>
  <c r="R8" i="21" s="1"/>
  <c r="T8" i="21" s="1"/>
  <c r="AB7" i="21"/>
  <c r="AB6" i="21"/>
  <c r="Q15" i="21"/>
  <c r="Q9" i="21"/>
  <c r="R9" i="21" s="1"/>
  <c r="T9" i="21" s="1"/>
  <c r="Q7" i="21"/>
  <c r="T7" i="21" s="1"/>
  <c r="Q10" i="21"/>
  <c r="T10" i="21" s="1"/>
  <c r="M18" i="21"/>
  <c r="P18" i="21" s="1"/>
  <c r="N18" i="21"/>
  <c r="M12" i="21"/>
  <c r="P12" i="21" s="1"/>
  <c r="N12" i="21"/>
  <c r="T15" i="21"/>
  <c r="R15" i="21"/>
  <c r="R10" i="21"/>
  <c r="M14" i="21"/>
  <c r="P14" i="21" s="1"/>
  <c r="N14" i="21"/>
  <c r="N16" i="21"/>
  <c r="M16" i="21"/>
  <c r="P16" i="21" s="1"/>
  <c r="N20" i="21"/>
  <c r="M20" i="21"/>
  <c r="P20" i="21" s="1"/>
  <c r="O23" i="21"/>
  <c r="N11" i="21"/>
  <c r="Q11" i="21" s="1"/>
  <c r="N19" i="21"/>
  <c r="Q19" i="21" s="1"/>
  <c r="N17" i="21"/>
  <c r="Q17" i="21" s="1"/>
  <c r="AN1249" i="19"/>
  <c r="AA1248" i="19"/>
  <c r="W1247" i="19"/>
  <c r="AJ1248" i="19"/>
  <c r="U1247" i="19"/>
  <c r="AH1248" i="19"/>
  <c r="AD1247" i="19"/>
  <c r="AQ1248" i="19"/>
  <c r="AL1249" i="19"/>
  <c r="Y1248" i="19"/>
  <c r="AB1247" i="19"/>
  <c r="AO1248" i="19"/>
  <c r="AM1248" i="19"/>
  <c r="Z1247" i="19"/>
  <c r="V1247" i="19"/>
  <c r="AI1248" i="19"/>
  <c r="AC1247" i="19"/>
  <c r="AP1248" i="19"/>
  <c r="AK1249" i="19"/>
  <c r="X1248" i="19"/>
  <c r="AF1249" i="19"/>
  <c r="S1248" i="19"/>
  <c r="T1247" i="19"/>
  <c r="AG1248" i="19"/>
  <c r="T21" i="21" l="1"/>
  <c r="R21" i="21"/>
  <c r="R7" i="21"/>
  <c r="P23" i="21"/>
  <c r="N27" i="21"/>
  <c r="N25" i="21"/>
  <c r="Q20" i="21"/>
  <c r="T20" i="21" s="1"/>
  <c r="Q12" i="21"/>
  <c r="R12" i="21" s="1"/>
  <c r="R20" i="21"/>
  <c r="Q14" i="21"/>
  <c r="Q18" i="21"/>
  <c r="Q16" i="21"/>
  <c r="R17" i="21"/>
  <c r="T17" i="21"/>
  <c r="R19" i="21"/>
  <c r="T19" i="21" s="1"/>
  <c r="R11" i="21"/>
  <c r="T11" i="21"/>
  <c r="N23" i="21"/>
  <c r="N24" i="21" s="1"/>
  <c r="T1246" i="19"/>
  <c r="AG1247" i="19"/>
  <c r="V1246" i="19"/>
  <c r="AI1247" i="19"/>
  <c r="AD1246" i="19"/>
  <c r="AQ1247" i="19"/>
  <c r="AM1247" i="19"/>
  <c r="Z1246" i="19"/>
  <c r="U1246" i="19"/>
  <c r="AH1247" i="19"/>
  <c r="AK1248" i="19"/>
  <c r="X1247" i="19"/>
  <c r="AC1246" i="19"/>
  <c r="AP1247" i="19"/>
  <c r="AF1248" i="19"/>
  <c r="S1247" i="19"/>
  <c r="AB1246" i="19"/>
  <c r="AO1247" i="19"/>
  <c r="W1246" i="19"/>
  <c r="AJ1247" i="19"/>
  <c r="Y1247" i="19"/>
  <c r="AL1248" i="19"/>
  <c r="AN1248" i="19"/>
  <c r="AA1247" i="19"/>
  <c r="T12" i="21" l="1"/>
  <c r="N29" i="21"/>
  <c r="N28" i="21"/>
  <c r="N30" i="21" s="1"/>
  <c r="T16" i="21"/>
  <c r="R16" i="21"/>
  <c r="T18" i="21"/>
  <c r="R18" i="21"/>
  <c r="T14" i="21"/>
  <c r="R14" i="21"/>
  <c r="AN1247" i="19"/>
  <c r="AA1246" i="19"/>
  <c r="AL1247" i="19"/>
  <c r="Y1246" i="19"/>
  <c r="AK1247" i="19"/>
  <c r="X1246" i="19"/>
  <c r="AF1247" i="19"/>
  <c r="S1246" i="19"/>
  <c r="W1245" i="19"/>
  <c r="AJ1246" i="19"/>
  <c r="V1245" i="19"/>
  <c r="AI1246" i="19"/>
  <c r="AC1245" i="19"/>
  <c r="AP1246" i="19"/>
  <c r="AM1246" i="19"/>
  <c r="Z1245" i="19"/>
  <c r="AD1245" i="19"/>
  <c r="AQ1246" i="19"/>
  <c r="AB1245" i="19"/>
  <c r="AO1246" i="19"/>
  <c r="U1245" i="19"/>
  <c r="AH1246" i="19"/>
  <c r="T1245" i="19"/>
  <c r="AG1246" i="19"/>
  <c r="AP1245" i="19" l="1"/>
  <c r="AC1244" i="19"/>
  <c r="AM1245" i="19"/>
  <c r="Z1244" i="19"/>
  <c r="U1244" i="19"/>
  <c r="AH1245" i="19"/>
  <c r="AL1246" i="19"/>
  <c r="Y1245" i="19"/>
  <c r="V1244" i="19"/>
  <c r="AI1245" i="19"/>
  <c r="AF1246" i="19"/>
  <c r="S1245" i="19"/>
  <c r="T1244" i="19"/>
  <c r="AG1245" i="19"/>
  <c r="AK1246" i="19"/>
  <c r="X1245" i="19"/>
  <c r="AB1244" i="19"/>
  <c r="AO1245" i="19"/>
  <c r="AN1246" i="19"/>
  <c r="AA1245" i="19"/>
  <c r="AD1244" i="19"/>
  <c r="AQ1245" i="19"/>
  <c r="W1244" i="19"/>
  <c r="AJ1245" i="19"/>
  <c r="AC1243" i="19" l="1"/>
  <c r="AP1244" i="19"/>
  <c r="AB1243" i="19"/>
  <c r="AO1244" i="19"/>
  <c r="AK1245" i="19"/>
  <c r="X1244" i="19"/>
  <c r="AL1245" i="19"/>
  <c r="Y1244" i="19"/>
  <c r="W1243" i="19"/>
  <c r="AJ1244" i="19"/>
  <c r="AD1243" i="19"/>
  <c r="AQ1244" i="19"/>
  <c r="T1243" i="19"/>
  <c r="AG1244" i="19"/>
  <c r="U1243" i="19"/>
  <c r="AH1244" i="19"/>
  <c r="AN1245" i="19"/>
  <c r="AA1244" i="19"/>
  <c r="AF1245" i="19"/>
  <c r="S1244" i="19"/>
  <c r="AM1244" i="19"/>
  <c r="Z1243" i="19"/>
  <c r="V1243" i="19"/>
  <c r="AI1244" i="19"/>
  <c r="AP1243" i="19" l="1"/>
  <c r="AC1242" i="19"/>
  <c r="AL1244" i="19"/>
  <c r="Y1243" i="19"/>
  <c r="V1242" i="19"/>
  <c r="AI1243" i="19"/>
  <c r="U1242" i="19"/>
  <c r="AH1243" i="19"/>
  <c r="W1242" i="19"/>
  <c r="AJ1243" i="19"/>
  <c r="AM1243" i="19"/>
  <c r="Z1242" i="19"/>
  <c r="AK1244" i="19"/>
  <c r="X1243" i="19"/>
  <c r="T1242" i="19"/>
  <c r="AG1243" i="19"/>
  <c r="AF1244" i="19"/>
  <c r="S1243" i="19"/>
  <c r="AD1242" i="19"/>
  <c r="AQ1243" i="19"/>
  <c r="AB1242" i="19"/>
  <c r="AO1243" i="19"/>
  <c r="AN1244" i="19"/>
  <c r="AA1243" i="19"/>
  <c r="U1241" i="19" l="1"/>
  <c r="AH1242" i="19"/>
  <c r="AB1241" i="19"/>
  <c r="AO1242" i="19"/>
  <c r="V1241" i="19"/>
  <c r="AI1242" i="19"/>
  <c r="AM1242" i="19"/>
  <c r="Z1241" i="19"/>
  <c r="Y1242" i="19"/>
  <c r="AL1243" i="19"/>
  <c r="AN1243" i="19"/>
  <c r="AA1242" i="19"/>
  <c r="T1241" i="19"/>
  <c r="AG1242" i="19"/>
  <c r="AK1243" i="19"/>
  <c r="X1242" i="19"/>
  <c r="AD1241" i="19"/>
  <c r="AQ1242" i="19"/>
  <c r="AF1243" i="19"/>
  <c r="S1242" i="19"/>
  <c r="AC1241" i="19"/>
  <c r="AP1242" i="19"/>
  <c r="W1241" i="19"/>
  <c r="AJ1242" i="19"/>
  <c r="AL1242" i="19" l="1"/>
  <c r="Y1241" i="19"/>
  <c r="AK1242" i="19"/>
  <c r="X1241" i="19"/>
  <c r="AM1241" i="19"/>
  <c r="Z1240" i="19"/>
  <c r="W1240" i="19"/>
  <c r="AJ1241" i="19"/>
  <c r="AH1241" i="19"/>
  <c r="U1240" i="19"/>
  <c r="AC1240" i="19"/>
  <c r="AP1241" i="19"/>
  <c r="T1240" i="19"/>
  <c r="AG1241" i="19"/>
  <c r="V1240" i="19"/>
  <c r="AI1241" i="19"/>
  <c r="AF1242" i="19"/>
  <c r="S1241" i="19"/>
  <c r="AN1242" i="19"/>
  <c r="AA1241" i="19"/>
  <c r="AD1240" i="19"/>
  <c r="AQ1241" i="19"/>
  <c r="AB1240" i="19"/>
  <c r="AO1241" i="19"/>
  <c r="AB1239" i="19" l="1"/>
  <c r="AO1240" i="19"/>
  <c r="V1239" i="19"/>
  <c r="AI1240" i="19"/>
  <c r="W1239" i="19"/>
  <c r="AJ1240" i="19"/>
  <c r="AD1239" i="19"/>
  <c r="AQ1240" i="19"/>
  <c r="T1239" i="19"/>
  <c r="AG1240" i="19"/>
  <c r="AN1241" i="19"/>
  <c r="AA1240" i="19"/>
  <c r="AK1241" i="19"/>
  <c r="X1240" i="19"/>
  <c r="AM1240" i="19"/>
  <c r="Z1239" i="19"/>
  <c r="AC1239" i="19"/>
  <c r="AP1240" i="19"/>
  <c r="AF1241" i="19"/>
  <c r="S1240" i="19"/>
  <c r="U1239" i="19"/>
  <c r="AH1240" i="19"/>
  <c r="AL1241" i="19"/>
  <c r="Y1240" i="19"/>
  <c r="AL1240" i="19" l="1"/>
  <c r="Y1239" i="19"/>
  <c r="U1238" i="19"/>
  <c r="AH1239" i="19"/>
  <c r="AM1239" i="19"/>
  <c r="Z1238" i="19"/>
  <c r="AK1240" i="19"/>
  <c r="X1239" i="19"/>
  <c r="W1238" i="19"/>
  <c r="AJ1239" i="19"/>
  <c r="AF1240" i="19"/>
  <c r="S1239" i="19"/>
  <c r="AN1240" i="19"/>
  <c r="AA1239" i="19"/>
  <c r="V1238" i="19"/>
  <c r="AI1239" i="19"/>
  <c r="AD1238" i="19"/>
  <c r="AQ1239" i="19"/>
  <c r="AP1239" i="19"/>
  <c r="AC1238" i="19"/>
  <c r="T1238" i="19"/>
  <c r="AG1239" i="19"/>
  <c r="AB1238" i="19"/>
  <c r="AO1239" i="19"/>
  <c r="AD1237" i="19" l="1"/>
  <c r="AQ1238" i="19"/>
  <c r="AK1239" i="19"/>
  <c r="X1238" i="19"/>
  <c r="AB1237" i="19"/>
  <c r="AO1238" i="19"/>
  <c r="V1237" i="19"/>
  <c r="AI1238" i="19"/>
  <c r="AL1239" i="19"/>
  <c r="Y1238" i="19"/>
  <c r="AM1238" i="19"/>
  <c r="Z1237" i="19"/>
  <c r="T1237" i="19"/>
  <c r="AG1238" i="19"/>
  <c r="AC1237" i="19"/>
  <c r="AP1238" i="19"/>
  <c r="AF1239" i="19"/>
  <c r="S1238" i="19"/>
  <c r="W1237" i="19"/>
  <c r="AJ1238" i="19"/>
  <c r="AN1239" i="19"/>
  <c r="AA1238" i="19"/>
  <c r="AH1238" i="19"/>
  <c r="U1237" i="19"/>
  <c r="V1236" i="19" l="1"/>
  <c r="AI1237" i="19"/>
  <c r="AN1238" i="19"/>
  <c r="AA1237" i="19"/>
  <c r="T1236" i="19"/>
  <c r="AG1237" i="19"/>
  <c r="AB1236" i="19"/>
  <c r="AO1237" i="19"/>
  <c r="AM1237" i="19"/>
  <c r="Z1236" i="19"/>
  <c r="AK1238" i="19"/>
  <c r="X1237" i="19"/>
  <c r="U1236" i="19"/>
  <c r="AH1237" i="19"/>
  <c r="AC1236" i="19"/>
  <c r="AP1237" i="19"/>
  <c r="W1236" i="19"/>
  <c r="AJ1237" i="19"/>
  <c r="AF1238" i="19"/>
  <c r="S1237" i="19"/>
  <c r="AL1238" i="19"/>
  <c r="Y1237" i="19"/>
  <c r="AD1236" i="19"/>
  <c r="AQ1237" i="19"/>
  <c r="AK1237" i="19" l="1"/>
  <c r="X1236" i="19"/>
  <c r="AN1237" i="19"/>
  <c r="AA1236" i="19"/>
  <c r="AP1236" i="19"/>
  <c r="AC1235" i="19"/>
  <c r="AL1237" i="19"/>
  <c r="Y1236" i="19"/>
  <c r="U1235" i="19"/>
  <c r="AH1236" i="19"/>
  <c r="AB1235" i="19"/>
  <c r="AO1236" i="19"/>
  <c r="T1235" i="19"/>
  <c r="AG1236" i="19"/>
  <c r="AD1235" i="19"/>
  <c r="AQ1236" i="19"/>
  <c r="AF1237" i="19"/>
  <c r="S1236" i="19"/>
  <c r="AM1236" i="19"/>
  <c r="Z1235" i="19"/>
  <c r="W1235" i="19"/>
  <c r="AJ1236" i="19"/>
  <c r="V1235" i="19"/>
  <c r="AI1236" i="19"/>
  <c r="AL1236" i="19" l="1"/>
  <c r="Y1235" i="19"/>
  <c r="V1234" i="19"/>
  <c r="AI1235" i="19"/>
  <c r="AD1234" i="19"/>
  <c r="AQ1235" i="19"/>
  <c r="U1234" i="19"/>
  <c r="AH1235" i="19"/>
  <c r="T1234" i="19"/>
  <c r="AG1235" i="19"/>
  <c r="AM1235" i="19"/>
  <c r="Z1234" i="19"/>
  <c r="AN1236" i="19"/>
  <c r="AA1235" i="19"/>
  <c r="AP1235" i="19"/>
  <c r="AC1234" i="19"/>
  <c r="W1234" i="19"/>
  <c r="AJ1235" i="19"/>
  <c r="AB1234" i="19"/>
  <c r="AO1235" i="19"/>
  <c r="AF1236" i="19"/>
  <c r="S1235" i="19"/>
  <c r="AK1236" i="19"/>
  <c r="X1235" i="19"/>
  <c r="W1233" i="19" l="1"/>
  <c r="AJ1234" i="19"/>
  <c r="T1233" i="19"/>
  <c r="AG1234" i="19"/>
  <c r="AK1235" i="19"/>
  <c r="X1234" i="19"/>
  <c r="AC1233" i="19"/>
  <c r="AP1234" i="19"/>
  <c r="AH1234" i="19"/>
  <c r="U1233" i="19"/>
  <c r="AF1235" i="19"/>
  <c r="S1234" i="19"/>
  <c r="AD1233" i="19"/>
  <c r="AQ1234" i="19"/>
  <c r="AM1234" i="19"/>
  <c r="Z1233" i="19"/>
  <c r="AN1235" i="19"/>
  <c r="AA1234" i="19"/>
  <c r="AB1233" i="19"/>
  <c r="AO1234" i="19"/>
  <c r="V1233" i="19"/>
  <c r="AI1234" i="19"/>
  <c r="AL1235" i="19"/>
  <c r="Y1234" i="19"/>
  <c r="W1232" i="19" l="1"/>
  <c r="AJ1233" i="19"/>
  <c r="Y1233" i="19"/>
  <c r="AL1234" i="19"/>
  <c r="AM1233" i="19"/>
  <c r="Z1232" i="19"/>
  <c r="AC1232" i="19"/>
  <c r="AP1233" i="19"/>
  <c r="AK1234" i="19"/>
  <c r="X1233" i="19"/>
  <c r="V1232" i="19"/>
  <c r="AI1233" i="19"/>
  <c r="AD1232" i="19"/>
  <c r="AQ1233" i="19"/>
  <c r="AF1234" i="19"/>
  <c r="S1233" i="19"/>
  <c r="AB1232" i="19"/>
  <c r="AO1233" i="19"/>
  <c r="T1232" i="19"/>
  <c r="AG1233" i="19"/>
  <c r="AN1234" i="19"/>
  <c r="AA1233" i="19"/>
  <c r="U1232" i="19"/>
  <c r="AH1233" i="19"/>
  <c r="AF1233" i="19" l="1"/>
  <c r="S1232" i="19"/>
  <c r="U1231" i="19"/>
  <c r="AH1232" i="19"/>
  <c r="AC1231" i="19"/>
  <c r="AP1232" i="19"/>
  <c r="AD1231" i="19"/>
  <c r="AQ1232" i="19"/>
  <c r="T1231" i="19"/>
  <c r="AG1232" i="19"/>
  <c r="V1231" i="19"/>
  <c r="AI1232" i="19"/>
  <c r="AL1233" i="19"/>
  <c r="Y1232" i="19"/>
  <c r="AN1233" i="19"/>
  <c r="AA1232" i="19"/>
  <c r="AK1233" i="19"/>
  <c r="X1232" i="19"/>
  <c r="AM1232" i="19"/>
  <c r="Z1231" i="19"/>
  <c r="AB1231" i="19"/>
  <c r="AO1232" i="19"/>
  <c r="W1231" i="19"/>
  <c r="AJ1232" i="19"/>
  <c r="AN1232" i="19" l="1"/>
  <c r="AA1231" i="19"/>
  <c r="W1230" i="19"/>
  <c r="AJ1231" i="19"/>
  <c r="AD1230" i="19"/>
  <c r="AQ1231" i="19"/>
  <c r="AB1230" i="19"/>
  <c r="AO1231" i="19"/>
  <c r="AP1231" i="19"/>
  <c r="AC1230" i="19"/>
  <c r="AM1231" i="19"/>
  <c r="Z1230" i="19"/>
  <c r="T1230" i="19"/>
  <c r="AG1231" i="19"/>
  <c r="AL1232" i="19"/>
  <c r="Y1231" i="19"/>
  <c r="V1230" i="19"/>
  <c r="AI1231" i="19"/>
  <c r="U1230" i="19"/>
  <c r="AH1231" i="19"/>
  <c r="AK1232" i="19"/>
  <c r="X1231" i="19"/>
  <c r="AF1232" i="19"/>
  <c r="S1231" i="19"/>
  <c r="AB1229" i="19" l="1"/>
  <c r="AO1230" i="19"/>
  <c r="AK1231" i="19"/>
  <c r="X1230" i="19"/>
  <c r="T1229" i="19"/>
  <c r="AG1230" i="19"/>
  <c r="AD1229" i="19"/>
  <c r="AQ1230" i="19"/>
  <c r="AM1230" i="19"/>
  <c r="Z1229" i="19"/>
  <c r="U1229" i="19"/>
  <c r="AH1230" i="19"/>
  <c r="W1229" i="19"/>
  <c r="AJ1230" i="19"/>
  <c r="AF1231" i="19"/>
  <c r="S1230" i="19"/>
  <c r="AL1231" i="19"/>
  <c r="Y1230" i="19"/>
  <c r="AP1230" i="19"/>
  <c r="AC1229" i="19"/>
  <c r="AN1231" i="19"/>
  <c r="AA1230" i="19"/>
  <c r="V1229" i="19"/>
  <c r="AI1230" i="19"/>
  <c r="AB1228" i="19" l="1"/>
  <c r="AO1229" i="19"/>
  <c r="AF1230" i="19"/>
  <c r="S1229" i="19"/>
  <c r="V1228" i="19"/>
  <c r="AI1229" i="19"/>
  <c r="AD1228" i="19"/>
  <c r="AQ1229" i="19"/>
  <c r="AM1229" i="19"/>
  <c r="Z1228" i="19"/>
  <c r="AN1230" i="19"/>
  <c r="AA1229" i="19"/>
  <c r="W1228" i="19"/>
  <c r="AJ1229" i="19"/>
  <c r="T1228" i="19"/>
  <c r="AG1229" i="19"/>
  <c r="AC1228" i="19"/>
  <c r="AP1229" i="19"/>
  <c r="AK1230" i="19"/>
  <c r="X1229" i="19"/>
  <c r="Y1229" i="19"/>
  <c r="AL1230" i="19"/>
  <c r="U1228" i="19"/>
  <c r="AH1229" i="19"/>
  <c r="AP1228" i="19" l="1"/>
  <c r="AC1227" i="19"/>
  <c r="AB1227" i="19"/>
  <c r="AO1228" i="19"/>
  <c r="U1227" i="19"/>
  <c r="AH1228" i="19"/>
  <c r="AG1228" i="19"/>
  <c r="T1227" i="19"/>
  <c r="AD1227" i="19"/>
  <c r="AQ1228" i="19"/>
  <c r="Y1228" i="19"/>
  <c r="AL1229" i="19"/>
  <c r="W1227" i="19"/>
  <c r="AJ1228" i="19"/>
  <c r="V1227" i="19"/>
  <c r="AI1228" i="19"/>
  <c r="AK1229" i="19"/>
  <c r="X1228" i="19"/>
  <c r="AN1229" i="19"/>
  <c r="AA1228" i="19"/>
  <c r="S1228" i="19"/>
  <c r="AF1229" i="19"/>
  <c r="AM1228" i="19"/>
  <c r="Z1227" i="19"/>
  <c r="AG1227" i="19" l="1"/>
  <c r="T1226" i="19"/>
  <c r="AM1227" i="19"/>
  <c r="Z1226" i="19"/>
  <c r="AH1227" i="19"/>
  <c r="U1226" i="19"/>
  <c r="Y1227" i="19"/>
  <c r="AL1228" i="19"/>
  <c r="AB1226" i="19"/>
  <c r="AO1227" i="19"/>
  <c r="AF1228" i="19"/>
  <c r="S1227" i="19"/>
  <c r="AP1227" i="19"/>
  <c r="AC1226" i="19"/>
  <c r="V1226" i="19"/>
  <c r="AI1227" i="19"/>
  <c r="AJ1227" i="19"/>
  <c r="W1226" i="19"/>
  <c r="AN1228" i="19"/>
  <c r="AA1227" i="19"/>
  <c r="AK1228" i="19"/>
  <c r="X1227" i="19"/>
  <c r="AD1226" i="19"/>
  <c r="AQ1227" i="19"/>
  <c r="AJ1226" i="19" l="1"/>
  <c r="W1225" i="19"/>
  <c r="AD1225" i="19"/>
  <c r="AQ1226" i="19"/>
  <c r="V1225" i="19"/>
  <c r="AI1226" i="19"/>
  <c r="Y1226" i="19"/>
  <c r="AL1227" i="19"/>
  <c r="T1225" i="19"/>
  <c r="AG1226" i="19"/>
  <c r="X1226" i="19"/>
  <c r="AK1227" i="19"/>
  <c r="AP1226" i="19"/>
  <c r="AC1225" i="19"/>
  <c r="AN1227" i="19"/>
  <c r="AA1226" i="19"/>
  <c r="S1226" i="19"/>
  <c r="AF1227" i="19"/>
  <c r="AM1226" i="19"/>
  <c r="Z1225" i="19"/>
  <c r="AB1225" i="19"/>
  <c r="AO1226" i="19"/>
  <c r="AH1226" i="19"/>
  <c r="U1225" i="19"/>
  <c r="T1224" i="19" l="1"/>
  <c r="AG1225" i="19"/>
  <c r="AH1225" i="19"/>
  <c r="U1224" i="19"/>
  <c r="AA1225" i="19"/>
  <c r="AN1226" i="19"/>
  <c r="Y1225" i="19"/>
  <c r="AL1226" i="19"/>
  <c r="S1225" i="19"/>
  <c r="AF1226" i="19"/>
  <c r="AP1225" i="19"/>
  <c r="AC1224" i="19"/>
  <c r="AO1225" i="19"/>
  <c r="AB1224" i="19"/>
  <c r="V1224" i="19"/>
  <c r="AI1225" i="19"/>
  <c r="AM1225" i="19"/>
  <c r="Z1224" i="19"/>
  <c r="AK1226" i="19"/>
  <c r="X1225" i="19"/>
  <c r="AD1224" i="19"/>
  <c r="AQ1225" i="19"/>
  <c r="W1224" i="19"/>
  <c r="AJ1225" i="19"/>
  <c r="AN1225" i="19" l="1"/>
  <c r="AA1224" i="19"/>
  <c r="W1223" i="19"/>
  <c r="AJ1224" i="19"/>
  <c r="AH1224" i="19"/>
  <c r="U1223" i="19"/>
  <c r="AO1224" i="19"/>
  <c r="AB1223" i="19"/>
  <c r="Y1224" i="19"/>
  <c r="AL1225" i="19"/>
  <c r="X1224" i="19"/>
  <c r="AK1225" i="19"/>
  <c r="AM1224" i="19"/>
  <c r="Z1223" i="19"/>
  <c r="V1223" i="19"/>
  <c r="AI1224" i="19"/>
  <c r="AD1223" i="19"/>
  <c r="AQ1224" i="19"/>
  <c r="AP1224" i="19"/>
  <c r="AC1223" i="19"/>
  <c r="S1224" i="19"/>
  <c r="AF1225" i="19"/>
  <c r="AG1224" i="19"/>
  <c r="T1223" i="19"/>
  <c r="AF1224" i="19" l="1"/>
  <c r="S1223" i="19"/>
  <c r="AG1223" i="19"/>
  <c r="T1222" i="19"/>
  <c r="AH1223" i="19"/>
  <c r="U1222" i="19"/>
  <c r="AP1223" i="19"/>
  <c r="AC1222" i="19"/>
  <c r="AK1224" i="19"/>
  <c r="X1223" i="19"/>
  <c r="AJ1223" i="19"/>
  <c r="W1222" i="19"/>
  <c r="AA1223" i="19"/>
  <c r="AN1224" i="19"/>
  <c r="AB1222" i="19"/>
  <c r="AO1223" i="19"/>
  <c r="V1222" i="19"/>
  <c r="AI1223" i="19"/>
  <c r="AM1223" i="19"/>
  <c r="Z1222" i="19"/>
  <c r="AD1222" i="19"/>
  <c r="AQ1223" i="19"/>
  <c r="Y1223" i="19"/>
  <c r="AL1224" i="19"/>
  <c r="AP1222" i="19" l="1"/>
  <c r="AC1221" i="19"/>
  <c r="Y1222" i="19"/>
  <c r="AL1223" i="19"/>
  <c r="AB1221" i="19"/>
  <c r="AO1222" i="19"/>
  <c r="AH1222" i="19"/>
  <c r="U1221" i="19"/>
  <c r="AD1221" i="19"/>
  <c r="AQ1222" i="19"/>
  <c r="AN1223" i="19"/>
  <c r="AA1222" i="19"/>
  <c r="AM1222" i="19"/>
  <c r="Z1221" i="19"/>
  <c r="AJ1222" i="19"/>
  <c r="W1221" i="19"/>
  <c r="T1221" i="19"/>
  <c r="AG1222" i="19"/>
  <c r="X1222" i="19"/>
  <c r="AK1223" i="19"/>
  <c r="S1222" i="19"/>
  <c r="AF1223" i="19"/>
  <c r="V1221" i="19"/>
  <c r="AI1222" i="19"/>
  <c r="W1220" i="19" l="1"/>
  <c r="AJ1221" i="19"/>
  <c r="AO1221" i="19"/>
  <c r="AB1220" i="19"/>
  <c r="AM1221" i="19"/>
  <c r="Z1220" i="19"/>
  <c r="AA1221" i="19"/>
  <c r="AN1222" i="19"/>
  <c r="V1220" i="19"/>
  <c r="AI1221" i="19"/>
  <c r="AK1222" i="19"/>
  <c r="X1221" i="19"/>
  <c r="Y1221" i="19"/>
  <c r="AL1222" i="19"/>
  <c r="AH1221" i="19"/>
  <c r="U1220" i="19"/>
  <c r="S1221" i="19"/>
  <c r="AF1222" i="19"/>
  <c r="AP1221" i="19"/>
  <c r="AC1220" i="19"/>
  <c r="T1220" i="19"/>
  <c r="AG1221" i="19"/>
  <c r="AD1220" i="19"/>
  <c r="AQ1221" i="19"/>
  <c r="AN1221" i="19" l="1"/>
  <c r="AA1220" i="19"/>
  <c r="AH1220" i="19"/>
  <c r="U1219" i="19"/>
  <c r="X1220" i="19"/>
  <c r="AK1221" i="19"/>
  <c r="AO1220" i="19"/>
  <c r="AB1219" i="19"/>
  <c r="Y1220" i="19"/>
  <c r="AL1221" i="19"/>
  <c r="AP1220" i="19"/>
  <c r="AC1219" i="19"/>
  <c r="AD1219" i="19"/>
  <c r="AQ1220" i="19"/>
  <c r="AM1220" i="19"/>
  <c r="Z1219" i="19"/>
  <c r="AG1220" i="19"/>
  <c r="T1219" i="19"/>
  <c r="S1220" i="19"/>
  <c r="AF1221" i="19"/>
  <c r="V1219" i="19"/>
  <c r="AI1220" i="19"/>
  <c r="W1219" i="19"/>
  <c r="AJ1220" i="19"/>
  <c r="AM1219" i="19" l="1"/>
  <c r="Z1218" i="19"/>
  <c r="AK1220" i="19"/>
  <c r="X1219" i="19"/>
  <c r="AJ1219" i="19"/>
  <c r="W1218" i="19"/>
  <c r="AP1219" i="19"/>
  <c r="AC1218" i="19"/>
  <c r="AH1219" i="19"/>
  <c r="U1218" i="19"/>
  <c r="AD1218" i="19"/>
  <c r="AQ1219" i="19"/>
  <c r="AF1220" i="19"/>
  <c r="S1219" i="19"/>
  <c r="V1218" i="19"/>
  <c r="AI1219" i="19"/>
  <c r="AG1219" i="19"/>
  <c r="T1218" i="19"/>
  <c r="AA1219" i="19"/>
  <c r="AN1220" i="19"/>
  <c r="AB1218" i="19"/>
  <c r="AO1219" i="19"/>
  <c r="Y1219" i="19"/>
  <c r="AL1220" i="19"/>
  <c r="V1217" i="19" l="1"/>
  <c r="AI1218" i="19"/>
  <c r="X1218" i="19"/>
  <c r="AK1219" i="19"/>
  <c r="S1218" i="19"/>
  <c r="AF1219" i="19"/>
  <c r="AA1218" i="19"/>
  <c r="AN1219" i="19"/>
  <c r="AD1217" i="19"/>
  <c r="AQ1218" i="19"/>
  <c r="AP1218" i="19"/>
  <c r="AC1217" i="19"/>
  <c r="AJ1218" i="19"/>
  <c r="W1217" i="19"/>
  <c r="AB1217" i="19"/>
  <c r="AO1218" i="19"/>
  <c r="T1217" i="19"/>
  <c r="AG1218" i="19"/>
  <c r="AH1218" i="19"/>
  <c r="U1217" i="19"/>
  <c r="AM1218" i="19"/>
  <c r="Z1217" i="19"/>
  <c r="Y1218" i="19"/>
  <c r="AL1219" i="19"/>
  <c r="Y1217" i="19" l="1"/>
  <c r="AL1218" i="19"/>
  <c r="AO1217" i="19"/>
  <c r="AB1216" i="19"/>
  <c r="AA1217" i="19"/>
  <c r="AN1218" i="19"/>
  <c r="AM1217" i="19"/>
  <c r="Z1216" i="19"/>
  <c r="AP1217" i="19"/>
  <c r="AC1216" i="19"/>
  <c r="S1217" i="19"/>
  <c r="AF1218" i="19"/>
  <c r="AK1218" i="19"/>
  <c r="X1217" i="19"/>
  <c r="W1216" i="19"/>
  <c r="AJ1217" i="19"/>
  <c r="AH1217" i="19"/>
  <c r="U1216" i="19"/>
  <c r="T1216" i="19"/>
  <c r="AG1217" i="19"/>
  <c r="AD1216" i="19"/>
  <c r="AQ1217" i="19"/>
  <c r="V1216" i="19"/>
  <c r="AI1217" i="19"/>
  <c r="V1215" i="19" l="1"/>
  <c r="AI1216" i="19"/>
  <c r="W1215" i="19"/>
  <c r="AJ1216" i="19"/>
  <c r="X1216" i="19"/>
  <c r="AK1217" i="19"/>
  <c r="AM1216" i="19"/>
  <c r="Z1215" i="19"/>
  <c r="AO1216" i="19"/>
  <c r="AB1215" i="19"/>
  <c r="AG1216" i="19"/>
  <c r="T1215" i="19"/>
  <c r="S1216" i="19"/>
  <c r="AF1217" i="19"/>
  <c r="AD1215" i="19"/>
  <c r="AQ1216" i="19"/>
  <c r="AH1216" i="19"/>
  <c r="U1215" i="19"/>
  <c r="AP1216" i="19"/>
  <c r="AC1215" i="19"/>
  <c r="AN1217" i="19"/>
  <c r="AA1216" i="19"/>
  <c r="Y1216" i="19"/>
  <c r="AL1217" i="19"/>
  <c r="AM1215" i="19" l="1"/>
  <c r="Z1214" i="19"/>
  <c r="X1215" i="19"/>
  <c r="AK1216" i="19"/>
  <c r="AD1214" i="19"/>
  <c r="AQ1215" i="19"/>
  <c r="AP1215" i="19"/>
  <c r="AC1214" i="19"/>
  <c r="AJ1215" i="19"/>
  <c r="W1214" i="19"/>
  <c r="AF1216" i="19"/>
  <c r="S1215" i="19"/>
  <c r="AH1215" i="19"/>
  <c r="U1214" i="19"/>
  <c r="AB1214" i="19"/>
  <c r="AO1215" i="19"/>
  <c r="Y1215" i="19"/>
  <c r="AL1216" i="19"/>
  <c r="AA1215" i="19"/>
  <c r="AN1216" i="19"/>
  <c r="AG1215" i="19"/>
  <c r="T1214" i="19"/>
  <c r="V1214" i="19"/>
  <c r="AI1215" i="19"/>
  <c r="AP1214" i="19" l="1"/>
  <c r="AC1213" i="19"/>
  <c r="V1213" i="19"/>
  <c r="AI1214" i="19"/>
  <c r="T1213" i="19"/>
  <c r="AG1214" i="19"/>
  <c r="AH1214" i="19"/>
  <c r="U1213" i="19"/>
  <c r="AB1213" i="19"/>
  <c r="AO1214" i="19"/>
  <c r="S1214" i="19"/>
  <c r="AF1215" i="19"/>
  <c r="AA1214" i="19"/>
  <c r="AN1215" i="19"/>
  <c r="X1214" i="19"/>
  <c r="AK1215" i="19"/>
  <c r="AD1213" i="19"/>
  <c r="AQ1214" i="19"/>
  <c r="AJ1214" i="19"/>
  <c r="W1213" i="19"/>
  <c r="AM1214" i="19"/>
  <c r="Z1213" i="19"/>
  <c r="Y1214" i="19"/>
  <c r="AL1215" i="19"/>
  <c r="Y1213" i="19" l="1"/>
  <c r="AL1214" i="19"/>
  <c r="AK1214" i="19"/>
  <c r="X1213" i="19"/>
  <c r="AA1213" i="19"/>
  <c r="AN1214" i="19"/>
  <c r="AH1213" i="19"/>
  <c r="U1212" i="19"/>
  <c r="W1212" i="19"/>
  <c r="AJ1213" i="19"/>
  <c r="AF1214" i="19"/>
  <c r="S1213" i="19"/>
  <c r="V1212" i="19"/>
  <c r="AI1213" i="19"/>
  <c r="AM1213" i="19"/>
  <c r="Z1212" i="19"/>
  <c r="T1212" i="19"/>
  <c r="AG1213" i="19"/>
  <c r="AP1213" i="19"/>
  <c r="AC1212" i="19"/>
  <c r="AD1212" i="19"/>
  <c r="AQ1213" i="19"/>
  <c r="AO1213" i="19"/>
  <c r="AB1212" i="19"/>
  <c r="AM1212" i="19" l="1"/>
  <c r="Z1211" i="19"/>
  <c r="S1212" i="19"/>
  <c r="AF1213" i="19"/>
  <c r="X1212" i="19"/>
  <c r="AK1213" i="19"/>
  <c r="AO1212" i="19"/>
  <c r="AB1211" i="19"/>
  <c r="AN1213" i="19"/>
  <c r="AA1212" i="19"/>
  <c r="AH1212" i="19"/>
  <c r="U1211" i="19"/>
  <c r="AD1211" i="19"/>
  <c r="AQ1212" i="19"/>
  <c r="AP1212" i="19"/>
  <c r="AC1211" i="19"/>
  <c r="V1211" i="19"/>
  <c r="AI1212" i="19"/>
  <c r="AG1212" i="19"/>
  <c r="T1211" i="19"/>
  <c r="W1211" i="19"/>
  <c r="AJ1212" i="19"/>
  <c r="Y1212" i="19"/>
  <c r="AL1213" i="19"/>
  <c r="Y1211" i="19" l="1"/>
  <c r="AL1212" i="19"/>
  <c r="AJ1211" i="19"/>
  <c r="W1210" i="19"/>
  <c r="AG1211" i="19"/>
  <c r="T1210" i="19"/>
  <c r="AP1211" i="19"/>
  <c r="AC1210" i="19"/>
  <c r="AD1210" i="19"/>
  <c r="AQ1211" i="19"/>
  <c r="AF1212" i="19"/>
  <c r="S1211" i="19"/>
  <c r="X1211" i="19"/>
  <c r="AK1212" i="19"/>
  <c r="AA1211" i="19"/>
  <c r="AN1212" i="19"/>
  <c r="AM1211" i="19"/>
  <c r="Z1210" i="19"/>
  <c r="AB1210" i="19"/>
  <c r="AO1211" i="19"/>
  <c r="AH1211" i="19"/>
  <c r="U1210" i="19"/>
  <c r="V1210" i="19"/>
  <c r="AI1211" i="19"/>
  <c r="V1209" i="19" l="1"/>
  <c r="AI1210" i="19"/>
  <c r="AN1211" i="19"/>
  <c r="AA1210" i="19"/>
  <c r="AH1210" i="19"/>
  <c r="U1209" i="19"/>
  <c r="T1209" i="19"/>
  <c r="AG1210" i="19"/>
  <c r="AJ1210" i="19"/>
  <c r="W1209" i="19"/>
  <c r="AB1209" i="19"/>
  <c r="AO1210" i="19"/>
  <c r="X1210" i="19"/>
  <c r="AK1211" i="19"/>
  <c r="S1210" i="19"/>
  <c r="AF1211" i="19"/>
  <c r="AM1210" i="19"/>
  <c r="Z1209" i="19"/>
  <c r="AP1210" i="19"/>
  <c r="AC1209" i="19"/>
  <c r="AD1209" i="19"/>
  <c r="AQ1210" i="19"/>
  <c r="Y1210" i="19"/>
  <c r="AL1211" i="19"/>
  <c r="AF1210" i="19" l="1"/>
  <c r="S1209" i="19"/>
  <c r="T1208" i="19"/>
  <c r="AG1209" i="19"/>
  <c r="AH1209" i="19"/>
  <c r="U1208" i="19"/>
  <c r="AA1209" i="19"/>
  <c r="AN1210" i="19"/>
  <c r="AP1209" i="19"/>
  <c r="AC1208" i="19"/>
  <c r="AO1209" i="19"/>
  <c r="AB1208" i="19"/>
  <c r="AD1208" i="19"/>
  <c r="AQ1209" i="19"/>
  <c r="AM1209" i="19"/>
  <c r="Z1208" i="19"/>
  <c r="W1208" i="19"/>
  <c r="AJ1209" i="19"/>
  <c r="Y1209" i="19"/>
  <c r="AL1210" i="19"/>
  <c r="AK1210" i="19"/>
  <c r="X1209" i="19"/>
  <c r="V1208" i="19"/>
  <c r="AI1209" i="19"/>
  <c r="V1207" i="19" l="1"/>
  <c r="AI1208" i="19"/>
  <c r="AN1209" i="19"/>
  <c r="AA1208" i="19"/>
  <c r="AO1208" i="19"/>
  <c r="AB1207" i="19"/>
  <c r="X1208" i="19"/>
  <c r="AK1209" i="19"/>
  <c r="Y1208" i="19"/>
  <c r="AL1209" i="19"/>
  <c r="AG1208" i="19"/>
  <c r="T1207" i="19"/>
  <c r="AM1208" i="19"/>
  <c r="Z1207" i="19"/>
  <c r="AD1207" i="19"/>
  <c r="AQ1208" i="19"/>
  <c r="AP1208" i="19"/>
  <c r="AC1207" i="19"/>
  <c r="S1208" i="19"/>
  <c r="AF1209" i="19"/>
  <c r="AH1208" i="19"/>
  <c r="U1207" i="19"/>
  <c r="W1207" i="19"/>
  <c r="AJ1208" i="19"/>
  <c r="AJ1207" i="19" l="1"/>
  <c r="W1206" i="19"/>
  <c r="AD1206" i="19"/>
  <c r="AQ1207" i="19"/>
  <c r="X1207" i="19"/>
  <c r="AK1208" i="19"/>
  <c r="AM1207" i="19"/>
  <c r="Z1206" i="19"/>
  <c r="AG1207" i="19"/>
  <c r="T1206" i="19"/>
  <c r="AA1207" i="19"/>
  <c r="AN1208" i="19"/>
  <c r="AF1208" i="19"/>
  <c r="S1207" i="19"/>
  <c r="AH1207" i="19"/>
  <c r="U1206" i="19"/>
  <c r="AP1207" i="19"/>
  <c r="AC1206" i="19"/>
  <c r="AB1206" i="19"/>
  <c r="AO1207" i="19"/>
  <c r="Y1207" i="19"/>
  <c r="AL1208" i="19"/>
  <c r="V1206" i="19"/>
  <c r="AI1207" i="19"/>
  <c r="V1205" i="19" l="1"/>
  <c r="AI1206" i="19"/>
  <c r="X1206" i="19"/>
  <c r="AK1207" i="19"/>
  <c r="AH1206" i="19"/>
  <c r="U1205" i="19"/>
  <c r="AM1206" i="19"/>
  <c r="Z1205" i="19"/>
  <c r="Y1206" i="19"/>
  <c r="AL1207" i="19"/>
  <c r="AB1205" i="19"/>
  <c r="AO1206" i="19"/>
  <c r="AA1206" i="19"/>
  <c r="AN1207" i="19"/>
  <c r="AD1205" i="19"/>
  <c r="AQ1206" i="19"/>
  <c r="S1206" i="19"/>
  <c r="AF1207" i="19"/>
  <c r="AP1206" i="19"/>
  <c r="AC1205" i="19"/>
  <c r="T1205" i="19"/>
  <c r="AG1206" i="19"/>
  <c r="AJ1206" i="19"/>
  <c r="W1205" i="19"/>
  <c r="W1204" i="19" l="1"/>
  <c r="AJ1205" i="19"/>
  <c r="AA1205" i="19"/>
  <c r="AN1206" i="19"/>
  <c r="AD1204" i="19"/>
  <c r="AQ1205" i="19"/>
  <c r="T1204" i="19"/>
  <c r="AG1205" i="19"/>
  <c r="AO1205" i="19"/>
  <c r="AB1204" i="19"/>
  <c r="AK1206" i="19"/>
  <c r="X1205" i="19"/>
  <c r="AM1205" i="19"/>
  <c r="Z1204" i="19"/>
  <c r="AH1205" i="19"/>
  <c r="U1204" i="19"/>
  <c r="AP1205" i="19"/>
  <c r="AC1204" i="19"/>
  <c r="S1205" i="19"/>
  <c r="AF1206" i="19"/>
  <c r="Y1205" i="19"/>
  <c r="AL1206" i="19"/>
  <c r="V1204" i="19"/>
  <c r="AI1205" i="19"/>
  <c r="V1203" i="19" l="1"/>
  <c r="AI1204" i="19"/>
  <c r="AG1204" i="19"/>
  <c r="T1203" i="19"/>
  <c r="AM1204" i="19"/>
  <c r="Z1203" i="19"/>
  <c r="AD1203" i="19"/>
  <c r="AQ1204" i="19"/>
  <c r="AH1204" i="19"/>
  <c r="U1203" i="19"/>
  <c r="X1204" i="19"/>
  <c r="AK1205" i="19"/>
  <c r="S1204" i="19"/>
  <c r="AF1205" i="19"/>
  <c r="AN1205" i="19"/>
  <c r="AA1204" i="19"/>
  <c r="AP1204" i="19"/>
  <c r="AC1203" i="19"/>
  <c r="AO1204" i="19"/>
  <c r="AB1203" i="19"/>
  <c r="Y1204" i="19"/>
  <c r="AL1205" i="19"/>
  <c r="W1203" i="19"/>
  <c r="AJ1204" i="19"/>
  <c r="AJ1203" i="19" l="1"/>
  <c r="W1202" i="19"/>
  <c r="AD1202" i="19"/>
  <c r="AQ1203" i="19"/>
  <c r="Y1203" i="19"/>
  <c r="AL1204" i="19"/>
  <c r="AA1203" i="19"/>
  <c r="AN1204" i="19"/>
  <c r="AG1203" i="19"/>
  <c r="T1202" i="19"/>
  <c r="AM1203" i="19"/>
  <c r="Z1202" i="19"/>
  <c r="AB1202" i="19"/>
  <c r="AO1203" i="19"/>
  <c r="X1203" i="19"/>
  <c r="AK1204" i="19"/>
  <c r="AP1203" i="19"/>
  <c r="AC1202" i="19"/>
  <c r="AH1203" i="19"/>
  <c r="U1202" i="19"/>
  <c r="AF1204" i="19"/>
  <c r="S1203" i="19"/>
  <c r="V1202" i="19"/>
  <c r="AI1203" i="19"/>
  <c r="AA1202" i="19" l="1"/>
  <c r="AN1203" i="19"/>
  <c r="AM1202" i="19"/>
  <c r="Z1201" i="19"/>
  <c r="X1202" i="19"/>
  <c r="AK1203" i="19"/>
  <c r="S1202" i="19"/>
  <c r="AF1203" i="19"/>
  <c r="AD1201" i="19"/>
  <c r="AQ1202" i="19"/>
  <c r="AB1201" i="19"/>
  <c r="AO1202" i="19"/>
  <c r="AH1202" i="19"/>
  <c r="U1201" i="19"/>
  <c r="AP1202" i="19"/>
  <c r="AC1201" i="19"/>
  <c r="T1201" i="19"/>
  <c r="AG1202" i="19"/>
  <c r="AJ1202" i="19"/>
  <c r="W1201" i="19"/>
  <c r="V1201" i="19"/>
  <c r="AI1202" i="19"/>
  <c r="Y1202" i="19"/>
  <c r="AL1203" i="19"/>
  <c r="S1201" i="19" l="1"/>
  <c r="AF1202" i="19"/>
  <c r="AM1201" i="19"/>
  <c r="Z1200" i="19"/>
  <c r="AH1201" i="19"/>
  <c r="U1200" i="19"/>
  <c r="V1200" i="19"/>
  <c r="AI1201" i="19"/>
  <c r="W1200" i="19"/>
  <c r="AJ1201" i="19"/>
  <c r="AO1201" i="19"/>
  <c r="AB1200" i="19"/>
  <c r="AP1201" i="19"/>
  <c r="AC1200" i="19"/>
  <c r="Y1201" i="19"/>
  <c r="AL1202" i="19"/>
  <c r="AK1202" i="19"/>
  <c r="X1201" i="19"/>
  <c r="T1200" i="19"/>
  <c r="AG1201" i="19"/>
  <c r="AD1200" i="19"/>
  <c r="AQ1201" i="19"/>
  <c r="AA1201" i="19"/>
  <c r="AN1202" i="19"/>
  <c r="Y1200" i="19" l="1"/>
  <c r="AL1201" i="19"/>
  <c r="V1199" i="19"/>
  <c r="AI1200" i="19"/>
  <c r="AP1200" i="19"/>
  <c r="AC1199" i="19"/>
  <c r="AM1200" i="19"/>
  <c r="Z1199" i="19"/>
  <c r="AG1200" i="19"/>
  <c r="T1199" i="19"/>
  <c r="AH1200" i="19"/>
  <c r="U1199" i="19"/>
  <c r="AD1199" i="19"/>
  <c r="AQ1200" i="19"/>
  <c r="AO1200" i="19"/>
  <c r="AB1199" i="19"/>
  <c r="X1200" i="19"/>
  <c r="AK1201" i="19"/>
  <c r="AN1201" i="19"/>
  <c r="AA1200" i="19"/>
  <c r="W1199" i="19"/>
  <c r="AJ1200" i="19"/>
  <c r="S1200" i="19"/>
  <c r="AF1201" i="19"/>
  <c r="AJ1199" i="19" l="1"/>
  <c r="W1198" i="19"/>
  <c r="AD1198" i="19"/>
  <c r="AQ1199" i="19"/>
  <c r="AM1199" i="19"/>
  <c r="Z1198" i="19"/>
  <c r="AH1199" i="19"/>
  <c r="U1198" i="19"/>
  <c r="AF1200" i="19"/>
  <c r="S1199" i="19"/>
  <c r="AP1199" i="19"/>
  <c r="AC1198" i="19"/>
  <c r="V1198" i="19"/>
  <c r="AI1199" i="19"/>
  <c r="AG1199" i="19"/>
  <c r="T1198" i="19"/>
  <c r="AB1198" i="19"/>
  <c r="AO1199" i="19"/>
  <c r="AA1199" i="19"/>
  <c r="AN1200" i="19"/>
  <c r="X1199" i="19"/>
  <c r="AK1200" i="19"/>
  <c r="Y1199" i="19"/>
  <c r="AL1200" i="19"/>
  <c r="AM1198" i="19" l="1"/>
  <c r="Z1197" i="19"/>
  <c r="V1197" i="19"/>
  <c r="AI1198" i="19"/>
  <c r="Y1198" i="19"/>
  <c r="AL1199" i="19"/>
  <c r="T1197" i="19"/>
  <c r="AG1198" i="19"/>
  <c r="AA1198" i="19"/>
  <c r="AN1199" i="19"/>
  <c r="AD1197" i="19"/>
  <c r="AQ1198" i="19"/>
  <c r="AH1198" i="19"/>
  <c r="U1197" i="19"/>
  <c r="S1198" i="19"/>
  <c r="AF1199" i="19"/>
  <c r="AJ1198" i="19"/>
  <c r="W1197" i="19"/>
  <c r="X1198" i="19"/>
  <c r="AK1199" i="19"/>
  <c r="AP1198" i="19"/>
  <c r="AC1197" i="19"/>
  <c r="AB1197" i="19"/>
  <c r="AO1198" i="19"/>
  <c r="T1196" i="19" l="1"/>
  <c r="AG1197" i="19"/>
  <c r="AH1197" i="19"/>
  <c r="U1196" i="19"/>
  <c r="S1197" i="19"/>
  <c r="AF1198" i="19"/>
  <c r="AK1198" i="19"/>
  <c r="X1197" i="19"/>
  <c r="AD1196" i="19"/>
  <c r="AQ1197" i="19"/>
  <c r="V1196" i="19"/>
  <c r="AI1197" i="19"/>
  <c r="AB1196" i="19"/>
  <c r="AO1197" i="19"/>
  <c r="AJ1197" i="19"/>
  <c r="W1196" i="19"/>
  <c r="AM1197" i="19"/>
  <c r="Z1196" i="19"/>
  <c r="AP1197" i="19"/>
  <c r="AC1196" i="19"/>
  <c r="Y1197" i="19"/>
  <c r="AL1198" i="19"/>
  <c r="AA1197" i="19"/>
  <c r="AN1198" i="19"/>
  <c r="AA1196" i="19" l="1"/>
  <c r="AN1197" i="19"/>
  <c r="AJ1196" i="19"/>
  <c r="W1195" i="19"/>
  <c r="AH1196" i="19"/>
  <c r="U1195" i="19"/>
  <c r="AO1196" i="19"/>
  <c r="AB1195" i="19"/>
  <c r="AP1196" i="19"/>
  <c r="AC1195" i="19"/>
  <c r="V1195" i="19"/>
  <c r="AI1196" i="19"/>
  <c r="X1196" i="19"/>
  <c r="AK1197" i="19"/>
  <c r="S1196" i="19"/>
  <c r="AF1197" i="19"/>
  <c r="AM1196" i="19"/>
  <c r="Z1195" i="19"/>
  <c r="Y1196" i="19"/>
  <c r="AL1197" i="19"/>
  <c r="AD1195" i="19"/>
  <c r="AQ1196" i="19"/>
  <c r="AG1196" i="19"/>
  <c r="T1195" i="19"/>
  <c r="S1195" i="19" l="1"/>
  <c r="AF1196" i="19"/>
  <c r="AG1195" i="19"/>
  <c r="T1194" i="19"/>
  <c r="AD1194" i="19"/>
  <c r="AQ1195" i="19"/>
  <c r="AO1195" i="19"/>
  <c r="AB1194" i="19"/>
  <c r="AJ1195" i="19"/>
  <c r="W1194" i="19"/>
  <c r="AH1195" i="19"/>
  <c r="U1194" i="19"/>
  <c r="X1195" i="19"/>
  <c r="AK1196" i="19"/>
  <c r="Y1195" i="19"/>
  <c r="AL1196" i="19"/>
  <c r="V1194" i="19"/>
  <c r="AI1195" i="19"/>
  <c r="AM1195" i="19"/>
  <c r="Z1194" i="19"/>
  <c r="AP1195" i="19"/>
  <c r="AC1194" i="19"/>
  <c r="AA1195" i="19"/>
  <c r="AN1196" i="19"/>
  <c r="AA1194" i="19" l="1"/>
  <c r="AN1195" i="19"/>
  <c r="Y1194" i="19"/>
  <c r="AL1195" i="19"/>
  <c r="AH1194" i="19"/>
  <c r="U1193" i="19"/>
  <c r="T1193" i="19"/>
  <c r="AG1194" i="19"/>
  <c r="AB1193" i="19"/>
  <c r="AO1194" i="19"/>
  <c r="AM1194" i="19"/>
  <c r="Z1193" i="19"/>
  <c r="AK1195" i="19"/>
  <c r="X1194" i="19"/>
  <c r="AJ1194" i="19"/>
  <c r="W1193" i="19"/>
  <c r="AP1194" i="19"/>
  <c r="AC1193" i="19"/>
  <c r="AD1193" i="19"/>
  <c r="AQ1194" i="19"/>
  <c r="V1193" i="19"/>
  <c r="AI1194" i="19"/>
  <c r="S1194" i="19"/>
  <c r="AF1195" i="19"/>
  <c r="S1193" i="19" l="1"/>
  <c r="AF1194" i="19"/>
  <c r="AG1193" i="19"/>
  <c r="T1192" i="19"/>
  <c r="AJ1193" i="19"/>
  <c r="W1192" i="19"/>
  <c r="AM1193" i="19"/>
  <c r="Z1192" i="19"/>
  <c r="AH1193" i="19"/>
  <c r="U1192" i="19"/>
  <c r="AD1192" i="19"/>
  <c r="AQ1193" i="19"/>
  <c r="Y1193" i="19"/>
  <c r="AL1194" i="19"/>
  <c r="AK1194" i="19"/>
  <c r="X1193" i="19"/>
  <c r="V1192" i="19"/>
  <c r="AI1193" i="19"/>
  <c r="AP1193" i="19"/>
  <c r="AC1192" i="19"/>
  <c r="AO1193" i="19"/>
  <c r="AB1192" i="19"/>
  <c r="AA1193" i="19"/>
  <c r="AN1194" i="19"/>
  <c r="AM1192" i="19" l="1"/>
  <c r="Z1191" i="19"/>
  <c r="AA1192" i="19"/>
  <c r="AN1193" i="19"/>
  <c r="Y1192" i="19"/>
  <c r="AL1193" i="19"/>
  <c r="AO1192" i="19"/>
  <c r="AB1191" i="19"/>
  <c r="AG1192" i="19"/>
  <c r="T1191" i="19"/>
  <c r="AJ1192" i="19"/>
  <c r="W1191" i="19"/>
  <c r="AD1191" i="19"/>
  <c r="AQ1192" i="19"/>
  <c r="AH1192" i="19"/>
  <c r="U1191" i="19"/>
  <c r="AK1193" i="19"/>
  <c r="X1192" i="19"/>
  <c r="AP1192" i="19"/>
  <c r="AC1191" i="19"/>
  <c r="V1191" i="19"/>
  <c r="AI1192" i="19"/>
  <c r="S1192" i="19"/>
  <c r="AF1193" i="19"/>
  <c r="AH1191" i="19" l="1"/>
  <c r="U1190" i="19"/>
  <c r="Y1191" i="19"/>
  <c r="AL1192" i="19"/>
  <c r="AJ1191" i="19"/>
  <c r="W1190" i="19"/>
  <c r="AA1191" i="19"/>
  <c r="AN1192" i="19"/>
  <c r="S1191" i="19"/>
  <c r="AF1192" i="19"/>
  <c r="V1190" i="19"/>
  <c r="AI1191" i="19"/>
  <c r="AP1191" i="19"/>
  <c r="AC1190" i="19"/>
  <c r="AK1192" i="19"/>
  <c r="X1191" i="19"/>
  <c r="AG1191" i="19"/>
  <c r="T1190" i="19"/>
  <c r="AM1191" i="19"/>
  <c r="Z1190" i="19"/>
  <c r="AB1190" i="19"/>
  <c r="AO1191" i="19"/>
  <c r="AD1190" i="19"/>
  <c r="AQ1191" i="19"/>
  <c r="AD1189" i="19" l="1"/>
  <c r="AQ1190" i="19"/>
  <c r="AA1190" i="19"/>
  <c r="AN1191" i="19"/>
  <c r="AO1190" i="19"/>
  <c r="AB1189" i="19"/>
  <c r="AK1191" i="19"/>
  <c r="X1190" i="19"/>
  <c r="AP1190" i="19"/>
  <c r="AC1189" i="19"/>
  <c r="AJ1190" i="19"/>
  <c r="W1189" i="19"/>
  <c r="V1189" i="19"/>
  <c r="AI1190" i="19"/>
  <c r="Y1190" i="19"/>
  <c r="AL1191" i="19"/>
  <c r="AG1190" i="19"/>
  <c r="T1189" i="19"/>
  <c r="AH1190" i="19"/>
  <c r="U1189" i="19"/>
  <c r="AM1190" i="19"/>
  <c r="Z1189" i="19"/>
  <c r="S1190" i="19"/>
  <c r="AF1191" i="19"/>
  <c r="Y1189" i="19" l="1"/>
  <c r="AL1190" i="19"/>
  <c r="AK1190" i="19"/>
  <c r="X1189" i="19"/>
  <c r="S1189" i="19"/>
  <c r="AF1190" i="19"/>
  <c r="AO1189" i="19"/>
  <c r="AB1188" i="19"/>
  <c r="V1188" i="19"/>
  <c r="AI1189" i="19"/>
  <c r="AH1189" i="19"/>
  <c r="U1188" i="19"/>
  <c r="AA1189" i="19"/>
  <c r="AN1190" i="19"/>
  <c r="AJ1189" i="19"/>
  <c r="W1188" i="19"/>
  <c r="AG1189" i="19"/>
  <c r="T1188" i="19"/>
  <c r="AP1189" i="19"/>
  <c r="AC1188" i="19"/>
  <c r="AM1189" i="19"/>
  <c r="Z1188" i="19"/>
  <c r="AD1188" i="19"/>
  <c r="AQ1189" i="19"/>
  <c r="AO1188" i="19" l="1"/>
  <c r="AB1187" i="19"/>
  <c r="X1188" i="19"/>
  <c r="AK1189" i="19"/>
  <c r="AM1188" i="19"/>
  <c r="Z1187" i="19"/>
  <c r="AP1188" i="19"/>
  <c r="AC1187" i="19"/>
  <c r="AJ1188" i="19"/>
  <c r="W1187" i="19"/>
  <c r="S1188" i="19"/>
  <c r="AF1189" i="19"/>
  <c r="AH1188" i="19"/>
  <c r="U1187" i="19"/>
  <c r="AG1188" i="19"/>
  <c r="T1187" i="19"/>
  <c r="AD1187" i="19"/>
  <c r="AQ1188" i="19"/>
  <c r="AA1188" i="19"/>
  <c r="AN1189" i="19"/>
  <c r="V1187" i="19"/>
  <c r="AI1188" i="19"/>
  <c r="Y1188" i="19"/>
  <c r="AL1189" i="19"/>
  <c r="AG1187" i="19" l="1"/>
  <c r="T1186" i="19"/>
  <c r="AA1187" i="19"/>
  <c r="AN1188" i="19"/>
  <c r="S1187" i="19"/>
  <c r="AF1188" i="19"/>
  <c r="X1187" i="19"/>
  <c r="AK1188" i="19"/>
  <c r="Y1187" i="19"/>
  <c r="AL1188" i="19"/>
  <c r="AM1187" i="19"/>
  <c r="Z1186" i="19"/>
  <c r="V1186" i="19"/>
  <c r="AI1187" i="19"/>
  <c r="AJ1187" i="19"/>
  <c r="W1186" i="19"/>
  <c r="AO1187" i="19"/>
  <c r="AB1186" i="19"/>
  <c r="AP1187" i="19"/>
  <c r="AC1186" i="19"/>
  <c r="AH1187" i="19"/>
  <c r="U1186" i="19"/>
  <c r="AD1186" i="19"/>
  <c r="AQ1187" i="19"/>
  <c r="AD1185" i="19" l="1"/>
  <c r="AQ1186" i="19"/>
  <c r="AK1187" i="19"/>
  <c r="X1186" i="19"/>
  <c r="AJ1186" i="19"/>
  <c r="W1185" i="19"/>
  <c r="AH1186" i="19"/>
  <c r="U1185" i="19"/>
  <c r="AA1186" i="19"/>
  <c r="AN1187" i="19"/>
  <c r="S1186" i="19"/>
  <c r="AF1187" i="19"/>
  <c r="AP1186" i="19"/>
  <c r="AC1185" i="19"/>
  <c r="AB1185" i="19"/>
  <c r="AO1186" i="19"/>
  <c r="T1185" i="19"/>
  <c r="AG1186" i="19"/>
  <c r="V1185" i="19"/>
  <c r="AI1186" i="19"/>
  <c r="AM1186" i="19"/>
  <c r="Z1185" i="19"/>
  <c r="Y1186" i="19"/>
  <c r="AL1187" i="19"/>
  <c r="AJ1185" i="19" l="1"/>
  <c r="W1184" i="19"/>
  <c r="Y1185" i="19"/>
  <c r="AL1186" i="19"/>
  <c r="V1184" i="19"/>
  <c r="AI1185" i="19"/>
  <c r="S1185" i="19"/>
  <c r="AF1186" i="19"/>
  <c r="AM1185" i="19"/>
  <c r="Z1184" i="19"/>
  <c r="AK1186" i="19"/>
  <c r="X1185" i="19"/>
  <c r="AH1185" i="19"/>
  <c r="U1184" i="19"/>
  <c r="AO1185" i="19"/>
  <c r="AB1184" i="19"/>
  <c r="AP1185" i="19"/>
  <c r="AC1184" i="19"/>
  <c r="AG1185" i="19"/>
  <c r="T1184" i="19"/>
  <c r="AA1185" i="19"/>
  <c r="AN1186" i="19"/>
  <c r="AD1184" i="19"/>
  <c r="AQ1185" i="19"/>
  <c r="AH1184" i="19" l="1"/>
  <c r="U1183" i="19"/>
  <c r="AO1184" i="19"/>
  <c r="AB1183" i="19"/>
  <c r="V1183" i="19"/>
  <c r="AI1184" i="19"/>
  <c r="S1184" i="19"/>
  <c r="AF1185" i="19"/>
  <c r="AG1184" i="19"/>
  <c r="T1183" i="19"/>
  <c r="AK1185" i="19"/>
  <c r="X1184" i="19"/>
  <c r="AA1184" i="19"/>
  <c r="AN1185" i="19"/>
  <c r="Y1184" i="19"/>
  <c r="AL1185" i="19"/>
  <c r="AD1183" i="19"/>
  <c r="AQ1184" i="19"/>
  <c r="AP1184" i="19"/>
  <c r="AC1183" i="19"/>
  <c r="AM1184" i="19"/>
  <c r="Z1183" i="19"/>
  <c r="AJ1184" i="19"/>
  <c r="W1183" i="19"/>
  <c r="AA1183" i="19" l="1"/>
  <c r="AN1184" i="19"/>
  <c r="V1182" i="19"/>
  <c r="AI1183" i="19"/>
  <c r="AJ1183" i="19"/>
  <c r="W1182" i="19"/>
  <c r="S1183" i="19"/>
  <c r="AF1184" i="19"/>
  <c r="AK1184" i="19"/>
  <c r="X1183" i="19"/>
  <c r="AP1183" i="19"/>
  <c r="AC1182" i="19"/>
  <c r="Y1183" i="19"/>
  <c r="AL1184" i="19"/>
  <c r="AM1183" i="19"/>
  <c r="Z1182" i="19"/>
  <c r="AB1182" i="19"/>
  <c r="AO1183" i="19"/>
  <c r="AG1183" i="19"/>
  <c r="T1182" i="19"/>
  <c r="AH1183" i="19"/>
  <c r="U1182" i="19"/>
  <c r="AD1182" i="19"/>
  <c r="AQ1183" i="19"/>
  <c r="AM1182" i="19" l="1"/>
  <c r="Z1181" i="19"/>
  <c r="S1182" i="19"/>
  <c r="AF1183" i="19"/>
  <c r="Y1182" i="19"/>
  <c r="AL1183" i="19"/>
  <c r="AP1182" i="19"/>
  <c r="AC1181" i="19"/>
  <c r="V1181" i="19"/>
  <c r="AI1182" i="19"/>
  <c r="AH1182" i="19"/>
  <c r="U1181" i="19"/>
  <c r="AK1183" i="19"/>
  <c r="X1182" i="19"/>
  <c r="AD1181" i="19"/>
  <c r="AQ1182" i="19"/>
  <c r="AJ1182" i="19"/>
  <c r="W1181" i="19"/>
  <c r="AG1182" i="19"/>
  <c r="T1181" i="19"/>
  <c r="AO1182" i="19"/>
  <c r="AB1181" i="19"/>
  <c r="AA1182" i="19"/>
  <c r="AN1183" i="19"/>
  <c r="AA1181" i="19" l="1"/>
  <c r="AN1182" i="19"/>
  <c r="AD1180" i="19"/>
  <c r="AQ1181" i="19"/>
  <c r="AK1182" i="19"/>
  <c r="X1181" i="19"/>
  <c r="Y1181" i="19"/>
  <c r="AL1182" i="19"/>
  <c r="T1180" i="19"/>
  <c r="AG1181" i="19"/>
  <c r="AH1181" i="19"/>
  <c r="U1180" i="19"/>
  <c r="AP1181" i="19"/>
  <c r="AC1180" i="19"/>
  <c r="S1181" i="19"/>
  <c r="AF1182" i="19"/>
  <c r="AO1181" i="19"/>
  <c r="AB1180" i="19"/>
  <c r="AJ1181" i="19"/>
  <c r="W1180" i="19"/>
  <c r="AM1181" i="19"/>
  <c r="Z1180" i="19"/>
  <c r="V1180" i="19"/>
  <c r="AI1181" i="19"/>
  <c r="Y1180" i="19" l="1"/>
  <c r="AL1181" i="19"/>
  <c r="V1179" i="19"/>
  <c r="AI1180" i="19"/>
  <c r="AP1180" i="19"/>
  <c r="AC1179" i="19"/>
  <c r="S1180" i="19"/>
  <c r="AF1181" i="19"/>
  <c r="AM1180" i="19"/>
  <c r="Z1179" i="19"/>
  <c r="AD1179" i="19"/>
  <c r="AQ1180" i="19"/>
  <c r="X1180" i="19"/>
  <c r="AK1181" i="19"/>
  <c r="AH1180" i="19"/>
  <c r="U1179" i="19"/>
  <c r="AO1180" i="19"/>
  <c r="AB1179" i="19"/>
  <c r="AJ1180" i="19"/>
  <c r="W1179" i="19"/>
  <c r="AG1180" i="19"/>
  <c r="T1179" i="19"/>
  <c r="AA1180" i="19"/>
  <c r="AN1181" i="19"/>
  <c r="AA1179" i="19" l="1"/>
  <c r="AN1180" i="19"/>
  <c r="S1179" i="19"/>
  <c r="AF1180" i="19"/>
  <c r="AH1179" i="19"/>
  <c r="U1178" i="19"/>
  <c r="AG1179" i="19"/>
  <c r="T1178" i="19"/>
  <c r="AJ1179" i="19"/>
  <c r="W1178" i="19"/>
  <c r="AD1178" i="19"/>
  <c r="AQ1179" i="19"/>
  <c r="V1178" i="19"/>
  <c r="AI1179" i="19"/>
  <c r="AP1179" i="19"/>
  <c r="AC1178" i="19"/>
  <c r="AO1179" i="19"/>
  <c r="AB1178" i="19"/>
  <c r="AM1179" i="19"/>
  <c r="Z1178" i="19"/>
  <c r="X1179" i="19"/>
  <c r="AK1180" i="19"/>
  <c r="Y1179" i="19"/>
  <c r="AL1180" i="19"/>
  <c r="T1177" i="19" l="1"/>
  <c r="AG1178" i="19"/>
  <c r="AH1178" i="19"/>
  <c r="U1177" i="19"/>
  <c r="AM1178" i="19"/>
  <c r="Z1177" i="19"/>
  <c r="AD1177" i="19"/>
  <c r="AQ1178" i="19"/>
  <c r="S1178" i="19"/>
  <c r="AF1179" i="19"/>
  <c r="AP1178" i="19"/>
  <c r="AC1177" i="19"/>
  <c r="V1177" i="19"/>
  <c r="AI1178" i="19"/>
  <c r="AO1178" i="19"/>
  <c r="AB1177" i="19"/>
  <c r="AJ1178" i="19"/>
  <c r="W1177" i="19"/>
  <c r="Y1178" i="19"/>
  <c r="AL1179" i="19"/>
  <c r="AK1179" i="19"/>
  <c r="X1178" i="19"/>
  <c r="AA1178" i="19"/>
  <c r="AN1179" i="19"/>
  <c r="AD1176" i="19" l="1"/>
  <c r="AQ1177" i="19"/>
  <c r="AM1177" i="19"/>
  <c r="Z1176" i="19"/>
  <c r="AH1177" i="19"/>
  <c r="U1176" i="19"/>
  <c r="AK1178" i="19"/>
  <c r="X1177" i="19"/>
  <c r="Y1177" i="19"/>
  <c r="AL1178" i="19"/>
  <c r="V1176" i="19"/>
  <c r="AI1177" i="19"/>
  <c r="AJ1177" i="19"/>
  <c r="W1176" i="19"/>
  <c r="AO1177" i="19"/>
  <c r="AB1176" i="19"/>
  <c r="AA1177" i="19"/>
  <c r="AN1178" i="19"/>
  <c r="AP1177" i="19"/>
  <c r="AC1176" i="19"/>
  <c r="S1177" i="19"/>
  <c r="AF1178" i="19"/>
  <c r="AG1177" i="19"/>
  <c r="T1176" i="19"/>
  <c r="AG1176" i="19" l="1"/>
  <c r="T1175" i="19"/>
  <c r="AM1176" i="19"/>
  <c r="Z1175" i="19"/>
  <c r="AO1176" i="19"/>
  <c r="AB1175" i="19"/>
  <c r="V1175" i="19"/>
  <c r="AI1176" i="19"/>
  <c r="AJ1176" i="19"/>
  <c r="W1175" i="19"/>
  <c r="AK1177" i="19"/>
  <c r="X1176" i="19"/>
  <c r="AH1176" i="19"/>
  <c r="U1175" i="19"/>
  <c r="S1176" i="19"/>
  <c r="AF1177" i="19"/>
  <c r="AP1176" i="19"/>
  <c r="AC1175" i="19"/>
  <c r="AA1176" i="19"/>
  <c r="AN1177" i="19"/>
  <c r="Y1176" i="19"/>
  <c r="AL1177" i="19"/>
  <c r="AD1175" i="19"/>
  <c r="AQ1176" i="19"/>
  <c r="S1175" i="19" l="1"/>
  <c r="AF1176" i="19"/>
  <c r="V1174" i="19"/>
  <c r="AI1175" i="19"/>
  <c r="AB1174" i="19"/>
  <c r="AO1175" i="19"/>
  <c r="AM1175" i="19"/>
  <c r="Z1174" i="19"/>
  <c r="AH1175" i="19"/>
  <c r="U1174" i="19"/>
  <c r="Y1175" i="19"/>
  <c r="AL1176" i="19"/>
  <c r="X1175" i="19"/>
  <c r="AK1176" i="19"/>
  <c r="AA1175" i="19"/>
  <c r="AN1176" i="19"/>
  <c r="AD1174" i="19"/>
  <c r="AQ1175" i="19"/>
  <c r="AP1175" i="19"/>
  <c r="AC1174" i="19"/>
  <c r="AJ1175" i="19"/>
  <c r="W1174" i="19"/>
  <c r="AG1175" i="19"/>
  <c r="T1174" i="19"/>
  <c r="S1174" i="19" l="1"/>
  <c r="AF1175" i="19"/>
  <c r="AA1174" i="19"/>
  <c r="AN1175" i="19"/>
  <c r="AK1175" i="19"/>
  <c r="X1174" i="19"/>
  <c r="AD1173" i="19"/>
  <c r="AQ1174" i="19"/>
  <c r="AG1174" i="19"/>
  <c r="T1173" i="19"/>
  <c r="AJ1174" i="19"/>
  <c r="W1173" i="19"/>
  <c r="AO1174" i="19"/>
  <c r="AB1173" i="19"/>
  <c r="Y1174" i="19"/>
  <c r="AL1175" i="19"/>
  <c r="V1173" i="19"/>
  <c r="AI1174" i="19"/>
  <c r="AM1174" i="19"/>
  <c r="Z1173" i="19"/>
  <c r="AP1174" i="19"/>
  <c r="AC1173" i="19"/>
  <c r="AH1174" i="19"/>
  <c r="U1173" i="19"/>
  <c r="AH1173" i="19" l="1"/>
  <c r="U1172" i="19"/>
  <c r="AP1173" i="19"/>
  <c r="AC1172" i="19"/>
  <c r="AO1173" i="19"/>
  <c r="AB1172" i="19"/>
  <c r="AK1174" i="19"/>
  <c r="X1173" i="19"/>
  <c r="Y1173" i="19"/>
  <c r="AL1174" i="19"/>
  <c r="AM1173" i="19"/>
  <c r="Z1172" i="19"/>
  <c r="AJ1173" i="19"/>
  <c r="W1172" i="19"/>
  <c r="AA1173" i="19"/>
  <c r="AN1174" i="19"/>
  <c r="AD1172" i="19"/>
  <c r="AQ1173" i="19"/>
  <c r="T1172" i="19"/>
  <c r="AG1173" i="19"/>
  <c r="V1172" i="19"/>
  <c r="AI1173" i="19"/>
  <c r="S1173" i="19"/>
  <c r="AF1174" i="19"/>
  <c r="AA1172" i="19" l="1"/>
  <c r="AN1173" i="19"/>
  <c r="V1171" i="19"/>
  <c r="AI1172" i="19"/>
  <c r="AM1172" i="19"/>
  <c r="Z1171" i="19"/>
  <c r="AP1172" i="19"/>
  <c r="AC1171" i="19"/>
  <c r="X1172" i="19"/>
  <c r="AK1173" i="19"/>
  <c r="AJ1172" i="19"/>
  <c r="W1171" i="19"/>
  <c r="AG1172" i="19"/>
  <c r="T1171" i="19"/>
  <c r="S1172" i="19"/>
  <c r="AF1173" i="19"/>
  <c r="AO1172" i="19"/>
  <c r="AB1171" i="19"/>
  <c r="AH1172" i="19"/>
  <c r="U1171" i="19"/>
  <c r="AD1171" i="19"/>
  <c r="AQ1172" i="19"/>
  <c r="Y1172" i="19"/>
  <c r="AL1173" i="19"/>
  <c r="Y1171" i="19" l="1"/>
  <c r="AL1172" i="19"/>
  <c r="S1171" i="19"/>
  <c r="AF1172" i="19"/>
  <c r="AG1171" i="19"/>
  <c r="T1170" i="19"/>
  <c r="AM1171" i="19"/>
  <c r="Z1170" i="19"/>
  <c r="AJ1171" i="19"/>
  <c r="W1170" i="19"/>
  <c r="AP1171" i="19"/>
  <c r="AC1170" i="19"/>
  <c r="AD1170" i="19"/>
  <c r="AQ1171" i="19"/>
  <c r="V1170" i="19"/>
  <c r="AI1171" i="19"/>
  <c r="AO1171" i="19"/>
  <c r="AB1170" i="19"/>
  <c r="AH1171" i="19"/>
  <c r="U1170" i="19"/>
  <c r="X1171" i="19"/>
  <c r="AK1172" i="19"/>
  <c r="AA1171" i="19"/>
  <c r="AN1172" i="19"/>
  <c r="AA1170" i="19" l="1"/>
  <c r="AN1171" i="19"/>
  <c r="V1169" i="19"/>
  <c r="AI1170" i="19"/>
  <c r="AK1171" i="19"/>
  <c r="X1170" i="19"/>
  <c r="AH1170" i="19"/>
  <c r="U1169" i="19"/>
  <c r="AD1169" i="19"/>
  <c r="AQ1170" i="19"/>
  <c r="AP1170" i="19"/>
  <c r="AC1169" i="19"/>
  <c r="S1170" i="19"/>
  <c r="AF1171" i="19"/>
  <c r="AM1170" i="19"/>
  <c r="Z1169" i="19"/>
  <c r="T1169" i="19"/>
  <c r="AG1170" i="19"/>
  <c r="AB1169" i="19"/>
  <c r="AO1170" i="19"/>
  <c r="AJ1170" i="19"/>
  <c r="W1169" i="19"/>
  <c r="Y1170" i="19"/>
  <c r="AL1171" i="19"/>
  <c r="AM1169" i="19" l="1"/>
  <c r="Z1168" i="19"/>
  <c r="AP1169" i="19"/>
  <c r="AC1168" i="19"/>
  <c r="AH1169" i="19"/>
  <c r="U1168" i="19"/>
  <c r="AJ1169" i="19"/>
  <c r="W1168" i="19"/>
  <c r="AO1169" i="19"/>
  <c r="AB1168" i="19"/>
  <c r="V1168" i="19"/>
  <c r="AI1169" i="19"/>
  <c r="AK1170" i="19"/>
  <c r="X1169" i="19"/>
  <c r="Y1169" i="19"/>
  <c r="AL1170" i="19"/>
  <c r="S1169" i="19"/>
  <c r="AF1170" i="19"/>
  <c r="AG1169" i="19"/>
  <c r="T1168" i="19"/>
  <c r="AD1168" i="19"/>
  <c r="AQ1169" i="19"/>
  <c r="AA1169" i="19"/>
  <c r="AN1170" i="19"/>
  <c r="Y1168" i="19" l="1"/>
  <c r="AL1169" i="19"/>
  <c r="AH1168" i="19"/>
  <c r="U1167" i="19"/>
  <c r="AP1168" i="19"/>
  <c r="AC1167" i="19"/>
  <c r="AK1169" i="19"/>
  <c r="X1168" i="19"/>
  <c r="V1167" i="19"/>
  <c r="AI1168" i="19"/>
  <c r="AA1168" i="19"/>
  <c r="AN1169" i="19"/>
  <c r="AO1168" i="19"/>
  <c r="AB1167" i="19"/>
  <c r="AM1168" i="19"/>
  <c r="Z1167" i="19"/>
  <c r="AJ1168" i="19"/>
  <c r="W1167" i="19"/>
  <c r="AD1167" i="19"/>
  <c r="AQ1168" i="19"/>
  <c r="AG1168" i="19"/>
  <c r="T1167" i="19"/>
  <c r="S1168" i="19"/>
  <c r="AF1169" i="19"/>
  <c r="S1167" i="19" l="1"/>
  <c r="AF1168" i="19"/>
  <c r="X1167" i="19"/>
  <c r="AK1168" i="19"/>
  <c r="AP1167" i="19"/>
  <c r="AC1166" i="19"/>
  <c r="AH1167" i="19"/>
  <c r="U1166" i="19"/>
  <c r="AB1166" i="19"/>
  <c r="AO1167" i="19"/>
  <c r="AD1166" i="19"/>
  <c r="AQ1167" i="19"/>
  <c r="AA1167" i="19"/>
  <c r="AN1168" i="19"/>
  <c r="AM1167" i="19"/>
  <c r="Z1166" i="19"/>
  <c r="AJ1167" i="19"/>
  <c r="W1166" i="19"/>
  <c r="AG1167" i="19"/>
  <c r="T1166" i="19"/>
  <c r="V1166" i="19"/>
  <c r="AI1167" i="19"/>
  <c r="Y1167" i="19"/>
  <c r="AL1168" i="19"/>
  <c r="AM1166" i="19" l="1"/>
  <c r="Z1165" i="19"/>
  <c r="AH1166" i="19"/>
  <c r="U1165" i="19"/>
  <c r="AP1166" i="19"/>
  <c r="AC1165" i="19"/>
  <c r="Y1166" i="19"/>
  <c r="AL1167" i="19"/>
  <c r="AA1166" i="19"/>
  <c r="AN1167" i="19"/>
  <c r="AD1165" i="19"/>
  <c r="AQ1166" i="19"/>
  <c r="AK1167" i="19"/>
  <c r="X1166" i="19"/>
  <c r="AJ1166" i="19"/>
  <c r="W1165" i="19"/>
  <c r="V1165" i="19"/>
  <c r="AI1166" i="19"/>
  <c r="AG1166" i="19"/>
  <c r="T1165" i="19"/>
  <c r="AO1166" i="19"/>
  <c r="AB1165" i="19"/>
  <c r="S1166" i="19"/>
  <c r="AF1167" i="19"/>
  <c r="Y1165" i="19" l="1"/>
  <c r="AL1166" i="19"/>
  <c r="AJ1165" i="19"/>
  <c r="W1164" i="19"/>
  <c r="S1165" i="19"/>
  <c r="AF1166" i="19"/>
  <c r="AK1166" i="19"/>
  <c r="X1165" i="19"/>
  <c r="AH1165" i="19"/>
  <c r="U1164" i="19"/>
  <c r="T1164" i="19"/>
  <c r="AG1165" i="19"/>
  <c r="AD1164" i="19"/>
  <c r="AQ1165" i="19"/>
  <c r="AP1165" i="19"/>
  <c r="AC1164" i="19"/>
  <c r="AM1165" i="19"/>
  <c r="Z1164" i="19"/>
  <c r="AO1165" i="19"/>
  <c r="AB1164" i="19"/>
  <c r="V1164" i="19"/>
  <c r="AI1165" i="19"/>
  <c r="AA1165" i="19"/>
  <c r="AN1166" i="19"/>
  <c r="AA1164" i="19" l="1"/>
  <c r="AN1165" i="19"/>
  <c r="X1164" i="19"/>
  <c r="AK1165" i="19"/>
  <c r="AJ1164" i="19"/>
  <c r="W1163" i="19"/>
  <c r="V1163" i="19"/>
  <c r="AI1164" i="19"/>
  <c r="AG1164" i="19"/>
  <c r="T1163" i="19"/>
  <c r="AP1164" i="19"/>
  <c r="AC1163" i="19"/>
  <c r="S1164" i="19"/>
  <c r="AF1165" i="19"/>
  <c r="AM1164" i="19"/>
  <c r="Z1163" i="19"/>
  <c r="AH1164" i="19"/>
  <c r="U1163" i="19"/>
  <c r="AD1163" i="19"/>
  <c r="AQ1164" i="19"/>
  <c r="AO1164" i="19"/>
  <c r="AB1163" i="19"/>
  <c r="Y1164" i="19"/>
  <c r="AL1165" i="19"/>
  <c r="AJ1163" i="19" l="1"/>
  <c r="W1162" i="19"/>
  <c r="Y1163" i="19"/>
  <c r="AL1164" i="19"/>
  <c r="AP1163" i="19"/>
  <c r="AC1162" i="19"/>
  <c r="AA1163" i="19"/>
  <c r="AN1164" i="19"/>
  <c r="AM1163" i="19"/>
  <c r="Z1162" i="19"/>
  <c r="V1162" i="19"/>
  <c r="AI1163" i="19"/>
  <c r="AO1163" i="19"/>
  <c r="AB1162" i="19"/>
  <c r="S1163" i="19"/>
  <c r="AF1164" i="19"/>
  <c r="AD1162" i="19"/>
  <c r="AQ1163" i="19"/>
  <c r="X1163" i="19"/>
  <c r="AK1164" i="19"/>
  <c r="AH1163" i="19"/>
  <c r="U1162" i="19"/>
  <c r="AG1163" i="19"/>
  <c r="T1162" i="19"/>
  <c r="AO1162" i="19" l="1"/>
  <c r="AB1161" i="19"/>
  <c r="AP1162" i="19"/>
  <c r="AC1161" i="19"/>
  <c r="S1162" i="19"/>
  <c r="AF1163" i="19"/>
  <c r="AA1162" i="19"/>
  <c r="AN1163" i="19"/>
  <c r="AH1162" i="19"/>
  <c r="U1161" i="19"/>
  <c r="AK1163" i="19"/>
  <c r="X1162" i="19"/>
  <c r="V1161" i="19"/>
  <c r="AI1162" i="19"/>
  <c r="Y1162" i="19"/>
  <c r="AL1163" i="19"/>
  <c r="T1161" i="19"/>
  <c r="AG1162" i="19"/>
  <c r="AM1162" i="19"/>
  <c r="Z1161" i="19"/>
  <c r="AJ1162" i="19"/>
  <c r="W1161" i="19"/>
  <c r="AD1161" i="19"/>
  <c r="AQ1162" i="19"/>
  <c r="AD1160" i="19" l="1"/>
  <c r="AQ1161" i="19"/>
  <c r="AJ1161" i="19"/>
  <c r="W1160" i="19"/>
  <c r="S1161" i="19"/>
  <c r="AF1162" i="19"/>
  <c r="AK1162" i="19"/>
  <c r="X1161" i="19"/>
  <c r="Y1161" i="19"/>
  <c r="AL1162" i="19"/>
  <c r="V1160" i="19"/>
  <c r="AI1161" i="19"/>
  <c r="AP1161" i="19"/>
  <c r="AC1160" i="19"/>
  <c r="AH1161" i="19"/>
  <c r="U1160" i="19"/>
  <c r="AO1161" i="19"/>
  <c r="AB1160" i="19"/>
  <c r="AA1161" i="19"/>
  <c r="AN1162" i="19"/>
  <c r="AM1161" i="19"/>
  <c r="Z1160" i="19"/>
  <c r="AG1161" i="19"/>
  <c r="T1160" i="19"/>
  <c r="AK1161" i="19" l="1"/>
  <c r="X1160" i="19"/>
  <c r="AM1160" i="19"/>
  <c r="Z1159" i="19"/>
  <c r="S1160" i="19"/>
  <c r="AF1161" i="19"/>
  <c r="AG1160" i="19"/>
  <c r="T1159" i="19"/>
  <c r="AJ1160" i="19"/>
  <c r="W1159" i="19"/>
  <c r="AH1160" i="19"/>
  <c r="U1159" i="19"/>
  <c r="AP1160" i="19"/>
  <c r="AC1159" i="19"/>
  <c r="AA1160" i="19"/>
  <c r="AN1161" i="19"/>
  <c r="V1159" i="19"/>
  <c r="AI1160" i="19"/>
  <c r="AO1160" i="19"/>
  <c r="AB1159" i="19"/>
  <c r="Y1160" i="19"/>
  <c r="AL1161" i="19"/>
  <c r="AD1159" i="19"/>
  <c r="AQ1160" i="19"/>
  <c r="AD1158" i="19" l="1"/>
  <c r="AQ1159" i="19"/>
  <c r="AA1159" i="19"/>
  <c r="AN1160" i="19"/>
  <c r="Y1159" i="19"/>
  <c r="AL1160" i="19"/>
  <c r="AG1159" i="19"/>
  <c r="T1158" i="19"/>
  <c r="AM1159" i="19"/>
  <c r="Z1158" i="19"/>
  <c r="S1159" i="19"/>
  <c r="AF1160" i="19"/>
  <c r="AP1159" i="19"/>
  <c r="AC1158" i="19"/>
  <c r="AH1159" i="19"/>
  <c r="U1158" i="19"/>
  <c r="AJ1159" i="19"/>
  <c r="W1158" i="19"/>
  <c r="X1159" i="19"/>
  <c r="AK1160" i="19"/>
  <c r="AB1158" i="19"/>
  <c r="AO1159" i="19"/>
  <c r="V1158" i="19"/>
  <c r="AI1159" i="19"/>
  <c r="V1157" i="19" l="1"/>
  <c r="AI1158" i="19"/>
  <c r="AH1158" i="19"/>
  <c r="U1157" i="19"/>
  <c r="AO1158" i="19"/>
  <c r="AB1157" i="19"/>
  <c r="AK1159" i="19"/>
  <c r="X1158" i="19"/>
  <c r="S1158" i="19"/>
  <c r="AF1159" i="19"/>
  <c r="AA1158" i="19"/>
  <c r="AN1159" i="19"/>
  <c r="AG1158" i="19"/>
  <c r="T1157" i="19"/>
  <c r="AJ1158" i="19"/>
  <c r="W1157" i="19"/>
  <c r="AM1158" i="19"/>
  <c r="Z1157" i="19"/>
  <c r="AP1158" i="19"/>
  <c r="AC1157" i="19"/>
  <c r="Y1158" i="19"/>
  <c r="AL1159" i="19"/>
  <c r="AD1157" i="19"/>
  <c r="AQ1158" i="19"/>
  <c r="AD1156" i="19" l="1"/>
  <c r="AQ1157" i="19"/>
  <c r="AH1157" i="19"/>
  <c r="U1156" i="19"/>
  <c r="AJ1157" i="19"/>
  <c r="W1156" i="19"/>
  <c r="AB1156" i="19"/>
  <c r="AO1157" i="19"/>
  <c r="Y1157" i="19"/>
  <c r="AL1158" i="19"/>
  <c r="AA1157" i="19"/>
  <c r="AN1158" i="19"/>
  <c r="AM1157" i="19"/>
  <c r="Z1156" i="19"/>
  <c r="AK1158" i="19"/>
  <c r="X1157" i="19"/>
  <c r="T1156" i="19"/>
  <c r="AG1157" i="19"/>
  <c r="AP1157" i="19"/>
  <c r="AC1156" i="19"/>
  <c r="S1157" i="19"/>
  <c r="AF1158" i="19"/>
  <c r="V1156" i="19"/>
  <c r="AI1157" i="19"/>
  <c r="AB1155" i="19" l="1"/>
  <c r="AO1156" i="19"/>
  <c r="AH1156" i="19"/>
  <c r="U1155" i="19"/>
  <c r="V1155" i="19"/>
  <c r="AI1156" i="19"/>
  <c r="AP1156" i="19"/>
  <c r="AC1155" i="19"/>
  <c r="AA1156" i="19"/>
  <c r="AN1157" i="19"/>
  <c r="X1156" i="19"/>
  <c r="AK1157" i="19"/>
  <c r="AM1156" i="19"/>
  <c r="Z1155" i="19"/>
  <c r="AJ1156" i="19"/>
  <c r="W1155" i="19"/>
  <c r="S1156" i="19"/>
  <c r="AF1157" i="19"/>
  <c r="T1155" i="19"/>
  <c r="AG1156" i="19"/>
  <c r="Y1156" i="19"/>
  <c r="AL1157" i="19"/>
  <c r="AD1155" i="19"/>
  <c r="AQ1156" i="19"/>
  <c r="AP1155" i="19" l="1"/>
  <c r="AC1154" i="19"/>
  <c r="AJ1155" i="19"/>
  <c r="W1154" i="19"/>
  <c r="AM1155" i="19"/>
  <c r="Z1154" i="19"/>
  <c r="AH1155" i="19"/>
  <c r="U1154" i="19"/>
  <c r="T1154" i="19"/>
  <c r="AG1155" i="19"/>
  <c r="AK1156" i="19"/>
  <c r="X1155" i="19"/>
  <c r="Y1155" i="19"/>
  <c r="AL1156" i="19"/>
  <c r="AD1154" i="19"/>
  <c r="AQ1155" i="19"/>
  <c r="V1154" i="19"/>
  <c r="AI1155" i="19"/>
  <c r="S1155" i="19"/>
  <c r="AF1156" i="19"/>
  <c r="AA1155" i="19"/>
  <c r="AN1156" i="19"/>
  <c r="AB1154" i="19"/>
  <c r="AO1155" i="19"/>
  <c r="AM1154" i="19" l="1"/>
  <c r="Z1153" i="19"/>
  <c r="AD1153" i="19"/>
  <c r="AQ1154" i="19"/>
  <c r="Y1154" i="19"/>
  <c r="AL1155" i="19"/>
  <c r="AB1153" i="19"/>
  <c r="AO1154" i="19"/>
  <c r="AJ1154" i="19"/>
  <c r="W1153" i="19"/>
  <c r="AH1154" i="19"/>
  <c r="U1153" i="19"/>
  <c r="AA1154" i="19"/>
  <c r="AN1155" i="19"/>
  <c r="S1154" i="19"/>
  <c r="AF1155" i="19"/>
  <c r="AP1154" i="19"/>
  <c r="AC1153" i="19"/>
  <c r="AK1155" i="19"/>
  <c r="X1154" i="19"/>
  <c r="V1153" i="19"/>
  <c r="AI1154" i="19"/>
  <c r="T1153" i="19"/>
  <c r="AG1154" i="19"/>
  <c r="S1153" i="19" l="1"/>
  <c r="AF1154" i="19"/>
  <c r="AB1152" i="19"/>
  <c r="AO1153" i="19"/>
  <c r="AA1153" i="19"/>
  <c r="AN1154" i="19"/>
  <c r="Y1153" i="19"/>
  <c r="AL1154" i="19"/>
  <c r="AH1153" i="19"/>
  <c r="U1152" i="19"/>
  <c r="T1152" i="19"/>
  <c r="AG1153" i="19"/>
  <c r="AD1152" i="19"/>
  <c r="AQ1153" i="19"/>
  <c r="AK1154" i="19"/>
  <c r="X1153" i="19"/>
  <c r="AP1153" i="19"/>
  <c r="AC1152" i="19"/>
  <c r="AJ1153" i="19"/>
  <c r="W1152" i="19"/>
  <c r="AM1153" i="19"/>
  <c r="Z1152" i="19"/>
  <c r="V1152" i="19"/>
  <c r="AI1153" i="19"/>
  <c r="V1151" i="19" l="1"/>
  <c r="AI1152" i="19"/>
  <c r="Y1152" i="19"/>
  <c r="AL1153" i="19"/>
  <c r="AM1152" i="19"/>
  <c r="Z1151" i="19"/>
  <c r="AD1151" i="19"/>
  <c r="AQ1152" i="19"/>
  <c r="AA1152" i="19"/>
  <c r="AN1153" i="19"/>
  <c r="AJ1152" i="19"/>
  <c r="W1151" i="19"/>
  <c r="T1151" i="19"/>
  <c r="AG1152" i="19"/>
  <c r="AB1151" i="19"/>
  <c r="AO1152" i="19"/>
  <c r="AP1152" i="19"/>
  <c r="AC1151" i="19"/>
  <c r="AH1152" i="19"/>
  <c r="U1151" i="19"/>
  <c r="AK1153" i="19"/>
  <c r="X1152" i="19"/>
  <c r="S1152" i="19"/>
  <c r="AF1153" i="19"/>
  <c r="AB1150" i="19" l="1"/>
  <c r="AO1151" i="19"/>
  <c r="AD1150" i="19"/>
  <c r="AQ1151" i="19"/>
  <c r="AK1152" i="19"/>
  <c r="X1151" i="19"/>
  <c r="AM1151" i="19"/>
  <c r="Z1150" i="19"/>
  <c r="T1150" i="19"/>
  <c r="AG1151" i="19"/>
  <c r="AJ1151" i="19"/>
  <c r="W1150" i="19"/>
  <c r="S1151" i="19"/>
  <c r="AF1152" i="19"/>
  <c r="Y1151" i="19"/>
  <c r="AL1152" i="19"/>
  <c r="AH1151" i="19"/>
  <c r="U1150" i="19"/>
  <c r="AP1151" i="19"/>
  <c r="AC1150" i="19"/>
  <c r="AA1151" i="19"/>
  <c r="AN1152" i="19"/>
  <c r="V1150" i="19"/>
  <c r="AI1151" i="19"/>
  <c r="Y1150" i="19" l="1"/>
  <c r="AL1151" i="19"/>
  <c r="AK1151" i="19"/>
  <c r="X1150" i="19"/>
  <c r="S1150" i="19"/>
  <c r="AF1151" i="19"/>
  <c r="AM1150" i="19"/>
  <c r="Z1149" i="19"/>
  <c r="AJ1150" i="19"/>
  <c r="W1149" i="19"/>
  <c r="AP1150" i="19"/>
  <c r="AC1149" i="19"/>
  <c r="AD1149" i="19"/>
  <c r="AQ1150" i="19"/>
  <c r="V1149" i="19"/>
  <c r="AI1150" i="19"/>
  <c r="AH1150" i="19"/>
  <c r="U1149" i="19"/>
  <c r="AA1150" i="19"/>
  <c r="AN1151" i="19"/>
  <c r="T1149" i="19"/>
  <c r="AG1150" i="19"/>
  <c r="AB1149" i="19"/>
  <c r="AO1150" i="19"/>
  <c r="AM1149" i="19" l="1"/>
  <c r="Z1148" i="19"/>
  <c r="T1148" i="19"/>
  <c r="AG1149" i="19"/>
  <c r="AD1148" i="19"/>
  <c r="AQ1149" i="19"/>
  <c r="S1149" i="19"/>
  <c r="AF1150" i="19"/>
  <c r="AK1150" i="19"/>
  <c r="X1149" i="19"/>
  <c r="AA1149" i="19"/>
  <c r="AN1150" i="19"/>
  <c r="AB1148" i="19"/>
  <c r="AO1149" i="19"/>
  <c r="AH1149" i="19"/>
  <c r="U1148" i="19"/>
  <c r="V1148" i="19"/>
  <c r="AI1149" i="19"/>
  <c r="AP1149" i="19"/>
  <c r="AC1148" i="19"/>
  <c r="AJ1149" i="19"/>
  <c r="W1148" i="19"/>
  <c r="Y1149" i="19"/>
  <c r="AL1150" i="19"/>
  <c r="AH1148" i="19" l="1"/>
  <c r="U1147" i="19"/>
  <c r="Y1148" i="19"/>
  <c r="AL1149" i="19"/>
  <c r="AB1147" i="19"/>
  <c r="AO1148" i="19"/>
  <c r="AD1147" i="19"/>
  <c r="AQ1148" i="19"/>
  <c r="S1148" i="19"/>
  <c r="AF1149" i="19"/>
  <c r="AJ1148" i="19"/>
  <c r="W1147" i="19"/>
  <c r="AA1148" i="19"/>
  <c r="AN1149" i="19"/>
  <c r="T1147" i="19"/>
  <c r="AG1148" i="19"/>
  <c r="AP1148" i="19"/>
  <c r="AC1147" i="19"/>
  <c r="AK1149" i="19"/>
  <c r="X1148" i="19"/>
  <c r="AM1148" i="19"/>
  <c r="Z1147" i="19"/>
  <c r="V1147" i="19"/>
  <c r="AI1148" i="19"/>
  <c r="AD1146" i="19" l="1"/>
  <c r="AQ1147" i="19"/>
  <c r="AA1147" i="19"/>
  <c r="AN1148" i="19"/>
  <c r="AB1146" i="19"/>
  <c r="AO1147" i="19"/>
  <c r="V1146" i="19"/>
  <c r="AI1147" i="19"/>
  <c r="AM1147" i="19"/>
  <c r="Z1146" i="19"/>
  <c r="AJ1147" i="19"/>
  <c r="W1146" i="19"/>
  <c r="T1146" i="19"/>
  <c r="AG1147" i="19"/>
  <c r="AK1148" i="19"/>
  <c r="X1147" i="19"/>
  <c r="Y1147" i="19"/>
  <c r="AL1148" i="19"/>
  <c r="AP1147" i="19"/>
  <c r="AC1146" i="19"/>
  <c r="AH1147" i="19"/>
  <c r="U1146" i="19"/>
  <c r="S1147" i="19"/>
  <c r="AF1148" i="19"/>
  <c r="AH1146" i="19" l="1"/>
  <c r="U1145" i="19"/>
  <c r="AB1145" i="19"/>
  <c r="AO1146" i="19"/>
  <c r="AA1146" i="19"/>
  <c r="AN1147" i="19"/>
  <c r="AK1147" i="19"/>
  <c r="X1146" i="19"/>
  <c r="S1146" i="19"/>
  <c r="AF1147" i="19"/>
  <c r="T1145" i="19"/>
  <c r="AG1146" i="19"/>
  <c r="AJ1146" i="19"/>
  <c r="W1145" i="19"/>
  <c r="AM1146" i="19"/>
  <c r="Z1145" i="19"/>
  <c r="V1145" i="19"/>
  <c r="AI1146" i="19"/>
  <c r="AP1146" i="19"/>
  <c r="AC1145" i="19"/>
  <c r="Y1146" i="19"/>
  <c r="AL1147" i="19"/>
  <c r="AD1145" i="19"/>
  <c r="AQ1146" i="19"/>
  <c r="AD1144" i="19" l="1"/>
  <c r="AQ1145" i="19"/>
  <c r="Y1145" i="19"/>
  <c r="AL1146" i="19"/>
  <c r="AA1145" i="19"/>
  <c r="AN1146" i="19"/>
  <c r="AK1146" i="19"/>
  <c r="X1145" i="19"/>
  <c r="AJ1145" i="19"/>
  <c r="W1144" i="19"/>
  <c r="AP1145" i="19"/>
  <c r="AC1144" i="19"/>
  <c r="AM1145" i="19"/>
  <c r="Z1144" i="19"/>
  <c r="T1144" i="19"/>
  <c r="AG1145" i="19"/>
  <c r="AB1144" i="19"/>
  <c r="AO1145" i="19"/>
  <c r="AH1145" i="19"/>
  <c r="U1144" i="19"/>
  <c r="V1144" i="19"/>
  <c r="AI1145" i="19"/>
  <c r="S1145" i="19"/>
  <c r="AF1146" i="19"/>
  <c r="AK1145" i="19" l="1"/>
  <c r="X1144" i="19"/>
  <c r="V1143" i="19"/>
  <c r="AI1144" i="19"/>
  <c r="AA1144" i="19"/>
  <c r="AN1145" i="19"/>
  <c r="AP1144" i="19"/>
  <c r="AC1143" i="19"/>
  <c r="S1144" i="19"/>
  <c r="AF1145" i="19"/>
  <c r="Y1144" i="19"/>
  <c r="AL1145" i="19"/>
  <c r="T1143" i="19"/>
  <c r="AG1144" i="19"/>
  <c r="AM1144" i="19"/>
  <c r="Z1143" i="19"/>
  <c r="AH1144" i="19"/>
  <c r="U1143" i="19"/>
  <c r="AJ1144" i="19"/>
  <c r="W1143" i="19"/>
  <c r="AB1143" i="19"/>
  <c r="AO1144" i="19"/>
  <c r="AD1143" i="19"/>
  <c r="AQ1144" i="19"/>
  <c r="AP1143" i="19" l="1"/>
  <c r="AC1142" i="19"/>
  <c r="AA1143" i="19"/>
  <c r="AN1144" i="19"/>
  <c r="AM1143" i="19"/>
  <c r="Z1142" i="19"/>
  <c r="AD1142" i="19"/>
  <c r="AQ1143" i="19"/>
  <c r="AB1142" i="19"/>
  <c r="AO1143" i="19"/>
  <c r="AJ1143" i="19"/>
  <c r="W1142" i="19"/>
  <c r="Y1143" i="19"/>
  <c r="AL1144" i="19"/>
  <c r="V1142" i="19"/>
  <c r="AI1143" i="19"/>
  <c r="AH1143" i="19"/>
  <c r="U1142" i="19"/>
  <c r="AK1144" i="19"/>
  <c r="X1143" i="19"/>
  <c r="T1142" i="19"/>
  <c r="AG1143" i="19"/>
  <c r="S1143" i="19"/>
  <c r="AF1144" i="19"/>
  <c r="AD1141" i="19" l="1"/>
  <c r="AQ1142" i="19"/>
  <c r="AM1142" i="19"/>
  <c r="Z1141" i="19"/>
  <c r="Y1142" i="19"/>
  <c r="AL1143" i="19"/>
  <c r="S1142" i="19"/>
  <c r="AF1143" i="19"/>
  <c r="AJ1142" i="19"/>
  <c r="W1141" i="19"/>
  <c r="T1141" i="19"/>
  <c r="AG1142" i="19"/>
  <c r="AA1142" i="19"/>
  <c r="AN1143" i="19"/>
  <c r="V1141" i="19"/>
  <c r="AI1142" i="19"/>
  <c r="AK1143" i="19"/>
  <c r="X1142" i="19"/>
  <c r="AH1142" i="19"/>
  <c r="U1141" i="19"/>
  <c r="AP1142" i="19"/>
  <c r="AC1141" i="19"/>
  <c r="AB1141" i="19"/>
  <c r="AO1142" i="19"/>
  <c r="AB1140" i="19" l="1"/>
  <c r="AO1141" i="19"/>
  <c r="S1141" i="19"/>
  <c r="AF1142" i="19"/>
  <c r="Y1141" i="19"/>
  <c r="AL1142" i="19"/>
  <c r="Z1140" i="19"/>
  <c r="AM1141" i="19"/>
  <c r="T1140" i="19"/>
  <c r="AG1141" i="19"/>
  <c r="AP1141" i="19"/>
  <c r="AC1140" i="19"/>
  <c r="AA1141" i="19"/>
  <c r="AN1142" i="19"/>
  <c r="AK1142" i="19"/>
  <c r="X1141" i="19"/>
  <c r="AJ1141" i="19"/>
  <c r="W1140" i="19"/>
  <c r="V1140" i="19"/>
  <c r="AI1141" i="19"/>
  <c r="AH1141" i="19"/>
  <c r="U1140" i="19"/>
  <c r="AD1140" i="19"/>
  <c r="AQ1141" i="19"/>
  <c r="Z1139" i="19" l="1"/>
  <c r="AM1140" i="19"/>
  <c r="AK1141" i="19"/>
  <c r="X1140" i="19"/>
  <c r="AA1140" i="19"/>
  <c r="AN1141" i="19"/>
  <c r="Y1140" i="19"/>
  <c r="AL1141" i="19"/>
  <c r="AP1140" i="19"/>
  <c r="AC1139" i="19"/>
  <c r="AH1140" i="19"/>
  <c r="U1139" i="19"/>
  <c r="V1139" i="19"/>
  <c r="AI1140" i="19"/>
  <c r="S1140" i="19"/>
  <c r="AF1141" i="19"/>
  <c r="AJ1140" i="19"/>
  <c r="W1139" i="19"/>
  <c r="AD1139" i="19"/>
  <c r="AQ1140" i="19"/>
  <c r="T1139" i="19"/>
  <c r="AG1140" i="19"/>
  <c r="AB1139" i="19"/>
  <c r="AO1140" i="19"/>
  <c r="AB1138" i="19" l="1"/>
  <c r="AO1139" i="19"/>
  <c r="S1139" i="19"/>
  <c r="AF1140" i="19"/>
  <c r="Y1139" i="19"/>
  <c r="AL1140" i="19"/>
  <c r="AA1139" i="19"/>
  <c r="AN1140" i="19"/>
  <c r="X1139" i="19"/>
  <c r="AK1140" i="19"/>
  <c r="AI1139" i="19"/>
  <c r="V1138" i="19"/>
  <c r="AQ1139" i="19"/>
  <c r="AD1138" i="19"/>
  <c r="AJ1139" i="19"/>
  <c r="W1138" i="19"/>
  <c r="AP1139" i="19"/>
  <c r="AC1138" i="19"/>
  <c r="T1138" i="19"/>
  <c r="AG1139" i="19"/>
  <c r="AH1139" i="19"/>
  <c r="U1138" i="19"/>
  <c r="Z1138" i="19"/>
  <c r="AM1139" i="19"/>
  <c r="AA1138" i="19" l="1"/>
  <c r="AN1139" i="19"/>
  <c r="AJ1138" i="19"/>
  <c r="W1137" i="19"/>
  <c r="Y1138" i="19"/>
  <c r="AL1139" i="19"/>
  <c r="AI1138" i="19"/>
  <c r="V1137" i="19"/>
  <c r="AG1138" i="19"/>
  <c r="T1137" i="19"/>
  <c r="S1138" i="19"/>
  <c r="AF1139" i="19"/>
  <c r="AH1138" i="19"/>
  <c r="U1137" i="19"/>
  <c r="AP1138" i="19"/>
  <c r="AC1137" i="19"/>
  <c r="Z1137" i="19"/>
  <c r="AM1138" i="19"/>
  <c r="AQ1138" i="19"/>
  <c r="AD1137" i="19"/>
  <c r="X1138" i="19"/>
  <c r="AK1139" i="19"/>
  <c r="AO1138" i="19"/>
  <c r="AB1137" i="19"/>
  <c r="AP1137" i="19" l="1"/>
  <c r="AC1136" i="19"/>
  <c r="AH1137" i="19"/>
  <c r="U1136" i="19"/>
  <c r="AO1137" i="19"/>
  <c r="AB1136" i="19"/>
  <c r="X1137" i="19"/>
  <c r="AK1138" i="19"/>
  <c r="Y1137" i="19"/>
  <c r="AL1138" i="19"/>
  <c r="AI1137" i="19"/>
  <c r="V1136" i="19"/>
  <c r="AQ1137" i="19"/>
  <c r="AD1136" i="19"/>
  <c r="AJ1137" i="19"/>
  <c r="W1136" i="19"/>
  <c r="S1137" i="19"/>
  <c r="AF1138" i="19"/>
  <c r="AG1137" i="19"/>
  <c r="T1136" i="19"/>
  <c r="Z1136" i="19"/>
  <c r="AM1137" i="19"/>
  <c r="AA1137" i="19"/>
  <c r="AN1138" i="19"/>
  <c r="Z1135" i="19" l="1"/>
  <c r="AM1136" i="19"/>
  <c r="AA1136" i="19"/>
  <c r="AN1137" i="19"/>
  <c r="AI1136" i="19"/>
  <c r="V1135" i="19"/>
  <c r="X1136" i="19"/>
  <c r="AK1137" i="19"/>
  <c r="AO1136" i="19"/>
  <c r="AB1135" i="19"/>
  <c r="AG1136" i="19"/>
  <c r="T1135" i="19"/>
  <c r="AP1136" i="19"/>
  <c r="AC1135" i="19"/>
  <c r="AJ1136" i="19"/>
  <c r="W1135" i="19"/>
  <c r="AQ1136" i="19"/>
  <c r="AD1135" i="19"/>
  <c r="AH1136" i="19"/>
  <c r="U1135" i="19"/>
  <c r="S1136" i="19"/>
  <c r="AF1137" i="19"/>
  <c r="Y1136" i="19"/>
  <c r="AL1137" i="19"/>
  <c r="AJ1135" i="19" l="1"/>
  <c r="W1134" i="19"/>
  <c r="AH1135" i="19"/>
  <c r="U1134" i="19"/>
  <c r="Y1135" i="19"/>
  <c r="AL1136" i="19"/>
  <c r="AI1135" i="19"/>
  <c r="V1134" i="19"/>
  <c r="AA1135" i="19"/>
  <c r="AN1136" i="19"/>
  <c r="S1135" i="19"/>
  <c r="AF1136" i="19"/>
  <c r="AQ1135" i="19"/>
  <c r="AD1134" i="19"/>
  <c r="AO1135" i="19"/>
  <c r="AB1134" i="19"/>
  <c r="X1135" i="19"/>
  <c r="AK1136" i="19"/>
  <c r="AP1135" i="19"/>
  <c r="AC1134" i="19"/>
  <c r="AG1135" i="19"/>
  <c r="T1134" i="19"/>
  <c r="Z1134" i="19"/>
  <c r="AM1135" i="19"/>
  <c r="Z1133" i="19" l="1"/>
  <c r="AM1134" i="19"/>
  <c r="AI1134" i="19"/>
  <c r="V1133" i="19"/>
  <c r="Y1134" i="19"/>
  <c r="AL1135" i="19"/>
  <c r="AH1134" i="19"/>
  <c r="U1133" i="19"/>
  <c r="AQ1134" i="19"/>
  <c r="AD1133" i="19"/>
  <c r="S1134" i="19"/>
  <c r="AF1135" i="19"/>
  <c r="AO1134" i="19"/>
  <c r="AB1133" i="19"/>
  <c r="AJ1134" i="19"/>
  <c r="W1133" i="19"/>
  <c r="AG1134" i="19"/>
  <c r="T1133" i="19"/>
  <c r="AP1134" i="19"/>
  <c r="AC1133" i="19"/>
  <c r="X1134" i="19"/>
  <c r="AK1135" i="19"/>
  <c r="AA1134" i="19"/>
  <c r="AN1135" i="19"/>
  <c r="AA1133" i="19" l="1"/>
  <c r="AN1134" i="19"/>
  <c r="Y1133" i="19"/>
  <c r="AL1134" i="19"/>
  <c r="AH1133" i="19"/>
  <c r="U1132" i="19"/>
  <c r="AI1133" i="19"/>
  <c r="V1132" i="19"/>
  <c r="AJ1133" i="19"/>
  <c r="W1132" i="19"/>
  <c r="S1133" i="19"/>
  <c r="AF1134" i="19"/>
  <c r="X1133" i="19"/>
  <c r="AK1134" i="19"/>
  <c r="AG1133" i="19"/>
  <c r="T1132" i="19"/>
  <c r="AQ1133" i="19"/>
  <c r="AD1132" i="19"/>
  <c r="AO1133" i="19"/>
  <c r="AB1132" i="19"/>
  <c r="AP1133" i="19"/>
  <c r="AC1132" i="19"/>
  <c r="Z1132" i="19"/>
  <c r="AM1133" i="19"/>
  <c r="Z1131" i="19" l="1"/>
  <c r="AM1132" i="19"/>
  <c r="AH1132" i="19"/>
  <c r="U1131" i="19"/>
  <c r="AP1132" i="19"/>
  <c r="AC1131" i="19"/>
  <c r="AI1132" i="19"/>
  <c r="V1131" i="19"/>
  <c r="S1132" i="19"/>
  <c r="AF1133" i="19"/>
  <c r="Y1132" i="19"/>
  <c r="AL1133" i="19"/>
  <c r="X1132" i="19"/>
  <c r="AK1133" i="19"/>
  <c r="AQ1132" i="19"/>
  <c r="AD1131" i="19"/>
  <c r="AJ1132" i="19"/>
  <c r="W1131" i="19"/>
  <c r="AG1132" i="19"/>
  <c r="T1131" i="19"/>
  <c r="AO1132" i="19"/>
  <c r="AB1131" i="19"/>
  <c r="AA1132" i="19"/>
  <c r="AN1133" i="19"/>
  <c r="AI1131" i="19" l="1"/>
  <c r="V1130" i="19"/>
  <c r="AP1131" i="19"/>
  <c r="AC1130" i="19"/>
  <c r="AH1131" i="19"/>
  <c r="U1130" i="19"/>
  <c r="AO1131" i="19"/>
  <c r="AB1130" i="19"/>
  <c r="AG1131" i="19"/>
  <c r="T1130" i="19"/>
  <c r="Y1131" i="19"/>
  <c r="AL1132" i="19"/>
  <c r="AQ1131" i="19"/>
  <c r="AD1130" i="19"/>
  <c r="AJ1131" i="19"/>
  <c r="W1130" i="19"/>
  <c r="AA1131" i="19"/>
  <c r="AN1132" i="19"/>
  <c r="X1131" i="19"/>
  <c r="AK1132" i="19"/>
  <c r="S1131" i="19"/>
  <c r="AF1132" i="19"/>
  <c r="Z1130" i="19"/>
  <c r="AM1131" i="19"/>
  <c r="AJ1130" i="19" l="1"/>
  <c r="W1129" i="19"/>
  <c r="AH1130" i="19"/>
  <c r="U1129" i="19"/>
  <c r="S1130" i="19"/>
  <c r="AF1131" i="19"/>
  <c r="Z1129" i="19"/>
  <c r="AM1130" i="19"/>
  <c r="AP1130" i="19"/>
  <c r="AC1129" i="19"/>
  <c r="X1130" i="19"/>
  <c r="AK1131" i="19"/>
  <c r="Y1130" i="19"/>
  <c r="AL1131" i="19"/>
  <c r="AG1130" i="19"/>
  <c r="T1129" i="19"/>
  <c r="AI1130" i="19"/>
  <c r="V1129" i="19"/>
  <c r="AO1130" i="19"/>
  <c r="AB1129" i="19"/>
  <c r="AQ1130" i="19"/>
  <c r="AD1129" i="19"/>
  <c r="AA1130" i="19"/>
  <c r="AN1131" i="19"/>
  <c r="Z1128" i="19" l="1"/>
  <c r="AM1129" i="19"/>
  <c r="AQ1129" i="19"/>
  <c r="AD1128" i="19"/>
  <c r="AA1129" i="19"/>
  <c r="AN1130" i="19"/>
  <c r="S1129" i="19"/>
  <c r="AF1130" i="19"/>
  <c r="AH1129" i="19"/>
  <c r="U1128" i="19"/>
  <c r="X1129" i="19"/>
  <c r="AK1130" i="19"/>
  <c r="Y1129" i="19"/>
  <c r="AL1130" i="19"/>
  <c r="AI1129" i="19"/>
  <c r="V1128" i="19"/>
  <c r="AP1129" i="19"/>
  <c r="AC1128" i="19"/>
  <c r="AJ1129" i="19"/>
  <c r="W1128" i="19"/>
  <c r="AG1129" i="19"/>
  <c r="T1128" i="19"/>
  <c r="AO1129" i="19"/>
  <c r="AB1128" i="19"/>
  <c r="S1128" i="19" l="1"/>
  <c r="AF1129" i="19"/>
  <c r="AI1128" i="19"/>
  <c r="V1127" i="19"/>
  <c r="AA1128" i="19"/>
  <c r="AN1129" i="19"/>
  <c r="AQ1128" i="19"/>
  <c r="AD1127" i="19"/>
  <c r="AO1128" i="19"/>
  <c r="AB1127" i="19"/>
  <c r="Y1128" i="19"/>
  <c r="AL1129" i="19"/>
  <c r="X1128" i="19"/>
  <c r="AK1129" i="19"/>
  <c r="AG1128" i="19"/>
  <c r="T1127" i="19"/>
  <c r="AP1128" i="19"/>
  <c r="AC1127" i="19"/>
  <c r="AH1128" i="19"/>
  <c r="U1127" i="19"/>
  <c r="AJ1128" i="19"/>
  <c r="W1127" i="19"/>
  <c r="Z1127" i="19"/>
  <c r="AM1128" i="19"/>
  <c r="AG1127" i="19" l="1"/>
  <c r="T1126" i="19"/>
  <c r="X1127" i="19"/>
  <c r="AK1128" i="19"/>
  <c r="AA1127" i="19"/>
  <c r="AN1128" i="19"/>
  <c r="AJ1127" i="19"/>
  <c r="W1126" i="19"/>
  <c r="AI1127" i="19"/>
  <c r="V1126" i="19"/>
  <c r="AQ1127" i="19"/>
  <c r="AD1126" i="19"/>
  <c r="Y1127" i="19"/>
  <c r="AL1128" i="19"/>
  <c r="Z1126" i="19"/>
  <c r="AM1127" i="19"/>
  <c r="AH1127" i="19"/>
  <c r="U1126" i="19"/>
  <c r="AP1127" i="19"/>
  <c r="AC1126" i="19"/>
  <c r="AO1127" i="19"/>
  <c r="AB1126" i="19"/>
  <c r="S1127" i="19"/>
  <c r="AF1128" i="19"/>
  <c r="AJ1126" i="19" l="1"/>
  <c r="W1125" i="19"/>
  <c r="S1126" i="19"/>
  <c r="AF1127" i="19"/>
  <c r="AO1126" i="19"/>
  <c r="AB1125" i="19"/>
  <c r="Y1126" i="19"/>
  <c r="AL1127" i="19"/>
  <c r="AA1126" i="19"/>
  <c r="AN1127" i="19"/>
  <c r="AP1126" i="19"/>
  <c r="AC1125" i="19"/>
  <c r="Z1125" i="19"/>
  <c r="AM1126" i="19"/>
  <c r="AQ1126" i="19"/>
  <c r="AD1125" i="19"/>
  <c r="X1126" i="19"/>
  <c r="AK1127" i="19"/>
  <c r="AG1126" i="19"/>
  <c r="T1125" i="19"/>
  <c r="AH1126" i="19"/>
  <c r="U1125" i="19"/>
  <c r="AI1126" i="19"/>
  <c r="V1125" i="19"/>
  <c r="AH1125" i="19" l="1"/>
  <c r="U1124" i="19"/>
  <c r="Z1124" i="19"/>
  <c r="AM1125" i="19"/>
  <c r="AG1125" i="19"/>
  <c r="T1124" i="19"/>
  <c r="Y1125" i="19"/>
  <c r="AL1126" i="19"/>
  <c r="S1125" i="19"/>
  <c r="AF1126" i="19"/>
  <c r="AQ1125" i="19"/>
  <c r="AD1124" i="19"/>
  <c r="AP1125" i="19"/>
  <c r="AC1124" i="19"/>
  <c r="AJ1125" i="19"/>
  <c r="W1124" i="19"/>
  <c r="AI1125" i="19"/>
  <c r="V1124" i="19"/>
  <c r="AO1125" i="19"/>
  <c r="AB1124" i="19"/>
  <c r="X1125" i="19"/>
  <c r="AK1126" i="19"/>
  <c r="AA1125" i="19"/>
  <c r="AN1126" i="19"/>
  <c r="AA1124" i="19" l="1"/>
  <c r="AN1125" i="19"/>
  <c r="Y1124" i="19"/>
  <c r="AL1125" i="19"/>
  <c r="AP1124" i="19"/>
  <c r="AC1123" i="19"/>
  <c r="AG1124" i="19"/>
  <c r="T1123" i="19"/>
  <c r="AJ1124" i="19"/>
  <c r="W1123" i="19"/>
  <c r="X1124" i="19"/>
  <c r="AK1125" i="19"/>
  <c r="AO1124" i="19"/>
  <c r="AB1123" i="19"/>
  <c r="AQ1124" i="19"/>
  <c r="AD1123" i="19"/>
  <c r="Z1123" i="19"/>
  <c r="AM1124" i="19"/>
  <c r="AI1124" i="19"/>
  <c r="V1123" i="19"/>
  <c r="AH1124" i="19"/>
  <c r="U1123" i="19"/>
  <c r="S1124" i="19"/>
  <c r="AF1125" i="19"/>
  <c r="AQ1123" i="19" l="1"/>
  <c r="AD1122" i="19"/>
  <c r="AP1123" i="19"/>
  <c r="AC1122" i="19"/>
  <c r="AG1123" i="19"/>
  <c r="T1122" i="19"/>
  <c r="AO1123" i="19"/>
  <c r="AB1122" i="19"/>
  <c r="AH1123" i="19"/>
  <c r="U1122" i="19"/>
  <c r="X1123" i="19"/>
  <c r="AK1124" i="19"/>
  <c r="Y1123" i="19"/>
  <c r="AL1124" i="19"/>
  <c r="S1123" i="19"/>
  <c r="AF1124" i="19"/>
  <c r="AJ1123" i="19"/>
  <c r="W1122" i="19"/>
  <c r="AI1123" i="19"/>
  <c r="V1122" i="19"/>
  <c r="Z1122" i="19"/>
  <c r="AM1123" i="19"/>
  <c r="AA1123" i="19"/>
  <c r="AN1124" i="19"/>
  <c r="AA1122" i="19" l="1"/>
  <c r="AN1123" i="19"/>
  <c r="S1122" i="19"/>
  <c r="AF1123" i="19"/>
  <c r="AG1122" i="19"/>
  <c r="T1121" i="19"/>
  <c r="AO1122" i="19"/>
  <c r="AB1121" i="19"/>
  <c r="Y1122" i="19"/>
  <c r="AL1123" i="19"/>
  <c r="AP1122" i="19"/>
  <c r="AC1121" i="19"/>
  <c r="AI1122" i="19"/>
  <c r="V1121" i="19"/>
  <c r="X1122" i="19"/>
  <c r="AK1123" i="19"/>
  <c r="Z1121" i="19"/>
  <c r="AM1122" i="19"/>
  <c r="AJ1122" i="19"/>
  <c r="W1121" i="19"/>
  <c r="AH1122" i="19"/>
  <c r="U1121" i="19"/>
  <c r="AQ1122" i="19"/>
  <c r="AD1121" i="19"/>
  <c r="X1121" i="19" l="1"/>
  <c r="AK1122" i="19"/>
  <c r="AQ1121" i="19"/>
  <c r="AD1120" i="19"/>
  <c r="AG1121" i="19"/>
  <c r="T1120" i="19"/>
  <c r="AJ1121" i="19"/>
  <c r="W1120" i="19"/>
  <c r="AH1121" i="19"/>
  <c r="U1120" i="19"/>
  <c r="S1121" i="19"/>
  <c r="AF1122" i="19"/>
  <c r="AO1121" i="19"/>
  <c r="AB1120" i="19"/>
  <c r="AI1121" i="19"/>
  <c r="V1120" i="19"/>
  <c r="AP1121" i="19"/>
  <c r="AC1120" i="19"/>
  <c r="Z1120" i="19"/>
  <c r="AM1121" i="19"/>
  <c r="Y1121" i="19"/>
  <c r="AL1122" i="19"/>
  <c r="AA1121" i="19"/>
  <c r="AN1122" i="19"/>
  <c r="AI1120" i="19" l="1"/>
  <c r="V1119" i="19"/>
  <c r="AG1120" i="19"/>
  <c r="T1119" i="19"/>
  <c r="AA1120" i="19"/>
  <c r="AN1121" i="19"/>
  <c r="AQ1120" i="19"/>
  <c r="AD1119" i="19"/>
  <c r="AJ1120" i="19"/>
  <c r="W1119" i="19"/>
  <c r="AO1120" i="19"/>
  <c r="AB1119" i="19"/>
  <c r="Z1119" i="19"/>
  <c r="AM1120" i="19"/>
  <c r="S1120" i="19"/>
  <c r="AF1121" i="19"/>
  <c r="AP1120" i="19"/>
  <c r="AC1119" i="19"/>
  <c r="AH1120" i="19"/>
  <c r="U1119" i="19"/>
  <c r="Y1120" i="19"/>
  <c r="AL1121" i="19"/>
  <c r="X1120" i="19"/>
  <c r="AK1121" i="19"/>
  <c r="X1119" i="19" l="1"/>
  <c r="AK1120" i="19"/>
  <c r="Z1118" i="19"/>
  <c r="AM1119" i="19"/>
  <c r="AA1119" i="19"/>
  <c r="AN1120" i="19"/>
  <c r="AQ1119" i="19"/>
  <c r="AD1118" i="19"/>
  <c r="AG1119" i="19"/>
  <c r="T1118" i="19"/>
  <c r="S1119" i="19"/>
  <c r="AF1120" i="19"/>
  <c r="AO1119" i="19"/>
  <c r="AB1118" i="19"/>
  <c r="Y1119" i="19"/>
  <c r="AL1120" i="19"/>
  <c r="AP1119" i="19"/>
  <c r="AC1118" i="19"/>
  <c r="AJ1119" i="19"/>
  <c r="W1118" i="19"/>
  <c r="AI1119" i="19"/>
  <c r="V1118" i="19"/>
  <c r="AH1119" i="19"/>
  <c r="U1118" i="19"/>
  <c r="Y1118" i="19" l="1"/>
  <c r="AL1119" i="19"/>
  <c r="AQ1118" i="19"/>
  <c r="AD1117" i="19"/>
  <c r="AA1118" i="19"/>
  <c r="AN1119" i="19"/>
  <c r="AO1118" i="19"/>
  <c r="AB1117" i="19"/>
  <c r="AJ1118" i="19"/>
  <c r="W1117" i="19"/>
  <c r="S1118" i="19"/>
  <c r="AF1119" i="19"/>
  <c r="Z1117" i="19"/>
  <c r="AM1118" i="19"/>
  <c r="AI1118" i="19"/>
  <c r="V1117" i="19"/>
  <c r="AP1118" i="19"/>
  <c r="AC1117" i="19"/>
  <c r="AG1118" i="19"/>
  <c r="T1117" i="19"/>
  <c r="AH1118" i="19"/>
  <c r="U1117" i="19"/>
  <c r="X1118" i="19"/>
  <c r="AK1119" i="19"/>
  <c r="AO1117" i="19" l="1"/>
  <c r="AB1116" i="19"/>
  <c r="AA1117" i="19"/>
  <c r="AN1118" i="19"/>
  <c r="AG1117" i="19"/>
  <c r="T1116" i="19"/>
  <c r="AQ1117" i="19"/>
  <c r="AD1116" i="19"/>
  <c r="X1117" i="19"/>
  <c r="AK1118" i="19"/>
  <c r="Z1116" i="19"/>
  <c r="AM1117" i="19"/>
  <c r="S1117" i="19"/>
  <c r="AF1118" i="19"/>
  <c r="AP1117" i="19"/>
  <c r="AC1116" i="19"/>
  <c r="AJ1117" i="19"/>
  <c r="W1116" i="19"/>
  <c r="AI1117" i="19"/>
  <c r="V1116" i="19"/>
  <c r="AH1117" i="19"/>
  <c r="U1116" i="19"/>
  <c r="Y1117" i="19"/>
  <c r="AL1118" i="19"/>
  <c r="AQ1116" i="19" l="1"/>
  <c r="AD1115" i="19"/>
  <c r="AH1116" i="19"/>
  <c r="U1115" i="19"/>
  <c r="Z1115" i="19"/>
  <c r="AM1116" i="19"/>
  <c r="AA1116" i="19"/>
  <c r="AN1117" i="19"/>
  <c r="Y1116" i="19"/>
  <c r="AL1117" i="19"/>
  <c r="AJ1116" i="19"/>
  <c r="W1115" i="19"/>
  <c r="AO1116" i="19"/>
  <c r="AB1115" i="19"/>
  <c r="AP1116" i="19"/>
  <c r="AC1115" i="19"/>
  <c r="AG1116" i="19"/>
  <c r="T1115" i="19"/>
  <c r="S1116" i="19"/>
  <c r="AF1117" i="19"/>
  <c r="AI1116" i="19"/>
  <c r="V1115" i="19"/>
  <c r="X1116" i="19"/>
  <c r="AK1117" i="19"/>
  <c r="AI1115" i="19" l="1"/>
  <c r="V1114" i="19"/>
  <c r="Z1114" i="19"/>
  <c r="AM1115" i="19"/>
  <c r="AA1115" i="19"/>
  <c r="AN1116" i="19"/>
  <c r="AH1115" i="19"/>
  <c r="U1114" i="19"/>
  <c r="AO1115" i="19"/>
  <c r="AB1114" i="19"/>
  <c r="S1115" i="19"/>
  <c r="AF1116" i="19"/>
  <c r="AP1115" i="19"/>
  <c r="AC1114" i="19"/>
  <c r="AJ1115" i="19"/>
  <c r="W1114" i="19"/>
  <c r="AG1115" i="19"/>
  <c r="T1114" i="19"/>
  <c r="AQ1115" i="19"/>
  <c r="AD1114" i="19"/>
  <c r="X1115" i="19"/>
  <c r="AK1116" i="19"/>
  <c r="Y1115" i="19"/>
  <c r="AL1116" i="19"/>
  <c r="AP1114" i="19" l="1"/>
  <c r="AC1113" i="19"/>
  <c r="Y1114" i="19"/>
  <c r="AL1115" i="19"/>
  <c r="X1114" i="19"/>
  <c r="AK1115" i="19"/>
  <c r="AA1114" i="19"/>
  <c r="AN1115" i="19"/>
  <c r="AJ1114" i="19"/>
  <c r="W1113" i="19"/>
  <c r="AH1114" i="19"/>
  <c r="U1113" i="19"/>
  <c r="S1114" i="19"/>
  <c r="AF1115" i="19"/>
  <c r="Z1113" i="19"/>
  <c r="AM1114" i="19"/>
  <c r="AQ1114" i="19"/>
  <c r="AD1113" i="19"/>
  <c r="AG1114" i="19"/>
  <c r="T1113" i="19"/>
  <c r="AO1114" i="19"/>
  <c r="AB1113" i="19"/>
  <c r="AI1114" i="19"/>
  <c r="V1113" i="19"/>
  <c r="Z1112" i="19" l="1"/>
  <c r="AM1113" i="19"/>
  <c r="AA1113" i="19"/>
  <c r="AN1114" i="19"/>
  <c r="S1113" i="19"/>
  <c r="AF1114" i="19"/>
  <c r="X1113" i="19"/>
  <c r="AK1114" i="19"/>
  <c r="AG1113" i="19"/>
  <c r="T1112" i="19"/>
  <c r="Y1113" i="19"/>
  <c r="AL1114" i="19"/>
  <c r="AO1113" i="19"/>
  <c r="AB1112" i="19"/>
  <c r="AQ1113" i="19"/>
  <c r="AD1112" i="19"/>
  <c r="AJ1113" i="19"/>
  <c r="W1112" i="19"/>
  <c r="AP1113" i="19"/>
  <c r="AC1112" i="19"/>
  <c r="AI1113" i="19"/>
  <c r="V1112" i="19"/>
  <c r="AH1113" i="19"/>
  <c r="U1112" i="19"/>
  <c r="X1112" i="19" l="1"/>
  <c r="AK1113" i="19"/>
  <c r="AH1112" i="19"/>
  <c r="U1111" i="19"/>
  <c r="AQ1112" i="19"/>
  <c r="AD1111" i="19"/>
  <c r="S1112" i="19"/>
  <c r="AF1113" i="19"/>
  <c r="AP1112" i="19"/>
  <c r="AC1111" i="19"/>
  <c r="AI1112" i="19"/>
  <c r="V1111" i="19"/>
  <c r="Y1112" i="19"/>
  <c r="AL1113" i="19"/>
  <c r="AA1112" i="19"/>
  <c r="AN1113" i="19"/>
  <c r="AO1112" i="19"/>
  <c r="AB1111" i="19"/>
  <c r="AJ1112" i="19"/>
  <c r="W1111" i="19"/>
  <c r="AG1112" i="19"/>
  <c r="T1111" i="19"/>
  <c r="Z1111" i="19"/>
  <c r="AM1112" i="19"/>
  <c r="AA1111" i="19" l="1"/>
  <c r="AN1112" i="19"/>
  <c r="S1111" i="19"/>
  <c r="AF1112" i="19"/>
  <c r="AQ1111" i="19"/>
  <c r="AD1110" i="19"/>
  <c r="Y1111" i="19"/>
  <c r="AL1112" i="19"/>
  <c r="AI1111" i="19"/>
  <c r="V1110" i="19"/>
  <c r="AH1111" i="19"/>
  <c r="U1110" i="19"/>
  <c r="AG1111" i="19"/>
  <c r="T1110" i="19"/>
  <c r="AJ1111" i="19"/>
  <c r="W1110" i="19"/>
  <c r="AO1111" i="19"/>
  <c r="AB1110" i="19"/>
  <c r="AP1111" i="19"/>
  <c r="AC1110" i="19"/>
  <c r="Z1110" i="19"/>
  <c r="AM1111" i="19"/>
  <c r="X1111" i="19"/>
  <c r="AK1112" i="19"/>
  <c r="X1110" i="19" l="1"/>
  <c r="AK1111" i="19"/>
  <c r="Y1110" i="19"/>
  <c r="AL1111" i="19"/>
  <c r="AQ1110" i="19"/>
  <c r="AD1109" i="19"/>
  <c r="AJ1110" i="19"/>
  <c r="W1109" i="19"/>
  <c r="AG1110" i="19"/>
  <c r="T1109" i="19"/>
  <c r="AP1110" i="19"/>
  <c r="AC1109" i="19"/>
  <c r="S1110" i="19"/>
  <c r="AF1111" i="19"/>
  <c r="AO1110" i="19"/>
  <c r="AB1109" i="19"/>
  <c r="AI1110" i="19"/>
  <c r="V1109" i="19"/>
  <c r="Z1109" i="19"/>
  <c r="AM1110" i="19"/>
  <c r="AH1110" i="19"/>
  <c r="U1109" i="19"/>
  <c r="AA1110" i="19"/>
  <c r="AN1111" i="19"/>
  <c r="AA1109" i="19" l="1"/>
  <c r="AN1110" i="19"/>
  <c r="AQ1109" i="19"/>
  <c r="AD1108" i="19"/>
  <c r="S1109" i="19"/>
  <c r="AF1110" i="19"/>
  <c r="AO1109" i="19"/>
  <c r="AB1108" i="19"/>
  <c r="AH1109" i="19"/>
  <c r="U1108" i="19"/>
  <c r="AP1109" i="19"/>
  <c r="AC1108" i="19"/>
  <c r="Z1108" i="19"/>
  <c r="AM1109" i="19"/>
  <c r="Y1109" i="19"/>
  <c r="AL1110" i="19"/>
  <c r="AI1109" i="19"/>
  <c r="V1108" i="19"/>
  <c r="AG1109" i="19"/>
  <c r="T1108" i="19"/>
  <c r="AJ1109" i="19"/>
  <c r="W1108" i="19"/>
  <c r="X1109" i="19"/>
  <c r="AK1110" i="19"/>
  <c r="Y1108" i="19" l="1"/>
  <c r="AL1109" i="19"/>
  <c r="X1108" i="19"/>
  <c r="AK1109" i="19"/>
  <c r="Z1107" i="19"/>
  <c r="AM1108" i="19"/>
  <c r="S1108" i="19"/>
  <c r="AF1109" i="19"/>
  <c r="AO1108" i="19"/>
  <c r="AB1107" i="19"/>
  <c r="AQ1108" i="19"/>
  <c r="AD1107" i="19"/>
  <c r="AJ1108" i="19"/>
  <c r="W1107" i="19"/>
  <c r="AP1108" i="19"/>
  <c r="AC1107" i="19"/>
  <c r="AI1108" i="19"/>
  <c r="V1107" i="19"/>
  <c r="AH1108" i="19"/>
  <c r="U1107" i="19"/>
  <c r="AG1108" i="19"/>
  <c r="T1107" i="19"/>
  <c r="AA1108" i="19"/>
  <c r="AN1109" i="19"/>
  <c r="S1107" i="19" l="1"/>
  <c r="AF1108" i="19"/>
  <c r="W1106" i="19"/>
  <c r="AJ1107" i="19"/>
  <c r="AA1107" i="19"/>
  <c r="AN1108" i="19"/>
  <c r="Z1106" i="19"/>
  <c r="AM1107" i="19"/>
  <c r="AH1107" i="19"/>
  <c r="U1106" i="19"/>
  <c r="X1107" i="19"/>
  <c r="AK1108" i="19"/>
  <c r="AP1107" i="19"/>
  <c r="AC1106" i="19"/>
  <c r="AG1107" i="19"/>
  <c r="T1106" i="19"/>
  <c r="V1106" i="19"/>
  <c r="AI1107" i="19"/>
  <c r="AO1107" i="19"/>
  <c r="AB1106" i="19"/>
  <c r="AQ1107" i="19"/>
  <c r="AD1106" i="19"/>
  <c r="Y1107" i="19"/>
  <c r="AL1108" i="19"/>
  <c r="Y1106" i="19" l="1"/>
  <c r="AL1107" i="19"/>
  <c r="AQ1106" i="19"/>
  <c r="AD1105" i="19"/>
  <c r="AP1106" i="19"/>
  <c r="AC1105" i="19"/>
  <c r="AG1106" i="19"/>
  <c r="T1105" i="19"/>
  <c r="AA1106" i="19"/>
  <c r="AN1107" i="19"/>
  <c r="AO1106" i="19"/>
  <c r="AB1105" i="19"/>
  <c r="X1106" i="19"/>
  <c r="AK1107" i="19"/>
  <c r="W1105" i="19"/>
  <c r="AJ1106" i="19"/>
  <c r="U1105" i="19"/>
  <c r="AH1106" i="19"/>
  <c r="Z1105" i="19"/>
  <c r="AM1106" i="19"/>
  <c r="V1105" i="19"/>
  <c r="AI1106" i="19"/>
  <c r="S1106" i="19"/>
  <c r="AF1107" i="19"/>
  <c r="W1104" i="19" l="1"/>
  <c r="AJ1105" i="19"/>
  <c r="V1104" i="19"/>
  <c r="AI1105" i="19"/>
  <c r="X1105" i="19"/>
  <c r="AK1106" i="19"/>
  <c r="S1105" i="19"/>
  <c r="AF1106" i="19"/>
  <c r="AO1105" i="19"/>
  <c r="AB1104" i="19"/>
  <c r="AQ1105" i="19"/>
  <c r="AD1104" i="19"/>
  <c r="AG1105" i="19"/>
  <c r="T1104" i="19"/>
  <c r="AP1105" i="19"/>
  <c r="AC1104" i="19"/>
  <c r="Z1104" i="19"/>
  <c r="AM1105" i="19"/>
  <c r="AH1105" i="19"/>
  <c r="U1104" i="19"/>
  <c r="AA1105" i="19"/>
  <c r="AN1106" i="19"/>
  <c r="Y1105" i="19"/>
  <c r="AL1106" i="19"/>
  <c r="AF1105" i="19" l="1"/>
  <c r="S1104" i="19"/>
  <c r="AN1105" i="19"/>
  <c r="AA1104" i="19"/>
  <c r="X1104" i="19"/>
  <c r="AK1105" i="19"/>
  <c r="AH1104" i="19"/>
  <c r="U1103" i="19"/>
  <c r="AD1103" i="19"/>
  <c r="AQ1104" i="19"/>
  <c r="AI1104" i="19"/>
  <c r="V1103" i="19"/>
  <c r="Y1104" i="19"/>
  <c r="AL1105" i="19"/>
  <c r="AO1104" i="19"/>
  <c r="AB1103" i="19"/>
  <c r="AP1104" i="19"/>
  <c r="AC1103" i="19"/>
  <c r="AG1104" i="19"/>
  <c r="T1103" i="19"/>
  <c r="Z1103" i="19"/>
  <c r="AM1104" i="19"/>
  <c r="W1103" i="19"/>
  <c r="AJ1104" i="19"/>
  <c r="Z1102" i="19" l="1"/>
  <c r="AM1103" i="19"/>
  <c r="X1103" i="19"/>
  <c r="AK1104" i="19"/>
  <c r="W1102" i="19"/>
  <c r="AJ1103" i="19"/>
  <c r="AG1103" i="19"/>
  <c r="T1102" i="19"/>
  <c r="AN1104" i="19"/>
  <c r="AA1103" i="19"/>
  <c r="AO1103" i="19"/>
  <c r="AB1102" i="19"/>
  <c r="AI1103" i="19"/>
  <c r="V1102" i="19"/>
  <c r="Y1103" i="19"/>
  <c r="AL1104" i="19"/>
  <c r="AP1103" i="19"/>
  <c r="AC1102" i="19"/>
  <c r="AF1104" i="19"/>
  <c r="S1103" i="19"/>
  <c r="AH1103" i="19"/>
  <c r="U1102" i="19"/>
  <c r="AD1102" i="19"/>
  <c r="AQ1103" i="19"/>
  <c r="Y1102" i="19" l="1"/>
  <c r="AL1103" i="19"/>
  <c r="W1101" i="19"/>
  <c r="AJ1102" i="19"/>
  <c r="AD1101" i="19"/>
  <c r="AQ1102" i="19"/>
  <c r="AF1103" i="19"/>
  <c r="S1102" i="19"/>
  <c r="AH1102" i="19"/>
  <c r="U1101" i="19"/>
  <c r="X1102" i="19"/>
  <c r="AK1103" i="19"/>
  <c r="AP1102" i="19"/>
  <c r="AC1101" i="19"/>
  <c r="AN1103" i="19"/>
  <c r="AA1102" i="19"/>
  <c r="AG1102" i="19"/>
  <c r="T1101" i="19"/>
  <c r="AI1102" i="19"/>
  <c r="V1101" i="19"/>
  <c r="AO1102" i="19"/>
  <c r="AB1101" i="19"/>
  <c r="Z1101" i="19"/>
  <c r="AM1102" i="19"/>
  <c r="AF1102" i="19" l="1"/>
  <c r="S1101" i="19"/>
  <c r="AQ1101" i="19"/>
  <c r="AD1100" i="19"/>
  <c r="AI1101" i="19"/>
  <c r="V1100" i="19"/>
  <c r="AN1102" i="19"/>
  <c r="AA1101" i="19"/>
  <c r="Z1100" i="19"/>
  <c r="AM1101" i="19"/>
  <c r="X1101" i="19"/>
  <c r="AK1102" i="19"/>
  <c r="W1100" i="19"/>
  <c r="AJ1101" i="19"/>
  <c r="AP1101" i="19"/>
  <c r="AC1100" i="19"/>
  <c r="AG1101" i="19"/>
  <c r="T1100" i="19"/>
  <c r="AH1101" i="19"/>
  <c r="U1100" i="19"/>
  <c r="AO1101" i="19"/>
  <c r="AB1100" i="19"/>
  <c r="Y1101" i="19"/>
  <c r="AL1102" i="19"/>
  <c r="AN1101" i="19" l="1"/>
  <c r="AA1100" i="19"/>
  <c r="AI1100" i="19"/>
  <c r="V1099" i="19"/>
  <c r="AQ1100" i="19"/>
  <c r="AD1099" i="19"/>
  <c r="AP1100" i="19"/>
  <c r="AC1099" i="19"/>
  <c r="W1099" i="19"/>
  <c r="AJ1100" i="19"/>
  <c r="X1100" i="19"/>
  <c r="AK1101" i="19"/>
  <c r="AH1100" i="19"/>
  <c r="U1099" i="19"/>
  <c r="AG1100" i="19"/>
  <c r="T1099" i="19"/>
  <c r="AF1101" i="19"/>
  <c r="S1100" i="19"/>
  <c r="Y1100" i="19"/>
  <c r="AL1101" i="19"/>
  <c r="AO1100" i="19"/>
  <c r="AB1099" i="19"/>
  <c r="Z1099" i="19"/>
  <c r="AM1100" i="19"/>
  <c r="AH1099" i="19" l="1"/>
  <c r="U1098" i="19"/>
  <c r="AQ1099" i="19"/>
  <c r="AD1098" i="19"/>
  <c r="AP1099" i="19"/>
  <c r="AC1098" i="19"/>
  <c r="V1098" i="19"/>
  <c r="AI1099" i="19"/>
  <c r="AO1099" i="19"/>
  <c r="AB1098" i="19"/>
  <c r="Y1099" i="19"/>
  <c r="AL1100" i="19"/>
  <c r="X1099" i="19"/>
  <c r="AK1100" i="19"/>
  <c r="AG1099" i="19"/>
  <c r="T1098" i="19"/>
  <c r="AF1100" i="19"/>
  <c r="S1099" i="19"/>
  <c r="AN1100" i="19"/>
  <c r="AA1099" i="19"/>
  <c r="Z1098" i="19"/>
  <c r="AM1099" i="19"/>
  <c r="W1098" i="19"/>
  <c r="AJ1099" i="19"/>
  <c r="V1097" i="19" l="1"/>
  <c r="AI1098" i="19"/>
  <c r="AG1098" i="19"/>
  <c r="T1097" i="19"/>
  <c r="AP1098" i="19"/>
  <c r="AC1097" i="19"/>
  <c r="X1098" i="19"/>
  <c r="AK1099" i="19"/>
  <c r="W1097" i="19"/>
  <c r="AJ1098" i="19"/>
  <c r="AQ1098" i="19"/>
  <c r="AD1097" i="19"/>
  <c r="Z1097" i="19"/>
  <c r="AM1098" i="19"/>
  <c r="Y1098" i="19"/>
  <c r="AL1099" i="19"/>
  <c r="AF1099" i="19"/>
  <c r="S1098" i="19"/>
  <c r="AO1098" i="19"/>
  <c r="AB1097" i="19"/>
  <c r="AH1098" i="19"/>
  <c r="U1097" i="19"/>
  <c r="AN1099" i="19"/>
  <c r="AA1098" i="19"/>
  <c r="Y1097" i="19" l="1"/>
  <c r="AL1098" i="19"/>
  <c r="X1097" i="19"/>
  <c r="AK1098" i="19"/>
  <c r="AH1097" i="19"/>
  <c r="U1096" i="19"/>
  <c r="AP1097" i="19"/>
  <c r="AC1096" i="19"/>
  <c r="Z1096" i="19"/>
  <c r="AM1097" i="19"/>
  <c r="AN1098" i="19"/>
  <c r="AA1097" i="19"/>
  <c r="AQ1097" i="19"/>
  <c r="AD1096" i="19"/>
  <c r="AG1097" i="19"/>
  <c r="T1096" i="19"/>
  <c r="AO1097" i="19"/>
  <c r="AB1096" i="19"/>
  <c r="AF1098" i="19"/>
  <c r="S1097" i="19"/>
  <c r="W1096" i="19"/>
  <c r="AJ1097" i="19"/>
  <c r="V1096" i="19"/>
  <c r="AI1097" i="19"/>
  <c r="AG1096" i="19" l="1"/>
  <c r="T1095" i="19"/>
  <c r="AD1095" i="19"/>
  <c r="AQ1096" i="19"/>
  <c r="AH1096" i="19"/>
  <c r="U1095" i="19"/>
  <c r="AI1096" i="19"/>
  <c r="V1095" i="19"/>
  <c r="W1095" i="19"/>
  <c r="AJ1096" i="19"/>
  <c r="AP1096" i="19"/>
  <c r="AC1095" i="19"/>
  <c r="AF1097" i="19"/>
  <c r="S1096" i="19"/>
  <c r="AN1097" i="19"/>
  <c r="AA1096" i="19"/>
  <c r="X1096" i="19"/>
  <c r="AK1097" i="19"/>
  <c r="AO1096" i="19"/>
  <c r="AB1095" i="19"/>
  <c r="Z1095" i="19"/>
  <c r="AM1096" i="19"/>
  <c r="Y1096" i="19"/>
  <c r="AL1097" i="19"/>
  <c r="V1094" i="19" l="1"/>
  <c r="AI1095" i="19"/>
  <c r="Y1095" i="19"/>
  <c r="AL1096" i="19"/>
  <c r="AH1095" i="19"/>
  <c r="U1094" i="19"/>
  <c r="AP1095" i="19"/>
  <c r="AC1094" i="19"/>
  <c r="AD1094" i="19"/>
  <c r="AQ1095" i="19"/>
  <c r="AF1096" i="19"/>
  <c r="S1095" i="19"/>
  <c r="AO1095" i="19"/>
  <c r="AB1094" i="19"/>
  <c r="AG1095" i="19"/>
  <c r="T1094" i="19"/>
  <c r="AN1096" i="19"/>
  <c r="AA1095" i="19"/>
  <c r="Z1094" i="19"/>
  <c r="AM1095" i="19"/>
  <c r="X1095" i="19"/>
  <c r="AK1096" i="19"/>
  <c r="W1094" i="19"/>
  <c r="AJ1095" i="19"/>
  <c r="AO1094" i="19" l="1"/>
  <c r="AB1093" i="19"/>
  <c r="AH1094" i="19"/>
  <c r="U1093" i="19"/>
  <c r="AP1094" i="19"/>
  <c r="AC1093" i="19"/>
  <c r="Z1093" i="19"/>
  <c r="AM1094" i="19"/>
  <c r="Y1094" i="19"/>
  <c r="AL1095" i="19"/>
  <c r="AG1094" i="19"/>
  <c r="T1093" i="19"/>
  <c r="W1093" i="19"/>
  <c r="AJ1094" i="19"/>
  <c r="X1094" i="19"/>
  <c r="AK1095" i="19"/>
  <c r="AN1095" i="19"/>
  <c r="AA1094" i="19"/>
  <c r="AF1095" i="19"/>
  <c r="S1094" i="19"/>
  <c r="AD1093" i="19"/>
  <c r="AQ1094" i="19"/>
  <c r="V1093" i="19"/>
  <c r="AI1094" i="19"/>
  <c r="V1092" i="19" l="1"/>
  <c r="AI1093" i="19"/>
  <c r="X1093" i="19"/>
  <c r="AK1094" i="19"/>
  <c r="AM1093" i="19"/>
  <c r="Z1092" i="19"/>
  <c r="AP1093" i="19"/>
  <c r="AC1092" i="19"/>
  <c r="AD1092" i="19"/>
  <c r="AQ1093" i="19"/>
  <c r="W1092" i="19"/>
  <c r="AJ1093" i="19"/>
  <c r="AG1093" i="19"/>
  <c r="T1092" i="19"/>
  <c r="AH1093" i="19"/>
  <c r="U1092" i="19"/>
  <c r="AF1094" i="19"/>
  <c r="S1093" i="19"/>
  <c r="AN1094" i="19"/>
  <c r="AA1093" i="19"/>
  <c r="AO1093" i="19"/>
  <c r="AB1092" i="19"/>
  <c r="Y1093" i="19"/>
  <c r="AL1094" i="19"/>
  <c r="AM1092" i="19" l="1"/>
  <c r="Z1091" i="19"/>
  <c r="AH1092" i="19"/>
  <c r="U1091" i="19"/>
  <c r="AG1092" i="19"/>
  <c r="T1091" i="19"/>
  <c r="AN1093" i="19"/>
  <c r="AA1092" i="19"/>
  <c r="W1091" i="19"/>
  <c r="AJ1092" i="19"/>
  <c r="X1092" i="19"/>
  <c r="AK1093" i="19"/>
  <c r="Y1092" i="19"/>
  <c r="AL1093" i="19"/>
  <c r="AF1093" i="19"/>
  <c r="S1092" i="19"/>
  <c r="AP1092" i="19"/>
  <c r="AC1091" i="19"/>
  <c r="AO1092" i="19"/>
  <c r="AB1091" i="19"/>
  <c r="AD1091" i="19"/>
  <c r="AQ1092" i="19"/>
  <c r="V1091" i="19"/>
  <c r="AI1092" i="19"/>
  <c r="AG1091" i="19" l="1"/>
  <c r="T1090" i="19"/>
  <c r="Y1091" i="19"/>
  <c r="AL1092" i="19"/>
  <c r="AH1091" i="19"/>
  <c r="U1090" i="19"/>
  <c r="V1090" i="19"/>
  <c r="AI1091" i="19"/>
  <c r="AD1090" i="19"/>
  <c r="AQ1091" i="19"/>
  <c r="AO1091" i="19"/>
  <c r="AB1090" i="19"/>
  <c r="X1091" i="19"/>
  <c r="AK1092" i="19"/>
  <c r="AF1092" i="19"/>
  <c r="S1091" i="19"/>
  <c r="AP1091" i="19"/>
  <c r="AC1090" i="19"/>
  <c r="AM1091" i="19"/>
  <c r="Z1090" i="19"/>
  <c r="AN1092" i="19"/>
  <c r="AA1091" i="19"/>
  <c r="W1090" i="19"/>
  <c r="AJ1091" i="19"/>
  <c r="V1089" i="19" l="1"/>
  <c r="AI1090" i="19"/>
  <c r="AH1090" i="19"/>
  <c r="U1089" i="19"/>
  <c r="X1090" i="19"/>
  <c r="AK1091" i="19"/>
  <c r="AN1091" i="19"/>
  <c r="AA1090" i="19"/>
  <c r="AO1090" i="19"/>
  <c r="AB1089" i="19"/>
  <c r="AM1090" i="19"/>
  <c r="Z1089" i="19"/>
  <c r="Y1090" i="19"/>
  <c r="AL1091" i="19"/>
  <c r="W1089" i="19"/>
  <c r="AJ1090" i="19"/>
  <c r="AP1090" i="19"/>
  <c r="AC1089" i="19"/>
  <c r="AG1090" i="19"/>
  <c r="T1089" i="19"/>
  <c r="AF1091" i="19"/>
  <c r="S1090" i="19"/>
  <c r="AD1089" i="19"/>
  <c r="AQ1090" i="19"/>
  <c r="W1088" i="19" l="1"/>
  <c r="AJ1089" i="19"/>
  <c r="X1089" i="19"/>
  <c r="AK1090" i="19"/>
  <c r="AD1088" i="19"/>
  <c r="AQ1089" i="19"/>
  <c r="AM1089" i="19"/>
  <c r="Z1088" i="19"/>
  <c r="AH1089" i="19"/>
  <c r="U1088" i="19"/>
  <c r="AN1090" i="19"/>
  <c r="AA1089" i="19"/>
  <c r="Y1089" i="19"/>
  <c r="AL1090" i="19"/>
  <c r="AF1090" i="19"/>
  <c r="S1089" i="19"/>
  <c r="AG1089" i="19"/>
  <c r="T1088" i="19"/>
  <c r="AP1089" i="19"/>
  <c r="AC1088" i="19"/>
  <c r="AO1089" i="19"/>
  <c r="AB1088" i="19"/>
  <c r="V1088" i="19"/>
  <c r="AI1089" i="19"/>
  <c r="V1087" i="19" l="1"/>
  <c r="AI1088" i="19"/>
  <c r="AM1088" i="19"/>
  <c r="Z1087" i="19"/>
  <c r="Y1088" i="19"/>
  <c r="AL1089" i="19"/>
  <c r="AD1087" i="19"/>
  <c r="AQ1088" i="19"/>
  <c r="AO1088" i="19"/>
  <c r="AB1087" i="19"/>
  <c r="AP1088" i="19"/>
  <c r="AC1087" i="19"/>
  <c r="AN1089" i="19"/>
  <c r="AA1088" i="19"/>
  <c r="X1088" i="19"/>
  <c r="AK1089" i="19"/>
  <c r="AG1088" i="19"/>
  <c r="T1087" i="19"/>
  <c r="AH1088" i="19"/>
  <c r="U1087" i="19"/>
  <c r="AF1089" i="19"/>
  <c r="S1088" i="19"/>
  <c r="W1087" i="19"/>
  <c r="AJ1088" i="19"/>
  <c r="X1087" i="19" l="1"/>
  <c r="AK1088" i="19"/>
  <c r="AD1086" i="19"/>
  <c r="AQ1087" i="19"/>
  <c r="Y1087" i="19"/>
  <c r="AL1088" i="19"/>
  <c r="AF1088" i="19"/>
  <c r="S1087" i="19"/>
  <c r="AM1087" i="19"/>
  <c r="Z1086" i="19"/>
  <c r="W1086" i="19"/>
  <c r="AJ1087" i="19"/>
  <c r="AP1087" i="19"/>
  <c r="AC1086" i="19"/>
  <c r="AG1087" i="19"/>
  <c r="T1086" i="19"/>
  <c r="AO1087" i="19"/>
  <c r="AB1086" i="19"/>
  <c r="AN1088" i="19"/>
  <c r="AA1087" i="19"/>
  <c r="AH1087" i="19"/>
  <c r="U1086" i="19"/>
  <c r="V1086" i="19"/>
  <c r="AI1087" i="19"/>
  <c r="AP1086" i="19" l="1"/>
  <c r="AC1085" i="19"/>
  <c r="AG1086" i="19"/>
  <c r="T1085" i="19"/>
  <c r="Y1086" i="19"/>
  <c r="AL1087" i="19"/>
  <c r="V1085" i="19"/>
  <c r="AI1086" i="19"/>
  <c r="AN1087" i="19"/>
  <c r="AA1086" i="19"/>
  <c r="X1086" i="19"/>
  <c r="AK1087" i="19"/>
  <c r="W1085" i="19"/>
  <c r="AJ1086" i="19"/>
  <c r="AD1085" i="19"/>
  <c r="AQ1086" i="19"/>
  <c r="AF1087" i="19"/>
  <c r="S1086" i="19"/>
  <c r="AH1086" i="19"/>
  <c r="U1085" i="19"/>
  <c r="AO1086" i="19"/>
  <c r="AB1085" i="19"/>
  <c r="AM1086" i="19"/>
  <c r="Z1085" i="19"/>
  <c r="AO1085" i="19" l="1"/>
  <c r="AB1084" i="19"/>
  <c r="AM1085" i="19"/>
  <c r="Z1084" i="19"/>
  <c r="W1084" i="19"/>
  <c r="AJ1085" i="19"/>
  <c r="Y1085" i="19"/>
  <c r="AL1086" i="19"/>
  <c r="V1084" i="19"/>
  <c r="AI1085" i="19"/>
  <c r="AH1085" i="19"/>
  <c r="U1084" i="19"/>
  <c r="AG1085" i="19"/>
  <c r="T1084" i="19"/>
  <c r="X1085" i="19"/>
  <c r="AK1086" i="19"/>
  <c r="AP1085" i="19"/>
  <c r="AC1084" i="19"/>
  <c r="AD1084" i="19"/>
  <c r="AQ1085" i="19"/>
  <c r="AF1086" i="19"/>
  <c r="S1085" i="19"/>
  <c r="AN1086" i="19"/>
  <c r="AA1085" i="19"/>
  <c r="X1084" i="19" l="1"/>
  <c r="AK1085" i="19"/>
  <c r="W1083" i="19"/>
  <c r="AJ1084" i="19"/>
  <c r="AN1085" i="19"/>
  <c r="AA1084" i="19"/>
  <c r="AG1084" i="19"/>
  <c r="T1083" i="19"/>
  <c r="AD1083" i="19"/>
  <c r="AQ1084" i="19"/>
  <c r="AH1084" i="19"/>
  <c r="U1083" i="19"/>
  <c r="AP1084" i="19"/>
  <c r="AC1083" i="19"/>
  <c r="AO1084" i="19"/>
  <c r="AB1083" i="19"/>
  <c r="Y1084" i="19"/>
  <c r="AL1085" i="19"/>
  <c r="AF1085" i="19"/>
  <c r="S1084" i="19"/>
  <c r="AM1084" i="19"/>
  <c r="Z1083" i="19"/>
  <c r="V1083" i="19"/>
  <c r="AI1084" i="19"/>
  <c r="V1082" i="19" l="1"/>
  <c r="AI1083" i="19"/>
  <c r="AO1083" i="19"/>
  <c r="AB1082" i="19"/>
  <c r="AN1084" i="19"/>
  <c r="AA1083" i="19"/>
  <c r="AG1083" i="19"/>
  <c r="T1082" i="19"/>
  <c r="AP1083" i="19"/>
  <c r="AC1082" i="19"/>
  <c r="AF1084" i="19"/>
  <c r="S1083" i="19"/>
  <c r="AH1083" i="19"/>
  <c r="U1082" i="19"/>
  <c r="AM1083" i="19"/>
  <c r="Z1082" i="19"/>
  <c r="W1082" i="19"/>
  <c r="AJ1083" i="19"/>
  <c r="Y1083" i="19"/>
  <c r="AL1084" i="19"/>
  <c r="AD1082" i="19"/>
  <c r="AQ1083" i="19"/>
  <c r="X1083" i="19"/>
  <c r="AK1084" i="19"/>
  <c r="AG1082" i="19" l="1"/>
  <c r="T1081" i="19"/>
  <c r="AN1083" i="19"/>
  <c r="AA1082" i="19"/>
  <c r="AD1081" i="19"/>
  <c r="AQ1082" i="19"/>
  <c r="AM1082" i="19"/>
  <c r="Z1081" i="19"/>
  <c r="AO1082" i="19"/>
  <c r="AB1081" i="19"/>
  <c r="Y1082" i="19"/>
  <c r="AL1083" i="19"/>
  <c r="X1082" i="19"/>
  <c r="AK1083" i="19"/>
  <c r="AF1083" i="19"/>
  <c r="S1082" i="19"/>
  <c r="AP1082" i="19"/>
  <c r="AC1081" i="19"/>
  <c r="AH1082" i="19"/>
  <c r="U1081" i="19"/>
  <c r="W1081" i="19"/>
  <c r="AJ1082" i="19"/>
  <c r="V1081" i="19"/>
  <c r="AI1082" i="19"/>
  <c r="AD1080" i="19" l="1"/>
  <c r="AQ1081" i="19"/>
  <c r="AN1082" i="19"/>
  <c r="AA1081" i="19"/>
  <c r="AF1082" i="19"/>
  <c r="S1081" i="19"/>
  <c r="X1081" i="19"/>
  <c r="AK1082" i="19"/>
  <c r="AH1081" i="19"/>
  <c r="U1080" i="19"/>
  <c r="Y1081" i="19"/>
  <c r="AL1082" i="19"/>
  <c r="V1080" i="19"/>
  <c r="AI1081" i="19"/>
  <c r="W1080" i="19"/>
  <c r="AJ1081" i="19"/>
  <c r="AP1081" i="19"/>
  <c r="AC1080" i="19"/>
  <c r="AO1081" i="19"/>
  <c r="AB1080" i="19"/>
  <c r="AG1081" i="19"/>
  <c r="T1080" i="19"/>
  <c r="AM1081" i="19"/>
  <c r="Z1080" i="19"/>
  <c r="W1079" i="19" l="1"/>
  <c r="AJ1080" i="19"/>
  <c r="X1080" i="19"/>
  <c r="AK1081" i="19"/>
  <c r="AF1081" i="19"/>
  <c r="S1080" i="19"/>
  <c r="AG1080" i="19"/>
  <c r="T1079" i="19"/>
  <c r="AN1081" i="19"/>
  <c r="AA1080" i="19"/>
  <c r="Y1080" i="19"/>
  <c r="AL1081" i="19"/>
  <c r="AM1080" i="19"/>
  <c r="Z1079" i="19"/>
  <c r="V1079" i="19"/>
  <c r="AI1080" i="19"/>
  <c r="AP1080" i="19"/>
  <c r="AC1079" i="19"/>
  <c r="AH1080" i="19"/>
  <c r="U1079" i="19"/>
  <c r="AO1080" i="19"/>
  <c r="AB1079" i="19"/>
  <c r="AD1079" i="19"/>
  <c r="AQ1080" i="19"/>
  <c r="V1078" i="19" l="1"/>
  <c r="AI1079" i="19"/>
  <c r="AF1080" i="19"/>
  <c r="S1079" i="19"/>
  <c r="AD1078" i="19"/>
  <c r="AQ1079" i="19"/>
  <c r="AH1079" i="19"/>
  <c r="U1078" i="19"/>
  <c r="Y1079" i="19"/>
  <c r="AL1080" i="19"/>
  <c r="X1079" i="19"/>
  <c r="AK1080" i="19"/>
  <c r="AO1079" i="19"/>
  <c r="AB1078" i="19"/>
  <c r="AP1079" i="19"/>
  <c r="AC1078" i="19"/>
  <c r="AN1080" i="19"/>
  <c r="AA1079" i="19"/>
  <c r="AG1079" i="19"/>
  <c r="T1078" i="19"/>
  <c r="AM1079" i="19"/>
  <c r="Z1078" i="19"/>
  <c r="W1078" i="19"/>
  <c r="AJ1079" i="19"/>
  <c r="W1077" i="19" l="1"/>
  <c r="AJ1078" i="19"/>
  <c r="AO1078" i="19"/>
  <c r="AB1077" i="19"/>
  <c r="AP1078" i="19"/>
  <c r="AC1077" i="19"/>
  <c r="AD1077" i="19"/>
  <c r="AQ1078" i="19"/>
  <c r="AM1078" i="19"/>
  <c r="Z1077" i="19"/>
  <c r="AF1079" i="19"/>
  <c r="S1078" i="19"/>
  <c r="X1078" i="19"/>
  <c r="AK1079" i="19"/>
  <c r="AH1078" i="19"/>
  <c r="U1077" i="19"/>
  <c r="AN1079" i="19"/>
  <c r="AA1078" i="19"/>
  <c r="AG1078" i="19"/>
  <c r="T1077" i="19"/>
  <c r="Y1078" i="19"/>
  <c r="AL1079" i="19"/>
  <c r="V1077" i="19"/>
  <c r="AI1078" i="19"/>
  <c r="AD1076" i="19" l="1"/>
  <c r="AQ1077" i="19"/>
  <c r="AP1077" i="19"/>
  <c r="AC1076" i="19"/>
  <c r="V1076" i="19"/>
  <c r="AI1077" i="19"/>
  <c r="Y1077" i="19"/>
  <c r="AL1078" i="19"/>
  <c r="AH1077" i="19"/>
  <c r="U1076" i="19"/>
  <c r="AO1077" i="19"/>
  <c r="AB1076" i="19"/>
  <c r="X1077" i="19"/>
  <c r="AK1078" i="19"/>
  <c r="AG1077" i="19"/>
  <c r="T1076" i="19"/>
  <c r="AN1078" i="19"/>
  <c r="AA1077" i="19"/>
  <c r="AM1077" i="19"/>
  <c r="Z1076" i="19"/>
  <c r="AF1078" i="19"/>
  <c r="S1077" i="19"/>
  <c r="W1076" i="19"/>
  <c r="AJ1077" i="19"/>
  <c r="Y1076" i="19" l="1"/>
  <c r="AL1077" i="19"/>
  <c r="AG1076" i="19"/>
  <c r="T1075" i="19"/>
  <c r="V1075" i="19"/>
  <c r="AI1076" i="19"/>
  <c r="AF1077" i="19"/>
  <c r="S1076" i="19"/>
  <c r="AP1076" i="19"/>
  <c r="AC1075" i="19"/>
  <c r="X1076" i="19"/>
  <c r="AK1077" i="19"/>
  <c r="AM1076" i="19"/>
  <c r="Z1075" i="19"/>
  <c r="AN1077" i="19"/>
  <c r="AA1076" i="19"/>
  <c r="AH1076" i="19"/>
  <c r="U1075" i="19"/>
  <c r="W1075" i="19"/>
  <c r="AJ1076" i="19"/>
  <c r="AO1076" i="19"/>
  <c r="AB1075" i="19"/>
  <c r="AD1075" i="19"/>
  <c r="AQ1076" i="19"/>
  <c r="AF1076" i="19" l="1"/>
  <c r="S1075" i="19"/>
  <c r="AD1074" i="19"/>
  <c r="AQ1075" i="19"/>
  <c r="AO1075" i="19"/>
  <c r="AB1074" i="19"/>
  <c r="AM1075" i="19"/>
  <c r="Z1074" i="19"/>
  <c r="AN1076" i="19"/>
  <c r="AA1075" i="19"/>
  <c r="V1074" i="19"/>
  <c r="AI1075" i="19"/>
  <c r="AG1075" i="19"/>
  <c r="T1074" i="19"/>
  <c r="W1074" i="19"/>
  <c r="AJ1075" i="19"/>
  <c r="X1075" i="19"/>
  <c r="AK1076" i="19"/>
  <c r="AH1075" i="19"/>
  <c r="U1074" i="19"/>
  <c r="AP1075" i="19"/>
  <c r="AC1074" i="19"/>
  <c r="Y1075" i="19"/>
  <c r="AL1076" i="19"/>
  <c r="AO1074" i="19" l="1"/>
  <c r="AB1073" i="19"/>
  <c r="W1073" i="19"/>
  <c r="AJ1074" i="19"/>
  <c r="AD1073" i="19"/>
  <c r="AQ1074" i="19"/>
  <c r="AG1074" i="19"/>
  <c r="T1073" i="19"/>
  <c r="AH1074" i="19"/>
  <c r="U1073" i="19"/>
  <c r="AN1075" i="19"/>
  <c r="AA1074" i="19"/>
  <c r="AF1075" i="19"/>
  <c r="S1074" i="19"/>
  <c r="AM1074" i="19"/>
  <c r="Z1073" i="19"/>
  <c r="Y1074" i="19"/>
  <c r="AL1075" i="19"/>
  <c r="AP1074" i="19"/>
  <c r="AC1073" i="19"/>
  <c r="V1073" i="19"/>
  <c r="AI1074" i="19"/>
  <c r="X1074" i="19"/>
  <c r="AK1075" i="19"/>
  <c r="X1073" i="19" l="1"/>
  <c r="AK1074" i="19"/>
  <c r="AM1073" i="19"/>
  <c r="Z1072" i="19"/>
  <c r="AF1074" i="19"/>
  <c r="S1073" i="19"/>
  <c r="AG1073" i="19"/>
  <c r="T1072" i="19"/>
  <c r="V1072" i="19"/>
  <c r="AI1073" i="19"/>
  <c r="AD1072" i="19"/>
  <c r="AQ1073" i="19"/>
  <c r="AP1073" i="19"/>
  <c r="AC1072" i="19"/>
  <c r="W1072" i="19"/>
  <c r="AJ1073" i="19"/>
  <c r="AN1074" i="19"/>
  <c r="AA1073" i="19"/>
  <c r="AH1073" i="19"/>
  <c r="U1072" i="19"/>
  <c r="AO1073" i="19"/>
  <c r="AB1072" i="19"/>
  <c r="Y1073" i="19"/>
  <c r="AL1074" i="19"/>
  <c r="AO1072" i="19" l="1"/>
  <c r="AB1071" i="19"/>
  <c r="AF1073" i="19"/>
  <c r="S1072" i="19"/>
  <c r="Y1072" i="19"/>
  <c r="AL1073" i="19"/>
  <c r="AM1072" i="19"/>
  <c r="Z1071" i="19"/>
  <c r="W1071" i="19"/>
  <c r="AJ1072" i="19"/>
  <c r="AD1071" i="19"/>
  <c r="AQ1072" i="19"/>
  <c r="AP1072" i="19"/>
  <c r="AC1071" i="19"/>
  <c r="AH1072" i="19"/>
  <c r="U1071" i="19"/>
  <c r="AN1073" i="19"/>
  <c r="AA1072" i="19"/>
  <c r="AG1072" i="19"/>
  <c r="T1071" i="19"/>
  <c r="V1071" i="19"/>
  <c r="AI1072" i="19"/>
  <c r="X1072" i="19"/>
  <c r="AK1073" i="19"/>
  <c r="AM1071" i="19" l="1"/>
  <c r="Z1070" i="19"/>
  <c r="Y1071" i="19"/>
  <c r="AL1072" i="19"/>
  <c r="AP1071" i="19"/>
  <c r="AC1070" i="19"/>
  <c r="AF1072" i="19"/>
  <c r="S1071" i="19"/>
  <c r="AH1071" i="19"/>
  <c r="U1070" i="19"/>
  <c r="AG1071" i="19"/>
  <c r="T1070" i="19"/>
  <c r="AD1070" i="19"/>
  <c r="AQ1071" i="19"/>
  <c r="AN1072" i="19"/>
  <c r="AA1071" i="19"/>
  <c r="AO1071" i="19"/>
  <c r="AB1070" i="19"/>
  <c r="X1071" i="19"/>
  <c r="AK1072" i="19"/>
  <c r="V1070" i="19"/>
  <c r="AI1071" i="19"/>
  <c r="W1070" i="19"/>
  <c r="AJ1071" i="19"/>
  <c r="AP1070" i="19" l="1"/>
  <c r="AC1069" i="19"/>
  <c r="W1069" i="19"/>
  <c r="AJ1070" i="19"/>
  <c r="AN1071" i="19"/>
  <c r="AA1070" i="19"/>
  <c r="AG1070" i="19"/>
  <c r="T1069" i="19"/>
  <c r="X1070" i="19"/>
  <c r="AK1071" i="19"/>
  <c r="Y1070" i="19"/>
  <c r="AL1071" i="19"/>
  <c r="AF1071" i="19"/>
  <c r="S1070" i="19"/>
  <c r="AD1069" i="19"/>
  <c r="AQ1070" i="19"/>
  <c r="AO1070" i="19"/>
  <c r="AB1069" i="19"/>
  <c r="AH1070" i="19"/>
  <c r="U1069" i="19"/>
  <c r="AM1070" i="19"/>
  <c r="Z1069" i="19"/>
  <c r="V1069" i="19"/>
  <c r="AI1070" i="19"/>
  <c r="AD1068" i="19" l="1"/>
  <c r="AQ1069" i="19"/>
  <c r="AG1069" i="19"/>
  <c r="T1068" i="19"/>
  <c r="AF1070" i="19"/>
  <c r="S1069" i="19"/>
  <c r="AN1070" i="19"/>
  <c r="AA1069" i="19"/>
  <c r="V1068" i="19"/>
  <c r="AI1069" i="19"/>
  <c r="Y1069" i="19"/>
  <c r="AL1070" i="19"/>
  <c r="W1068" i="19"/>
  <c r="AJ1069" i="19"/>
  <c r="AM1069" i="19"/>
  <c r="Z1068" i="19"/>
  <c r="AH1069" i="19"/>
  <c r="U1068" i="19"/>
  <c r="AO1069" i="19"/>
  <c r="AB1068" i="19"/>
  <c r="AP1069" i="19"/>
  <c r="AC1068" i="19"/>
  <c r="X1069" i="19"/>
  <c r="AK1070" i="19"/>
  <c r="AM1068" i="19" l="1"/>
  <c r="Z1067" i="19"/>
  <c r="AF1069" i="19"/>
  <c r="S1068" i="19"/>
  <c r="W1067" i="19"/>
  <c r="AJ1068" i="19"/>
  <c r="AG1068" i="19"/>
  <c r="T1067" i="19"/>
  <c r="AO1068" i="19"/>
  <c r="AB1067" i="19"/>
  <c r="Y1068" i="19"/>
  <c r="AL1069" i="19"/>
  <c r="AN1069" i="19"/>
  <c r="AA1068" i="19"/>
  <c r="AH1068" i="19"/>
  <c r="U1067" i="19"/>
  <c r="X1068" i="19"/>
  <c r="AK1069" i="19"/>
  <c r="AP1068" i="19"/>
  <c r="AC1067" i="19"/>
  <c r="V1067" i="19"/>
  <c r="AI1068" i="19"/>
  <c r="AD1067" i="19"/>
  <c r="AQ1068" i="19"/>
  <c r="AH1067" i="19" l="1"/>
  <c r="U1066" i="19"/>
  <c r="AG1067" i="19"/>
  <c r="T1066" i="19"/>
  <c r="V1066" i="19"/>
  <c r="AI1067" i="19"/>
  <c r="W1066" i="19"/>
  <c r="AJ1067" i="19"/>
  <c r="AF1068" i="19"/>
  <c r="S1067" i="19"/>
  <c r="Y1067" i="19"/>
  <c r="AL1068" i="19"/>
  <c r="AP1067" i="19"/>
  <c r="AC1066" i="19"/>
  <c r="AO1067" i="19"/>
  <c r="AB1066" i="19"/>
  <c r="AM1067" i="19"/>
  <c r="Z1066" i="19"/>
  <c r="AD1066" i="19"/>
  <c r="AQ1067" i="19"/>
  <c r="AN1068" i="19"/>
  <c r="AA1067" i="19"/>
  <c r="X1067" i="19"/>
  <c r="AK1068" i="19"/>
  <c r="W1065" i="19" l="1"/>
  <c r="AJ1066" i="19"/>
  <c r="AP1066" i="19"/>
  <c r="AC1065" i="19"/>
  <c r="AO1066" i="19"/>
  <c r="AB1065" i="19"/>
  <c r="V1065" i="19"/>
  <c r="AI1066" i="19"/>
  <c r="AG1066" i="19"/>
  <c r="T1065" i="19"/>
  <c r="AD1065" i="19"/>
  <c r="AQ1066" i="19"/>
  <c r="Y1066" i="19"/>
  <c r="AL1067" i="19"/>
  <c r="AM1066" i="19"/>
  <c r="Z1065" i="19"/>
  <c r="AF1067" i="19"/>
  <c r="S1066" i="19"/>
  <c r="AH1066" i="19"/>
  <c r="U1065" i="19"/>
  <c r="X1066" i="19"/>
  <c r="AK1067" i="19"/>
  <c r="AN1067" i="19"/>
  <c r="AA1066" i="19"/>
  <c r="X1065" i="19" l="1"/>
  <c r="AK1066" i="19"/>
  <c r="Y1065" i="19"/>
  <c r="AL1066" i="19"/>
  <c r="V1064" i="19"/>
  <c r="AI1065" i="19"/>
  <c r="AH1065" i="19"/>
  <c r="U1064" i="19"/>
  <c r="AN1066" i="19"/>
  <c r="AA1065" i="19"/>
  <c r="AO1065" i="19"/>
  <c r="AB1064" i="19"/>
  <c r="AD1064" i="19"/>
  <c r="AQ1065" i="19"/>
  <c r="AF1066" i="19"/>
  <c r="S1065" i="19"/>
  <c r="AG1065" i="19"/>
  <c r="T1064" i="19"/>
  <c r="AM1065" i="19"/>
  <c r="Z1064" i="19"/>
  <c r="AP1065" i="19"/>
  <c r="AC1064" i="19"/>
  <c r="W1064" i="19"/>
  <c r="AJ1065" i="19"/>
  <c r="AP1064" i="19" l="1"/>
  <c r="AC1063" i="19"/>
  <c r="AH1064" i="19"/>
  <c r="U1063" i="19"/>
  <c r="AD1063" i="19"/>
  <c r="AQ1064" i="19"/>
  <c r="V1063" i="19"/>
  <c r="AI1064" i="19"/>
  <c r="AF1065" i="19"/>
  <c r="S1064" i="19"/>
  <c r="W1063" i="19"/>
  <c r="AJ1064" i="19"/>
  <c r="AM1064" i="19"/>
  <c r="Z1063" i="19"/>
  <c r="Y1064" i="19"/>
  <c r="AL1065" i="19"/>
  <c r="AG1064" i="19"/>
  <c r="T1063" i="19"/>
  <c r="AN1065" i="19"/>
  <c r="AA1064" i="19"/>
  <c r="AO1064" i="19"/>
  <c r="AB1063" i="19"/>
  <c r="X1064" i="19"/>
  <c r="AK1065" i="19"/>
  <c r="X1063" i="19" l="1"/>
  <c r="AK1064" i="19"/>
  <c r="V1062" i="19"/>
  <c r="AI1063" i="19"/>
  <c r="AO1063" i="19"/>
  <c r="AB1062" i="19"/>
  <c r="AD1062" i="19"/>
  <c r="AQ1063" i="19"/>
  <c r="Y1063" i="19"/>
  <c r="AL1064" i="19"/>
  <c r="AH1063" i="19"/>
  <c r="U1062" i="19"/>
  <c r="W1062" i="19"/>
  <c r="AJ1063" i="19"/>
  <c r="AM1063" i="19"/>
  <c r="Z1062" i="19"/>
  <c r="AG1063" i="19"/>
  <c r="T1062" i="19"/>
  <c r="AF1064" i="19"/>
  <c r="S1063" i="19"/>
  <c r="AP1063" i="19"/>
  <c r="AC1062" i="19"/>
  <c r="AN1064" i="19"/>
  <c r="AA1063" i="19"/>
  <c r="AD1061" i="19" l="1"/>
  <c r="AQ1062" i="19"/>
  <c r="AO1062" i="19"/>
  <c r="AB1061" i="19"/>
  <c r="AM1062" i="19"/>
  <c r="Z1061" i="19"/>
  <c r="AP1062" i="19"/>
  <c r="AC1061" i="19"/>
  <c r="V1061" i="19"/>
  <c r="AI1062" i="19"/>
  <c r="AN1063" i="19"/>
  <c r="AA1062" i="19"/>
  <c r="AF1063" i="19"/>
  <c r="S1062" i="19"/>
  <c r="AG1062" i="19"/>
  <c r="T1061" i="19"/>
  <c r="W1061" i="19"/>
  <c r="AJ1062" i="19"/>
  <c r="AH1062" i="19"/>
  <c r="U1061" i="19"/>
  <c r="Y1062" i="19"/>
  <c r="AL1063" i="19"/>
  <c r="X1062" i="19"/>
  <c r="AK1063" i="19"/>
  <c r="AM1061" i="19" l="1"/>
  <c r="Z1060" i="19"/>
  <c r="AG1061" i="19"/>
  <c r="T1060" i="19"/>
  <c r="AN1062" i="19"/>
  <c r="AA1061" i="19"/>
  <c r="AO1061" i="19"/>
  <c r="AB1060" i="19"/>
  <c r="AP1061" i="19"/>
  <c r="AC1060" i="19"/>
  <c r="AH1061" i="19"/>
  <c r="U1060" i="19"/>
  <c r="X1061" i="19"/>
  <c r="AK1062" i="19"/>
  <c r="AF1062" i="19"/>
  <c r="S1061" i="19"/>
  <c r="Y1061" i="19"/>
  <c r="AL1062" i="19"/>
  <c r="W1060" i="19"/>
  <c r="AJ1061" i="19"/>
  <c r="V1060" i="19"/>
  <c r="AI1061" i="19"/>
  <c r="AD1060" i="19"/>
  <c r="AQ1061" i="19"/>
  <c r="AN1061" i="19" l="1"/>
  <c r="AA1060" i="19"/>
  <c r="AF1061" i="19"/>
  <c r="S1060" i="19"/>
  <c r="V1059" i="19"/>
  <c r="AI1060" i="19"/>
  <c r="AD1059" i="19"/>
  <c r="AQ1060" i="19"/>
  <c r="AG1060" i="19"/>
  <c r="T1059" i="19"/>
  <c r="W1059" i="19"/>
  <c r="AJ1060" i="19"/>
  <c r="AO1060" i="19"/>
  <c r="AB1059" i="19"/>
  <c r="X1060" i="19"/>
  <c r="AK1061" i="19"/>
  <c r="AP1060" i="19"/>
  <c r="AC1059" i="19"/>
  <c r="AM1060" i="19"/>
  <c r="Z1059" i="19"/>
  <c r="AH1060" i="19"/>
  <c r="U1059" i="19"/>
  <c r="Y1060" i="19"/>
  <c r="AL1061" i="19"/>
  <c r="Y1059" i="19" l="1"/>
  <c r="AL1060" i="19"/>
  <c r="X1059" i="19"/>
  <c r="AK1060" i="19"/>
  <c r="AD1058" i="19"/>
  <c r="AQ1059" i="19"/>
  <c r="V1058" i="19"/>
  <c r="AI1059" i="19"/>
  <c r="AM1059" i="19"/>
  <c r="Z1058" i="19"/>
  <c r="AF1060" i="19"/>
  <c r="S1059" i="19"/>
  <c r="AO1059" i="19"/>
  <c r="AB1058" i="19"/>
  <c r="W1058" i="19"/>
  <c r="AJ1059" i="19"/>
  <c r="AP1059" i="19"/>
  <c r="AC1058" i="19"/>
  <c r="AG1059" i="19"/>
  <c r="T1058" i="19"/>
  <c r="AN1060" i="19"/>
  <c r="AA1059" i="19"/>
  <c r="AH1059" i="19"/>
  <c r="U1058" i="19"/>
  <c r="W1057" i="19" l="1"/>
  <c r="AJ1058" i="19"/>
  <c r="V1057" i="19"/>
  <c r="AI1058" i="19"/>
  <c r="AD1057" i="19"/>
  <c r="AQ1058" i="19"/>
  <c r="AN1059" i="19"/>
  <c r="AA1058" i="19"/>
  <c r="X1058" i="19"/>
  <c r="AK1059" i="19"/>
  <c r="AH1058" i="19"/>
  <c r="U1057" i="19"/>
  <c r="AO1058" i="19"/>
  <c r="AB1057" i="19"/>
  <c r="AG1058" i="19"/>
  <c r="T1057" i="19"/>
  <c r="AP1058" i="19"/>
  <c r="AC1057" i="19"/>
  <c r="AM1058" i="19"/>
  <c r="Z1057" i="19"/>
  <c r="AF1059" i="19"/>
  <c r="S1058" i="19"/>
  <c r="Y1058" i="19"/>
  <c r="AL1059" i="19"/>
  <c r="Y1057" i="19" l="1"/>
  <c r="AL1058" i="19"/>
  <c r="AO1057" i="19"/>
  <c r="AB1056" i="19"/>
  <c r="AG1057" i="19"/>
  <c r="T1056" i="19"/>
  <c r="AD1056" i="19"/>
  <c r="AQ1057" i="19"/>
  <c r="AH1057" i="19"/>
  <c r="U1056" i="19"/>
  <c r="AM1057" i="19"/>
  <c r="Z1056" i="19"/>
  <c r="V1056" i="19"/>
  <c r="AI1057" i="19"/>
  <c r="AN1058" i="19"/>
  <c r="AA1057" i="19"/>
  <c r="AF1058" i="19"/>
  <c r="S1057" i="19"/>
  <c r="AP1057" i="19"/>
  <c r="AC1056" i="19"/>
  <c r="X1057" i="19"/>
  <c r="AK1058" i="19"/>
  <c r="W1056" i="19"/>
  <c r="AJ1057" i="19"/>
  <c r="AN1057" i="19" l="1"/>
  <c r="AA1056" i="19"/>
  <c r="X1056" i="19"/>
  <c r="AK1057" i="19"/>
  <c r="V1055" i="19"/>
  <c r="AI1056" i="19"/>
  <c r="AD1055" i="19"/>
  <c r="AQ1056" i="19"/>
  <c r="W1055" i="19"/>
  <c r="AJ1056" i="19"/>
  <c r="AG1056" i="19"/>
  <c r="T1055" i="19"/>
  <c r="AP1056" i="19"/>
  <c r="AC1055" i="19"/>
  <c r="AM1056" i="19"/>
  <c r="Z1055" i="19"/>
  <c r="AF1057" i="19"/>
  <c r="S1056" i="19"/>
  <c r="AH1056" i="19"/>
  <c r="U1055" i="19"/>
  <c r="AO1056" i="19"/>
  <c r="AB1055" i="19"/>
  <c r="Y1056" i="19"/>
  <c r="AL1057" i="19"/>
  <c r="AD1054" i="19" l="1"/>
  <c r="AQ1055" i="19"/>
  <c r="AP1055" i="19"/>
  <c r="AC1054" i="19"/>
  <c r="V1054" i="19"/>
  <c r="AI1055" i="19"/>
  <c r="AM1055" i="19"/>
  <c r="Z1054" i="19"/>
  <c r="Y1055" i="19"/>
  <c r="AL1056" i="19"/>
  <c r="AH1055" i="19"/>
  <c r="U1054" i="19"/>
  <c r="X1055" i="19"/>
  <c r="AK1056" i="19"/>
  <c r="AF1056" i="19"/>
  <c r="S1055" i="19"/>
  <c r="AN1056" i="19"/>
  <c r="AA1055" i="19"/>
  <c r="AO1055" i="19"/>
  <c r="AB1054" i="19"/>
  <c r="AG1055" i="19"/>
  <c r="T1054" i="19"/>
  <c r="W1054" i="19"/>
  <c r="AJ1055" i="19"/>
  <c r="AG1054" i="19" l="1"/>
  <c r="T1053" i="19"/>
  <c r="V1053" i="19"/>
  <c r="AI1054" i="19"/>
  <c r="AF1055" i="19"/>
  <c r="S1054" i="19"/>
  <c r="AP1054" i="19"/>
  <c r="AC1053" i="19"/>
  <c r="AH1054" i="19"/>
  <c r="U1053" i="19"/>
  <c r="AM1054" i="19"/>
  <c r="Z1053" i="19"/>
  <c r="X1054" i="19"/>
  <c r="AK1055" i="19"/>
  <c r="AN1055" i="19"/>
  <c r="AA1054" i="19"/>
  <c r="W1053" i="19"/>
  <c r="AJ1054" i="19"/>
  <c r="AO1054" i="19"/>
  <c r="AB1053" i="19"/>
  <c r="Y1054" i="19"/>
  <c r="AL1055" i="19"/>
  <c r="AD1053" i="19"/>
  <c r="AQ1054" i="19"/>
  <c r="AD1052" i="19" l="1"/>
  <c r="AQ1053" i="19"/>
  <c r="AN1054" i="19"/>
  <c r="AA1053" i="19"/>
  <c r="AF1054" i="19"/>
  <c r="S1053" i="19"/>
  <c r="AP1053" i="19"/>
  <c r="AC1052" i="19"/>
  <c r="X1053" i="19"/>
  <c r="AK1054" i="19"/>
  <c r="AM1053" i="19"/>
  <c r="Z1052" i="19"/>
  <c r="V1052" i="19"/>
  <c r="AI1053" i="19"/>
  <c r="Y1053" i="19"/>
  <c r="AL1054" i="19"/>
  <c r="AH1053" i="19"/>
  <c r="U1052" i="19"/>
  <c r="AG1053" i="19"/>
  <c r="T1052" i="19"/>
  <c r="AO1053" i="19"/>
  <c r="AB1052" i="19"/>
  <c r="W1052" i="19"/>
  <c r="AJ1053" i="19"/>
  <c r="Y1052" i="19" l="1"/>
  <c r="AL1053" i="19"/>
  <c r="AP1052" i="19"/>
  <c r="AC1051" i="19"/>
  <c r="AF1053" i="19"/>
  <c r="S1052" i="19"/>
  <c r="V1051" i="19"/>
  <c r="AI1052" i="19"/>
  <c r="AG1052" i="19"/>
  <c r="T1051" i="19"/>
  <c r="AN1053" i="19"/>
  <c r="AA1052" i="19"/>
  <c r="W1051" i="19"/>
  <c r="AJ1052" i="19"/>
  <c r="AM1052" i="19"/>
  <c r="Z1051" i="19"/>
  <c r="AH1052" i="19"/>
  <c r="U1051" i="19"/>
  <c r="AO1052" i="19"/>
  <c r="AB1051" i="19"/>
  <c r="X1052" i="19"/>
  <c r="AK1053" i="19"/>
  <c r="AD1051" i="19"/>
  <c r="AQ1052" i="19"/>
  <c r="V1050" i="19" l="1"/>
  <c r="AI1051" i="19"/>
  <c r="AF1052" i="19"/>
  <c r="S1051" i="19"/>
  <c r="AM1051" i="19"/>
  <c r="Z1050" i="19"/>
  <c r="W1050" i="19"/>
  <c r="AJ1051" i="19"/>
  <c r="AN1052" i="19"/>
  <c r="AA1051" i="19"/>
  <c r="AP1051" i="19"/>
  <c r="AC1050" i="19"/>
  <c r="AO1051" i="19"/>
  <c r="AB1050" i="19"/>
  <c r="X1051" i="19"/>
  <c r="AK1052" i="19"/>
  <c r="AH1051" i="19"/>
  <c r="U1050" i="19"/>
  <c r="AG1051" i="19"/>
  <c r="T1050" i="19"/>
  <c r="AD1050" i="19"/>
  <c r="AQ1051" i="19"/>
  <c r="Y1051" i="19"/>
  <c r="AL1052" i="19"/>
  <c r="AM1050" i="19" l="1"/>
  <c r="Z1049" i="19"/>
  <c r="Y1050" i="19"/>
  <c r="AL1051" i="19"/>
  <c r="AD1049" i="19"/>
  <c r="AQ1050" i="19"/>
  <c r="X1050" i="19"/>
  <c r="AK1051" i="19"/>
  <c r="AO1050" i="19"/>
  <c r="AB1049" i="19"/>
  <c r="AP1050" i="19"/>
  <c r="AC1049" i="19"/>
  <c r="W1049" i="19"/>
  <c r="AJ1050" i="19"/>
  <c r="AH1050" i="19"/>
  <c r="U1049" i="19"/>
  <c r="AN1051" i="19"/>
  <c r="AA1050" i="19"/>
  <c r="AG1050" i="19"/>
  <c r="T1049" i="19"/>
  <c r="AF1051" i="19"/>
  <c r="S1050" i="19"/>
  <c r="V1049" i="19"/>
  <c r="AI1050" i="19"/>
  <c r="V1048" i="19" l="1"/>
  <c r="AI1049" i="19"/>
  <c r="X1049" i="19"/>
  <c r="AK1050" i="19"/>
  <c r="AF1050" i="19"/>
  <c r="S1049" i="19"/>
  <c r="W1048" i="19"/>
  <c r="AJ1049" i="19"/>
  <c r="AD1048" i="19"/>
  <c r="AQ1049" i="19"/>
  <c r="AG1049" i="19"/>
  <c r="T1048" i="19"/>
  <c r="AP1049" i="19"/>
  <c r="AC1048" i="19"/>
  <c r="Y1049" i="19"/>
  <c r="AL1050" i="19"/>
  <c r="AN1050" i="19"/>
  <c r="AA1049" i="19"/>
  <c r="AO1049" i="19"/>
  <c r="AB1048" i="19"/>
  <c r="AM1049" i="19"/>
  <c r="Z1048" i="19"/>
  <c r="AH1049" i="19"/>
  <c r="U1048" i="19"/>
  <c r="Y1048" i="19" l="1"/>
  <c r="AL1049" i="19"/>
  <c r="W1047" i="19"/>
  <c r="AJ1048" i="19"/>
  <c r="AM1048" i="19"/>
  <c r="Z1047" i="19"/>
  <c r="AP1048" i="19"/>
  <c r="AC1047" i="19"/>
  <c r="AF1049" i="19"/>
  <c r="S1048" i="19"/>
  <c r="AO1048" i="19"/>
  <c r="AB1047" i="19"/>
  <c r="AG1048" i="19"/>
  <c r="T1047" i="19"/>
  <c r="X1048" i="19"/>
  <c r="AK1049" i="19"/>
  <c r="AN1049" i="19"/>
  <c r="AA1048" i="19"/>
  <c r="AH1048" i="19"/>
  <c r="U1047" i="19"/>
  <c r="AD1047" i="19"/>
  <c r="AQ1048" i="19"/>
  <c r="V1047" i="19"/>
  <c r="AI1048" i="19"/>
  <c r="AM1047" i="19" l="1"/>
  <c r="Z1046" i="19"/>
  <c r="X1047" i="19"/>
  <c r="AK1048" i="19"/>
  <c r="AH1047" i="19"/>
  <c r="U1046" i="19"/>
  <c r="AO1047" i="19"/>
  <c r="AB1046" i="19"/>
  <c r="AP1047" i="19"/>
  <c r="AC1046" i="19"/>
  <c r="W1046" i="19"/>
  <c r="AJ1047" i="19"/>
  <c r="AG1047" i="19"/>
  <c r="T1046" i="19"/>
  <c r="AN1048" i="19"/>
  <c r="AA1047" i="19"/>
  <c r="AF1048" i="19"/>
  <c r="S1047" i="19"/>
  <c r="V1046" i="19"/>
  <c r="AI1047" i="19"/>
  <c r="AD1046" i="19"/>
  <c r="AQ1047" i="19"/>
  <c r="Y1047" i="19"/>
  <c r="AL1048" i="19"/>
  <c r="AO1046" i="19" l="1"/>
  <c r="AB1045" i="19"/>
  <c r="AG1046" i="19"/>
  <c r="T1045" i="19"/>
  <c r="AH1046" i="19"/>
  <c r="U1045" i="19"/>
  <c r="Y1046" i="19"/>
  <c r="AL1047" i="19"/>
  <c r="AN1047" i="19"/>
  <c r="AA1046" i="19"/>
  <c r="AD1045" i="19"/>
  <c r="AQ1046" i="19"/>
  <c r="V1045" i="19"/>
  <c r="AI1046" i="19"/>
  <c r="W1045" i="19"/>
  <c r="AJ1046" i="19"/>
  <c r="X1046" i="19"/>
  <c r="AK1047" i="19"/>
  <c r="AF1047" i="19"/>
  <c r="S1046" i="19"/>
  <c r="AP1046" i="19"/>
  <c r="AC1045" i="19"/>
  <c r="AM1046" i="19"/>
  <c r="Z1045" i="19"/>
  <c r="W1044" i="19" l="1"/>
  <c r="AJ1045" i="19"/>
  <c r="Y1045" i="19"/>
  <c r="AL1046" i="19"/>
  <c r="AH1045" i="19"/>
  <c r="U1044" i="19"/>
  <c r="V1044" i="19"/>
  <c r="AI1045" i="19"/>
  <c r="AM1045" i="19"/>
  <c r="Z1044" i="19"/>
  <c r="AF1046" i="19"/>
  <c r="S1045" i="19"/>
  <c r="AG1045" i="19"/>
  <c r="T1044" i="19"/>
  <c r="AP1045" i="19"/>
  <c r="AC1044" i="19"/>
  <c r="AD1044" i="19"/>
  <c r="AQ1045" i="19"/>
  <c r="AN1046" i="19"/>
  <c r="AA1045" i="19"/>
  <c r="AO1045" i="19"/>
  <c r="AB1044" i="19"/>
  <c r="X1045" i="19"/>
  <c r="AK1046" i="19"/>
  <c r="V1043" i="19" l="1"/>
  <c r="AI1044" i="19"/>
  <c r="AG1044" i="19"/>
  <c r="T1043" i="19"/>
  <c r="AH1044" i="19"/>
  <c r="U1043" i="19"/>
  <c r="AO1044" i="19"/>
  <c r="AB1043" i="19"/>
  <c r="AN1045" i="19"/>
  <c r="AA1044" i="19"/>
  <c r="AF1045" i="19"/>
  <c r="S1044" i="19"/>
  <c r="Y1044" i="19"/>
  <c r="AL1045" i="19"/>
  <c r="X1044" i="19"/>
  <c r="AK1045" i="19"/>
  <c r="AM1044" i="19"/>
  <c r="Z1043" i="19"/>
  <c r="AP1044" i="19"/>
  <c r="AC1043" i="19"/>
  <c r="AD1043" i="19"/>
  <c r="AQ1044" i="19"/>
  <c r="W1043" i="19"/>
  <c r="AJ1044" i="19"/>
  <c r="X1043" i="19" l="1"/>
  <c r="AK1044" i="19"/>
  <c r="AH1043" i="19"/>
  <c r="U1042" i="19"/>
  <c r="AO1043" i="19"/>
  <c r="AB1042" i="19"/>
  <c r="AF1044" i="19"/>
  <c r="S1043" i="19"/>
  <c r="AG1043" i="19"/>
  <c r="T1042" i="19"/>
  <c r="AP1043" i="19"/>
  <c r="AC1042" i="19"/>
  <c r="W1042" i="19"/>
  <c r="AJ1043" i="19"/>
  <c r="AD1042" i="19"/>
  <c r="AQ1043" i="19"/>
  <c r="AM1043" i="19"/>
  <c r="Z1042" i="19"/>
  <c r="AN1044" i="19"/>
  <c r="AA1043" i="19"/>
  <c r="Y1043" i="19"/>
  <c r="AL1044" i="19"/>
  <c r="V1042" i="19"/>
  <c r="AI1043" i="19"/>
  <c r="AD1041" i="19" l="1"/>
  <c r="AQ1042" i="19"/>
  <c r="AO1042" i="19"/>
  <c r="AB1041" i="19"/>
  <c r="Y1042" i="19"/>
  <c r="AL1043" i="19"/>
  <c r="AN1043" i="19"/>
  <c r="AA1042" i="19"/>
  <c r="AP1042" i="19"/>
  <c r="AC1041" i="19"/>
  <c r="AH1042" i="19"/>
  <c r="U1041" i="19"/>
  <c r="V1041" i="19"/>
  <c r="AI1042" i="19"/>
  <c r="W1041" i="19"/>
  <c r="AJ1042" i="19"/>
  <c r="AM1042" i="19"/>
  <c r="Z1041" i="19"/>
  <c r="AG1042" i="19"/>
  <c r="T1041" i="19"/>
  <c r="AF1043" i="19"/>
  <c r="S1042" i="19"/>
  <c r="X1042" i="19"/>
  <c r="AK1043" i="19"/>
  <c r="AN1042" i="19" l="1"/>
  <c r="AA1041" i="19"/>
  <c r="Y1041" i="19"/>
  <c r="AL1042" i="19"/>
  <c r="AG1041" i="19"/>
  <c r="T1040" i="19"/>
  <c r="AH1041" i="19"/>
  <c r="U1040" i="19"/>
  <c r="AO1041" i="19"/>
  <c r="AB1040" i="19"/>
  <c r="W1040" i="19"/>
  <c r="AJ1041" i="19"/>
  <c r="AF1042" i="19"/>
  <c r="S1041" i="19"/>
  <c r="V1040" i="19"/>
  <c r="AI1041" i="19"/>
  <c r="AM1041" i="19"/>
  <c r="Z1040" i="19"/>
  <c r="AP1041" i="19"/>
  <c r="AC1040" i="19"/>
  <c r="X1041" i="19"/>
  <c r="AK1042" i="19"/>
  <c r="AD1040" i="19"/>
  <c r="AQ1041" i="19"/>
  <c r="AD1039" i="19" l="1"/>
  <c r="AQ1040" i="19"/>
  <c r="V1039" i="19"/>
  <c r="AI1040" i="19"/>
  <c r="AF1041" i="19"/>
  <c r="S1040" i="19"/>
  <c r="AG1040" i="19"/>
  <c r="T1039" i="19"/>
  <c r="AP1040" i="19"/>
  <c r="AC1039" i="19"/>
  <c r="AH1040" i="19"/>
  <c r="U1039" i="19"/>
  <c r="W1039" i="19"/>
  <c r="AJ1040" i="19"/>
  <c r="Y1040" i="19"/>
  <c r="AL1041" i="19"/>
  <c r="X1040" i="19"/>
  <c r="AK1041" i="19"/>
  <c r="AM1040" i="19"/>
  <c r="Z1039" i="19"/>
  <c r="AO1040" i="19"/>
  <c r="AB1039" i="19"/>
  <c r="AN1041" i="19"/>
  <c r="AA1040" i="19"/>
  <c r="AG1039" i="19" l="1"/>
  <c r="T1038" i="19"/>
  <c r="AF1040" i="19"/>
  <c r="S1039" i="19"/>
  <c r="AM1039" i="19"/>
  <c r="Z1038" i="19"/>
  <c r="AH1039" i="19"/>
  <c r="U1038" i="19"/>
  <c r="AN1040" i="19"/>
  <c r="AA1039" i="19"/>
  <c r="W1038" i="19"/>
  <c r="AJ1039" i="19"/>
  <c r="V1038" i="19"/>
  <c r="AI1039" i="19"/>
  <c r="Y1039" i="19"/>
  <c r="AL1040" i="19"/>
  <c r="AO1039" i="19"/>
  <c r="AB1038" i="19"/>
  <c r="AP1039" i="19"/>
  <c r="AC1038" i="19"/>
  <c r="X1039" i="19"/>
  <c r="AK1040" i="19"/>
  <c r="AD1038" i="19"/>
  <c r="AQ1039" i="19"/>
  <c r="AM1038" i="19" l="1"/>
  <c r="Z1037" i="19"/>
  <c r="AH1038" i="19"/>
  <c r="U1037" i="19"/>
  <c r="AP1038" i="19"/>
  <c r="AC1037" i="19"/>
  <c r="AF1039" i="19"/>
  <c r="S1038" i="19"/>
  <c r="AD1037" i="19"/>
  <c r="AQ1038" i="19"/>
  <c r="W1037" i="19"/>
  <c r="AJ1038" i="19"/>
  <c r="Y1038" i="19"/>
  <c r="AL1039" i="19"/>
  <c r="V1037" i="19"/>
  <c r="AI1038" i="19"/>
  <c r="AO1038" i="19"/>
  <c r="AB1037" i="19"/>
  <c r="AN1039" i="19"/>
  <c r="AA1038" i="19"/>
  <c r="AG1038" i="19"/>
  <c r="T1037" i="19"/>
  <c r="X1038" i="19"/>
  <c r="AK1039" i="19"/>
  <c r="AP1037" i="19" l="1"/>
  <c r="AC1036" i="19"/>
  <c r="AF1038" i="19"/>
  <c r="S1037" i="19"/>
  <c r="V1036" i="19"/>
  <c r="AI1037" i="19"/>
  <c r="AN1038" i="19"/>
  <c r="AA1037" i="19"/>
  <c r="AH1037" i="19"/>
  <c r="U1036" i="19"/>
  <c r="W1036" i="19"/>
  <c r="AJ1037" i="19"/>
  <c r="Y1037" i="19"/>
  <c r="AL1038" i="19"/>
  <c r="AO1037" i="19"/>
  <c r="AB1036" i="19"/>
  <c r="AM1037" i="19"/>
  <c r="Z1036" i="19"/>
  <c r="X1037" i="19"/>
  <c r="AK1038" i="19"/>
  <c r="AG1037" i="19"/>
  <c r="T1036" i="19"/>
  <c r="AD1036" i="19"/>
  <c r="AQ1037" i="19"/>
  <c r="AG1036" i="19" l="1"/>
  <c r="T1035" i="19"/>
  <c r="Y1036" i="19"/>
  <c r="AL1037" i="19"/>
  <c r="V1035" i="19"/>
  <c r="AI1036" i="19"/>
  <c r="AO1036" i="19"/>
  <c r="AB1035" i="19"/>
  <c r="AD1035" i="19"/>
  <c r="AQ1036" i="19"/>
  <c r="AF1037" i="19"/>
  <c r="S1036" i="19"/>
  <c r="AN1037" i="19"/>
  <c r="AA1036" i="19"/>
  <c r="X1036" i="19"/>
  <c r="AK1037" i="19"/>
  <c r="W1035" i="19"/>
  <c r="AJ1036" i="19"/>
  <c r="AM1036" i="19"/>
  <c r="Z1035" i="19"/>
  <c r="AH1036" i="19"/>
  <c r="U1035" i="19"/>
  <c r="AP1036" i="19"/>
  <c r="AC1035" i="19"/>
  <c r="AP1035" i="19" l="1"/>
  <c r="AC1034" i="19"/>
  <c r="AO1035" i="19"/>
  <c r="AB1034" i="19"/>
  <c r="V1034" i="19"/>
  <c r="AI1035" i="19"/>
  <c r="X1035" i="19"/>
  <c r="AK1036" i="19"/>
  <c r="AN1036" i="19"/>
  <c r="AA1035" i="19"/>
  <c r="AM1035" i="19"/>
  <c r="Z1034" i="19"/>
  <c r="AF1036" i="19"/>
  <c r="S1035" i="19"/>
  <c r="Y1035" i="19"/>
  <c r="AL1036" i="19"/>
  <c r="AH1035" i="19"/>
  <c r="U1034" i="19"/>
  <c r="AG1035" i="19"/>
  <c r="T1034" i="19"/>
  <c r="W1034" i="19"/>
  <c r="AJ1035" i="19"/>
  <c r="AD1034" i="19"/>
  <c r="AQ1035" i="19"/>
  <c r="Y1034" i="19" l="1"/>
  <c r="AL1035" i="19"/>
  <c r="X1034" i="19"/>
  <c r="AK1035" i="19"/>
  <c r="AF1035" i="19"/>
  <c r="S1034" i="19"/>
  <c r="V1033" i="19"/>
  <c r="AI1034" i="19"/>
  <c r="AD1033" i="19"/>
  <c r="AQ1034" i="19"/>
  <c r="AG1034" i="19"/>
  <c r="T1033" i="19"/>
  <c r="AM1034" i="19"/>
  <c r="Z1033" i="19"/>
  <c r="AO1034" i="19"/>
  <c r="AB1033" i="19"/>
  <c r="W1033" i="19"/>
  <c r="AJ1034" i="19"/>
  <c r="AH1034" i="19"/>
  <c r="U1033" i="19"/>
  <c r="AN1035" i="19"/>
  <c r="AA1034" i="19"/>
  <c r="AP1034" i="19"/>
  <c r="AC1033" i="19"/>
  <c r="V1032" i="19" l="1"/>
  <c r="AI1033" i="19"/>
  <c r="AN1034" i="19"/>
  <c r="AA1033" i="19"/>
  <c r="AM1033" i="19"/>
  <c r="Z1032" i="19"/>
  <c r="AF1034" i="19"/>
  <c r="S1033" i="19"/>
  <c r="AO1033" i="19"/>
  <c r="AB1032" i="19"/>
  <c r="AH1033" i="19"/>
  <c r="U1032" i="19"/>
  <c r="AG1033" i="19"/>
  <c r="T1032" i="19"/>
  <c r="X1033" i="19"/>
  <c r="AK1034" i="19"/>
  <c r="AP1033" i="19"/>
  <c r="AC1032" i="19"/>
  <c r="W1032" i="19"/>
  <c r="AJ1033" i="19"/>
  <c r="AD1032" i="19"/>
  <c r="AQ1033" i="19"/>
  <c r="Y1033" i="19"/>
  <c r="AL1034" i="19"/>
  <c r="Y1032" i="19" l="1"/>
  <c r="AL1033" i="19"/>
  <c r="X1032" i="19"/>
  <c r="AK1033" i="19"/>
  <c r="AG1032" i="19"/>
  <c r="T1031" i="19"/>
  <c r="AM1032" i="19"/>
  <c r="Z1031" i="19"/>
  <c r="AF1033" i="19"/>
  <c r="S1032" i="19"/>
  <c r="AH1032" i="19"/>
  <c r="U1031" i="19"/>
  <c r="AN1033" i="19"/>
  <c r="AA1032" i="19"/>
  <c r="AD1031" i="19"/>
  <c r="AQ1032" i="19"/>
  <c r="W1031" i="19"/>
  <c r="AJ1032" i="19"/>
  <c r="AP1032" i="19"/>
  <c r="AC1031" i="19"/>
  <c r="AO1032" i="19"/>
  <c r="AB1031" i="19"/>
  <c r="V1031" i="19"/>
  <c r="AI1032" i="19"/>
  <c r="V1030" i="19" l="1"/>
  <c r="AI1031" i="19"/>
  <c r="AD1030" i="19"/>
  <c r="AQ1031" i="19"/>
  <c r="AO1031" i="19"/>
  <c r="AB1030" i="19"/>
  <c r="AN1032" i="19"/>
  <c r="AA1031" i="19"/>
  <c r="AG1031" i="19"/>
  <c r="T1030" i="19"/>
  <c r="AH1031" i="19"/>
  <c r="U1030" i="19"/>
  <c r="AP1031" i="19"/>
  <c r="AC1030" i="19"/>
  <c r="X1031" i="19"/>
  <c r="AK1032" i="19"/>
  <c r="AM1031" i="19"/>
  <c r="Z1030" i="19"/>
  <c r="AF1032" i="19"/>
  <c r="S1031" i="19"/>
  <c r="W1030" i="19"/>
  <c r="AJ1031" i="19"/>
  <c r="Y1031" i="19"/>
  <c r="AL1032" i="19"/>
  <c r="AB1029" i="19" l="1"/>
  <c r="AO1030" i="19"/>
  <c r="AN1031" i="19"/>
  <c r="AA1030" i="19"/>
  <c r="Y1030" i="19"/>
  <c r="AL1031" i="19"/>
  <c r="AC1029" i="19"/>
  <c r="AP1030" i="19"/>
  <c r="U1029" i="19"/>
  <c r="AH1030" i="19"/>
  <c r="X1030" i="19"/>
  <c r="AK1031" i="19"/>
  <c r="AD1029" i="19"/>
  <c r="AQ1030" i="19"/>
  <c r="AM1030" i="19"/>
  <c r="Z1029" i="19"/>
  <c r="T1029" i="19"/>
  <c r="AG1030" i="19"/>
  <c r="W1029" i="19"/>
  <c r="AJ1030" i="19"/>
  <c r="AF1031" i="19"/>
  <c r="S1030" i="19"/>
  <c r="V1029" i="19"/>
  <c r="AI1030" i="19"/>
  <c r="S1029" i="19" l="1"/>
  <c r="AF1030" i="19"/>
  <c r="AC1028" i="19"/>
  <c r="AP1029" i="19"/>
  <c r="AN1030" i="19"/>
  <c r="AA1029" i="19"/>
  <c r="V1028" i="19"/>
  <c r="AI1029" i="19"/>
  <c r="Y1029" i="19"/>
  <c r="AL1030" i="19"/>
  <c r="W1028" i="19"/>
  <c r="AJ1029" i="19"/>
  <c r="X1029" i="19"/>
  <c r="AK1030" i="19"/>
  <c r="AM1029" i="19"/>
  <c r="Z1028" i="19"/>
  <c r="AQ1029" i="19"/>
  <c r="AD1028" i="19"/>
  <c r="AG1029" i="19"/>
  <c r="T1028" i="19"/>
  <c r="U1028" i="19"/>
  <c r="AH1029" i="19"/>
  <c r="AO1029" i="19"/>
  <c r="AB1028" i="19"/>
  <c r="AI1028" i="19" l="1"/>
  <c r="V1027" i="19"/>
  <c r="AN1029" i="19"/>
  <c r="AA1028" i="19"/>
  <c r="U1027" i="19"/>
  <c r="AH1028" i="19"/>
  <c r="AG1028" i="19"/>
  <c r="T1027" i="19"/>
  <c r="Z1027" i="19"/>
  <c r="AM1028" i="19"/>
  <c r="X1028" i="19"/>
  <c r="AK1029" i="19"/>
  <c r="W1027" i="19"/>
  <c r="AJ1028" i="19"/>
  <c r="AC1027" i="19"/>
  <c r="AP1028" i="19"/>
  <c r="AQ1028" i="19"/>
  <c r="AD1027" i="19"/>
  <c r="AO1028" i="19"/>
  <c r="AB1027" i="19"/>
  <c r="AL1029" i="19"/>
  <c r="Y1028" i="19"/>
  <c r="AF1029" i="19"/>
  <c r="S1028" i="19"/>
  <c r="AC1026" i="19" l="1"/>
  <c r="AP1027" i="19"/>
  <c r="AL1028" i="19"/>
  <c r="Y1027" i="19"/>
  <c r="U1026" i="19"/>
  <c r="AH1027" i="19"/>
  <c r="AG1027" i="19"/>
  <c r="T1026" i="19"/>
  <c r="AO1027" i="19"/>
  <c r="AB1026" i="19"/>
  <c r="AA1027" i="19"/>
  <c r="AN1028" i="19"/>
  <c r="X1027" i="19"/>
  <c r="AK1028" i="19"/>
  <c r="AJ1027" i="19"/>
  <c r="W1026" i="19"/>
  <c r="AD1026" i="19"/>
  <c r="AQ1027" i="19"/>
  <c r="AI1027" i="19"/>
  <c r="V1026" i="19"/>
  <c r="AF1028" i="19"/>
  <c r="S1027" i="19"/>
  <c r="Z1026" i="19"/>
  <c r="AM1027" i="19"/>
  <c r="AM1026" i="19" l="1"/>
  <c r="Z1025" i="19"/>
  <c r="AG1026" i="19"/>
  <c r="T1025" i="19"/>
  <c r="U1025" i="19"/>
  <c r="AH1026" i="19"/>
  <c r="S1026" i="19"/>
  <c r="AF1027" i="19"/>
  <c r="V1025" i="19"/>
  <c r="AI1026" i="19"/>
  <c r="AL1027" i="19"/>
  <c r="Y1026" i="19"/>
  <c r="AA1026" i="19"/>
  <c r="AN1027" i="19"/>
  <c r="AJ1026" i="19"/>
  <c r="W1025" i="19"/>
  <c r="AO1026" i="19"/>
  <c r="AB1025" i="19"/>
  <c r="X1026" i="19"/>
  <c r="AK1027" i="19"/>
  <c r="AD1025" i="19"/>
  <c r="AQ1026" i="19"/>
  <c r="AC1025" i="19"/>
  <c r="AP1026" i="19"/>
  <c r="AC1024" i="19" l="1"/>
  <c r="AP1025" i="19"/>
  <c r="S1025" i="19"/>
  <c r="AF1026" i="19"/>
  <c r="U1024" i="19"/>
  <c r="AH1025" i="19"/>
  <c r="AL1026" i="19"/>
  <c r="Y1025" i="19"/>
  <c r="AG1025" i="19"/>
  <c r="T1024" i="19"/>
  <c r="W1024" i="19"/>
  <c r="AJ1025" i="19"/>
  <c r="AN1026" i="19"/>
  <c r="AA1025" i="19"/>
  <c r="X1025" i="19"/>
  <c r="AK1026" i="19"/>
  <c r="AO1025" i="19"/>
  <c r="AB1024" i="19"/>
  <c r="Z1024" i="19"/>
  <c r="AM1025" i="19"/>
  <c r="AQ1025" i="19"/>
  <c r="AD1024" i="19"/>
  <c r="V1024" i="19"/>
  <c r="AI1025" i="19"/>
  <c r="X1024" i="19" l="1"/>
  <c r="AK1025" i="19"/>
  <c r="AD1023" i="19"/>
  <c r="AQ1024" i="19"/>
  <c r="U1023" i="19"/>
  <c r="AH1024" i="19"/>
  <c r="AL1025" i="19"/>
  <c r="Y1024" i="19"/>
  <c r="AN1025" i="19"/>
  <c r="AA1024" i="19"/>
  <c r="Z1023" i="19"/>
  <c r="AM1024" i="19"/>
  <c r="AJ1024" i="19"/>
  <c r="W1023" i="19"/>
  <c r="S1024" i="19"/>
  <c r="AF1025" i="19"/>
  <c r="AI1024" i="19"/>
  <c r="V1023" i="19"/>
  <c r="AO1024" i="19"/>
  <c r="AB1023" i="19"/>
  <c r="AG1024" i="19"/>
  <c r="T1023" i="19"/>
  <c r="AC1023" i="19"/>
  <c r="AP1024" i="19"/>
  <c r="AF1024" i="19" l="1"/>
  <c r="S1023" i="19"/>
  <c r="AL1024" i="19"/>
  <c r="Y1023" i="19"/>
  <c r="AJ1023" i="19"/>
  <c r="W1022" i="19"/>
  <c r="U1022" i="19"/>
  <c r="AH1023" i="19"/>
  <c r="AO1023" i="19"/>
  <c r="AB1022" i="19"/>
  <c r="AG1023" i="19"/>
  <c r="T1022" i="19"/>
  <c r="Z1022" i="19"/>
  <c r="AM1023" i="19"/>
  <c r="AQ1023" i="19"/>
  <c r="AD1022" i="19"/>
  <c r="AI1023" i="19"/>
  <c r="V1022" i="19"/>
  <c r="AN1024" i="19"/>
  <c r="AA1023" i="19"/>
  <c r="AC1022" i="19"/>
  <c r="AP1023" i="19"/>
  <c r="X1023" i="19"/>
  <c r="AK1024" i="19"/>
  <c r="AQ1022" i="19" l="1"/>
  <c r="AD1021" i="19"/>
  <c r="AJ1022" i="19"/>
  <c r="W1021" i="19"/>
  <c r="AA1022" i="19"/>
  <c r="AN1023" i="19"/>
  <c r="AG1022" i="19"/>
  <c r="T1021" i="19"/>
  <c r="AL1023" i="19"/>
  <c r="Y1022" i="19"/>
  <c r="X1022" i="19"/>
  <c r="AK1023" i="19"/>
  <c r="Z1021" i="19"/>
  <c r="AM1022" i="19"/>
  <c r="AC1021" i="19"/>
  <c r="AP1022" i="19"/>
  <c r="AI1022" i="19"/>
  <c r="V1021" i="19"/>
  <c r="AO1022" i="19"/>
  <c r="AB1021" i="19"/>
  <c r="AF1023" i="19"/>
  <c r="S1022" i="19"/>
  <c r="U1021" i="19"/>
  <c r="AH1022" i="19"/>
  <c r="U1020" i="19" l="1"/>
  <c r="AH1021" i="19"/>
  <c r="AC1020" i="19"/>
  <c r="AP1021" i="19"/>
  <c r="AF1022" i="19"/>
  <c r="S1021" i="19"/>
  <c r="AA1021" i="19"/>
  <c r="AN1022" i="19"/>
  <c r="AG1021" i="19"/>
  <c r="T1020" i="19"/>
  <c r="W1020" i="19"/>
  <c r="AJ1021" i="19"/>
  <c r="Z1020" i="19"/>
  <c r="AM1021" i="19"/>
  <c r="AO1021" i="19"/>
  <c r="AB1020" i="19"/>
  <c r="X1021" i="19"/>
  <c r="AK1022" i="19"/>
  <c r="AI1021" i="19"/>
  <c r="V1020" i="19"/>
  <c r="AL1022" i="19"/>
  <c r="Y1021" i="19"/>
  <c r="AQ1021" i="19"/>
  <c r="AD1020" i="19"/>
  <c r="AL1021" i="19" l="1"/>
  <c r="Y1020" i="19"/>
  <c r="AF1021" i="19"/>
  <c r="S1020" i="19"/>
  <c r="AN1021" i="19"/>
  <c r="AA1020" i="19"/>
  <c r="AI1020" i="19"/>
  <c r="V1019" i="19"/>
  <c r="Z1019" i="19"/>
  <c r="AM1020" i="19"/>
  <c r="W1019" i="19"/>
  <c r="AJ1020" i="19"/>
  <c r="AC1019" i="19"/>
  <c r="AP1020" i="19"/>
  <c r="AQ1020" i="19"/>
  <c r="AD1019" i="19"/>
  <c r="AG1020" i="19"/>
  <c r="T1019" i="19"/>
  <c r="AO1020" i="19"/>
  <c r="AB1019" i="19"/>
  <c r="X1020" i="19"/>
  <c r="AK1021" i="19"/>
  <c r="U1019" i="19"/>
  <c r="AH1020" i="19"/>
  <c r="AN1020" i="19" l="1"/>
  <c r="AA1019" i="19"/>
  <c r="AI1019" i="19"/>
  <c r="V1018" i="19"/>
  <c r="X1019" i="19"/>
  <c r="AK1020" i="19"/>
  <c r="AC1018" i="19"/>
  <c r="AP1019" i="19"/>
  <c r="AO1019" i="19"/>
  <c r="AB1018" i="19"/>
  <c r="AF1020" i="19"/>
  <c r="S1019" i="19"/>
  <c r="U1018" i="19"/>
  <c r="AH1019" i="19"/>
  <c r="W1018" i="19"/>
  <c r="AJ1019" i="19"/>
  <c r="AQ1019" i="19"/>
  <c r="AD1018" i="19"/>
  <c r="AG1019" i="19"/>
  <c r="T1018" i="19"/>
  <c r="AL1020" i="19"/>
  <c r="Y1019" i="19"/>
  <c r="Z1018" i="19"/>
  <c r="AM1019" i="19"/>
  <c r="U1017" i="19" l="1"/>
  <c r="AH1018" i="19"/>
  <c r="X1018" i="19"/>
  <c r="AK1019" i="19"/>
  <c r="AC1017" i="19"/>
  <c r="AP1018" i="19"/>
  <c r="AG1018" i="19"/>
  <c r="T1017" i="19"/>
  <c r="AF1019" i="19"/>
  <c r="S1018" i="19"/>
  <c r="AI1018" i="19"/>
  <c r="V1017" i="19"/>
  <c r="Z1017" i="19"/>
  <c r="AM1018" i="19"/>
  <c r="AL1019" i="19"/>
  <c r="Y1018" i="19"/>
  <c r="AQ1018" i="19"/>
  <c r="AD1017" i="19"/>
  <c r="AO1018" i="19"/>
  <c r="AB1017" i="19"/>
  <c r="AN1019" i="19"/>
  <c r="AA1018" i="19"/>
  <c r="AJ1018" i="19"/>
  <c r="W1017" i="19"/>
  <c r="AN1018" i="19" l="1"/>
  <c r="AA1017" i="19"/>
  <c r="AC1016" i="19"/>
  <c r="AP1017" i="19"/>
  <c r="AO1017" i="19"/>
  <c r="AB1016" i="19"/>
  <c r="AI1017" i="19"/>
  <c r="V1016" i="19"/>
  <c r="AG1017" i="19"/>
  <c r="T1016" i="19"/>
  <c r="X1017" i="19"/>
  <c r="AK1018" i="19"/>
  <c r="AJ1017" i="19"/>
  <c r="W1016" i="19"/>
  <c r="Z1016" i="19"/>
  <c r="AM1017" i="19"/>
  <c r="AQ1017" i="19"/>
  <c r="AD1016" i="19"/>
  <c r="S1017" i="19"/>
  <c r="AF1018" i="19"/>
  <c r="AL1018" i="19"/>
  <c r="Y1017" i="19"/>
  <c r="U1016" i="19"/>
  <c r="AH1017" i="19"/>
  <c r="Z1015" i="19" l="1"/>
  <c r="AM1016" i="19"/>
  <c r="AJ1016" i="19"/>
  <c r="W1015" i="19"/>
  <c r="AI1016" i="19"/>
  <c r="V1015" i="19"/>
  <c r="AO1016" i="19"/>
  <c r="AB1015" i="19"/>
  <c r="S1016" i="19"/>
  <c r="AF1017" i="19"/>
  <c r="X1016" i="19"/>
  <c r="AK1017" i="19"/>
  <c r="AC1015" i="19"/>
  <c r="AP1016" i="19"/>
  <c r="AQ1016" i="19"/>
  <c r="AD1015" i="19"/>
  <c r="AG1016" i="19"/>
  <c r="T1015" i="19"/>
  <c r="AA1016" i="19"/>
  <c r="AN1017" i="19"/>
  <c r="U1015" i="19"/>
  <c r="AH1016" i="19"/>
  <c r="AL1017" i="19"/>
  <c r="Y1016" i="19"/>
  <c r="U1014" i="19" l="1"/>
  <c r="AH1015" i="19"/>
  <c r="AC1014" i="19"/>
  <c r="AP1015" i="19"/>
  <c r="AO1015" i="19"/>
  <c r="AB1014" i="19"/>
  <c r="AJ1015" i="19"/>
  <c r="W1014" i="19"/>
  <c r="AL1016" i="19"/>
  <c r="Y1015" i="19"/>
  <c r="AI1015" i="19"/>
  <c r="V1014" i="19"/>
  <c r="AA1015" i="19"/>
  <c r="AN1016" i="19"/>
  <c r="X1015" i="19"/>
  <c r="AK1016" i="19"/>
  <c r="AQ1015" i="19"/>
  <c r="AD1014" i="19"/>
  <c r="AG1015" i="19"/>
  <c r="T1014" i="19"/>
  <c r="AF1016" i="19"/>
  <c r="S1015" i="19"/>
  <c r="Z1014" i="19"/>
  <c r="AM1015" i="19"/>
  <c r="X1014" i="19" l="1"/>
  <c r="AK1015" i="19"/>
  <c r="AA1014" i="19"/>
  <c r="AN1015" i="19"/>
  <c r="W1013" i="19"/>
  <c r="AJ1014" i="19"/>
  <c r="AG1014" i="19"/>
  <c r="T1013" i="19"/>
  <c r="AI1014" i="19"/>
  <c r="V1013" i="19"/>
  <c r="AC1013" i="19"/>
  <c r="AP1014" i="19"/>
  <c r="AF1015" i="19"/>
  <c r="S1014" i="19"/>
  <c r="AQ1014" i="19"/>
  <c r="AD1013" i="19"/>
  <c r="AL1015" i="19"/>
  <c r="Y1014" i="19"/>
  <c r="Z1013" i="19"/>
  <c r="AM1014" i="19"/>
  <c r="AO1014" i="19"/>
  <c r="AB1013" i="19"/>
  <c r="U1013" i="19"/>
  <c r="AH1014" i="19"/>
  <c r="AQ1013" i="19" l="1"/>
  <c r="AD1012" i="19"/>
  <c r="AF1014" i="19"/>
  <c r="S1013" i="19"/>
  <c r="W1012" i="19"/>
  <c r="AJ1013" i="19"/>
  <c r="U1012" i="19"/>
  <c r="AH1013" i="19"/>
  <c r="Z1012" i="19"/>
  <c r="AM1013" i="19"/>
  <c r="AC1012" i="19"/>
  <c r="AP1013" i="19"/>
  <c r="AA1013" i="19"/>
  <c r="AN1014" i="19"/>
  <c r="AO1013" i="19"/>
  <c r="AB1012" i="19"/>
  <c r="AL1014" i="19"/>
  <c r="Y1013" i="19"/>
  <c r="AI1013" i="19"/>
  <c r="V1012" i="19"/>
  <c r="AG1013" i="19"/>
  <c r="T1012" i="19"/>
  <c r="X1013" i="19"/>
  <c r="AK1014" i="19"/>
  <c r="AG1012" i="19" l="1"/>
  <c r="T1011" i="19"/>
  <c r="W1011" i="19"/>
  <c r="AJ1012" i="19"/>
  <c r="AF1013" i="19"/>
  <c r="S1012" i="19"/>
  <c r="AO1012" i="19"/>
  <c r="AB1011" i="19"/>
  <c r="U1011" i="19"/>
  <c r="AH1012" i="19"/>
  <c r="AN1013" i="19"/>
  <c r="AA1012" i="19"/>
  <c r="AC1011" i="19"/>
  <c r="AP1012" i="19"/>
  <c r="AL1013" i="19"/>
  <c r="Y1012" i="19"/>
  <c r="AQ1012" i="19"/>
  <c r="AD1011" i="19"/>
  <c r="X1012" i="19"/>
  <c r="AK1013" i="19"/>
  <c r="AI1012" i="19"/>
  <c r="V1011" i="19"/>
  <c r="Z1011" i="19"/>
  <c r="AM1012" i="19"/>
  <c r="AL1012" i="19" l="1"/>
  <c r="Y1011" i="19"/>
  <c r="AO1011" i="19"/>
  <c r="AB1010" i="19"/>
  <c r="S1011" i="19"/>
  <c r="AF1012" i="19"/>
  <c r="AN1012" i="19"/>
  <c r="AA1011" i="19"/>
  <c r="Z1010" i="19"/>
  <c r="AM1011" i="19"/>
  <c r="AI1011" i="19"/>
  <c r="V1010" i="19"/>
  <c r="AC1010" i="19"/>
  <c r="AP1011" i="19"/>
  <c r="X1011" i="19"/>
  <c r="AK1012" i="19"/>
  <c r="W1010" i="19"/>
  <c r="AJ1011" i="19"/>
  <c r="AQ1011" i="19"/>
  <c r="AD1010" i="19"/>
  <c r="AG1011" i="19"/>
  <c r="T1010" i="19"/>
  <c r="U1010" i="19"/>
  <c r="AH1011" i="19"/>
  <c r="AG1010" i="19" l="1"/>
  <c r="T1009" i="19"/>
  <c r="AN1011" i="19"/>
  <c r="AA1010" i="19"/>
  <c r="S1010" i="19"/>
  <c r="AF1011" i="19"/>
  <c r="U1009" i="19"/>
  <c r="AH1010" i="19"/>
  <c r="AQ1010" i="19"/>
  <c r="AD1009" i="19"/>
  <c r="AI1010" i="19"/>
  <c r="V1009" i="19"/>
  <c r="AO1010" i="19"/>
  <c r="AB1009" i="19"/>
  <c r="X1010" i="19"/>
  <c r="AK1011" i="19"/>
  <c r="AC1009" i="19"/>
  <c r="AP1010" i="19"/>
  <c r="AL1011" i="19"/>
  <c r="Y1010" i="19"/>
  <c r="AJ1010" i="19"/>
  <c r="W1009" i="19"/>
  <c r="Z1009" i="19"/>
  <c r="AM1010" i="19"/>
  <c r="AO1009" i="19" l="1"/>
  <c r="AB1008" i="19"/>
  <c r="S1009" i="19"/>
  <c r="AF1010" i="19"/>
  <c r="U1008" i="19"/>
  <c r="AH1009" i="19"/>
  <c r="AJ1009" i="19"/>
  <c r="W1008" i="19"/>
  <c r="AL1010" i="19"/>
  <c r="Y1009" i="19"/>
  <c r="AI1009" i="19"/>
  <c r="V1008" i="19"/>
  <c r="AN1010" i="19"/>
  <c r="AA1009" i="19"/>
  <c r="Z1008" i="19"/>
  <c r="AM1009" i="19"/>
  <c r="AQ1009" i="19"/>
  <c r="AD1008" i="19"/>
  <c r="AG1009" i="19"/>
  <c r="T1008" i="19"/>
  <c r="X1009" i="19"/>
  <c r="AK1010" i="19"/>
  <c r="AC1008" i="19"/>
  <c r="AP1009" i="19"/>
  <c r="AN1009" i="19" l="1"/>
  <c r="AA1008" i="19"/>
  <c r="U1007" i="19"/>
  <c r="AH1008" i="19"/>
  <c r="AC1007" i="19"/>
  <c r="AP1008" i="19"/>
  <c r="AI1008" i="19"/>
  <c r="V1007" i="19"/>
  <c r="Z1007" i="19"/>
  <c r="AM1008" i="19"/>
  <c r="S1008" i="19"/>
  <c r="AF1009" i="19"/>
  <c r="AJ1008" i="19"/>
  <c r="W1007" i="19"/>
  <c r="AQ1008" i="19"/>
  <c r="AD1007" i="19"/>
  <c r="AL1009" i="19"/>
  <c r="Y1008" i="19"/>
  <c r="AO1008" i="19"/>
  <c r="AB1007" i="19"/>
  <c r="X1008" i="19"/>
  <c r="AK1009" i="19"/>
  <c r="AG1008" i="19"/>
  <c r="T1007" i="19"/>
  <c r="AI1007" i="19" l="1"/>
  <c r="V1006" i="19"/>
  <c r="AJ1007" i="19"/>
  <c r="W1006" i="19"/>
  <c r="AG1007" i="19"/>
  <c r="T1006" i="19"/>
  <c r="AO1007" i="19"/>
  <c r="AB1006" i="19"/>
  <c r="AF1008" i="19"/>
  <c r="S1007" i="19"/>
  <c r="U1006" i="19"/>
  <c r="AH1007" i="19"/>
  <c r="AC1006" i="19"/>
  <c r="AP1007" i="19"/>
  <c r="AL1008" i="19"/>
  <c r="Y1007" i="19"/>
  <c r="AN1008" i="19"/>
  <c r="AA1007" i="19"/>
  <c r="AQ1007" i="19"/>
  <c r="AD1006" i="19"/>
  <c r="X1007" i="19"/>
  <c r="AK1008" i="19"/>
  <c r="Z1006" i="19"/>
  <c r="AM1007" i="19"/>
  <c r="AL1007" i="19" l="1"/>
  <c r="Y1006" i="19"/>
  <c r="AO1006" i="19"/>
  <c r="AB1005" i="19"/>
  <c r="Z1005" i="19"/>
  <c r="AM1006" i="19"/>
  <c r="AQ1006" i="19"/>
  <c r="AD1005" i="19"/>
  <c r="AJ1006" i="19"/>
  <c r="W1005" i="19"/>
  <c r="AG1006" i="19"/>
  <c r="T1005" i="19"/>
  <c r="X1006" i="19"/>
  <c r="AK1007" i="19"/>
  <c r="U1005" i="19"/>
  <c r="AH1006" i="19"/>
  <c r="AA1006" i="19"/>
  <c r="AN1007" i="19"/>
  <c r="AF1007" i="19"/>
  <c r="S1006" i="19"/>
  <c r="AI1006" i="19"/>
  <c r="V1005" i="19"/>
  <c r="AC1005" i="19"/>
  <c r="AP1006" i="19"/>
  <c r="AQ1005" i="19" l="1"/>
  <c r="AD1004" i="19"/>
  <c r="AI1005" i="19"/>
  <c r="V1004" i="19"/>
  <c r="AF1006" i="19"/>
  <c r="S1005" i="19"/>
  <c r="AG1005" i="19"/>
  <c r="T1004" i="19"/>
  <c r="AO1005" i="19"/>
  <c r="AB1004" i="19"/>
  <c r="AC1004" i="19"/>
  <c r="AP1005" i="19"/>
  <c r="Z1004" i="19"/>
  <c r="AM1005" i="19"/>
  <c r="W1004" i="19"/>
  <c r="AJ1005" i="19"/>
  <c r="AL1006" i="19"/>
  <c r="Y1005" i="19"/>
  <c r="U1004" i="19"/>
  <c r="AH1005" i="19"/>
  <c r="X1005" i="19"/>
  <c r="AK1006" i="19"/>
  <c r="AA1005" i="19"/>
  <c r="AN1006" i="19"/>
  <c r="AG1004" i="19" l="1"/>
  <c r="T1003" i="19"/>
  <c r="AF1005" i="19"/>
  <c r="S1004" i="19"/>
  <c r="AI1004" i="19"/>
  <c r="V1003" i="19"/>
  <c r="Z1003" i="19"/>
  <c r="AM1004" i="19"/>
  <c r="U1003" i="19"/>
  <c r="AH1004" i="19"/>
  <c r="AC1003" i="19"/>
  <c r="AP1004" i="19"/>
  <c r="AN1005" i="19"/>
  <c r="AA1004" i="19"/>
  <c r="AL1005" i="19"/>
  <c r="Y1004" i="19"/>
  <c r="AO1004" i="19"/>
  <c r="AB1003" i="19"/>
  <c r="AQ1004" i="19"/>
  <c r="AD1003" i="19"/>
  <c r="W1003" i="19"/>
  <c r="AJ1004" i="19"/>
  <c r="X1004" i="19"/>
  <c r="AK1005" i="19"/>
  <c r="Z1002" i="19" l="1"/>
  <c r="AM1003" i="19"/>
  <c r="AN1004" i="19"/>
  <c r="AA1003" i="19"/>
  <c r="AI1003" i="19"/>
  <c r="V1002" i="19"/>
  <c r="AQ1003" i="19"/>
  <c r="AD1002" i="19"/>
  <c r="AF1004" i="19"/>
  <c r="S1003" i="19"/>
  <c r="X1003" i="19"/>
  <c r="AK1004" i="19"/>
  <c r="AC1002" i="19"/>
  <c r="AP1003" i="19"/>
  <c r="AO1003" i="19"/>
  <c r="AB1002" i="19"/>
  <c r="AG1003" i="19"/>
  <c r="T1002" i="19"/>
  <c r="AL1004" i="19"/>
  <c r="Y1003" i="19"/>
  <c r="W1002" i="19"/>
  <c r="AJ1003" i="19"/>
  <c r="U1002" i="19"/>
  <c r="AH1003" i="19"/>
  <c r="AQ1002" i="19" l="1"/>
  <c r="AD1001" i="19"/>
  <c r="AI1002" i="19"/>
  <c r="V1001" i="19"/>
  <c r="AL1003" i="19"/>
  <c r="Y1002" i="19"/>
  <c r="AN1003" i="19"/>
  <c r="AA1002" i="19"/>
  <c r="AO1002" i="19"/>
  <c r="AB1001" i="19"/>
  <c r="AC1001" i="19"/>
  <c r="AP1002" i="19"/>
  <c r="X1002" i="19"/>
  <c r="AK1003" i="19"/>
  <c r="U1001" i="19"/>
  <c r="AH1002" i="19"/>
  <c r="AJ1002" i="19"/>
  <c r="W1001" i="19"/>
  <c r="AG1002" i="19"/>
  <c r="T1001" i="19"/>
  <c r="AF1003" i="19"/>
  <c r="S1002" i="19"/>
  <c r="Z1001" i="19"/>
  <c r="AM1002" i="19"/>
  <c r="AN1002" i="19" l="1"/>
  <c r="AA1001" i="19"/>
  <c r="S1001" i="19"/>
  <c r="AF1002" i="19"/>
  <c r="AL1002" i="19"/>
  <c r="Y1001" i="19"/>
  <c r="Z1000" i="19"/>
  <c r="AM1001" i="19"/>
  <c r="AI1001" i="19"/>
  <c r="V1000" i="19"/>
  <c r="AG1001" i="19"/>
  <c r="T1000" i="19"/>
  <c r="AC1000" i="19"/>
  <c r="AP1001" i="19"/>
  <c r="X1001" i="19"/>
  <c r="AK1002" i="19"/>
  <c r="AJ1001" i="19"/>
  <c r="W1000" i="19"/>
  <c r="AO1001" i="19"/>
  <c r="AB1000" i="19"/>
  <c r="AQ1001" i="19"/>
  <c r="AD1000" i="19"/>
  <c r="U1000" i="19"/>
  <c r="AH1001" i="19"/>
  <c r="U999" i="19" l="1"/>
  <c r="AH1000" i="19"/>
  <c r="X1000" i="19"/>
  <c r="AK1001" i="19"/>
  <c r="Z999" i="19"/>
  <c r="AM1000" i="19"/>
  <c r="AL1001" i="19"/>
  <c r="Y1000" i="19"/>
  <c r="AG1000" i="19"/>
  <c r="T999" i="19"/>
  <c r="AO1000" i="19"/>
  <c r="AB999" i="19"/>
  <c r="S1000" i="19"/>
  <c r="AF1001" i="19"/>
  <c r="AC999" i="19"/>
  <c r="AP1000" i="19"/>
  <c r="AJ1000" i="19"/>
  <c r="W999" i="19"/>
  <c r="AI1000" i="19"/>
  <c r="V999" i="19"/>
  <c r="AA1000" i="19"/>
  <c r="AN1001" i="19"/>
  <c r="AQ1000" i="19"/>
  <c r="AD999" i="19"/>
  <c r="AC998" i="19" l="1"/>
  <c r="AP999" i="19"/>
  <c r="AL1000" i="19"/>
  <c r="Y999" i="19"/>
  <c r="AF1000" i="19"/>
  <c r="S999" i="19"/>
  <c r="Z998" i="19"/>
  <c r="AM999" i="19"/>
  <c r="AO999" i="19"/>
  <c r="AB998" i="19"/>
  <c r="AQ999" i="19"/>
  <c r="AD998" i="19"/>
  <c r="AI999" i="19"/>
  <c r="V998" i="19"/>
  <c r="X999" i="19"/>
  <c r="AK1000" i="19"/>
  <c r="AJ999" i="19"/>
  <c r="W998" i="19"/>
  <c r="AG999" i="19"/>
  <c r="T998" i="19"/>
  <c r="AA999" i="19"/>
  <c r="AN1000" i="19"/>
  <c r="U998" i="19"/>
  <c r="AH999" i="19"/>
  <c r="U997" i="19" l="1"/>
  <c r="AH998" i="19"/>
  <c r="X998" i="19"/>
  <c r="AK999" i="19"/>
  <c r="Z997" i="19"/>
  <c r="AM998" i="19"/>
  <c r="AI998" i="19"/>
  <c r="V997" i="19"/>
  <c r="AF999" i="19"/>
  <c r="S998" i="19"/>
  <c r="AA998" i="19"/>
  <c r="AN999" i="19"/>
  <c r="AG998" i="19"/>
  <c r="T997" i="19"/>
  <c r="AQ998" i="19"/>
  <c r="AD997" i="19"/>
  <c r="AL999" i="19"/>
  <c r="Y998" i="19"/>
  <c r="W997" i="19"/>
  <c r="AJ998" i="19"/>
  <c r="AO998" i="19"/>
  <c r="AB997" i="19"/>
  <c r="AC997" i="19"/>
  <c r="AP998" i="19"/>
  <c r="AO997" i="19" l="1"/>
  <c r="AB996" i="19"/>
  <c r="Z996" i="19"/>
  <c r="AM997" i="19"/>
  <c r="AQ997" i="19"/>
  <c r="AD996" i="19"/>
  <c r="AG997" i="19"/>
  <c r="T996" i="19"/>
  <c r="AI997" i="19"/>
  <c r="V996" i="19"/>
  <c r="W996" i="19"/>
  <c r="AJ997" i="19"/>
  <c r="AA997" i="19"/>
  <c r="AN998" i="19"/>
  <c r="X997" i="19"/>
  <c r="AK998" i="19"/>
  <c r="AC996" i="19"/>
  <c r="AP997" i="19"/>
  <c r="AL998" i="19"/>
  <c r="Y997" i="19"/>
  <c r="AF998" i="19"/>
  <c r="S997" i="19"/>
  <c r="U996" i="19"/>
  <c r="AH997" i="19"/>
  <c r="X996" i="19" l="1"/>
  <c r="AK997" i="19"/>
  <c r="AF997" i="19"/>
  <c r="S996" i="19"/>
  <c r="AQ996" i="19"/>
  <c r="AD995" i="19"/>
  <c r="AG996" i="19"/>
  <c r="T995" i="19"/>
  <c r="AL997" i="19"/>
  <c r="Y996" i="19"/>
  <c r="W995" i="19"/>
  <c r="AJ996" i="19"/>
  <c r="Z995" i="19"/>
  <c r="AM996" i="19"/>
  <c r="U995" i="19"/>
  <c r="AH996" i="19"/>
  <c r="AN997" i="19"/>
  <c r="AA996" i="19"/>
  <c r="AI996" i="19"/>
  <c r="V995" i="19"/>
  <c r="AO996" i="19"/>
  <c r="AB995" i="19"/>
  <c r="AC995" i="19"/>
  <c r="AP996" i="19"/>
  <c r="AC994" i="19" l="1"/>
  <c r="AP995" i="19"/>
  <c r="AG995" i="19"/>
  <c r="T994" i="19"/>
  <c r="AQ995" i="19"/>
  <c r="AD994" i="19"/>
  <c r="AO995" i="19"/>
  <c r="AB994" i="19"/>
  <c r="AI995" i="19"/>
  <c r="V994" i="19"/>
  <c r="S995" i="19"/>
  <c r="AF996" i="19"/>
  <c r="W994" i="19"/>
  <c r="AJ995" i="19"/>
  <c r="AN996" i="19"/>
  <c r="AA995" i="19"/>
  <c r="AL996" i="19"/>
  <c r="Y995" i="19"/>
  <c r="U994" i="19"/>
  <c r="AH995" i="19"/>
  <c r="Z994" i="19"/>
  <c r="AM995" i="19"/>
  <c r="X995" i="19"/>
  <c r="AK996" i="19"/>
  <c r="AQ994" i="19" l="1"/>
  <c r="AD993" i="19"/>
  <c r="Z993" i="19"/>
  <c r="AM994" i="19"/>
  <c r="AG994" i="19"/>
  <c r="T993" i="19"/>
  <c r="AO994" i="19"/>
  <c r="AB993" i="19"/>
  <c r="X994" i="19"/>
  <c r="AK995" i="19"/>
  <c r="U993" i="19"/>
  <c r="AH994" i="19"/>
  <c r="S994" i="19"/>
  <c r="AF995" i="19"/>
  <c r="AJ994" i="19"/>
  <c r="W993" i="19"/>
  <c r="AL995" i="19"/>
  <c r="Y994" i="19"/>
  <c r="AI994" i="19"/>
  <c r="V993" i="19"/>
  <c r="AN995" i="19"/>
  <c r="AA994" i="19"/>
  <c r="AC993" i="19"/>
  <c r="AP994" i="19"/>
  <c r="AG993" i="19" l="1"/>
  <c r="T992" i="19"/>
  <c r="AI993" i="19"/>
  <c r="V992" i="19"/>
  <c r="AO993" i="19"/>
  <c r="AB992" i="19"/>
  <c r="AC992" i="19"/>
  <c r="AP993" i="19"/>
  <c r="U992" i="19"/>
  <c r="AH993" i="19"/>
  <c r="Z992" i="19"/>
  <c r="AM993" i="19"/>
  <c r="AJ993" i="19"/>
  <c r="W992" i="19"/>
  <c r="AN994" i="19"/>
  <c r="AA993" i="19"/>
  <c r="S993" i="19"/>
  <c r="AF994" i="19"/>
  <c r="AL994" i="19"/>
  <c r="Y993" i="19"/>
  <c r="AQ993" i="19"/>
  <c r="AD992" i="19"/>
  <c r="X993" i="19"/>
  <c r="AK994" i="19"/>
  <c r="AC991" i="19" l="1"/>
  <c r="AP992" i="19"/>
  <c r="AJ992" i="19"/>
  <c r="W991" i="19"/>
  <c r="AO992" i="19"/>
  <c r="AB991" i="19"/>
  <c r="AQ992" i="19"/>
  <c r="AD991" i="19"/>
  <c r="AL993" i="19"/>
  <c r="Y992" i="19"/>
  <c r="AI992" i="19"/>
  <c r="V991" i="19"/>
  <c r="AN993" i="19"/>
  <c r="AA992" i="19"/>
  <c r="Z991" i="19"/>
  <c r="AM992" i="19"/>
  <c r="X992" i="19"/>
  <c r="AK993" i="19"/>
  <c r="AG992" i="19"/>
  <c r="T991" i="19"/>
  <c r="S992" i="19"/>
  <c r="AF993" i="19"/>
  <c r="U991" i="19"/>
  <c r="AH992" i="19"/>
  <c r="Z990" i="19" l="1"/>
  <c r="AM991" i="19"/>
  <c r="AN992" i="19"/>
  <c r="AA991" i="19"/>
  <c r="AO991" i="19"/>
  <c r="AB990" i="19"/>
  <c r="AQ991" i="19"/>
  <c r="AD990" i="19"/>
  <c r="AG991" i="19"/>
  <c r="T990" i="19"/>
  <c r="AI991" i="19"/>
  <c r="V990" i="19"/>
  <c r="AJ991" i="19"/>
  <c r="W990" i="19"/>
  <c r="AL992" i="19"/>
  <c r="Y991" i="19"/>
  <c r="U990" i="19"/>
  <c r="AH991" i="19"/>
  <c r="AF992" i="19"/>
  <c r="S991" i="19"/>
  <c r="X991" i="19"/>
  <c r="AK992" i="19"/>
  <c r="AC990" i="19"/>
  <c r="AP991" i="19"/>
  <c r="AL991" i="19" l="1"/>
  <c r="Y990" i="19"/>
  <c r="AJ990" i="19"/>
  <c r="W989" i="19"/>
  <c r="AO990" i="19"/>
  <c r="AB989" i="19"/>
  <c r="AI990" i="19"/>
  <c r="V989" i="19"/>
  <c r="AA990" i="19"/>
  <c r="AN991" i="19"/>
  <c r="AC989" i="19"/>
  <c r="AP990" i="19"/>
  <c r="X990" i="19"/>
  <c r="AK991" i="19"/>
  <c r="AQ990" i="19"/>
  <c r="AD989" i="19"/>
  <c r="AG990" i="19"/>
  <c r="T989" i="19"/>
  <c r="AF991" i="19"/>
  <c r="S990" i="19"/>
  <c r="U989" i="19"/>
  <c r="AH990" i="19"/>
  <c r="Z989" i="19"/>
  <c r="AM990" i="19"/>
  <c r="AO989" i="19" l="1"/>
  <c r="AB988" i="19"/>
  <c r="AQ989" i="19"/>
  <c r="AD988" i="19"/>
  <c r="Z988" i="19"/>
  <c r="AM989" i="19"/>
  <c r="AF990" i="19"/>
  <c r="S989" i="19"/>
  <c r="W988" i="19"/>
  <c r="AJ989" i="19"/>
  <c r="X989" i="19"/>
  <c r="AK990" i="19"/>
  <c r="AC988" i="19"/>
  <c r="AP989" i="19"/>
  <c r="U988" i="19"/>
  <c r="AH989" i="19"/>
  <c r="AG989" i="19"/>
  <c r="T988" i="19"/>
  <c r="AL990" i="19"/>
  <c r="Y989" i="19"/>
  <c r="AI989" i="19"/>
  <c r="V988" i="19"/>
  <c r="AA989" i="19"/>
  <c r="AN990" i="19"/>
  <c r="U987" i="19" l="1"/>
  <c r="AH988" i="19"/>
  <c r="Z987" i="19"/>
  <c r="AM988" i="19"/>
  <c r="AL989" i="19"/>
  <c r="Y988" i="19"/>
  <c r="AQ988" i="19"/>
  <c r="AD987" i="19"/>
  <c r="AN989" i="19"/>
  <c r="AA988" i="19"/>
  <c r="AC987" i="19"/>
  <c r="AP988" i="19"/>
  <c r="X988" i="19"/>
  <c r="AK989" i="19"/>
  <c r="AI988" i="19"/>
  <c r="V987" i="19"/>
  <c r="AG988" i="19"/>
  <c r="T987" i="19"/>
  <c r="AO988" i="19"/>
  <c r="AB987" i="19"/>
  <c r="AF989" i="19"/>
  <c r="S988" i="19"/>
  <c r="W987" i="19"/>
  <c r="AJ988" i="19"/>
  <c r="AQ987" i="19" l="1"/>
  <c r="AD986" i="19"/>
  <c r="AL988" i="19"/>
  <c r="Y987" i="19"/>
  <c r="AI987" i="19"/>
  <c r="V986" i="19"/>
  <c r="AO987" i="19"/>
  <c r="AB986" i="19"/>
  <c r="W986" i="19"/>
  <c r="AJ987" i="19"/>
  <c r="AC986" i="19"/>
  <c r="AP987" i="19"/>
  <c r="Z986" i="19"/>
  <c r="AM987" i="19"/>
  <c r="X987" i="19"/>
  <c r="AK988" i="19"/>
  <c r="AG987" i="19"/>
  <c r="T986" i="19"/>
  <c r="AN988" i="19"/>
  <c r="AA987" i="19"/>
  <c r="AF988" i="19"/>
  <c r="S987" i="19"/>
  <c r="U986" i="19"/>
  <c r="AH987" i="19"/>
  <c r="X986" i="19" l="1"/>
  <c r="AK987" i="19"/>
  <c r="AI986" i="19"/>
  <c r="V985" i="19"/>
  <c r="AO986" i="19"/>
  <c r="AB985" i="19"/>
  <c r="AF987" i="19"/>
  <c r="S986" i="19"/>
  <c r="AN987" i="19"/>
  <c r="AA986" i="19"/>
  <c r="AL987" i="19"/>
  <c r="Y986" i="19"/>
  <c r="U985" i="19"/>
  <c r="AH986" i="19"/>
  <c r="Z985" i="19"/>
  <c r="AM986" i="19"/>
  <c r="AC985" i="19"/>
  <c r="AP986" i="19"/>
  <c r="AG986" i="19"/>
  <c r="T985" i="19"/>
  <c r="AQ986" i="19"/>
  <c r="AD985" i="19"/>
  <c r="AJ986" i="19"/>
  <c r="W985" i="19"/>
  <c r="Z984" i="19" l="1"/>
  <c r="AM985" i="19"/>
  <c r="AQ985" i="19"/>
  <c r="AD984" i="19"/>
  <c r="AO985" i="19"/>
  <c r="AB984" i="19"/>
  <c r="AG985" i="19"/>
  <c r="T984" i="19"/>
  <c r="AL986" i="19"/>
  <c r="Y985" i="19"/>
  <c r="AI985" i="19"/>
  <c r="V984" i="19"/>
  <c r="S985" i="19"/>
  <c r="AF986" i="19"/>
  <c r="AN986" i="19"/>
  <c r="AA985" i="19"/>
  <c r="AJ985" i="19"/>
  <c r="W984" i="19"/>
  <c r="U984" i="19"/>
  <c r="AH985" i="19"/>
  <c r="AC984" i="19"/>
  <c r="AP985" i="19"/>
  <c r="X985" i="19"/>
  <c r="AK986" i="19"/>
  <c r="AA984" i="19" l="1"/>
  <c r="AN985" i="19"/>
  <c r="AO984" i="19"/>
  <c r="AB983" i="19"/>
  <c r="AG984" i="19"/>
  <c r="T983" i="19"/>
  <c r="X984" i="19"/>
  <c r="AK985" i="19"/>
  <c r="AI984" i="19"/>
  <c r="V983" i="19"/>
  <c r="AQ984" i="19"/>
  <c r="AD983" i="19"/>
  <c r="S984" i="19"/>
  <c r="AF985" i="19"/>
  <c r="U983" i="19"/>
  <c r="AH984" i="19"/>
  <c r="AC983" i="19"/>
  <c r="AP984" i="19"/>
  <c r="AJ984" i="19"/>
  <c r="W983" i="19"/>
  <c r="AL985" i="19"/>
  <c r="Y984" i="19"/>
  <c r="Z983" i="19"/>
  <c r="AM984" i="19"/>
  <c r="U982" i="19" l="1"/>
  <c r="AH983" i="19"/>
  <c r="X983" i="19"/>
  <c r="AK984" i="19"/>
  <c r="AG983" i="19"/>
  <c r="T982" i="19"/>
  <c r="AL984" i="19"/>
  <c r="Y983" i="19"/>
  <c r="AJ983" i="19"/>
  <c r="W982" i="19"/>
  <c r="AQ983" i="19"/>
  <c r="AD982" i="19"/>
  <c r="AO983" i="19"/>
  <c r="AB982" i="19"/>
  <c r="AF984" i="19"/>
  <c r="S983" i="19"/>
  <c r="AI983" i="19"/>
  <c r="V982" i="19"/>
  <c r="Z982" i="19"/>
  <c r="AM983" i="19"/>
  <c r="AC982" i="19"/>
  <c r="AP983" i="19"/>
  <c r="AA983" i="19"/>
  <c r="AN984" i="19"/>
  <c r="AA982" i="19" l="1"/>
  <c r="AN983" i="19"/>
  <c r="AO982" i="19"/>
  <c r="AB981" i="19"/>
  <c r="AG982" i="19"/>
  <c r="T981" i="19"/>
  <c r="AQ982" i="19"/>
  <c r="AD981" i="19"/>
  <c r="AL983" i="19"/>
  <c r="Y982" i="19"/>
  <c r="Z981" i="19"/>
  <c r="AM982" i="19"/>
  <c r="X982" i="19"/>
  <c r="AK983" i="19"/>
  <c r="AI982" i="19"/>
  <c r="V981" i="19"/>
  <c r="W981" i="19"/>
  <c r="AJ982" i="19"/>
  <c r="AF983" i="19"/>
  <c r="S982" i="19"/>
  <c r="AC981" i="19"/>
  <c r="AP982" i="19"/>
  <c r="U981" i="19"/>
  <c r="AH982" i="19"/>
  <c r="AG981" i="19" l="1"/>
  <c r="T980" i="19"/>
  <c r="AF982" i="19"/>
  <c r="S981" i="19"/>
  <c r="AO981" i="19"/>
  <c r="AB980" i="19"/>
  <c r="U980" i="19"/>
  <c r="AH981" i="19"/>
  <c r="X981" i="19"/>
  <c r="AK982" i="19"/>
  <c r="Z980" i="19"/>
  <c r="AM981" i="19"/>
  <c r="AI981" i="19"/>
  <c r="V980" i="19"/>
  <c r="AC980" i="19"/>
  <c r="AP981" i="19"/>
  <c r="AL982" i="19"/>
  <c r="Y981" i="19"/>
  <c r="AQ981" i="19"/>
  <c r="AD980" i="19"/>
  <c r="W980" i="19"/>
  <c r="AJ981" i="19"/>
  <c r="AA981" i="19"/>
  <c r="AN982" i="19"/>
  <c r="AC979" i="19" l="1"/>
  <c r="AP980" i="19"/>
  <c r="U979" i="19"/>
  <c r="AH980" i="19"/>
  <c r="AI980" i="19"/>
  <c r="V979" i="19"/>
  <c r="AO980" i="19"/>
  <c r="AB979" i="19"/>
  <c r="AQ980" i="19"/>
  <c r="AD979" i="19"/>
  <c r="AF981" i="19"/>
  <c r="S980" i="19"/>
  <c r="Z979" i="19"/>
  <c r="AM980" i="19"/>
  <c r="AN981" i="19"/>
  <c r="AA980" i="19"/>
  <c r="AL981" i="19"/>
  <c r="Y980" i="19"/>
  <c r="AG980" i="19"/>
  <c r="T979" i="19"/>
  <c r="W979" i="19"/>
  <c r="AJ980" i="19"/>
  <c r="X980" i="19"/>
  <c r="AK981" i="19"/>
  <c r="X979" i="19" l="1"/>
  <c r="AK980" i="19"/>
  <c r="AI979" i="19"/>
  <c r="V978" i="19"/>
  <c r="AG979" i="19"/>
  <c r="T978" i="19"/>
  <c r="S979" i="19"/>
  <c r="AF980" i="19"/>
  <c r="AO979" i="19"/>
  <c r="AB978" i="19"/>
  <c r="Z978" i="19"/>
  <c r="AM979" i="19"/>
  <c r="U978" i="19"/>
  <c r="AH979" i="19"/>
  <c r="AL980" i="19"/>
  <c r="Y979" i="19"/>
  <c r="AQ979" i="19"/>
  <c r="AD978" i="19"/>
  <c r="AN980" i="19"/>
  <c r="AA979" i="19"/>
  <c r="W978" i="19"/>
  <c r="AJ979" i="19"/>
  <c r="AC978" i="19"/>
  <c r="AP979" i="19"/>
  <c r="S978" i="19" l="1"/>
  <c r="AF979" i="19"/>
  <c r="AG978" i="19"/>
  <c r="T977" i="19"/>
  <c r="AI978" i="19"/>
  <c r="V977" i="19"/>
  <c r="AP978" i="19"/>
  <c r="AC977" i="19"/>
  <c r="AH978" i="19"/>
  <c r="U977" i="19"/>
  <c r="Z977" i="19"/>
  <c r="AM978" i="19"/>
  <c r="W977" i="19"/>
  <c r="AJ978" i="19"/>
  <c r="AQ978" i="19"/>
  <c r="AD977" i="19"/>
  <c r="AO978" i="19"/>
  <c r="AB977" i="19"/>
  <c r="Y978" i="19"/>
  <c r="AL979" i="19"/>
  <c r="AN979" i="19"/>
  <c r="AA978" i="19"/>
  <c r="X978" i="19"/>
  <c r="AK979" i="19"/>
  <c r="AI977" i="19" l="1"/>
  <c r="V976" i="19"/>
  <c r="AP977" i="19"/>
  <c r="AC976" i="19"/>
  <c r="AN978" i="19"/>
  <c r="AA977" i="19"/>
  <c r="AG977" i="19"/>
  <c r="T976" i="19"/>
  <c r="AQ977" i="19"/>
  <c r="AD976" i="19"/>
  <c r="X977" i="19"/>
  <c r="AK978" i="19"/>
  <c r="W976" i="19"/>
  <c r="AJ977" i="19"/>
  <c r="Y977" i="19"/>
  <c r="AL978" i="19"/>
  <c r="Z976" i="19"/>
  <c r="AM977" i="19"/>
  <c r="AO977" i="19"/>
  <c r="AB976" i="19"/>
  <c r="AH977" i="19"/>
  <c r="U976" i="19"/>
  <c r="AF978" i="19"/>
  <c r="S977" i="19"/>
  <c r="Y976" i="19" l="1"/>
  <c r="AL977" i="19"/>
  <c r="AN977" i="19"/>
  <c r="AA976" i="19"/>
  <c r="W975" i="19"/>
  <c r="AJ976" i="19"/>
  <c r="AF977" i="19"/>
  <c r="S976" i="19"/>
  <c r="AH976" i="19"/>
  <c r="U975" i="19"/>
  <c r="AP976" i="19"/>
  <c r="AC975" i="19"/>
  <c r="X976" i="19"/>
  <c r="AK977" i="19"/>
  <c r="AG976" i="19"/>
  <c r="T975" i="19"/>
  <c r="AQ976" i="19"/>
  <c r="AD975" i="19"/>
  <c r="AI976" i="19"/>
  <c r="V975" i="19"/>
  <c r="AO976" i="19"/>
  <c r="AB975" i="19"/>
  <c r="Z975" i="19"/>
  <c r="AM976" i="19"/>
  <c r="Z974" i="19" l="1"/>
  <c r="AM975" i="19"/>
  <c r="AO975" i="19"/>
  <c r="AB974" i="19"/>
  <c r="AF976" i="19"/>
  <c r="S975" i="19"/>
  <c r="AI975" i="19"/>
  <c r="V974" i="19"/>
  <c r="AP975" i="19"/>
  <c r="AC974" i="19"/>
  <c r="AN976" i="19"/>
  <c r="AA975" i="19"/>
  <c r="AG975" i="19"/>
  <c r="T974" i="19"/>
  <c r="W974" i="19"/>
  <c r="AJ975" i="19"/>
  <c r="AQ975" i="19"/>
  <c r="AD974" i="19"/>
  <c r="AH975" i="19"/>
  <c r="U974" i="19"/>
  <c r="X975" i="19"/>
  <c r="AK976" i="19"/>
  <c r="Y975" i="19"/>
  <c r="AL976" i="19"/>
  <c r="W973" i="19" l="1"/>
  <c r="AJ974" i="19"/>
  <c r="AI974" i="19"/>
  <c r="V973" i="19"/>
  <c r="AG974" i="19"/>
  <c r="T973" i="19"/>
  <c r="AF975" i="19"/>
  <c r="S974" i="19"/>
  <c r="AH974" i="19"/>
  <c r="U973" i="19"/>
  <c r="AN975" i="19"/>
  <c r="AA974" i="19"/>
  <c r="AO974" i="19"/>
  <c r="AB973" i="19"/>
  <c r="X974" i="19"/>
  <c r="AK975" i="19"/>
  <c r="AQ974" i="19"/>
  <c r="AD973" i="19"/>
  <c r="AP974" i="19"/>
  <c r="AC973" i="19"/>
  <c r="Y974" i="19"/>
  <c r="AL975" i="19"/>
  <c r="Z973" i="19"/>
  <c r="AM974" i="19"/>
  <c r="AF974" i="19" l="1"/>
  <c r="S973" i="19"/>
  <c r="Y973" i="19"/>
  <c r="AL974" i="19"/>
  <c r="X973" i="19"/>
  <c r="AK974" i="19"/>
  <c r="AP973" i="19"/>
  <c r="AC972" i="19"/>
  <c r="AI973" i="19"/>
  <c r="V972" i="19"/>
  <c r="AG973" i="19"/>
  <c r="T972" i="19"/>
  <c r="Z972" i="19"/>
  <c r="AM973" i="19"/>
  <c r="AQ973" i="19"/>
  <c r="AD972" i="19"/>
  <c r="AH973" i="19"/>
  <c r="U972" i="19"/>
  <c r="AO973" i="19"/>
  <c r="AB972" i="19"/>
  <c r="AN974" i="19"/>
  <c r="AA973" i="19"/>
  <c r="W972" i="19"/>
  <c r="AJ973" i="19"/>
  <c r="W971" i="19" l="1"/>
  <c r="AJ972" i="19"/>
  <c r="AQ972" i="19"/>
  <c r="AD971" i="19"/>
  <c r="Z971" i="19"/>
  <c r="AM972" i="19"/>
  <c r="X972" i="19"/>
  <c r="AK973" i="19"/>
  <c r="AG972" i="19"/>
  <c r="T971" i="19"/>
  <c r="AP972" i="19"/>
  <c r="AC971" i="19"/>
  <c r="AN973" i="19"/>
  <c r="AA972" i="19"/>
  <c r="Y972" i="19"/>
  <c r="AL973" i="19"/>
  <c r="AH972" i="19"/>
  <c r="U971" i="19"/>
  <c r="AI972" i="19"/>
  <c r="V971" i="19"/>
  <c r="AF973" i="19"/>
  <c r="S972" i="19"/>
  <c r="AO972" i="19"/>
  <c r="AB971" i="19"/>
  <c r="Y971" i="19" l="1"/>
  <c r="AL972" i="19"/>
  <c r="X971" i="19"/>
  <c r="AK972" i="19"/>
  <c r="AF972" i="19"/>
  <c r="S971" i="19"/>
  <c r="AN972" i="19"/>
  <c r="AA971" i="19"/>
  <c r="Z970" i="19"/>
  <c r="AM971" i="19"/>
  <c r="AP971" i="19"/>
  <c r="AC970" i="19"/>
  <c r="AQ971" i="19"/>
  <c r="AD970" i="19"/>
  <c r="AO971" i="19"/>
  <c r="AB970" i="19"/>
  <c r="AH971" i="19"/>
  <c r="U970" i="19"/>
  <c r="AG971" i="19"/>
  <c r="T970" i="19"/>
  <c r="AI971" i="19"/>
  <c r="V970" i="19"/>
  <c r="W970" i="19"/>
  <c r="AJ971" i="19"/>
  <c r="AQ970" i="19" l="1"/>
  <c r="AD969" i="19"/>
  <c r="AF971" i="19"/>
  <c r="S970" i="19"/>
  <c r="AO970" i="19"/>
  <c r="AB969" i="19"/>
  <c r="AP970" i="19"/>
  <c r="AC969" i="19"/>
  <c r="AN971" i="19"/>
  <c r="AA970" i="19"/>
  <c r="AI970" i="19"/>
  <c r="V969" i="19"/>
  <c r="X970" i="19"/>
  <c r="AK971" i="19"/>
  <c r="AH970" i="19"/>
  <c r="U969" i="19"/>
  <c r="W969" i="19"/>
  <c r="AJ970" i="19"/>
  <c r="AG970" i="19"/>
  <c r="T969" i="19"/>
  <c r="Z969" i="19"/>
  <c r="AM970" i="19"/>
  <c r="Y970" i="19"/>
  <c r="AL971" i="19"/>
  <c r="AO969" i="19" l="1"/>
  <c r="AB968" i="19"/>
  <c r="Z968" i="19"/>
  <c r="AM969" i="19"/>
  <c r="AI969" i="19"/>
  <c r="V968" i="19"/>
  <c r="AF970" i="19"/>
  <c r="S969" i="19"/>
  <c r="AP969" i="19"/>
  <c r="AC968" i="19"/>
  <c r="X969" i="19"/>
  <c r="AK970" i="19"/>
  <c r="AN970" i="19"/>
  <c r="AA969" i="19"/>
  <c r="AQ969" i="19"/>
  <c r="AD968" i="19"/>
  <c r="AH969" i="19"/>
  <c r="U968" i="19"/>
  <c r="Y969" i="19"/>
  <c r="AL970" i="19"/>
  <c r="AG969" i="19"/>
  <c r="T968" i="19"/>
  <c r="W968" i="19"/>
  <c r="AJ969" i="19"/>
  <c r="AF969" i="19" l="1"/>
  <c r="S968" i="19"/>
  <c r="AN969" i="19"/>
  <c r="AA968" i="19"/>
  <c r="AI968" i="19"/>
  <c r="V967" i="19"/>
  <c r="AQ968" i="19"/>
  <c r="AD967" i="19"/>
  <c r="AG968" i="19"/>
  <c r="T967" i="19"/>
  <c r="Y968" i="19"/>
  <c r="AL969" i="19"/>
  <c r="X968" i="19"/>
  <c r="AK969" i="19"/>
  <c r="Z967" i="19"/>
  <c r="AM968" i="19"/>
  <c r="AH968" i="19"/>
  <c r="U967" i="19"/>
  <c r="AP968" i="19"/>
  <c r="AC967" i="19"/>
  <c r="AO968" i="19"/>
  <c r="AB967" i="19"/>
  <c r="W967" i="19"/>
  <c r="AJ968" i="19"/>
  <c r="W966" i="19" l="1"/>
  <c r="AJ967" i="19"/>
  <c r="AO967" i="19"/>
  <c r="AB966" i="19"/>
  <c r="AN968" i="19"/>
  <c r="AA967" i="19"/>
  <c r="AI967" i="19"/>
  <c r="V966" i="19"/>
  <c r="Y967" i="19"/>
  <c r="AL968" i="19"/>
  <c r="Z966" i="19"/>
  <c r="AM967" i="19"/>
  <c r="X967" i="19"/>
  <c r="AK968" i="19"/>
  <c r="AH967" i="19"/>
  <c r="U966" i="19"/>
  <c r="AG967" i="19"/>
  <c r="T966" i="19"/>
  <c r="AF968" i="19"/>
  <c r="S967" i="19"/>
  <c r="AQ967" i="19"/>
  <c r="AD966" i="19"/>
  <c r="AP967" i="19"/>
  <c r="AC966" i="19"/>
  <c r="AN967" i="19" l="1"/>
  <c r="AA966" i="19"/>
  <c r="AF967" i="19"/>
  <c r="S966" i="19"/>
  <c r="AO966" i="19"/>
  <c r="AB965" i="19"/>
  <c r="AH966" i="19"/>
  <c r="U965" i="19"/>
  <c r="Z965" i="19"/>
  <c r="AM966" i="19"/>
  <c r="AP966" i="19"/>
  <c r="AC965" i="19"/>
  <c r="X966" i="19"/>
  <c r="AK967" i="19"/>
  <c r="AG966" i="19"/>
  <c r="T965" i="19"/>
  <c r="AI966" i="19"/>
  <c r="V965" i="19"/>
  <c r="AQ966" i="19"/>
  <c r="AD965" i="19"/>
  <c r="Y966" i="19"/>
  <c r="AL967" i="19"/>
  <c r="W965" i="19"/>
  <c r="AJ966" i="19"/>
  <c r="W964" i="19" l="1"/>
  <c r="AJ965" i="19"/>
  <c r="AO965" i="19"/>
  <c r="AB964" i="19"/>
  <c r="AP965" i="19"/>
  <c r="AC964" i="19"/>
  <c r="AF966" i="19"/>
  <c r="S965" i="19"/>
  <c r="X965" i="19"/>
  <c r="AK966" i="19"/>
  <c r="AG965" i="19"/>
  <c r="T964" i="19"/>
  <c r="AQ965" i="19"/>
  <c r="AD964" i="19"/>
  <c r="AI965" i="19"/>
  <c r="V964" i="19"/>
  <c r="AN966" i="19"/>
  <c r="AA965" i="19"/>
  <c r="AH965" i="19"/>
  <c r="U964" i="19"/>
  <c r="Y965" i="19"/>
  <c r="AL966" i="19"/>
  <c r="Z964" i="19"/>
  <c r="AM965" i="19"/>
  <c r="AQ964" i="19" l="1"/>
  <c r="AD963" i="19"/>
  <c r="AP964" i="19"/>
  <c r="AC963" i="19"/>
  <c r="AI964" i="19"/>
  <c r="V963" i="19"/>
  <c r="AH964" i="19"/>
  <c r="U963" i="19"/>
  <c r="AG964" i="19"/>
  <c r="T963" i="19"/>
  <c r="AO964" i="19"/>
  <c r="AB963" i="19"/>
  <c r="Z963" i="19"/>
  <c r="AM964" i="19"/>
  <c r="Y964" i="19"/>
  <c r="AL965" i="19"/>
  <c r="AF965" i="19"/>
  <c r="S964" i="19"/>
  <c r="AN965" i="19"/>
  <c r="AA964" i="19"/>
  <c r="X964" i="19"/>
  <c r="AK965" i="19"/>
  <c r="W963" i="19"/>
  <c r="AJ964" i="19"/>
  <c r="AI963" i="19" l="1"/>
  <c r="V962" i="19"/>
  <c r="Z962" i="19"/>
  <c r="AM963" i="19"/>
  <c r="AH963" i="19"/>
  <c r="U962" i="19"/>
  <c r="AN964" i="19"/>
  <c r="AA963" i="19"/>
  <c r="AO963" i="19"/>
  <c r="AB962" i="19"/>
  <c r="AP963" i="19"/>
  <c r="AC962" i="19"/>
  <c r="W962" i="19"/>
  <c r="AJ963" i="19"/>
  <c r="X963" i="19"/>
  <c r="AK964" i="19"/>
  <c r="AF964" i="19"/>
  <c r="S963" i="19"/>
  <c r="AG963" i="19"/>
  <c r="T962" i="19"/>
  <c r="AQ963" i="19"/>
  <c r="AD962" i="19"/>
  <c r="Y963" i="19"/>
  <c r="AL964" i="19"/>
  <c r="Y962" i="19" l="1"/>
  <c r="AL963" i="19"/>
  <c r="AQ962" i="19"/>
  <c r="AD961" i="19"/>
  <c r="AH962" i="19"/>
  <c r="U961" i="19"/>
  <c r="AN963" i="19"/>
  <c r="AA962" i="19"/>
  <c r="AP962" i="19"/>
  <c r="AC961" i="19"/>
  <c r="Z961" i="19"/>
  <c r="AM962" i="19"/>
  <c r="AG962" i="19"/>
  <c r="T961" i="19"/>
  <c r="AF963" i="19"/>
  <c r="S962" i="19"/>
  <c r="AO962" i="19"/>
  <c r="AB961" i="19"/>
  <c r="AI962" i="19"/>
  <c r="V961" i="19"/>
  <c r="X962" i="19"/>
  <c r="AK963" i="19"/>
  <c r="W961" i="19"/>
  <c r="AJ962" i="19"/>
  <c r="W960" i="19" l="1"/>
  <c r="AJ961" i="19"/>
  <c r="AG961" i="19"/>
  <c r="T960" i="19"/>
  <c r="AH961" i="19"/>
  <c r="U960" i="19"/>
  <c r="AQ961" i="19"/>
  <c r="AD960" i="19"/>
  <c r="AF962" i="19"/>
  <c r="S961" i="19"/>
  <c r="X961" i="19"/>
  <c r="AK962" i="19"/>
  <c r="Z960" i="19"/>
  <c r="AM961" i="19"/>
  <c r="AN962" i="19"/>
  <c r="AA961" i="19"/>
  <c r="AO961" i="19"/>
  <c r="AB960" i="19"/>
  <c r="AP961" i="19"/>
  <c r="AC960" i="19"/>
  <c r="AI961" i="19"/>
  <c r="V960" i="19"/>
  <c r="Y961" i="19"/>
  <c r="AL962" i="19"/>
  <c r="AQ960" i="19" l="1"/>
  <c r="AD959" i="19"/>
  <c r="Z959" i="19"/>
  <c r="AM960" i="19"/>
  <c r="AN961" i="19"/>
  <c r="AA960" i="19"/>
  <c r="AG960" i="19"/>
  <c r="T959" i="19"/>
  <c r="Y960" i="19"/>
  <c r="AL961" i="19"/>
  <c r="X960" i="19"/>
  <c r="AK961" i="19"/>
  <c r="AI960" i="19"/>
  <c r="V959" i="19"/>
  <c r="AO960" i="19"/>
  <c r="AB959" i="19"/>
  <c r="AF961" i="19"/>
  <c r="S960" i="19"/>
  <c r="AH960" i="19"/>
  <c r="U959" i="19"/>
  <c r="AP960" i="19"/>
  <c r="AC959" i="19"/>
  <c r="W959" i="19"/>
  <c r="AJ960" i="19"/>
  <c r="AP959" i="19" l="1"/>
  <c r="AC958" i="19"/>
  <c r="AO959" i="19"/>
  <c r="AB958" i="19"/>
  <c r="AN960" i="19"/>
  <c r="AA959" i="19"/>
  <c r="AG959" i="19"/>
  <c r="T958" i="19"/>
  <c r="AI959" i="19"/>
  <c r="V958" i="19"/>
  <c r="X959" i="19"/>
  <c r="AK960" i="19"/>
  <c r="Z958" i="19"/>
  <c r="AM959" i="19"/>
  <c r="AF960" i="19"/>
  <c r="S959" i="19"/>
  <c r="AQ959" i="19"/>
  <c r="AD958" i="19"/>
  <c r="W958" i="19"/>
  <c r="AJ959" i="19"/>
  <c r="AH959" i="19"/>
  <c r="U958" i="19"/>
  <c r="Y959" i="19"/>
  <c r="AL960" i="19"/>
  <c r="AN959" i="19" l="1"/>
  <c r="AA958" i="19"/>
  <c r="AF959" i="19"/>
  <c r="S958" i="19"/>
  <c r="Y958" i="19"/>
  <c r="AL959" i="19"/>
  <c r="AO958" i="19"/>
  <c r="AB957" i="19"/>
  <c r="W957" i="19"/>
  <c r="AJ958" i="19"/>
  <c r="X958" i="19"/>
  <c r="AK959" i="19"/>
  <c r="AH958" i="19"/>
  <c r="U957" i="19"/>
  <c r="Z957" i="19"/>
  <c r="AM958" i="19"/>
  <c r="AQ958" i="19"/>
  <c r="AD957" i="19"/>
  <c r="AI958" i="19"/>
  <c r="V957" i="19"/>
  <c r="AP958" i="19"/>
  <c r="AC957" i="19"/>
  <c r="AG958" i="19"/>
  <c r="T957" i="19"/>
  <c r="AP957" i="19" l="1"/>
  <c r="AC956" i="19"/>
  <c r="AO957" i="19"/>
  <c r="AB956" i="19"/>
  <c r="AH957" i="19"/>
  <c r="U956" i="19"/>
  <c r="AI957" i="19"/>
  <c r="V956" i="19"/>
  <c r="AF958" i="19"/>
  <c r="S957" i="19"/>
  <c r="Y957" i="19"/>
  <c r="AL958" i="19"/>
  <c r="X957" i="19"/>
  <c r="AK958" i="19"/>
  <c r="AG957" i="19"/>
  <c r="T956" i="19"/>
  <c r="AQ957" i="19"/>
  <c r="AD956" i="19"/>
  <c r="AN958" i="19"/>
  <c r="AA957" i="19"/>
  <c r="Z956" i="19"/>
  <c r="AM957" i="19"/>
  <c r="W956" i="19"/>
  <c r="AJ957" i="19"/>
  <c r="AH956" i="19" l="1"/>
  <c r="U955" i="19"/>
  <c r="X956" i="19"/>
  <c r="AK957" i="19"/>
  <c r="AI956" i="19"/>
  <c r="V955" i="19"/>
  <c r="AO956" i="19"/>
  <c r="AB955" i="19"/>
  <c r="W955" i="19"/>
  <c r="AJ956" i="19"/>
  <c r="AN957" i="19"/>
  <c r="AA956" i="19"/>
  <c r="Y956" i="19"/>
  <c r="AL957" i="19"/>
  <c r="AG956" i="19"/>
  <c r="T955" i="19"/>
  <c r="Z955" i="19"/>
  <c r="AM956" i="19"/>
  <c r="AQ956" i="19"/>
  <c r="AD955" i="19"/>
  <c r="AF957" i="19"/>
  <c r="S956" i="19"/>
  <c r="AP956" i="19"/>
  <c r="AC955" i="19"/>
  <c r="AG955" i="19" l="1"/>
  <c r="T954" i="19"/>
  <c r="AI955" i="19"/>
  <c r="V954" i="19"/>
  <c r="AP955" i="19"/>
  <c r="AC954" i="19"/>
  <c r="AN956" i="19"/>
  <c r="AA955" i="19"/>
  <c r="Y955" i="19"/>
  <c r="AL956" i="19"/>
  <c r="X955" i="19"/>
  <c r="AK956" i="19"/>
  <c r="AO955" i="19"/>
  <c r="AB954" i="19"/>
  <c r="AF956" i="19"/>
  <c r="S955" i="19"/>
  <c r="AQ955" i="19"/>
  <c r="AD954" i="19"/>
  <c r="AH955" i="19"/>
  <c r="U954" i="19"/>
  <c r="Z954" i="19"/>
  <c r="AM955" i="19"/>
  <c r="W954" i="19"/>
  <c r="AJ955" i="19"/>
  <c r="AF955" i="19" l="1"/>
  <c r="S954" i="19"/>
  <c r="AO954" i="19"/>
  <c r="AB953" i="19"/>
  <c r="AP954" i="19"/>
  <c r="AC953" i="19"/>
  <c r="Z953" i="19"/>
  <c r="AM954" i="19"/>
  <c r="W953" i="19"/>
  <c r="AJ954" i="19"/>
  <c r="AI954" i="19"/>
  <c r="V953" i="19"/>
  <c r="AN955" i="19"/>
  <c r="AA954" i="19"/>
  <c r="X954" i="19"/>
  <c r="AK955" i="19"/>
  <c r="AH954" i="19"/>
  <c r="U953" i="19"/>
  <c r="AQ954" i="19"/>
  <c r="AD953" i="19"/>
  <c r="AG954" i="19"/>
  <c r="T953" i="19"/>
  <c r="Y954" i="19"/>
  <c r="AL955" i="19"/>
  <c r="Y953" i="19" l="1"/>
  <c r="AL954" i="19"/>
  <c r="Z952" i="19"/>
  <c r="AM953" i="19"/>
  <c r="AG953" i="19"/>
  <c r="T952" i="19"/>
  <c r="AP953" i="19"/>
  <c r="AC952" i="19"/>
  <c r="AI953" i="19"/>
  <c r="V952" i="19"/>
  <c r="AO953" i="19"/>
  <c r="AB952" i="19"/>
  <c r="X953" i="19"/>
  <c r="AK954" i="19"/>
  <c r="AQ953" i="19"/>
  <c r="AD952" i="19"/>
  <c r="AN954" i="19"/>
  <c r="AA953" i="19"/>
  <c r="AH953" i="19"/>
  <c r="U952" i="19"/>
  <c r="AF954" i="19"/>
  <c r="S953" i="19"/>
  <c r="W952" i="19"/>
  <c r="AJ953" i="19"/>
  <c r="AQ952" i="19" l="1"/>
  <c r="AD951" i="19"/>
  <c r="AG952" i="19"/>
  <c r="T951" i="19"/>
  <c r="X952" i="19"/>
  <c r="AK953" i="19"/>
  <c r="AO952" i="19"/>
  <c r="AB951" i="19"/>
  <c r="AP952" i="19"/>
  <c r="AC951" i="19"/>
  <c r="Z951" i="19"/>
  <c r="AM952" i="19"/>
  <c r="AF953" i="19"/>
  <c r="S952" i="19"/>
  <c r="AN953" i="19"/>
  <c r="AA952" i="19"/>
  <c r="AI952" i="19"/>
  <c r="V951" i="19"/>
  <c r="W951" i="19"/>
  <c r="AJ952" i="19"/>
  <c r="AH952" i="19"/>
  <c r="U951" i="19"/>
  <c r="Y952" i="19"/>
  <c r="AL953" i="19"/>
  <c r="AO951" i="19" l="1"/>
  <c r="AB950" i="19"/>
  <c r="AF952" i="19"/>
  <c r="S951" i="19"/>
  <c r="Y951" i="19"/>
  <c r="AL952" i="19"/>
  <c r="AH951" i="19"/>
  <c r="U950" i="19"/>
  <c r="AG951" i="19"/>
  <c r="T950" i="19"/>
  <c r="Z950" i="19"/>
  <c r="AM951" i="19"/>
  <c r="AN952" i="19"/>
  <c r="AA951" i="19"/>
  <c r="AI951" i="19"/>
  <c r="V950" i="19"/>
  <c r="AP951" i="19"/>
  <c r="AC950" i="19"/>
  <c r="AQ951" i="19"/>
  <c r="AD950" i="19"/>
  <c r="X951" i="19"/>
  <c r="AK952" i="19"/>
  <c r="W950" i="19"/>
  <c r="AJ951" i="19"/>
  <c r="W949" i="19" l="1"/>
  <c r="AJ950" i="19"/>
  <c r="Y950" i="19"/>
  <c r="AL951" i="19"/>
  <c r="AF951" i="19"/>
  <c r="S950" i="19"/>
  <c r="Z949" i="19"/>
  <c r="AM950" i="19"/>
  <c r="AI950" i="19"/>
  <c r="V949" i="19"/>
  <c r="AN951" i="19"/>
  <c r="AA950" i="19"/>
  <c r="AP950" i="19"/>
  <c r="AC949" i="19"/>
  <c r="AG950" i="19"/>
  <c r="T949" i="19"/>
  <c r="AO950" i="19"/>
  <c r="AB949" i="19"/>
  <c r="AH950" i="19"/>
  <c r="U949" i="19"/>
  <c r="X950" i="19"/>
  <c r="AK951" i="19"/>
  <c r="AQ950" i="19"/>
  <c r="AD949" i="19"/>
  <c r="Z948" i="19" l="1"/>
  <c r="AM949" i="19"/>
  <c r="AG949" i="19"/>
  <c r="T948" i="19"/>
  <c r="AF950" i="19"/>
  <c r="S949" i="19"/>
  <c r="AH949" i="19"/>
  <c r="U948" i="19"/>
  <c r="AQ949" i="19"/>
  <c r="AD948" i="19"/>
  <c r="AP949" i="19"/>
  <c r="AC948" i="19"/>
  <c r="Y949" i="19"/>
  <c r="AL950" i="19"/>
  <c r="X949" i="19"/>
  <c r="AK950" i="19"/>
  <c r="AN950" i="19"/>
  <c r="AA949" i="19"/>
  <c r="AO949" i="19"/>
  <c r="AB948" i="19"/>
  <c r="AI949" i="19"/>
  <c r="V948" i="19"/>
  <c r="W948" i="19"/>
  <c r="AJ949" i="19"/>
  <c r="AF949" i="19" l="1"/>
  <c r="S948" i="19"/>
  <c r="AI948" i="19"/>
  <c r="V947" i="19"/>
  <c r="AG948" i="19"/>
  <c r="T947" i="19"/>
  <c r="W947" i="19"/>
  <c r="AJ948" i="19"/>
  <c r="AH948" i="19"/>
  <c r="U947" i="19"/>
  <c r="Y948" i="19"/>
  <c r="AL949" i="19"/>
  <c r="AO948" i="19"/>
  <c r="AB947" i="19"/>
  <c r="AN949" i="19"/>
  <c r="AA948" i="19"/>
  <c r="AQ948" i="19"/>
  <c r="AD947" i="19"/>
  <c r="X948" i="19"/>
  <c r="AK949" i="19"/>
  <c r="AP948" i="19"/>
  <c r="AC947" i="19"/>
  <c r="Z947" i="19"/>
  <c r="AM948" i="19"/>
  <c r="W946" i="19" l="1"/>
  <c r="AJ947" i="19"/>
  <c r="AG947" i="19"/>
  <c r="T946" i="19"/>
  <c r="AN948" i="19"/>
  <c r="AA947" i="19"/>
  <c r="Z946" i="19"/>
  <c r="AM947" i="19"/>
  <c r="AO947" i="19"/>
  <c r="AB946" i="19"/>
  <c r="AI947" i="19"/>
  <c r="V946" i="19"/>
  <c r="X947" i="19"/>
  <c r="AK948" i="19"/>
  <c r="Y947" i="19"/>
  <c r="AL948" i="19"/>
  <c r="AQ947" i="19"/>
  <c r="AD946" i="19"/>
  <c r="AH947" i="19"/>
  <c r="U946" i="19"/>
  <c r="AF948" i="19"/>
  <c r="S947" i="19"/>
  <c r="AP947" i="19"/>
  <c r="AC946" i="19"/>
  <c r="AF947" i="19" l="1"/>
  <c r="S946" i="19"/>
  <c r="AP946" i="19"/>
  <c r="AC945" i="19"/>
  <c r="AH946" i="19"/>
  <c r="U945" i="19"/>
  <c r="AI946" i="19"/>
  <c r="V945" i="19"/>
  <c r="AG946" i="19"/>
  <c r="T945" i="19"/>
  <c r="AN947" i="19"/>
  <c r="AA946" i="19"/>
  <c r="Z945" i="19"/>
  <c r="AM946" i="19"/>
  <c r="AO946" i="19"/>
  <c r="AB945" i="19"/>
  <c r="Y946" i="19"/>
  <c r="AL947" i="19"/>
  <c r="X946" i="19"/>
  <c r="AK947" i="19"/>
  <c r="AQ946" i="19"/>
  <c r="AD945" i="19"/>
  <c r="W945" i="19"/>
  <c r="AJ946" i="19"/>
  <c r="AI945" i="19" l="1"/>
  <c r="V944" i="19"/>
  <c r="W944" i="19"/>
  <c r="AJ945" i="19"/>
  <c r="AQ945" i="19"/>
  <c r="AD944" i="19"/>
  <c r="AP945" i="19"/>
  <c r="AC944" i="19"/>
  <c r="AH945" i="19"/>
  <c r="U944" i="19"/>
  <c r="X945" i="19"/>
  <c r="AK946" i="19"/>
  <c r="Z944" i="19"/>
  <c r="AM945" i="19"/>
  <c r="AG945" i="19"/>
  <c r="T944" i="19"/>
  <c r="AF946" i="19"/>
  <c r="S945" i="19"/>
  <c r="AO945" i="19"/>
  <c r="AB944" i="19"/>
  <c r="AN946" i="19"/>
  <c r="AA945" i="19"/>
  <c r="Y945" i="19"/>
  <c r="AL946" i="19"/>
  <c r="AQ944" i="19" l="1"/>
  <c r="AD943" i="19"/>
  <c r="AG944" i="19"/>
  <c r="T943" i="19"/>
  <c r="Z943" i="19"/>
  <c r="AM944" i="19"/>
  <c r="AP944" i="19"/>
  <c r="AC943" i="19"/>
  <c r="X944" i="19"/>
  <c r="AK945" i="19"/>
  <c r="W943" i="19"/>
  <c r="AJ944" i="19"/>
  <c r="AN945" i="19"/>
  <c r="AA944" i="19"/>
  <c r="AF945" i="19"/>
  <c r="S944" i="19"/>
  <c r="AH944" i="19"/>
  <c r="U943" i="19"/>
  <c r="AI944" i="19"/>
  <c r="V943" i="19"/>
  <c r="Y944" i="19"/>
  <c r="AL945" i="19"/>
  <c r="AO944" i="19"/>
  <c r="AB943" i="19"/>
  <c r="AF944" i="19" l="1"/>
  <c r="S943" i="19"/>
  <c r="AP943" i="19"/>
  <c r="AC942" i="19"/>
  <c r="AN944" i="19"/>
  <c r="AA943" i="19"/>
  <c r="AG943" i="19"/>
  <c r="T942" i="19"/>
  <c r="Z942" i="19"/>
  <c r="AM943" i="19"/>
  <c r="W942" i="19"/>
  <c r="AJ943" i="19"/>
  <c r="AI943" i="19"/>
  <c r="V942" i="19"/>
  <c r="AH943" i="19"/>
  <c r="U942" i="19"/>
  <c r="AQ943" i="19"/>
  <c r="AD942" i="19"/>
  <c r="AO943" i="19"/>
  <c r="AB942" i="19"/>
  <c r="Y943" i="19"/>
  <c r="AL944" i="19"/>
  <c r="X943" i="19"/>
  <c r="AK944" i="19"/>
  <c r="AI942" i="19" l="1"/>
  <c r="V941" i="19"/>
  <c r="AN943" i="19"/>
  <c r="AA942" i="19"/>
  <c r="AP942" i="19"/>
  <c r="AC941" i="19"/>
  <c r="AG942" i="19"/>
  <c r="T941" i="19"/>
  <c r="W941" i="19"/>
  <c r="AJ942" i="19"/>
  <c r="AH942" i="19"/>
  <c r="U941" i="19"/>
  <c r="Y942" i="19"/>
  <c r="AL943" i="19"/>
  <c r="AO942" i="19"/>
  <c r="AB941" i="19"/>
  <c r="AQ942" i="19"/>
  <c r="AD941" i="19"/>
  <c r="AF943" i="19"/>
  <c r="S942" i="19"/>
  <c r="X942" i="19"/>
  <c r="AK943" i="19"/>
  <c r="Z941" i="19"/>
  <c r="AM942" i="19"/>
  <c r="AB940" i="19" l="1"/>
  <c r="AO941" i="19"/>
  <c r="AG941" i="19"/>
  <c r="T940" i="19"/>
  <c r="Y941" i="19"/>
  <c r="AL942" i="19"/>
  <c r="AC940" i="19"/>
  <c r="AP941" i="19"/>
  <c r="AN942" i="19"/>
  <c r="AA941" i="19"/>
  <c r="Z940" i="19"/>
  <c r="AM941" i="19"/>
  <c r="X941" i="19"/>
  <c r="AK942" i="19"/>
  <c r="AF942" i="19"/>
  <c r="S941" i="19"/>
  <c r="AD940" i="19"/>
  <c r="AQ941" i="19"/>
  <c r="AI941" i="19"/>
  <c r="V940" i="19"/>
  <c r="AH941" i="19"/>
  <c r="U940" i="19"/>
  <c r="AJ941" i="19"/>
  <c r="W940" i="19"/>
  <c r="W939" i="19" l="1"/>
  <c r="AJ940" i="19"/>
  <c r="AP940" i="19"/>
  <c r="AC939" i="19"/>
  <c r="Y940" i="19"/>
  <c r="AL941" i="19"/>
  <c r="AI940" i="19"/>
  <c r="V939" i="19"/>
  <c r="Z939" i="19"/>
  <c r="AM940" i="19"/>
  <c r="AH940" i="19"/>
  <c r="U939" i="19"/>
  <c r="AF941" i="19"/>
  <c r="S940" i="19"/>
  <c r="AK941" i="19"/>
  <c r="X940" i="19"/>
  <c r="T939" i="19"/>
  <c r="AG940" i="19"/>
  <c r="AA940" i="19"/>
  <c r="AN941" i="19"/>
  <c r="AQ940" i="19"/>
  <c r="AD939" i="19"/>
  <c r="AO940" i="19"/>
  <c r="AB939" i="19"/>
  <c r="AI939" i="19" l="1"/>
  <c r="V938" i="19"/>
  <c r="X939" i="19"/>
  <c r="AK940" i="19"/>
  <c r="AP939" i="19"/>
  <c r="AC938" i="19"/>
  <c r="AO939" i="19"/>
  <c r="AB938" i="19"/>
  <c r="AQ939" i="19"/>
  <c r="AD938" i="19"/>
  <c r="AH939" i="19"/>
  <c r="U938" i="19"/>
  <c r="AN940" i="19"/>
  <c r="AA939" i="19"/>
  <c r="Y939" i="19"/>
  <c r="AL940" i="19"/>
  <c r="S939" i="19"/>
  <c r="AF940" i="19"/>
  <c r="AG939" i="19"/>
  <c r="T938" i="19"/>
  <c r="Z938" i="19"/>
  <c r="AM939" i="19"/>
  <c r="W938" i="19"/>
  <c r="AJ939" i="19"/>
  <c r="AP938" i="19" l="1"/>
  <c r="AC937" i="19"/>
  <c r="Z937" i="19"/>
  <c r="AM938" i="19"/>
  <c r="W937" i="19"/>
  <c r="AJ938" i="19"/>
  <c r="AH938" i="19"/>
  <c r="U937" i="19"/>
  <c r="AB937" i="19"/>
  <c r="AO938" i="19"/>
  <c r="AG938" i="19"/>
  <c r="T937" i="19"/>
  <c r="X938" i="19"/>
  <c r="AK939" i="19"/>
  <c r="Y938" i="19"/>
  <c r="AL939" i="19"/>
  <c r="AN939" i="19"/>
  <c r="AA938" i="19"/>
  <c r="AQ938" i="19"/>
  <c r="AD937" i="19"/>
  <c r="AI938" i="19"/>
  <c r="V937" i="19"/>
  <c r="AF939" i="19"/>
  <c r="S938" i="19"/>
  <c r="X937" i="19" l="1"/>
  <c r="AK938" i="19"/>
  <c r="AH937" i="19"/>
  <c r="U936" i="19"/>
  <c r="Y937" i="19"/>
  <c r="AL938" i="19"/>
  <c r="T936" i="19"/>
  <c r="AG937" i="19"/>
  <c r="AF938" i="19"/>
  <c r="S937" i="19"/>
  <c r="AI937" i="19"/>
  <c r="V936" i="19"/>
  <c r="Z936" i="19"/>
  <c r="AM937" i="19"/>
  <c r="AJ937" i="19"/>
  <c r="W936" i="19"/>
  <c r="AA937" i="19"/>
  <c r="AN938" i="19"/>
  <c r="AP937" i="19"/>
  <c r="AC936" i="19"/>
  <c r="AQ937" i="19"/>
  <c r="AD936" i="19"/>
  <c r="AB936" i="19"/>
  <c r="AO937" i="19"/>
  <c r="T935" i="19" l="1"/>
  <c r="AG936" i="19"/>
  <c r="AQ936" i="19"/>
  <c r="AD935" i="19"/>
  <c r="W935" i="19"/>
  <c r="AJ936" i="19"/>
  <c r="Z935" i="19"/>
  <c r="AM936" i="19"/>
  <c r="AI936" i="19"/>
  <c r="V935" i="19"/>
  <c r="AH936" i="19"/>
  <c r="U935" i="19"/>
  <c r="AO936" i="19"/>
  <c r="AB935" i="19"/>
  <c r="Y936" i="19"/>
  <c r="AL937" i="19"/>
  <c r="S936" i="19"/>
  <c r="AF937" i="19"/>
  <c r="AP936" i="19"/>
  <c r="AC935" i="19"/>
  <c r="AA936" i="19"/>
  <c r="AN937" i="19"/>
  <c r="AK937" i="19"/>
  <c r="X936" i="19"/>
  <c r="Z934" i="19" l="1"/>
  <c r="AM935" i="19"/>
  <c r="X935" i="19"/>
  <c r="AK936" i="19"/>
  <c r="AP935" i="19"/>
  <c r="AC934" i="19"/>
  <c r="AQ935" i="19"/>
  <c r="AD934" i="19"/>
  <c r="W934" i="19"/>
  <c r="AJ935" i="19"/>
  <c r="Y935" i="19"/>
  <c r="AL936" i="19"/>
  <c r="AI935" i="19"/>
  <c r="V934" i="19"/>
  <c r="AO935" i="19"/>
  <c r="AB934" i="19"/>
  <c r="AN936" i="19"/>
  <c r="AA935" i="19"/>
  <c r="AH935" i="19"/>
  <c r="U934" i="19"/>
  <c r="S935" i="19"/>
  <c r="AF936" i="19"/>
  <c r="AG935" i="19"/>
  <c r="T934" i="19"/>
  <c r="AP934" i="19" l="1"/>
  <c r="AC933" i="19"/>
  <c r="AG934" i="19"/>
  <c r="T933" i="19"/>
  <c r="AF935" i="19"/>
  <c r="S934" i="19"/>
  <c r="AQ934" i="19"/>
  <c r="AD933" i="19"/>
  <c r="AI934" i="19"/>
  <c r="V933" i="19"/>
  <c r="AH934" i="19"/>
  <c r="U933" i="19"/>
  <c r="Y934" i="19"/>
  <c r="AL935" i="19"/>
  <c r="X934" i="19"/>
  <c r="AK935" i="19"/>
  <c r="AN935" i="19"/>
  <c r="AA934" i="19"/>
  <c r="AB933" i="19"/>
  <c r="AO934" i="19"/>
  <c r="W933" i="19"/>
  <c r="AJ934" i="19"/>
  <c r="Z933" i="19"/>
  <c r="AM934" i="19"/>
  <c r="AF934" i="19" l="1"/>
  <c r="S933" i="19"/>
  <c r="AQ933" i="19"/>
  <c r="AD932" i="19"/>
  <c r="AH933" i="19"/>
  <c r="U932" i="19"/>
  <c r="T932" i="19"/>
  <c r="AG933" i="19"/>
  <c r="Z932" i="19"/>
  <c r="AM933" i="19"/>
  <c r="AB932" i="19"/>
  <c r="AO933" i="19"/>
  <c r="Y933" i="19"/>
  <c r="AL934" i="19"/>
  <c r="AA933" i="19"/>
  <c r="AN934" i="19"/>
  <c r="AI933" i="19"/>
  <c r="V932" i="19"/>
  <c r="AP933" i="19"/>
  <c r="AC932" i="19"/>
  <c r="X933" i="19"/>
  <c r="AK934" i="19"/>
  <c r="AJ933" i="19"/>
  <c r="W932" i="19"/>
  <c r="T931" i="19" l="1"/>
  <c r="AG932" i="19"/>
  <c r="AH932" i="19"/>
  <c r="U931" i="19"/>
  <c r="AQ932" i="19"/>
  <c r="AD931" i="19"/>
  <c r="Y932" i="19"/>
  <c r="AL933" i="19"/>
  <c r="AO932" i="19"/>
  <c r="AB931" i="19"/>
  <c r="AK933" i="19"/>
  <c r="X932" i="19"/>
  <c r="AP932" i="19"/>
  <c r="AC931" i="19"/>
  <c r="AI932" i="19"/>
  <c r="V931" i="19"/>
  <c r="S932" i="19"/>
  <c r="AF933" i="19"/>
  <c r="W931" i="19"/>
  <c r="AJ932" i="19"/>
  <c r="AA932" i="19"/>
  <c r="AN933" i="19"/>
  <c r="Z931" i="19"/>
  <c r="AM932" i="19"/>
  <c r="Y931" i="19" l="1"/>
  <c r="AL932" i="19"/>
  <c r="AP931" i="19"/>
  <c r="AC930" i="19"/>
  <c r="AQ931" i="19"/>
  <c r="AD930" i="19"/>
  <c r="Z930" i="19"/>
  <c r="AM931" i="19"/>
  <c r="AN932" i="19"/>
  <c r="AA931" i="19"/>
  <c r="X931" i="19"/>
  <c r="AK932" i="19"/>
  <c r="AH931" i="19"/>
  <c r="U930" i="19"/>
  <c r="W930" i="19"/>
  <c r="AJ931" i="19"/>
  <c r="AI931" i="19"/>
  <c r="V930" i="19"/>
  <c r="AO931" i="19"/>
  <c r="AB930" i="19"/>
  <c r="S931" i="19"/>
  <c r="AF932" i="19"/>
  <c r="AG931" i="19"/>
  <c r="T930" i="19"/>
  <c r="Z929" i="19" l="1"/>
  <c r="AM930" i="19"/>
  <c r="AQ930" i="19"/>
  <c r="AD929" i="19"/>
  <c r="AP930" i="19"/>
  <c r="AC929" i="19"/>
  <c r="W929" i="19"/>
  <c r="AJ930" i="19"/>
  <c r="X930" i="19"/>
  <c r="AK931" i="19"/>
  <c r="AI930" i="19"/>
  <c r="V929" i="19"/>
  <c r="AN931" i="19"/>
  <c r="AA930" i="19"/>
  <c r="AG930" i="19"/>
  <c r="T929" i="19"/>
  <c r="AH930" i="19"/>
  <c r="U929" i="19"/>
  <c r="AF931" i="19"/>
  <c r="S930" i="19"/>
  <c r="AB929" i="19"/>
  <c r="AO930" i="19"/>
  <c r="Y930" i="19"/>
  <c r="AL931" i="19"/>
  <c r="AJ929" i="19" l="1"/>
  <c r="W928" i="19"/>
  <c r="AP929" i="19"/>
  <c r="AC928" i="19"/>
  <c r="Y929" i="19"/>
  <c r="AL930" i="19"/>
  <c r="AA929" i="19"/>
  <c r="AN930" i="19"/>
  <c r="AB928" i="19"/>
  <c r="AO929" i="19"/>
  <c r="AQ929" i="19"/>
  <c r="AD928" i="19"/>
  <c r="T928" i="19"/>
  <c r="AG929" i="19"/>
  <c r="AI929" i="19"/>
  <c r="V928" i="19"/>
  <c r="AF930" i="19"/>
  <c r="S929" i="19"/>
  <c r="AH929" i="19"/>
  <c r="U928" i="19"/>
  <c r="X929" i="19"/>
  <c r="AK930" i="19"/>
  <c r="Z928" i="19"/>
  <c r="AM929" i="19"/>
  <c r="AA928" i="19" l="1"/>
  <c r="AN929" i="19"/>
  <c r="AI928" i="19"/>
  <c r="V927" i="19"/>
  <c r="Y928" i="19"/>
  <c r="AL929" i="19"/>
  <c r="AH928" i="19"/>
  <c r="U927" i="19"/>
  <c r="AQ928" i="19"/>
  <c r="AD927" i="19"/>
  <c r="AP928" i="19"/>
  <c r="AC927" i="19"/>
  <c r="AK929" i="19"/>
  <c r="X928" i="19"/>
  <c r="S928" i="19"/>
  <c r="AF929" i="19"/>
  <c r="W927" i="19"/>
  <c r="AJ928" i="19"/>
  <c r="Z927" i="19"/>
  <c r="AM928" i="19"/>
  <c r="T927" i="19"/>
  <c r="AG928" i="19"/>
  <c r="AO928" i="19"/>
  <c r="AB927" i="19"/>
  <c r="X927" i="19" l="1"/>
  <c r="AK928" i="19"/>
  <c r="AP927" i="19"/>
  <c r="AC926" i="19"/>
  <c r="AI927" i="19"/>
  <c r="V926" i="19"/>
  <c r="Z926" i="19"/>
  <c r="AM927" i="19"/>
  <c r="AH927" i="19"/>
  <c r="U926" i="19"/>
  <c r="AG927" i="19"/>
  <c r="T926" i="19"/>
  <c r="AQ927" i="19"/>
  <c r="AD926" i="19"/>
  <c r="AO927" i="19"/>
  <c r="AB926" i="19"/>
  <c r="S927" i="19"/>
  <c r="AF928" i="19"/>
  <c r="Y927" i="19"/>
  <c r="AL928" i="19"/>
  <c r="W926" i="19"/>
  <c r="AJ927" i="19"/>
  <c r="AN928" i="19"/>
  <c r="AA927" i="19"/>
  <c r="AN927" i="19" l="1"/>
  <c r="AA926" i="19"/>
  <c r="AI926" i="19"/>
  <c r="V925" i="19"/>
  <c r="AQ926" i="19"/>
  <c r="AD925" i="19"/>
  <c r="AG926" i="19"/>
  <c r="T925" i="19"/>
  <c r="AP926" i="19"/>
  <c r="AC925" i="19"/>
  <c r="AB925" i="19"/>
  <c r="AO926" i="19"/>
  <c r="Z925" i="19"/>
  <c r="AM926" i="19"/>
  <c r="W925" i="19"/>
  <c r="AJ926" i="19"/>
  <c r="AH926" i="19"/>
  <c r="U925" i="19"/>
  <c r="Y926" i="19"/>
  <c r="AL927" i="19"/>
  <c r="AF927" i="19"/>
  <c r="S926" i="19"/>
  <c r="X926" i="19"/>
  <c r="AK927" i="19"/>
  <c r="AQ925" i="19" l="1"/>
  <c r="AD924" i="19"/>
  <c r="T924" i="19"/>
  <c r="AG925" i="19"/>
  <c r="AF926" i="19"/>
  <c r="S925" i="19"/>
  <c r="AI925" i="19"/>
  <c r="V924" i="19"/>
  <c r="AJ925" i="19"/>
  <c r="W924" i="19"/>
  <c r="Z924" i="19"/>
  <c r="AM925" i="19"/>
  <c r="Y925" i="19"/>
  <c r="AL926" i="19"/>
  <c r="AB924" i="19"/>
  <c r="AO925" i="19"/>
  <c r="AH925" i="19"/>
  <c r="U924" i="19"/>
  <c r="AP925" i="19"/>
  <c r="AC924" i="19"/>
  <c r="AA925" i="19"/>
  <c r="AN926" i="19"/>
  <c r="X925" i="19"/>
  <c r="AK926" i="19"/>
  <c r="AK925" i="19" l="1"/>
  <c r="X924" i="19"/>
  <c r="S924" i="19"/>
  <c r="AF925" i="19"/>
  <c r="AO924" i="19"/>
  <c r="AB923" i="19"/>
  <c r="AA924" i="19"/>
  <c r="AN925" i="19"/>
  <c r="AP924" i="19"/>
  <c r="AC923" i="19"/>
  <c r="AI924" i="19"/>
  <c r="V923" i="19"/>
  <c r="Z923" i="19"/>
  <c r="AM924" i="19"/>
  <c r="T923" i="19"/>
  <c r="AG924" i="19"/>
  <c r="Y924" i="19"/>
  <c r="AL925" i="19"/>
  <c r="AH924" i="19"/>
  <c r="U923" i="19"/>
  <c r="W923" i="19"/>
  <c r="AJ924" i="19"/>
  <c r="AQ924" i="19"/>
  <c r="AD923" i="19"/>
  <c r="AN924" i="19" l="1"/>
  <c r="AA923" i="19"/>
  <c r="AQ923" i="19"/>
  <c r="AD922" i="19"/>
  <c r="AO923" i="19"/>
  <c r="AB922" i="19"/>
  <c r="AH923" i="19"/>
  <c r="U922" i="19"/>
  <c r="S923" i="19"/>
  <c r="AF924" i="19"/>
  <c r="AG923" i="19"/>
  <c r="T922" i="19"/>
  <c r="W922" i="19"/>
  <c r="AJ923" i="19"/>
  <c r="AI923" i="19"/>
  <c r="V922" i="19"/>
  <c r="AP923" i="19"/>
  <c r="AC922" i="19"/>
  <c r="X923" i="19"/>
  <c r="AK924" i="19"/>
  <c r="Z922" i="19"/>
  <c r="AM923" i="19"/>
  <c r="Y923" i="19"/>
  <c r="AL924" i="19"/>
  <c r="AB921" i="19" l="1"/>
  <c r="AO922" i="19"/>
  <c r="AH922" i="19"/>
  <c r="U921" i="19"/>
  <c r="AI922" i="19"/>
  <c r="V921" i="19"/>
  <c r="AG922" i="19"/>
  <c r="T921" i="19"/>
  <c r="AQ922" i="19"/>
  <c r="AD921" i="19"/>
  <c r="Z921" i="19"/>
  <c r="AM922" i="19"/>
  <c r="X922" i="19"/>
  <c r="AK923" i="19"/>
  <c r="AP922" i="19"/>
  <c r="AC921" i="19"/>
  <c r="AN923" i="19"/>
  <c r="AA922" i="19"/>
  <c r="Y922" i="19"/>
  <c r="AL923" i="19"/>
  <c r="W921" i="19"/>
  <c r="AJ922" i="19"/>
  <c r="AF923" i="19"/>
  <c r="S922" i="19"/>
  <c r="AI921" i="19" l="1"/>
  <c r="V920" i="19"/>
  <c r="AH921" i="19"/>
  <c r="U920" i="19"/>
  <c r="AF922" i="19"/>
  <c r="S921" i="19"/>
  <c r="X921" i="19"/>
  <c r="AK922" i="19"/>
  <c r="Z920" i="19"/>
  <c r="AM921" i="19"/>
  <c r="T920" i="19"/>
  <c r="AG921" i="19"/>
  <c r="AJ921" i="19"/>
  <c r="W920" i="19"/>
  <c r="AA921" i="19"/>
  <c r="AN922" i="19"/>
  <c r="AQ921" i="19"/>
  <c r="AD920" i="19"/>
  <c r="AP921" i="19"/>
  <c r="AC920" i="19"/>
  <c r="Y921" i="19"/>
  <c r="AL922" i="19"/>
  <c r="AB920" i="19"/>
  <c r="AO921" i="19"/>
  <c r="AO920" i="19" l="1"/>
  <c r="AB919" i="19"/>
  <c r="AH920" i="19"/>
  <c r="U919" i="19"/>
  <c r="AA920" i="19"/>
  <c r="AN921" i="19"/>
  <c r="W919" i="19"/>
  <c r="AJ920" i="19"/>
  <c r="T919" i="19"/>
  <c r="AG920" i="19"/>
  <c r="S920" i="19"/>
  <c r="AF921" i="19"/>
  <c r="AP920" i="19"/>
  <c r="AC919" i="19"/>
  <c r="AQ920" i="19"/>
  <c r="AD919" i="19"/>
  <c r="AI920" i="19"/>
  <c r="V919" i="19"/>
  <c r="AK921" i="19"/>
  <c r="X920" i="19"/>
  <c r="Y920" i="19"/>
  <c r="AL921" i="19"/>
  <c r="Z919" i="19"/>
  <c r="AM920" i="19"/>
  <c r="W918" i="19" l="1"/>
  <c r="AJ919" i="19"/>
  <c r="X919" i="19"/>
  <c r="AK920" i="19"/>
  <c r="AH919" i="19"/>
  <c r="U918" i="19"/>
  <c r="AQ919" i="19"/>
  <c r="AD918" i="19"/>
  <c r="AP919" i="19"/>
  <c r="AC918" i="19"/>
  <c r="AN920" i="19"/>
  <c r="AA919" i="19"/>
  <c r="S919" i="19"/>
  <c r="AF920" i="19"/>
  <c r="Z918" i="19"/>
  <c r="AM919" i="19"/>
  <c r="Y919" i="19"/>
  <c r="AL920" i="19"/>
  <c r="AI919" i="19"/>
  <c r="V918" i="19"/>
  <c r="AO919" i="19"/>
  <c r="AB918" i="19"/>
  <c r="AG919" i="19"/>
  <c r="T918" i="19"/>
  <c r="Z917" i="19" l="1"/>
  <c r="AM918" i="19"/>
  <c r="AH918" i="19"/>
  <c r="U917" i="19"/>
  <c r="AG918" i="19"/>
  <c r="T917" i="19"/>
  <c r="AN919" i="19"/>
  <c r="AA918" i="19"/>
  <c r="AF919" i="19"/>
  <c r="S918" i="19"/>
  <c r="X918" i="19"/>
  <c r="AK919" i="19"/>
  <c r="AI918" i="19"/>
  <c r="V917" i="19"/>
  <c r="AP918" i="19"/>
  <c r="AC917" i="19"/>
  <c r="AQ918" i="19"/>
  <c r="AD917" i="19"/>
  <c r="AB917" i="19"/>
  <c r="AO918" i="19"/>
  <c r="Y918" i="19"/>
  <c r="AL919" i="19"/>
  <c r="W917" i="19"/>
  <c r="AJ918" i="19"/>
  <c r="T916" i="19" l="1"/>
  <c r="AG917" i="19"/>
  <c r="AA917" i="19"/>
  <c r="AN918" i="19"/>
  <c r="AH917" i="19"/>
  <c r="U916" i="19"/>
  <c r="AB916" i="19"/>
  <c r="AO917" i="19"/>
  <c r="X917" i="19"/>
  <c r="AK918" i="19"/>
  <c r="AP917" i="19"/>
  <c r="AC916" i="19"/>
  <c r="AI917" i="19"/>
  <c r="V916" i="19"/>
  <c r="Y917" i="19"/>
  <c r="AL918" i="19"/>
  <c r="AQ917" i="19"/>
  <c r="AD916" i="19"/>
  <c r="AF918" i="19"/>
  <c r="S917" i="19"/>
  <c r="AJ917" i="19"/>
  <c r="W916" i="19"/>
  <c r="Z916" i="19"/>
  <c r="AM917" i="19"/>
  <c r="Y916" i="19" l="1"/>
  <c r="AL917" i="19"/>
  <c r="AH916" i="19"/>
  <c r="U915" i="19"/>
  <c r="W915" i="19"/>
  <c r="AJ916" i="19"/>
  <c r="AI916" i="19"/>
  <c r="V915" i="19"/>
  <c r="AA916" i="19"/>
  <c r="AN917" i="19"/>
  <c r="Z915" i="19"/>
  <c r="AM916" i="19"/>
  <c r="S916" i="19"/>
  <c r="AF917" i="19"/>
  <c r="AQ916" i="19"/>
  <c r="AD915" i="19"/>
  <c r="AO916" i="19"/>
  <c r="AB915" i="19"/>
  <c r="AP916" i="19"/>
  <c r="AC915" i="19"/>
  <c r="AK917" i="19"/>
  <c r="X916" i="19"/>
  <c r="T915" i="19"/>
  <c r="AG916" i="19"/>
  <c r="AQ915" i="19" l="1"/>
  <c r="AD914" i="19"/>
  <c r="W914" i="19"/>
  <c r="AJ915" i="19"/>
  <c r="AH915" i="19"/>
  <c r="U914" i="19"/>
  <c r="AG915" i="19"/>
  <c r="T914" i="19"/>
  <c r="AP915" i="19"/>
  <c r="AC914" i="19"/>
  <c r="Z914" i="19"/>
  <c r="AM915" i="19"/>
  <c r="AI915" i="19"/>
  <c r="V914" i="19"/>
  <c r="AO915" i="19"/>
  <c r="AB914" i="19"/>
  <c r="X915" i="19"/>
  <c r="AK916" i="19"/>
  <c r="S915" i="19"/>
  <c r="AF916" i="19"/>
  <c r="AN916" i="19"/>
  <c r="AA915" i="19"/>
  <c r="Y915" i="19"/>
  <c r="AL916" i="19"/>
  <c r="AB913" i="19" l="1"/>
  <c r="AO914" i="19"/>
  <c r="AG914" i="19"/>
  <c r="T913" i="19"/>
  <c r="AH914" i="19"/>
  <c r="U913" i="19"/>
  <c r="AF915" i="19"/>
  <c r="S914" i="19"/>
  <c r="Z913" i="19"/>
  <c r="AM914" i="19"/>
  <c r="W913" i="19"/>
  <c r="AJ914" i="19"/>
  <c r="Y914" i="19"/>
  <c r="AL915" i="19"/>
  <c r="AN915" i="19"/>
  <c r="AA914" i="19"/>
  <c r="AQ914" i="19"/>
  <c r="AD913" i="19"/>
  <c r="AI914" i="19"/>
  <c r="V913" i="19"/>
  <c r="AP914" i="19"/>
  <c r="AC913" i="19"/>
  <c r="X914" i="19"/>
  <c r="AK915" i="19"/>
  <c r="AA913" i="19" l="1"/>
  <c r="AN914" i="19"/>
  <c r="AH913" i="19"/>
  <c r="U912" i="19"/>
  <c r="Y913" i="19"/>
  <c r="AL914" i="19"/>
  <c r="T912" i="19"/>
  <c r="AG913" i="19"/>
  <c r="AJ913" i="19"/>
  <c r="W912" i="19"/>
  <c r="X913" i="19"/>
  <c r="AK914" i="19"/>
  <c r="AQ913" i="19"/>
  <c r="AD912" i="19"/>
  <c r="AF914" i="19"/>
  <c r="S913" i="19"/>
  <c r="AP913" i="19"/>
  <c r="AC912" i="19"/>
  <c r="AI913" i="19"/>
  <c r="V912" i="19"/>
  <c r="Z912" i="19"/>
  <c r="AM913" i="19"/>
  <c r="AB912" i="19"/>
  <c r="AO913" i="19"/>
  <c r="T911" i="19" l="1"/>
  <c r="AG912" i="19"/>
  <c r="S912" i="19"/>
  <c r="AF913" i="19"/>
  <c r="AQ912" i="19"/>
  <c r="AD911" i="19"/>
  <c r="AH912" i="19"/>
  <c r="U911" i="19"/>
  <c r="Z911" i="19"/>
  <c r="AM912" i="19"/>
  <c r="AI912" i="19"/>
  <c r="V911" i="19"/>
  <c r="W911" i="19"/>
  <c r="AJ912" i="19"/>
  <c r="AO912" i="19"/>
  <c r="AB911" i="19"/>
  <c r="Y912" i="19"/>
  <c r="AL913" i="19"/>
  <c r="AK913" i="19"/>
  <c r="X912" i="19"/>
  <c r="AP912" i="19"/>
  <c r="AC911" i="19"/>
  <c r="AA912" i="19"/>
  <c r="AN913" i="19"/>
  <c r="AQ911" i="19" l="1"/>
  <c r="AD910" i="19"/>
  <c r="AH911" i="19"/>
  <c r="U910" i="19"/>
  <c r="W910" i="19"/>
  <c r="AJ911" i="19"/>
  <c r="S911" i="19"/>
  <c r="AF912" i="19"/>
  <c r="AN912" i="19"/>
  <c r="AA911" i="19"/>
  <c r="X911" i="19"/>
  <c r="AK912" i="19"/>
  <c r="AO911" i="19"/>
  <c r="AB910" i="19"/>
  <c r="AP911" i="19"/>
  <c r="AC910" i="19"/>
  <c r="AI911" i="19"/>
  <c r="V910" i="19"/>
  <c r="Y911" i="19"/>
  <c r="AL912" i="19"/>
  <c r="Z910" i="19"/>
  <c r="AM911" i="19"/>
  <c r="AG911" i="19"/>
  <c r="T910" i="19"/>
  <c r="AH910" i="19" l="1"/>
  <c r="U909" i="19"/>
  <c r="AP910" i="19"/>
  <c r="AC909" i="19"/>
  <c r="AF911" i="19"/>
  <c r="S910" i="19"/>
  <c r="Z909" i="19"/>
  <c r="AM910" i="19"/>
  <c r="Y910" i="19"/>
  <c r="AL911" i="19"/>
  <c r="AG910" i="19"/>
  <c r="T909" i="19"/>
  <c r="W909" i="19"/>
  <c r="AJ910" i="19"/>
  <c r="AI910" i="19"/>
  <c r="V909" i="19"/>
  <c r="AN911" i="19"/>
  <c r="AA910" i="19"/>
  <c r="AQ910" i="19"/>
  <c r="AD909" i="19"/>
  <c r="AB909" i="19"/>
  <c r="AO910" i="19"/>
  <c r="X910" i="19"/>
  <c r="AK911" i="19"/>
  <c r="Z908" i="19" l="1"/>
  <c r="AM909" i="19"/>
  <c r="AF910" i="19"/>
  <c r="S909" i="19"/>
  <c r="AJ909" i="19"/>
  <c r="W908" i="19"/>
  <c r="AP909" i="19"/>
  <c r="AC908" i="19"/>
  <c r="X909" i="19"/>
  <c r="AK910" i="19"/>
  <c r="AB908" i="19"/>
  <c r="AO909" i="19"/>
  <c r="AQ909" i="19"/>
  <c r="AD908" i="19"/>
  <c r="AA909" i="19"/>
  <c r="AN910" i="19"/>
  <c r="AH909" i="19"/>
  <c r="U908" i="19"/>
  <c r="AI909" i="19"/>
  <c r="V908" i="19"/>
  <c r="T908" i="19"/>
  <c r="AG909" i="19"/>
  <c r="Y909" i="19"/>
  <c r="AL910" i="19"/>
  <c r="AA908" i="19" l="1"/>
  <c r="AN909" i="19"/>
  <c r="S908" i="19"/>
  <c r="AF909" i="19"/>
  <c r="AP908" i="19"/>
  <c r="AC907" i="19"/>
  <c r="W907" i="19"/>
  <c r="AJ908" i="19"/>
  <c r="T907" i="19"/>
  <c r="AG908" i="19"/>
  <c r="AB907" i="19"/>
  <c r="AO908" i="19"/>
  <c r="AQ908" i="19"/>
  <c r="AD907" i="19"/>
  <c r="Y908" i="19"/>
  <c r="AL909" i="19"/>
  <c r="AI908" i="19"/>
  <c r="V907" i="19"/>
  <c r="AH908" i="19"/>
  <c r="U907" i="19"/>
  <c r="X908" i="19"/>
  <c r="AK909" i="19"/>
  <c r="Z907" i="19"/>
  <c r="AM908" i="19"/>
  <c r="W906" i="19" l="1"/>
  <c r="AJ907" i="19"/>
  <c r="AP907" i="19"/>
  <c r="AC906" i="19"/>
  <c r="Z906" i="19"/>
  <c r="AM907" i="19"/>
  <c r="Y907" i="19"/>
  <c r="AL908" i="19"/>
  <c r="X907" i="19"/>
  <c r="AK908" i="19"/>
  <c r="AF908" i="19"/>
  <c r="S907" i="19"/>
  <c r="AI907" i="19"/>
  <c r="V906" i="19"/>
  <c r="AQ907" i="19"/>
  <c r="AD906" i="19"/>
  <c r="AH907" i="19"/>
  <c r="U906" i="19"/>
  <c r="AB906" i="19"/>
  <c r="AO907" i="19"/>
  <c r="T906" i="19"/>
  <c r="AG907" i="19"/>
  <c r="AA907" i="19"/>
  <c r="AN908" i="19"/>
  <c r="AI906" i="19" l="1"/>
  <c r="V905" i="19"/>
  <c r="AF907" i="19"/>
  <c r="S906" i="19"/>
  <c r="AB905" i="19"/>
  <c r="AO906" i="19"/>
  <c r="AN907" i="19"/>
  <c r="AA906" i="19"/>
  <c r="Z905" i="19"/>
  <c r="AM906" i="19"/>
  <c r="AP906" i="19"/>
  <c r="AC905" i="19"/>
  <c r="AH906" i="19"/>
  <c r="U905" i="19"/>
  <c r="AQ906" i="19"/>
  <c r="AD905" i="19"/>
  <c r="Y906" i="19"/>
  <c r="AL907" i="19"/>
  <c r="T905" i="19"/>
  <c r="AG906" i="19"/>
  <c r="AK907" i="19"/>
  <c r="X906" i="19"/>
  <c r="AJ906" i="19"/>
  <c r="W905" i="19"/>
  <c r="AH905" i="19" l="1"/>
  <c r="U904" i="19"/>
  <c r="AQ905" i="19"/>
  <c r="AD904" i="19"/>
  <c r="AF906" i="19"/>
  <c r="S905" i="19"/>
  <c r="T904" i="19"/>
  <c r="AG905" i="19"/>
  <c r="AN906" i="19"/>
  <c r="AA905" i="19"/>
  <c r="AK906" i="19"/>
  <c r="X905" i="19"/>
  <c r="AP905" i="19"/>
  <c r="AC904" i="19"/>
  <c r="AI905" i="19"/>
  <c r="V904" i="19"/>
  <c r="AJ905" i="19"/>
  <c r="W904" i="19"/>
  <c r="AB904" i="19"/>
  <c r="AO905" i="19"/>
  <c r="Y905" i="19"/>
  <c r="AL906" i="19"/>
  <c r="Z904" i="19"/>
  <c r="AM905" i="19"/>
  <c r="AI904" i="19" l="1"/>
  <c r="V903" i="19"/>
  <c r="AG904" i="19"/>
  <c r="T903" i="19"/>
  <c r="Y904" i="19"/>
  <c r="AL905" i="19"/>
  <c r="AK905" i="19"/>
  <c r="X904" i="19"/>
  <c r="Z903" i="19"/>
  <c r="AM904" i="19"/>
  <c r="AB903" i="19"/>
  <c r="AO904" i="19"/>
  <c r="S904" i="19"/>
  <c r="AF905" i="19"/>
  <c r="AQ904" i="19"/>
  <c r="AD903" i="19"/>
  <c r="AJ904" i="19"/>
  <c r="W903" i="19"/>
  <c r="AN905" i="19"/>
  <c r="AA904" i="19"/>
  <c r="AH904" i="19"/>
  <c r="U903" i="19"/>
  <c r="AP904" i="19"/>
  <c r="AC903" i="19"/>
  <c r="X903" i="19" l="1"/>
  <c r="AK904" i="19"/>
  <c r="AD902" i="19"/>
  <c r="AQ903" i="19"/>
  <c r="AP903" i="19"/>
  <c r="AC902" i="19"/>
  <c r="T902" i="19"/>
  <c r="AG903" i="19"/>
  <c r="U902" i="19"/>
  <c r="AH903" i="19"/>
  <c r="AB902" i="19"/>
  <c r="AO903" i="19"/>
  <c r="Y903" i="19"/>
  <c r="AL904" i="19"/>
  <c r="W902" i="19"/>
  <c r="AJ903" i="19"/>
  <c r="V902" i="19"/>
  <c r="AI903" i="19"/>
  <c r="S903" i="19"/>
  <c r="AF904" i="19"/>
  <c r="AN904" i="19"/>
  <c r="AA903" i="19"/>
  <c r="Z902" i="19"/>
  <c r="AM903" i="19"/>
  <c r="AM902" i="19" l="1"/>
  <c r="Z901" i="19"/>
  <c r="W901" i="19"/>
  <c r="AJ902" i="19"/>
  <c r="AP902" i="19"/>
  <c r="AC901" i="19"/>
  <c r="AA902" i="19"/>
  <c r="AN903" i="19"/>
  <c r="AD901" i="19"/>
  <c r="AQ902" i="19"/>
  <c r="AB901" i="19"/>
  <c r="AO902" i="19"/>
  <c r="T901" i="19"/>
  <c r="AG902" i="19"/>
  <c r="Y902" i="19"/>
  <c r="AL903" i="19"/>
  <c r="S902" i="19"/>
  <c r="AF903" i="19"/>
  <c r="AI902" i="19"/>
  <c r="V901" i="19"/>
  <c r="AH902" i="19"/>
  <c r="U901" i="19"/>
  <c r="X902" i="19"/>
  <c r="AK903" i="19"/>
  <c r="AH901" i="19" l="1"/>
  <c r="U900" i="19"/>
  <c r="AK902" i="19"/>
  <c r="X901" i="19"/>
  <c r="T900" i="19"/>
  <c r="AG901" i="19"/>
  <c r="AA901" i="19"/>
  <c r="AN902" i="19"/>
  <c r="AP901" i="19"/>
  <c r="AC900" i="19"/>
  <c r="AI901" i="19"/>
  <c r="V900" i="19"/>
  <c r="AO901" i="19"/>
  <c r="AB900" i="19"/>
  <c r="W900" i="19"/>
  <c r="AJ901" i="19"/>
  <c r="Y901" i="19"/>
  <c r="AL902" i="19"/>
  <c r="Z900" i="19"/>
  <c r="AM901" i="19"/>
  <c r="S901" i="19"/>
  <c r="AF902" i="19"/>
  <c r="AQ901" i="19"/>
  <c r="AD900" i="19"/>
  <c r="AQ900" i="19" l="1"/>
  <c r="AD899" i="19"/>
  <c r="W899" i="19"/>
  <c r="AJ900" i="19"/>
  <c r="AO900" i="19"/>
  <c r="AB899" i="19"/>
  <c r="AA900" i="19"/>
  <c r="AN901" i="19"/>
  <c r="S900" i="19"/>
  <c r="AF901" i="19"/>
  <c r="T899" i="19"/>
  <c r="AG900" i="19"/>
  <c r="Z899" i="19"/>
  <c r="AM900" i="19"/>
  <c r="AK901" i="19"/>
  <c r="X900" i="19"/>
  <c r="AP900" i="19"/>
  <c r="AC899" i="19"/>
  <c r="AH900" i="19"/>
  <c r="U899" i="19"/>
  <c r="AI900" i="19"/>
  <c r="V899" i="19"/>
  <c r="Y900" i="19"/>
  <c r="AL901" i="19"/>
  <c r="Y899" i="19" l="1"/>
  <c r="AL900" i="19"/>
  <c r="Z898" i="19"/>
  <c r="AM899" i="19"/>
  <c r="AK900" i="19"/>
  <c r="X899" i="19"/>
  <c r="AJ899" i="19"/>
  <c r="W898" i="19"/>
  <c r="AA899" i="19"/>
  <c r="AN900" i="19"/>
  <c r="AO899" i="19"/>
  <c r="AB898" i="19"/>
  <c r="AH899" i="19"/>
  <c r="U898" i="19"/>
  <c r="T898" i="19"/>
  <c r="AG899" i="19"/>
  <c r="AP899" i="19"/>
  <c r="AC898" i="19"/>
  <c r="AQ899" i="19"/>
  <c r="AD898" i="19"/>
  <c r="V898" i="19"/>
  <c r="AI899" i="19"/>
  <c r="S899" i="19"/>
  <c r="AF900" i="19"/>
  <c r="AJ898" i="19" l="1"/>
  <c r="W897" i="19"/>
  <c r="S898" i="19"/>
  <c r="AF899" i="19"/>
  <c r="AH898" i="19"/>
  <c r="U897" i="19"/>
  <c r="AB897" i="19"/>
  <c r="AO898" i="19"/>
  <c r="V897" i="19"/>
  <c r="AI898" i="19"/>
  <c r="AQ898" i="19"/>
  <c r="AD897" i="19"/>
  <c r="Z897" i="19"/>
  <c r="AM898" i="19"/>
  <c r="T897" i="19"/>
  <c r="AG898" i="19"/>
  <c r="AK899" i="19"/>
  <c r="X898" i="19"/>
  <c r="AP898" i="19"/>
  <c r="AC897" i="19"/>
  <c r="AA898" i="19"/>
  <c r="AN899" i="19"/>
  <c r="Y898" i="19"/>
  <c r="AL899" i="19"/>
  <c r="T896" i="19" l="1"/>
  <c r="AG897" i="19"/>
  <c r="Y897" i="19"/>
  <c r="AL898" i="19"/>
  <c r="AH897" i="19"/>
  <c r="U896" i="19"/>
  <c r="S897" i="19"/>
  <c r="AF898" i="19"/>
  <c r="Z896" i="19"/>
  <c r="AM897" i="19"/>
  <c r="AQ897" i="19"/>
  <c r="AD896" i="19"/>
  <c r="AJ897" i="19"/>
  <c r="W896" i="19"/>
  <c r="AB896" i="19"/>
  <c r="AO897" i="19"/>
  <c r="AN898" i="19"/>
  <c r="AA897" i="19"/>
  <c r="AP897" i="19"/>
  <c r="AC896" i="19"/>
  <c r="AK898" i="19"/>
  <c r="X897" i="19"/>
  <c r="V896" i="19"/>
  <c r="AI897" i="19"/>
  <c r="AB895" i="19" l="1"/>
  <c r="AO896" i="19"/>
  <c r="AJ896" i="19"/>
  <c r="W895" i="19"/>
  <c r="S896" i="19"/>
  <c r="AF897" i="19"/>
  <c r="AD895" i="19"/>
  <c r="AQ896" i="19"/>
  <c r="AH896" i="19"/>
  <c r="U895" i="19"/>
  <c r="AP896" i="19"/>
  <c r="AC895" i="19"/>
  <c r="AN897" i="19"/>
  <c r="AA896" i="19"/>
  <c r="AI896" i="19"/>
  <c r="V895" i="19"/>
  <c r="X896" i="19"/>
  <c r="AK897" i="19"/>
  <c r="Y896" i="19"/>
  <c r="AL897" i="19"/>
  <c r="Z895" i="19"/>
  <c r="AM896" i="19"/>
  <c r="T895" i="19"/>
  <c r="AG896" i="19"/>
  <c r="AD894" i="19" l="1"/>
  <c r="AQ895" i="19"/>
  <c r="S895" i="19"/>
  <c r="AF896" i="19"/>
  <c r="T894" i="19"/>
  <c r="AG895" i="19"/>
  <c r="AP895" i="19"/>
  <c r="AC894" i="19"/>
  <c r="AI895" i="19"/>
  <c r="V894" i="19"/>
  <c r="AN896" i="19"/>
  <c r="AA895" i="19"/>
  <c r="AJ895" i="19"/>
  <c r="W894" i="19"/>
  <c r="AH895" i="19"/>
  <c r="U894" i="19"/>
  <c r="AM895" i="19"/>
  <c r="Z894" i="19"/>
  <c r="Y895" i="19"/>
  <c r="AL896" i="19"/>
  <c r="X895" i="19"/>
  <c r="AK896" i="19"/>
  <c r="AB894" i="19"/>
  <c r="AO895" i="19"/>
  <c r="AH894" i="19" l="1"/>
  <c r="U893" i="19"/>
  <c r="AB893" i="19"/>
  <c r="AO894" i="19"/>
  <c r="AP894" i="19"/>
  <c r="AC893" i="19"/>
  <c r="X894" i="19"/>
  <c r="AK895" i="19"/>
  <c r="AA894" i="19"/>
  <c r="AN895" i="19"/>
  <c r="S894" i="19"/>
  <c r="AF895" i="19"/>
  <c r="T893" i="19"/>
  <c r="AG894" i="19"/>
  <c r="AM894" i="19"/>
  <c r="Z893" i="19"/>
  <c r="AI894" i="19"/>
  <c r="V893" i="19"/>
  <c r="W893" i="19"/>
  <c r="AJ894" i="19"/>
  <c r="Y894" i="19"/>
  <c r="AL895" i="19"/>
  <c r="AD893" i="19"/>
  <c r="AQ894" i="19"/>
  <c r="Y893" i="19" l="1"/>
  <c r="AL894" i="19"/>
  <c r="AM893" i="19"/>
  <c r="Z892" i="19"/>
  <c r="AK894" i="19"/>
  <c r="X893" i="19"/>
  <c r="T892" i="19"/>
  <c r="AG893" i="19"/>
  <c r="AO893" i="19"/>
  <c r="AB892" i="19"/>
  <c r="AQ893" i="19"/>
  <c r="AD892" i="19"/>
  <c r="W892" i="19"/>
  <c r="AJ893" i="19"/>
  <c r="AI893" i="19"/>
  <c r="V892" i="19"/>
  <c r="AH893" i="19"/>
  <c r="U892" i="19"/>
  <c r="AP893" i="19"/>
  <c r="AC892" i="19"/>
  <c r="S893" i="19"/>
  <c r="AF894" i="19"/>
  <c r="AA893" i="19"/>
  <c r="AN894" i="19"/>
  <c r="AA892" i="19" l="1"/>
  <c r="AN893" i="19"/>
  <c r="AI892" i="19"/>
  <c r="V891" i="19"/>
  <c r="Z891" i="19"/>
  <c r="AM892" i="19"/>
  <c r="AK893" i="19"/>
  <c r="X892" i="19"/>
  <c r="T891" i="19"/>
  <c r="AG892" i="19"/>
  <c r="W891" i="19"/>
  <c r="AJ892" i="19"/>
  <c r="AP892" i="19"/>
  <c r="AC891" i="19"/>
  <c r="AH892" i="19"/>
  <c r="U891" i="19"/>
  <c r="AO892" i="19"/>
  <c r="AB891" i="19"/>
  <c r="S892" i="19"/>
  <c r="AF893" i="19"/>
  <c r="AQ892" i="19"/>
  <c r="AD891" i="19"/>
  <c r="Y892" i="19"/>
  <c r="AL893" i="19"/>
  <c r="AK892" i="19" l="1"/>
  <c r="X891" i="19"/>
  <c r="AQ891" i="19"/>
  <c r="AD890" i="19"/>
  <c r="AH891" i="19"/>
  <c r="U890" i="19"/>
  <c r="AP891" i="19"/>
  <c r="AC890" i="19"/>
  <c r="V890" i="19"/>
  <c r="AI891" i="19"/>
  <c r="AO891" i="19"/>
  <c r="AB890" i="19"/>
  <c r="Y891" i="19"/>
  <c r="AL892" i="19"/>
  <c r="Z890" i="19"/>
  <c r="AM891" i="19"/>
  <c r="S891" i="19"/>
  <c r="AF892" i="19"/>
  <c r="AJ891" i="19"/>
  <c r="W890" i="19"/>
  <c r="T890" i="19"/>
  <c r="AG891" i="19"/>
  <c r="AA891" i="19"/>
  <c r="AN892" i="19"/>
  <c r="Z889" i="19" l="1"/>
  <c r="AM890" i="19"/>
  <c r="AP890" i="19"/>
  <c r="AC889" i="19"/>
  <c r="AJ890" i="19"/>
  <c r="W889" i="19"/>
  <c r="T889" i="19"/>
  <c r="AG890" i="19"/>
  <c r="AO890" i="19"/>
  <c r="AB889" i="19"/>
  <c r="AA890" i="19"/>
  <c r="AN891" i="19"/>
  <c r="AH890" i="19"/>
  <c r="U889" i="19"/>
  <c r="AK891" i="19"/>
  <c r="X890" i="19"/>
  <c r="Y890" i="19"/>
  <c r="AL891" i="19"/>
  <c r="AD889" i="19"/>
  <c r="AQ890" i="19"/>
  <c r="S890" i="19"/>
  <c r="AF891" i="19"/>
  <c r="V889" i="19"/>
  <c r="AI890" i="19"/>
  <c r="AK890" i="19" l="1"/>
  <c r="X889" i="19"/>
  <c r="T888" i="19"/>
  <c r="AG889" i="19"/>
  <c r="AF890" i="19"/>
  <c r="S889" i="19"/>
  <c r="AA889" i="19"/>
  <c r="AN890" i="19"/>
  <c r="AH889" i="19"/>
  <c r="U888" i="19"/>
  <c r="AP889" i="19"/>
  <c r="AC888" i="19"/>
  <c r="AO889" i="19"/>
  <c r="AB888" i="19"/>
  <c r="AI889" i="19"/>
  <c r="V888" i="19"/>
  <c r="W888" i="19"/>
  <c r="AJ889" i="19"/>
  <c r="AQ889" i="19"/>
  <c r="AD888" i="19"/>
  <c r="Y889" i="19"/>
  <c r="AL890" i="19"/>
  <c r="Z888" i="19"/>
  <c r="AM889" i="19"/>
  <c r="Z887" i="19" l="1"/>
  <c r="AM888" i="19"/>
  <c r="AO888" i="19"/>
  <c r="AB887" i="19"/>
  <c r="AP888" i="19"/>
  <c r="AC887" i="19"/>
  <c r="AF889" i="19"/>
  <c r="S888" i="19"/>
  <c r="AG888" i="19"/>
  <c r="T887" i="19"/>
  <c r="AK889" i="19"/>
  <c r="X888" i="19"/>
  <c r="AI888" i="19"/>
  <c r="V887" i="19"/>
  <c r="AA888" i="19"/>
  <c r="AN889" i="19"/>
  <c r="Y888" i="19"/>
  <c r="AL889" i="19"/>
  <c r="AQ888" i="19"/>
  <c r="AD887" i="19"/>
  <c r="AH888" i="19"/>
  <c r="U887" i="19"/>
  <c r="AJ888" i="19"/>
  <c r="W887" i="19"/>
  <c r="AH887" i="19" l="1"/>
  <c r="U886" i="19"/>
  <c r="S887" i="19"/>
  <c r="AF888" i="19"/>
  <c r="AP887" i="19"/>
  <c r="AC886" i="19"/>
  <c r="X887" i="19"/>
  <c r="AK888" i="19"/>
  <c r="W886" i="19"/>
  <c r="AJ887" i="19"/>
  <c r="AA887" i="19"/>
  <c r="AN888" i="19"/>
  <c r="AQ887" i="19"/>
  <c r="AD886" i="19"/>
  <c r="AI887" i="19"/>
  <c r="V886" i="19"/>
  <c r="AG887" i="19"/>
  <c r="T886" i="19"/>
  <c r="AB886" i="19"/>
  <c r="AO887" i="19"/>
  <c r="Y887" i="19"/>
  <c r="AL888" i="19"/>
  <c r="Z886" i="19"/>
  <c r="AM887" i="19"/>
  <c r="AK887" i="19" l="1"/>
  <c r="X886" i="19"/>
  <c r="Z885" i="19"/>
  <c r="AM886" i="19"/>
  <c r="AP886" i="19"/>
  <c r="AC885" i="19"/>
  <c r="AN887" i="19"/>
  <c r="AA886" i="19"/>
  <c r="S886" i="19"/>
  <c r="AF887" i="19"/>
  <c r="Y886" i="19"/>
  <c r="AL887" i="19"/>
  <c r="T885" i="19"/>
  <c r="AG886" i="19"/>
  <c r="AH886" i="19"/>
  <c r="U885" i="19"/>
  <c r="AI886" i="19"/>
  <c r="V885" i="19"/>
  <c r="AQ886" i="19"/>
  <c r="AD885" i="19"/>
  <c r="AB885" i="19"/>
  <c r="AO886" i="19"/>
  <c r="W885" i="19"/>
  <c r="AJ886" i="19"/>
  <c r="AH885" i="19" l="1"/>
  <c r="U884" i="19"/>
  <c r="W884" i="19"/>
  <c r="AJ885" i="19"/>
  <c r="AO885" i="19"/>
  <c r="AB884" i="19"/>
  <c r="T884" i="19"/>
  <c r="AG885" i="19"/>
  <c r="Z884" i="19"/>
  <c r="AM885" i="19"/>
  <c r="AI885" i="19"/>
  <c r="V884" i="19"/>
  <c r="AK886" i="19"/>
  <c r="X885" i="19"/>
  <c r="AN886" i="19"/>
  <c r="AA885" i="19"/>
  <c r="AP885" i="19"/>
  <c r="AC884" i="19"/>
  <c r="AQ885" i="19"/>
  <c r="AD884" i="19"/>
  <c r="Y885" i="19"/>
  <c r="AL886" i="19"/>
  <c r="AF886" i="19"/>
  <c r="S885" i="19"/>
  <c r="AA884" i="19" l="1"/>
  <c r="AN885" i="19"/>
  <c r="AF885" i="19"/>
  <c r="S884" i="19"/>
  <c r="X884" i="19"/>
  <c r="AK885" i="19"/>
  <c r="AQ884" i="19"/>
  <c r="AD883" i="19"/>
  <c r="Y884" i="19"/>
  <c r="AL885" i="19"/>
  <c r="AJ884" i="19"/>
  <c r="W883" i="19"/>
  <c r="AH884" i="19"/>
  <c r="U883" i="19"/>
  <c r="AG884" i="19"/>
  <c r="T883" i="19"/>
  <c r="AO884" i="19"/>
  <c r="AB883" i="19"/>
  <c r="AI884" i="19"/>
  <c r="V883" i="19"/>
  <c r="AP884" i="19"/>
  <c r="AC883" i="19"/>
  <c r="Z883" i="19"/>
  <c r="AM884" i="19"/>
  <c r="Z882" i="19" l="1"/>
  <c r="AM883" i="19"/>
  <c r="AI883" i="19"/>
  <c r="V882" i="19"/>
  <c r="AQ883" i="19"/>
  <c r="AD882" i="19"/>
  <c r="AP883" i="19"/>
  <c r="AC882" i="19"/>
  <c r="X883" i="19"/>
  <c r="AK884" i="19"/>
  <c r="W882" i="19"/>
  <c r="AJ883" i="19"/>
  <c r="AG883" i="19"/>
  <c r="T882" i="19"/>
  <c r="AH883" i="19"/>
  <c r="U882" i="19"/>
  <c r="S883" i="19"/>
  <c r="AF884" i="19"/>
  <c r="AB882" i="19"/>
  <c r="AO883" i="19"/>
  <c r="Y883" i="19"/>
  <c r="AL884" i="19"/>
  <c r="AA883" i="19"/>
  <c r="AN884" i="19"/>
  <c r="AP882" i="19" l="1"/>
  <c r="AC881" i="19"/>
  <c r="AN883" i="19"/>
  <c r="AA882" i="19"/>
  <c r="T881" i="19"/>
  <c r="AG882" i="19"/>
  <c r="AH882" i="19"/>
  <c r="U881" i="19"/>
  <c r="AQ882" i="19"/>
  <c r="AD881" i="19"/>
  <c r="AI882" i="19"/>
  <c r="V881" i="19"/>
  <c r="W881" i="19"/>
  <c r="AJ882" i="19"/>
  <c r="Y882" i="19"/>
  <c r="AL883" i="19"/>
  <c r="AB881" i="19"/>
  <c r="AO882" i="19"/>
  <c r="S882" i="19"/>
  <c r="AF883" i="19"/>
  <c r="AK883" i="19"/>
  <c r="X882" i="19"/>
  <c r="Z881" i="19"/>
  <c r="AM882" i="19"/>
  <c r="AK882" i="19" l="1"/>
  <c r="X881" i="19"/>
  <c r="AH881" i="19"/>
  <c r="U880" i="19"/>
  <c r="AN882" i="19"/>
  <c r="AA881" i="19"/>
  <c r="Y881" i="19"/>
  <c r="AL882" i="19"/>
  <c r="AI881" i="19"/>
  <c r="V880" i="19"/>
  <c r="Z880" i="19"/>
  <c r="AM881" i="19"/>
  <c r="W880" i="19"/>
  <c r="AJ881" i="19"/>
  <c r="AQ881" i="19"/>
  <c r="AD880" i="19"/>
  <c r="AP881" i="19"/>
  <c r="AC880" i="19"/>
  <c r="T880" i="19"/>
  <c r="AG881" i="19"/>
  <c r="AF882" i="19"/>
  <c r="S881" i="19"/>
  <c r="AO881" i="19"/>
  <c r="AB880" i="19"/>
  <c r="AQ880" i="19" l="1"/>
  <c r="AD879" i="19"/>
  <c r="Y880" i="19"/>
  <c r="AL881" i="19"/>
  <c r="AJ880" i="19"/>
  <c r="W879" i="19"/>
  <c r="AH880" i="19"/>
  <c r="U879" i="19"/>
  <c r="Z879" i="19"/>
  <c r="AM880" i="19"/>
  <c r="AF881" i="19"/>
  <c r="S880" i="19"/>
  <c r="AG880" i="19"/>
  <c r="T879" i="19"/>
  <c r="AI880" i="19"/>
  <c r="V879" i="19"/>
  <c r="X880" i="19"/>
  <c r="AK881" i="19"/>
  <c r="AO880" i="19"/>
  <c r="AB879" i="19"/>
  <c r="AA880" i="19"/>
  <c r="AN881" i="19"/>
  <c r="AP880" i="19"/>
  <c r="AC879" i="19"/>
  <c r="AI879" i="19" l="1"/>
  <c r="V878" i="19"/>
  <c r="AB878" i="19"/>
  <c r="AO879" i="19"/>
  <c r="AP879" i="19"/>
  <c r="AC878" i="19"/>
  <c r="AH879" i="19"/>
  <c r="U878" i="19"/>
  <c r="W878" i="19"/>
  <c r="AJ879" i="19"/>
  <c r="Y879" i="19"/>
  <c r="AL880" i="19"/>
  <c r="AA879" i="19"/>
  <c r="AN880" i="19"/>
  <c r="S879" i="19"/>
  <c r="AF880" i="19"/>
  <c r="AQ879" i="19"/>
  <c r="AD878" i="19"/>
  <c r="AG879" i="19"/>
  <c r="T878" i="19"/>
  <c r="X879" i="19"/>
  <c r="AK880" i="19"/>
  <c r="Z878" i="19"/>
  <c r="AM879" i="19"/>
  <c r="AH878" i="19" l="1"/>
  <c r="U877" i="19"/>
  <c r="AK879" i="19"/>
  <c r="X878" i="19"/>
  <c r="Y878" i="19"/>
  <c r="AL879" i="19"/>
  <c r="AB877" i="19"/>
  <c r="AO878" i="19"/>
  <c r="S878" i="19"/>
  <c r="AF879" i="19"/>
  <c r="AN879" i="19"/>
  <c r="AA878" i="19"/>
  <c r="AQ878" i="19"/>
  <c r="AD877" i="19"/>
  <c r="AI878" i="19"/>
  <c r="V877" i="19"/>
  <c r="Z877" i="19"/>
  <c r="AM878" i="19"/>
  <c r="AP878" i="19"/>
  <c r="AC877" i="19"/>
  <c r="T877" i="19"/>
  <c r="AG878" i="19"/>
  <c r="W877" i="19"/>
  <c r="AJ878" i="19"/>
  <c r="W876" i="19" l="1"/>
  <c r="AJ877" i="19"/>
  <c r="AI877" i="19"/>
  <c r="V876" i="19"/>
  <c r="AN878" i="19"/>
  <c r="AA877" i="19"/>
  <c r="AQ877" i="19"/>
  <c r="AD876" i="19"/>
  <c r="AK878" i="19"/>
  <c r="X877" i="19"/>
  <c r="AP877" i="19"/>
  <c r="AC876" i="19"/>
  <c r="AH877" i="19"/>
  <c r="U876" i="19"/>
  <c r="AO877" i="19"/>
  <c r="AB876" i="19"/>
  <c r="T876" i="19"/>
  <c r="AG877" i="19"/>
  <c r="Y877" i="19"/>
  <c r="AL878" i="19"/>
  <c r="Z876" i="19"/>
  <c r="AM877" i="19"/>
  <c r="AF878" i="19"/>
  <c r="S877" i="19"/>
  <c r="AF877" i="19" l="1"/>
  <c r="S876" i="19"/>
  <c r="AH876" i="19"/>
  <c r="U875" i="19"/>
  <c r="AP876" i="19"/>
  <c r="AC875" i="19"/>
  <c r="AO876" i="19"/>
  <c r="AB875" i="19"/>
  <c r="Z875" i="19"/>
  <c r="AM876" i="19"/>
  <c r="AI876" i="19"/>
  <c r="V875" i="19"/>
  <c r="Y876" i="19"/>
  <c r="AL877" i="19"/>
  <c r="X876" i="19"/>
  <c r="AK877" i="19"/>
  <c r="AQ876" i="19"/>
  <c r="AD875" i="19"/>
  <c r="AA876" i="19"/>
  <c r="AN877" i="19"/>
  <c r="AG876" i="19"/>
  <c r="T875" i="19"/>
  <c r="AJ876" i="19"/>
  <c r="W875" i="19"/>
  <c r="W874" i="19" l="1"/>
  <c r="AJ875" i="19"/>
  <c r="AG875" i="19"/>
  <c r="T874" i="19"/>
  <c r="AB874" i="19"/>
  <c r="AO875" i="19"/>
  <c r="AP875" i="19"/>
  <c r="AC874" i="19"/>
  <c r="AI875" i="19"/>
  <c r="V874" i="19"/>
  <c r="Y875" i="19"/>
  <c r="AL876" i="19"/>
  <c r="AH875" i="19"/>
  <c r="U874" i="19"/>
  <c r="AA875" i="19"/>
  <c r="AN876" i="19"/>
  <c r="AQ875" i="19"/>
  <c r="AD874" i="19"/>
  <c r="S875" i="19"/>
  <c r="AF876" i="19"/>
  <c r="X875" i="19"/>
  <c r="AK876" i="19"/>
  <c r="Z874" i="19"/>
  <c r="AM875" i="19"/>
  <c r="AN875" i="19" l="1"/>
  <c r="AA874" i="19"/>
  <c r="AH874" i="19"/>
  <c r="U873" i="19"/>
  <c r="Z873" i="19"/>
  <c r="AM874" i="19"/>
  <c r="AB873" i="19"/>
  <c r="AO874" i="19"/>
  <c r="S874" i="19"/>
  <c r="AF875" i="19"/>
  <c r="Y874" i="19"/>
  <c r="AL875" i="19"/>
  <c r="AQ874" i="19"/>
  <c r="AD873" i="19"/>
  <c r="AI874" i="19"/>
  <c r="V873" i="19"/>
  <c r="AP874" i="19"/>
  <c r="AC873" i="19"/>
  <c r="AK875" i="19"/>
  <c r="X874" i="19"/>
  <c r="T873" i="19"/>
  <c r="AG874" i="19"/>
  <c r="W873" i="19"/>
  <c r="AJ874" i="19"/>
  <c r="AO873" i="19" l="1"/>
  <c r="AB872" i="19"/>
  <c r="AQ873" i="19"/>
  <c r="AD872" i="19"/>
  <c r="AI873" i="19"/>
  <c r="V872" i="19"/>
  <c r="T872" i="19"/>
  <c r="AG873" i="19"/>
  <c r="AH873" i="19"/>
  <c r="U872" i="19"/>
  <c r="Y873" i="19"/>
  <c r="AL874" i="19"/>
  <c r="W872" i="19"/>
  <c r="AJ873" i="19"/>
  <c r="Z872" i="19"/>
  <c r="AM873" i="19"/>
  <c r="AP873" i="19"/>
  <c r="AC872" i="19"/>
  <c r="AN874" i="19"/>
  <c r="AA873" i="19"/>
  <c r="AK874" i="19"/>
  <c r="X873" i="19"/>
  <c r="AF874" i="19"/>
  <c r="S873" i="19"/>
  <c r="Z871" i="19" l="1"/>
  <c r="AM872" i="19"/>
  <c r="X872" i="19"/>
  <c r="AK873" i="19"/>
  <c r="AA872" i="19"/>
  <c r="AN873" i="19"/>
  <c r="AF873" i="19"/>
  <c r="S872" i="19"/>
  <c r="AG872" i="19"/>
  <c r="T871" i="19"/>
  <c r="AI872" i="19"/>
  <c r="V871" i="19"/>
  <c r="Y872" i="19"/>
  <c r="AL873" i="19"/>
  <c r="AP872" i="19"/>
  <c r="AC871" i="19"/>
  <c r="AH872" i="19"/>
  <c r="U871" i="19"/>
  <c r="AO872" i="19"/>
  <c r="AB871" i="19"/>
  <c r="AJ872" i="19"/>
  <c r="W871" i="19"/>
  <c r="AQ872" i="19"/>
  <c r="AD871" i="19"/>
  <c r="S871" i="19" l="1"/>
  <c r="AF872" i="19"/>
  <c r="W870" i="19"/>
  <c r="AJ871" i="19"/>
  <c r="AQ871" i="19"/>
  <c r="AD870" i="19"/>
  <c r="Y871" i="19"/>
  <c r="AL872" i="19"/>
  <c r="AI871" i="19"/>
  <c r="V870" i="19"/>
  <c r="X871" i="19"/>
  <c r="AK872" i="19"/>
  <c r="AP871" i="19"/>
  <c r="AC870" i="19"/>
  <c r="AA871" i="19"/>
  <c r="AN872" i="19"/>
  <c r="AH871" i="19"/>
  <c r="U870" i="19"/>
  <c r="AG871" i="19"/>
  <c r="T870" i="19"/>
  <c r="AB870" i="19"/>
  <c r="AO871" i="19"/>
  <c r="Z870" i="19"/>
  <c r="AM871" i="19"/>
  <c r="AN871" i="19" l="1"/>
  <c r="AA870" i="19"/>
  <c r="AQ870" i="19"/>
  <c r="AD869" i="19"/>
  <c r="Z869" i="19"/>
  <c r="AM870" i="19"/>
  <c r="T869" i="19"/>
  <c r="AG870" i="19"/>
  <c r="AK871" i="19"/>
  <c r="X870" i="19"/>
  <c r="AB869" i="19"/>
  <c r="AO870" i="19"/>
  <c r="W869" i="19"/>
  <c r="AJ870" i="19"/>
  <c r="AH870" i="19"/>
  <c r="U869" i="19"/>
  <c r="AI870" i="19"/>
  <c r="V869" i="19"/>
  <c r="Y870" i="19"/>
  <c r="AL871" i="19"/>
  <c r="AP870" i="19"/>
  <c r="AC869" i="19"/>
  <c r="S870" i="19"/>
  <c r="AF871" i="19"/>
  <c r="AP869" i="19" l="1"/>
  <c r="AC868" i="19"/>
  <c r="AO869" i="19"/>
  <c r="AB868" i="19"/>
  <c r="AH869" i="19"/>
  <c r="U868" i="19"/>
  <c r="T868" i="19"/>
  <c r="AG869" i="19"/>
  <c r="Z868" i="19"/>
  <c r="AM869" i="19"/>
  <c r="Y869" i="19"/>
  <c r="AL870" i="19"/>
  <c r="AI869" i="19"/>
  <c r="V868" i="19"/>
  <c r="AK870" i="19"/>
  <c r="X869" i="19"/>
  <c r="AN870" i="19"/>
  <c r="AA869" i="19"/>
  <c r="AF870" i="19"/>
  <c r="S869" i="19"/>
  <c r="W868" i="19"/>
  <c r="AJ869" i="19"/>
  <c r="AQ869" i="19"/>
  <c r="AD868" i="19"/>
  <c r="AQ868" i="19" l="1"/>
  <c r="AD867" i="19"/>
  <c r="AI868" i="19"/>
  <c r="V867" i="19"/>
  <c r="AH868" i="19"/>
  <c r="U867" i="19"/>
  <c r="AJ868" i="19"/>
  <c r="W867" i="19"/>
  <c r="Y868" i="19"/>
  <c r="AL869" i="19"/>
  <c r="AK869" i="19"/>
  <c r="X868" i="19"/>
  <c r="AG868" i="19"/>
  <c r="T867" i="19"/>
  <c r="AF869" i="19"/>
  <c r="S868" i="19"/>
  <c r="AA868" i="19"/>
  <c r="AN869" i="19"/>
  <c r="AP868" i="19"/>
  <c r="AC867" i="19"/>
  <c r="AO868" i="19"/>
  <c r="AB867" i="19"/>
  <c r="Z867" i="19"/>
  <c r="AM868" i="19"/>
  <c r="AH867" i="19" l="1"/>
  <c r="U866" i="19"/>
  <c r="W866" i="19"/>
  <c r="AJ867" i="19"/>
  <c r="AB866" i="19"/>
  <c r="AO867" i="19"/>
  <c r="AP867" i="19"/>
  <c r="AC866" i="19"/>
  <c r="S867" i="19"/>
  <c r="AF868" i="19"/>
  <c r="Z866" i="19"/>
  <c r="AM867" i="19"/>
  <c r="AG867" i="19"/>
  <c r="T866" i="19"/>
  <c r="X867" i="19"/>
  <c r="AK868" i="19"/>
  <c r="AQ867" i="19"/>
  <c r="AD866" i="19"/>
  <c r="AI867" i="19"/>
  <c r="V866" i="19"/>
  <c r="AA867" i="19"/>
  <c r="AN868" i="19"/>
  <c r="Y867" i="19"/>
  <c r="AL868" i="19"/>
  <c r="Y866" i="19" l="1"/>
  <c r="AL867" i="19"/>
  <c r="T865" i="19"/>
  <c r="AG866" i="19"/>
  <c r="AP866" i="19"/>
  <c r="AC865" i="19"/>
  <c r="AN867" i="19"/>
  <c r="AA866" i="19"/>
  <c r="AI866" i="19"/>
  <c r="V865" i="19"/>
  <c r="Z865" i="19"/>
  <c r="AM866" i="19"/>
  <c r="AK867" i="19"/>
  <c r="X866" i="19"/>
  <c r="W865" i="19"/>
  <c r="AJ866" i="19"/>
  <c r="AQ866" i="19"/>
  <c r="AD865" i="19"/>
  <c r="AH866" i="19"/>
  <c r="U865" i="19"/>
  <c r="AB865" i="19"/>
  <c r="AO866" i="19"/>
  <c r="S866" i="19"/>
  <c r="AF867" i="19"/>
  <c r="W864" i="19" l="1"/>
  <c r="AJ865" i="19"/>
  <c r="AP865" i="19"/>
  <c r="AC864" i="19"/>
  <c r="AN866" i="19"/>
  <c r="AA865" i="19"/>
  <c r="AK866" i="19"/>
  <c r="X865" i="19"/>
  <c r="Z864" i="19"/>
  <c r="AM865" i="19"/>
  <c r="AF866" i="19"/>
  <c r="S865" i="19"/>
  <c r="AO865" i="19"/>
  <c r="AB864" i="19"/>
  <c r="AH865" i="19"/>
  <c r="U864" i="19"/>
  <c r="T864" i="19"/>
  <c r="AG865" i="19"/>
  <c r="AQ865" i="19"/>
  <c r="AD864" i="19"/>
  <c r="AI865" i="19"/>
  <c r="V864" i="19"/>
  <c r="Y865" i="19"/>
  <c r="AL866" i="19"/>
  <c r="AA864" i="19" l="1"/>
  <c r="AN865" i="19"/>
  <c r="Y864" i="19"/>
  <c r="AL865" i="19"/>
  <c r="AO864" i="19"/>
  <c r="AB863" i="19"/>
  <c r="AF865" i="19"/>
  <c r="S864" i="19"/>
  <c r="X864" i="19"/>
  <c r="AK865" i="19"/>
  <c r="AI864" i="19"/>
  <c r="V863" i="19"/>
  <c r="AP864" i="19"/>
  <c r="AC863" i="19"/>
  <c r="AH864" i="19"/>
  <c r="U863" i="19"/>
  <c r="AQ864" i="19"/>
  <c r="AD863" i="19"/>
  <c r="AG864" i="19"/>
  <c r="T863" i="19"/>
  <c r="Z863" i="19"/>
  <c r="AM864" i="19"/>
  <c r="AJ864" i="19"/>
  <c r="W863" i="19"/>
  <c r="W862" i="19" l="1"/>
  <c r="AJ863" i="19"/>
  <c r="AP863" i="19"/>
  <c r="AC862" i="19"/>
  <c r="AB862" i="19"/>
  <c r="AO863" i="19"/>
  <c r="AH863" i="19"/>
  <c r="U862" i="19"/>
  <c r="AG863" i="19"/>
  <c r="T862" i="19"/>
  <c r="Y863" i="19"/>
  <c r="AL864" i="19"/>
  <c r="S863" i="19"/>
  <c r="AF864" i="19"/>
  <c r="AQ863" i="19"/>
  <c r="AD862" i="19"/>
  <c r="Z862" i="19"/>
  <c r="AM863" i="19"/>
  <c r="AI863" i="19"/>
  <c r="V862" i="19"/>
  <c r="X863" i="19"/>
  <c r="AK864" i="19"/>
  <c r="AA863" i="19"/>
  <c r="AN864" i="19"/>
  <c r="AH862" i="19" l="1"/>
  <c r="U861" i="19"/>
  <c r="AQ862" i="19"/>
  <c r="AD861" i="19"/>
  <c r="AI862" i="19"/>
  <c r="V861" i="19"/>
  <c r="AK863" i="19"/>
  <c r="X862" i="19"/>
  <c r="AP862" i="19"/>
  <c r="AC861" i="19"/>
  <c r="Y862" i="19"/>
  <c r="AL863" i="19"/>
  <c r="T861" i="19"/>
  <c r="AG862" i="19"/>
  <c r="AN863" i="19"/>
  <c r="AA862" i="19"/>
  <c r="S862" i="19"/>
  <c r="AF863" i="19"/>
  <c r="AB861" i="19"/>
  <c r="AO862" i="19"/>
  <c r="Z861" i="19"/>
  <c r="AM862" i="19"/>
  <c r="W861" i="19"/>
  <c r="AJ862" i="19"/>
  <c r="AN862" i="19" l="1"/>
  <c r="AA861" i="19"/>
  <c r="AI861" i="19"/>
  <c r="V860" i="19"/>
  <c r="AK862" i="19"/>
  <c r="X861" i="19"/>
  <c r="T860" i="19"/>
  <c r="AG861" i="19"/>
  <c r="AQ861" i="19"/>
  <c r="AD860" i="19"/>
  <c r="Y861" i="19"/>
  <c r="AL862" i="19"/>
  <c r="AO861" i="19"/>
  <c r="AB860" i="19"/>
  <c r="AP861" i="19"/>
  <c r="AC860" i="19"/>
  <c r="AH861" i="19"/>
  <c r="U860" i="19"/>
  <c r="W860" i="19"/>
  <c r="AJ861" i="19"/>
  <c r="Z860" i="19"/>
  <c r="AM861" i="19"/>
  <c r="AF862" i="19"/>
  <c r="S861" i="19"/>
  <c r="AF861" i="19" l="1"/>
  <c r="S860" i="19"/>
  <c r="Y860" i="19"/>
  <c r="AL861" i="19"/>
  <c r="AP860" i="19"/>
  <c r="AC859" i="19"/>
  <c r="AO860" i="19"/>
  <c r="AB859" i="19"/>
  <c r="X860" i="19"/>
  <c r="AK861" i="19"/>
  <c r="AJ860" i="19"/>
  <c r="W859" i="19"/>
  <c r="AH860" i="19"/>
  <c r="U859" i="19"/>
  <c r="AQ860" i="19"/>
  <c r="AD859" i="19"/>
  <c r="AA860" i="19"/>
  <c r="AN861" i="19"/>
  <c r="AG860" i="19"/>
  <c r="T859" i="19"/>
  <c r="Z859" i="19"/>
  <c r="AM860" i="19"/>
  <c r="AI860" i="19"/>
  <c r="V859" i="19"/>
  <c r="AB858" i="19" l="1"/>
  <c r="AO859" i="19"/>
  <c r="AP859" i="19"/>
  <c r="AC858" i="19"/>
  <c r="Z858" i="19"/>
  <c r="AM859" i="19"/>
  <c r="AQ859" i="19"/>
  <c r="AD858" i="19"/>
  <c r="W858" i="19"/>
  <c r="AJ859" i="19"/>
  <c r="Y859" i="19"/>
  <c r="AL860" i="19"/>
  <c r="S859" i="19"/>
  <c r="AF860" i="19"/>
  <c r="AI859" i="19"/>
  <c r="V858" i="19"/>
  <c r="AH859" i="19"/>
  <c r="U858" i="19"/>
  <c r="AG859" i="19"/>
  <c r="T858" i="19"/>
  <c r="AA859" i="19"/>
  <c r="AN860" i="19"/>
  <c r="X859" i="19"/>
  <c r="AK860" i="19"/>
  <c r="AQ858" i="19" l="1"/>
  <c r="AD857" i="19"/>
  <c r="S858" i="19"/>
  <c r="AF859" i="19"/>
  <c r="Y858" i="19"/>
  <c r="AL859" i="19"/>
  <c r="AI858" i="19"/>
  <c r="V857" i="19"/>
  <c r="AN859" i="19"/>
  <c r="AA858" i="19"/>
  <c r="AM858" i="19"/>
  <c r="Z857" i="19"/>
  <c r="AH858" i="19"/>
  <c r="U857" i="19"/>
  <c r="AK859" i="19"/>
  <c r="X858" i="19"/>
  <c r="T857" i="19"/>
  <c r="AG858" i="19"/>
  <c r="AP858" i="19"/>
  <c r="AC857" i="19"/>
  <c r="W857" i="19"/>
  <c r="AJ858" i="19"/>
  <c r="AO858" i="19"/>
  <c r="AB857" i="19"/>
  <c r="AB856" i="19" l="1"/>
  <c r="AO857" i="19"/>
  <c r="AH857" i="19"/>
  <c r="U856" i="19"/>
  <c r="Z856" i="19"/>
  <c r="AM857" i="19"/>
  <c r="X857" i="19"/>
  <c r="AK858" i="19"/>
  <c r="AI857" i="19"/>
  <c r="V856" i="19"/>
  <c r="Y857" i="19"/>
  <c r="AL858" i="19"/>
  <c r="S857" i="19"/>
  <c r="AF858" i="19"/>
  <c r="AN858" i="19"/>
  <c r="AA857" i="19"/>
  <c r="AD856" i="19"/>
  <c r="AQ857" i="19"/>
  <c r="AJ857" i="19"/>
  <c r="W856" i="19"/>
  <c r="AC856" i="19"/>
  <c r="AP857" i="19"/>
  <c r="T856" i="19"/>
  <c r="AG857" i="19"/>
  <c r="X856" i="19" l="1"/>
  <c r="AK857" i="19"/>
  <c r="AP856" i="19"/>
  <c r="AC855" i="19"/>
  <c r="W855" i="19"/>
  <c r="AJ856" i="19"/>
  <c r="Y856" i="19"/>
  <c r="AL857" i="19"/>
  <c r="T855" i="19"/>
  <c r="AG856" i="19"/>
  <c r="S856" i="19"/>
  <c r="AF857" i="19"/>
  <c r="AH856" i="19"/>
  <c r="U855" i="19"/>
  <c r="V855" i="19"/>
  <c r="AI856" i="19"/>
  <c r="AA856" i="19"/>
  <c r="AN857" i="19"/>
  <c r="AM856" i="19"/>
  <c r="Z855" i="19"/>
  <c r="AD855" i="19"/>
  <c r="AQ856" i="19"/>
  <c r="AB855" i="19"/>
  <c r="AO856" i="19"/>
  <c r="AB854" i="19" l="1"/>
  <c r="AO855" i="19"/>
  <c r="Y855" i="19"/>
  <c r="AL856" i="19"/>
  <c r="AD854" i="19"/>
  <c r="AQ855" i="19"/>
  <c r="Z854" i="19"/>
  <c r="AM855" i="19"/>
  <c r="AF856" i="19"/>
  <c r="S855" i="19"/>
  <c r="AH855" i="19"/>
  <c r="U854" i="19"/>
  <c r="AJ855" i="19"/>
  <c r="W854" i="19"/>
  <c r="V854" i="19"/>
  <c r="AI855" i="19"/>
  <c r="AP855" i="19"/>
  <c r="AC854" i="19"/>
  <c r="AN856" i="19"/>
  <c r="AA855" i="19"/>
  <c r="AG855" i="19"/>
  <c r="T854" i="19"/>
  <c r="X855" i="19"/>
  <c r="AK856" i="19"/>
  <c r="AK855" i="19" l="1"/>
  <c r="X854" i="19"/>
  <c r="W853" i="19"/>
  <c r="AJ854" i="19"/>
  <c r="AM854" i="19"/>
  <c r="Z853" i="19"/>
  <c r="AA854" i="19"/>
  <c r="AN855" i="19"/>
  <c r="V853" i="19"/>
  <c r="AI854" i="19"/>
  <c r="AH854" i="19"/>
  <c r="U853" i="19"/>
  <c r="Y854" i="19"/>
  <c r="AL855" i="19"/>
  <c r="AP854" i="19"/>
  <c r="AC853" i="19"/>
  <c r="S854" i="19"/>
  <c r="AF855" i="19"/>
  <c r="T853" i="19"/>
  <c r="AG854" i="19"/>
  <c r="AD853" i="19"/>
  <c r="AQ854" i="19"/>
  <c r="AO854" i="19"/>
  <c r="AB853" i="19"/>
  <c r="AP853" i="19" l="1"/>
  <c r="AC852" i="19"/>
  <c r="AM853" i="19"/>
  <c r="Z852" i="19"/>
  <c r="Y853" i="19"/>
  <c r="AL854" i="19"/>
  <c r="AH853" i="19"/>
  <c r="U852" i="19"/>
  <c r="AO853" i="19"/>
  <c r="AB852" i="19"/>
  <c r="AN854" i="19"/>
  <c r="AA853" i="19"/>
  <c r="T852" i="19"/>
  <c r="AG853" i="19"/>
  <c r="W852" i="19"/>
  <c r="AJ853" i="19"/>
  <c r="AK854" i="19"/>
  <c r="X853" i="19"/>
  <c r="AD852" i="19"/>
  <c r="AQ853" i="19"/>
  <c r="S853" i="19"/>
  <c r="AF854" i="19"/>
  <c r="V852" i="19"/>
  <c r="AI853" i="19"/>
  <c r="W851" i="19" l="1"/>
  <c r="AJ852" i="19"/>
  <c r="AF853" i="19"/>
  <c r="S852" i="19"/>
  <c r="AH852" i="19"/>
  <c r="U851" i="19"/>
  <c r="Y852" i="19"/>
  <c r="AL853" i="19"/>
  <c r="AM852" i="19"/>
  <c r="Z851" i="19"/>
  <c r="AD851" i="19"/>
  <c r="AQ852" i="19"/>
  <c r="AK853" i="19"/>
  <c r="X852" i="19"/>
  <c r="AB851" i="19"/>
  <c r="AO852" i="19"/>
  <c r="AP852" i="19"/>
  <c r="AC851" i="19"/>
  <c r="V851" i="19"/>
  <c r="AI852" i="19"/>
  <c r="AG852" i="19"/>
  <c r="T851" i="19"/>
  <c r="AN853" i="19"/>
  <c r="AA852" i="19"/>
  <c r="AA851" i="19" l="1"/>
  <c r="AN852" i="19"/>
  <c r="T850" i="19"/>
  <c r="AG851" i="19"/>
  <c r="AH851" i="19"/>
  <c r="U850" i="19"/>
  <c r="V850" i="19"/>
  <c r="AI851" i="19"/>
  <c r="AP851" i="19"/>
  <c r="AC850" i="19"/>
  <c r="AM851" i="19"/>
  <c r="Z850" i="19"/>
  <c r="AB850" i="19"/>
  <c r="AO851" i="19"/>
  <c r="Y851" i="19"/>
  <c r="AL852" i="19"/>
  <c r="X851" i="19"/>
  <c r="AK852" i="19"/>
  <c r="AF852" i="19"/>
  <c r="S851" i="19"/>
  <c r="AD850" i="19"/>
  <c r="AQ851" i="19"/>
  <c r="AJ851" i="19"/>
  <c r="W850" i="19"/>
  <c r="AJ850" i="19" l="1"/>
  <c r="W849" i="19"/>
  <c r="AH850" i="19"/>
  <c r="U849" i="19"/>
  <c r="Y850" i="19"/>
  <c r="AL851" i="19"/>
  <c r="T849" i="19"/>
  <c r="AG850" i="19"/>
  <c r="V849" i="19"/>
  <c r="AI850" i="19"/>
  <c r="AB849" i="19"/>
  <c r="AO850" i="19"/>
  <c r="AF851" i="19"/>
  <c r="S850" i="19"/>
  <c r="AP850" i="19"/>
  <c r="AC849" i="19"/>
  <c r="AD849" i="19"/>
  <c r="AQ850" i="19"/>
  <c r="AM850" i="19"/>
  <c r="Z849" i="19"/>
  <c r="AK851" i="19"/>
  <c r="X850" i="19"/>
  <c r="AA850" i="19"/>
  <c r="AN851" i="19"/>
  <c r="X849" i="19" l="1"/>
  <c r="AK850" i="19"/>
  <c r="S849" i="19"/>
  <c r="AF850" i="19"/>
  <c r="T848" i="19"/>
  <c r="AG849" i="19"/>
  <c r="AM849" i="19"/>
  <c r="Z848" i="19"/>
  <c r="AO849" i="19"/>
  <c r="AB848" i="19"/>
  <c r="AN850" i="19"/>
  <c r="AA849" i="19"/>
  <c r="Y849" i="19"/>
  <c r="AL850" i="19"/>
  <c r="AH849" i="19"/>
  <c r="U848" i="19"/>
  <c r="W848" i="19"/>
  <c r="AJ849" i="19"/>
  <c r="AP849" i="19"/>
  <c r="AC848" i="19"/>
  <c r="AD848" i="19"/>
  <c r="AQ849" i="19"/>
  <c r="V848" i="19"/>
  <c r="AI849" i="19"/>
  <c r="AH848" i="19" l="1"/>
  <c r="U847" i="19"/>
  <c r="V847" i="19"/>
  <c r="AI848" i="19"/>
  <c r="AG848" i="19"/>
  <c r="T847" i="19"/>
  <c r="AF849" i="19"/>
  <c r="S848" i="19"/>
  <c r="AM848" i="19"/>
  <c r="Z847" i="19"/>
  <c r="Y848" i="19"/>
  <c r="AL849" i="19"/>
  <c r="AP848" i="19"/>
  <c r="AC847" i="19"/>
  <c r="AB847" i="19"/>
  <c r="AO848" i="19"/>
  <c r="AD847" i="19"/>
  <c r="AQ848" i="19"/>
  <c r="AA848" i="19"/>
  <c r="AN849" i="19"/>
  <c r="W847" i="19"/>
  <c r="AJ848" i="19"/>
  <c r="X848" i="19"/>
  <c r="AK849" i="19"/>
  <c r="S847" i="19" l="1"/>
  <c r="AF848" i="19"/>
  <c r="AP847" i="19"/>
  <c r="AC846" i="19"/>
  <c r="T846" i="19"/>
  <c r="AG847" i="19"/>
  <c r="AB846" i="19"/>
  <c r="AO847" i="19"/>
  <c r="V846" i="19"/>
  <c r="AI847" i="19"/>
  <c r="AJ847" i="19"/>
  <c r="W846" i="19"/>
  <c r="AA847" i="19"/>
  <c r="AN848" i="19"/>
  <c r="Y847" i="19"/>
  <c r="AL848" i="19"/>
  <c r="AM847" i="19"/>
  <c r="Z846" i="19"/>
  <c r="AH847" i="19"/>
  <c r="U846" i="19"/>
  <c r="X847" i="19"/>
  <c r="AK848" i="19"/>
  <c r="AD846" i="19"/>
  <c r="AQ847" i="19"/>
  <c r="AD845" i="19" l="1"/>
  <c r="AQ846" i="19"/>
  <c r="AA846" i="19"/>
  <c r="AN847" i="19"/>
  <c r="AB845" i="19"/>
  <c r="AO846" i="19"/>
  <c r="AK847" i="19"/>
  <c r="X846" i="19"/>
  <c r="AH846" i="19"/>
  <c r="U845" i="19"/>
  <c r="AP846" i="19"/>
  <c r="AC845" i="19"/>
  <c r="AM846" i="19"/>
  <c r="Z845" i="19"/>
  <c r="Y846" i="19"/>
  <c r="AL847" i="19"/>
  <c r="T845" i="19"/>
  <c r="AG846" i="19"/>
  <c r="W845" i="19"/>
  <c r="AJ846" i="19"/>
  <c r="V845" i="19"/>
  <c r="AI846" i="19"/>
  <c r="S846" i="19"/>
  <c r="AF847" i="19"/>
  <c r="AM845" i="19" l="1"/>
  <c r="Z844" i="19"/>
  <c r="X845" i="19"/>
  <c r="AK846" i="19"/>
  <c r="Y845" i="19"/>
  <c r="AL846" i="19"/>
  <c r="V844" i="19"/>
  <c r="AI845" i="19"/>
  <c r="W844" i="19"/>
  <c r="AJ845" i="19"/>
  <c r="AN846" i="19"/>
  <c r="AA845" i="19"/>
  <c r="S845" i="19"/>
  <c r="AF846" i="19"/>
  <c r="AP845" i="19"/>
  <c r="AC844" i="19"/>
  <c r="AH845" i="19"/>
  <c r="U844" i="19"/>
  <c r="AO845" i="19"/>
  <c r="AB844" i="19"/>
  <c r="T844" i="19"/>
  <c r="AG845" i="19"/>
  <c r="AD844" i="19"/>
  <c r="AQ845" i="19"/>
  <c r="AP844" i="19" l="1"/>
  <c r="AC843" i="19"/>
  <c r="V843" i="19"/>
  <c r="AI844" i="19"/>
  <c r="AG844" i="19"/>
  <c r="T843" i="19"/>
  <c r="AB843" i="19"/>
  <c r="AO844" i="19"/>
  <c r="AD843" i="19"/>
  <c r="AQ844" i="19"/>
  <c r="AF845" i="19"/>
  <c r="S844" i="19"/>
  <c r="AA844" i="19"/>
  <c r="AN845" i="19"/>
  <c r="X844" i="19"/>
  <c r="AK845" i="19"/>
  <c r="AH844" i="19"/>
  <c r="U843" i="19"/>
  <c r="AM844" i="19"/>
  <c r="Z843" i="19"/>
  <c r="Y844" i="19"/>
  <c r="AL845" i="19"/>
  <c r="W843" i="19"/>
  <c r="AJ844" i="19"/>
  <c r="AJ843" i="19" l="1"/>
  <c r="W842" i="19"/>
  <c r="T842" i="19"/>
  <c r="AG843" i="19"/>
  <c r="AB842" i="19"/>
  <c r="AO843" i="19"/>
  <c r="AA843" i="19"/>
  <c r="AN844" i="19"/>
  <c r="S843" i="19"/>
  <c r="AF844" i="19"/>
  <c r="V842" i="19"/>
  <c r="AI843" i="19"/>
  <c r="X843" i="19"/>
  <c r="AK844" i="19"/>
  <c r="AH843" i="19"/>
  <c r="U842" i="19"/>
  <c r="AP843" i="19"/>
  <c r="AC842" i="19"/>
  <c r="Y843" i="19"/>
  <c r="AL844" i="19"/>
  <c r="AM843" i="19"/>
  <c r="Z842" i="19"/>
  <c r="AD842" i="19"/>
  <c r="AQ843" i="19"/>
  <c r="AH842" i="19" l="1"/>
  <c r="U841" i="19"/>
  <c r="AA842" i="19"/>
  <c r="AN843" i="19"/>
  <c r="V841" i="19"/>
  <c r="AI842" i="19"/>
  <c r="AD841" i="19"/>
  <c r="AQ842" i="19"/>
  <c r="AB841" i="19"/>
  <c r="AO842" i="19"/>
  <c r="Y842" i="19"/>
  <c r="AL843" i="19"/>
  <c r="T841" i="19"/>
  <c r="AG842" i="19"/>
  <c r="AP842" i="19"/>
  <c r="AC841" i="19"/>
  <c r="W841" i="19"/>
  <c r="AJ842" i="19"/>
  <c r="AM842" i="19"/>
  <c r="Z841" i="19"/>
  <c r="AK843" i="19"/>
  <c r="X842" i="19"/>
  <c r="S842" i="19"/>
  <c r="AF843" i="19"/>
  <c r="S841" i="19" l="1"/>
  <c r="AF842" i="19"/>
  <c r="AM841" i="19"/>
  <c r="Z840" i="19"/>
  <c r="AN842" i="19"/>
  <c r="AA841" i="19"/>
  <c r="AP841" i="19"/>
  <c r="AC840" i="19"/>
  <c r="X841" i="19"/>
  <c r="AK842" i="19"/>
  <c r="V840" i="19"/>
  <c r="AI841" i="19"/>
  <c r="AH841" i="19"/>
  <c r="U840" i="19"/>
  <c r="AD840" i="19"/>
  <c r="AQ841" i="19"/>
  <c r="T840" i="19"/>
  <c r="AG841" i="19"/>
  <c r="Y841" i="19"/>
  <c r="AL842" i="19"/>
  <c r="W840" i="19"/>
  <c r="AJ841" i="19"/>
  <c r="AO841" i="19"/>
  <c r="AB840" i="19"/>
  <c r="AD839" i="19" l="1"/>
  <c r="AQ840" i="19"/>
  <c r="AO840" i="19"/>
  <c r="AB839" i="19"/>
  <c r="AA840" i="19"/>
  <c r="AN841" i="19"/>
  <c r="V839" i="19"/>
  <c r="AI840" i="19"/>
  <c r="AH840" i="19"/>
  <c r="U839" i="19"/>
  <c r="AM840" i="19"/>
  <c r="Z839" i="19"/>
  <c r="Y840" i="19"/>
  <c r="AL841" i="19"/>
  <c r="AP840" i="19"/>
  <c r="AC839" i="19"/>
  <c r="W839" i="19"/>
  <c r="AJ840" i="19"/>
  <c r="AG840" i="19"/>
  <c r="T839" i="19"/>
  <c r="X840" i="19"/>
  <c r="AK841" i="19"/>
  <c r="AF841" i="19"/>
  <c r="S840" i="19"/>
  <c r="S839" i="19" l="1"/>
  <c r="AF840" i="19"/>
  <c r="X839" i="19"/>
  <c r="AK840" i="19"/>
  <c r="AM839" i="19"/>
  <c r="Z838" i="19"/>
  <c r="Y839" i="19"/>
  <c r="AL840" i="19"/>
  <c r="T838" i="19"/>
  <c r="AG839" i="19"/>
  <c r="AH839" i="19"/>
  <c r="U838" i="19"/>
  <c r="AP839" i="19"/>
  <c r="AC838" i="19"/>
  <c r="V838" i="19"/>
  <c r="AI839" i="19"/>
  <c r="AA839" i="19"/>
  <c r="AN840" i="19"/>
  <c r="AB838" i="19"/>
  <c r="AO839" i="19"/>
  <c r="AJ839" i="19"/>
  <c r="W838" i="19"/>
  <c r="AD838" i="19"/>
  <c r="AQ839" i="19"/>
  <c r="W837" i="19" l="1"/>
  <c r="AJ838" i="19"/>
  <c r="AM838" i="19"/>
  <c r="Z837" i="19"/>
  <c r="Y838" i="19"/>
  <c r="AL839" i="19"/>
  <c r="AD837" i="19"/>
  <c r="AQ838" i="19"/>
  <c r="AP838" i="19"/>
  <c r="AC837" i="19"/>
  <c r="AB837" i="19"/>
  <c r="AO838" i="19"/>
  <c r="AK839" i="19"/>
  <c r="X838" i="19"/>
  <c r="V837" i="19"/>
  <c r="AI838" i="19"/>
  <c r="AH838" i="19"/>
  <c r="U837" i="19"/>
  <c r="AA838" i="19"/>
  <c r="AN839" i="19"/>
  <c r="T837" i="19"/>
  <c r="AG838" i="19"/>
  <c r="AF839" i="19"/>
  <c r="S838" i="19"/>
  <c r="V836" i="19" l="1"/>
  <c r="AI837" i="19"/>
  <c r="X837" i="19"/>
  <c r="AK838" i="19"/>
  <c r="AM837" i="19"/>
  <c r="Z836" i="19"/>
  <c r="Y837" i="19"/>
  <c r="AL838" i="19"/>
  <c r="AN838" i="19"/>
  <c r="AA837" i="19"/>
  <c r="AH837" i="19"/>
  <c r="U836" i="19"/>
  <c r="AP837" i="19"/>
  <c r="AC836" i="19"/>
  <c r="S837" i="19"/>
  <c r="AF838" i="19"/>
  <c r="AD836" i="19"/>
  <c r="AQ837" i="19"/>
  <c r="T836" i="19"/>
  <c r="AG837" i="19"/>
  <c r="AO837" i="19"/>
  <c r="AB836" i="19"/>
  <c r="W836" i="19"/>
  <c r="AJ837" i="19"/>
  <c r="W835" i="19" l="1"/>
  <c r="AJ836" i="19"/>
  <c r="AM836" i="19"/>
  <c r="Z835" i="19"/>
  <c r="AP836" i="19"/>
  <c r="AC835" i="19"/>
  <c r="AF837" i="19"/>
  <c r="S836" i="19"/>
  <c r="U835" i="19"/>
  <c r="AH836" i="19"/>
  <c r="AB835" i="19"/>
  <c r="AO836" i="19"/>
  <c r="AG836" i="19"/>
  <c r="T835" i="19"/>
  <c r="X836" i="19"/>
  <c r="AK837" i="19"/>
  <c r="AA836" i="19"/>
  <c r="AN837" i="19"/>
  <c r="Y836" i="19"/>
  <c r="AL837" i="19"/>
  <c r="AD835" i="19"/>
  <c r="AQ836" i="19"/>
  <c r="V835" i="19"/>
  <c r="AI836" i="19"/>
  <c r="S835" i="19" l="1"/>
  <c r="AF836" i="19"/>
  <c r="AG835" i="19"/>
  <c r="T834" i="19"/>
  <c r="AC834" i="19"/>
  <c r="AP835" i="19"/>
  <c r="V834" i="19"/>
  <c r="AI835" i="19"/>
  <c r="AM835" i="19"/>
  <c r="Z834" i="19"/>
  <c r="X835" i="19"/>
  <c r="AK836" i="19"/>
  <c r="Y835" i="19"/>
  <c r="AL836" i="19"/>
  <c r="AD834" i="19"/>
  <c r="AQ835" i="19"/>
  <c r="AB834" i="19"/>
  <c r="AO835" i="19"/>
  <c r="AA835" i="19"/>
  <c r="AN836" i="19"/>
  <c r="U834" i="19"/>
  <c r="AH835" i="19"/>
  <c r="W834" i="19"/>
  <c r="AJ835" i="19"/>
  <c r="V833" i="19" l="1"/>
  <c r="AI834" i="19"/>
  <c r="U833" i="19"/>
  <c r="AH834" i="19"/>
  <c r="AD833" i="19"/>
  <c r="AQ834" i="19"/>
  <c r="AC833" i="19"/>
  <c r="AP834" i="19"/>
  <c r="T833" i="19"/>
  <c r="AG834" i="19"/>
  <c r="X834" i="19"/>
  <c r="AK835" i="19"/>
  <c r="AM834" i="19"/>
  <c r="Z833" i="19"/>
  <c r="AJ834" i="19"/>
  <c r="W833" i="19"/>
  <c r="Y834" i="19"/>
  <c r="AL835" i="19"/>
  <c r="AA834" i="19"/>
  <c r="AN835" i="19"/>
  <c r="AO834" i="19"/>
  <c r="AB833" i="19"/>
  <c r="AF835" i="19"/>
  <c r="S834" i="19"/>
  <c r="AJ833" i="19" l="1"/>
  <c r="W832" i="19"/>
  <c r="AC832" i="19"/>
  <c r="AP833" i="19"/>
  <c r="AM833" i="19"/>
  <c r="Z832" i="19"/>
  <c r="U832" i="19"/>
  <c r="AH833" i="19"/>
  <c r="AF834" i="19"/>
  <c r="S833" i="19"/>
  <c r="AO833" i="19"/>
  <c r="AB832" i="19"/>
  <c r="AA833" i="19"/>
  <c r="AN834" i="19"/>
  <c r="AD832" i="19"/>
  <c r="AQ833" i="19"/>
  <c r="AK834" i="19"/>
  <c r="X833" i="19"/>
  <c r="AL834" i="19"/>
  <c r="Y833" i="19"/>
  <c r="T832" i="19"/>
  <c r="AG833" i="19"/>
  <c r="V832" i="19"/>
  <c r="AI833" i="19"/>
  <c r="AD831" i="19" l="1"/>
  <c r="AQ832" i="19"/>
  <c r="AO832" i="19"/>
  <c r="AB831" i="19"/>
  <c r="AC831" i="19"/>
  <c r="AP832" i="19"/>
  <c r="V831" i="19"/>
  <c r="AI832" i="19"/>
  <c r="AM832" i="19"/>
  <c r="Z831" i="19"/>
  <c r="AN833" i="19"/>
  <c r="AA832" i="19"/>
  <c r="AJ832" i="19"/>
  <c r="W831" i="19"/>
  <c r="U831" i="19"/>
  <c r="AH832" i="19"/>
  <c r="AG832" i="19"/>
  <c r="T831" i="19"/>
  <c r="AL833" i="19"/>
  <c r="Y832" i="19"/>
  <c r="AK833" i="19"/>
  <c r="X832" i="19"/>
  <c r="S832" i="19"/>
  <c r="AF833" i="19"/>
  <c r="V830" i="19" l="1"/>
  <c r="AI831" i="19"/>
  <c r="U830" i="19"/>
  <c r="AH831" i="19"/>
  <c r="AL832" i="19"/>
  <c r="Y831" i="19"/>
  <c r="S831" i="19"/>
  <c r="AF832" i="19"/>
  <c r="W830" i="19"/>
  <c r="AJ831" i="19"/>
  <c r="AC830" i="19"/>
  <c r="AP831" i="19"/>
  <c r="AN832" i="19"/>
  <c r="AA831" i="19"/>
  <c r="AM831" i="19"/>
  <c r="Z830" i="19"/>
  <c r="X831" i="19"/>
  <c r="AK832" i="19"/>
  <c r="AB830" i="19"/>
  <c r="AO831" i="19"/>
  <c r="AG831" i="19"/>
  <c r="T830" i="19"/>
  <c r="AD830" i="19"/>
  <c r="AQ831" i="19"/>
  <c r="AM830" i="19" l="1"/>
  <c r="Z829" i="19"/>
  <c r="AL831" i="19"/>
  <c r="Y830" i="19"/>
  <c r="T829" i="19"/>
  <c r="AG830" i="19"/>
  <c r="AD829" i="19"/>
  <c r="AQ830" i="19"/>
  <c r="AN831" i="19"/>
  <c r="AA830" i="19"/>
  <c r="U829" i="19"/>
  <c r="AH830" i="19"/>
  <c r="AC829" i="19"/>
  <c r="AP830" i="19"/>
  <c r="AF831" i="19"/>
  <c r="S830" i="19"/>
  <c r="AB829" i="19"/>
  <c r="AO830" i="19"/>
  <c r="AK831" i="19"/>
  <c r="X830" i="19"/>
  <c r="AJ830" i="19"/>
  <c r="W829" i="19"/>
  <c r="V829" i="19"/>
  <c r="AI830" i="19"/>
  <c r="AJ829" i="19" l="1"/>
  <c r="W828" i="19"/>
  <c r="AF830" i="19"/>
  <c r="S829" i="19"/>
  <c r="AD828" i="19"/>
  <c r="AQ829" i="19"/>
  <c r="AL830" i="19"/>
  <c r="Y829" i="19"/>
  <c r="AG829" i="19"/>
  <c r="T828" i="19"/>
  <c r="U828" i="19"/>
  <c r="AH829" i="19"/>
  <c r="V828" i="19"/>
  <c r="AI829" i="19"/>
  <c r="X829" i="19"/>
  <c r="AK830" i="19"/>
  <c r="AA829" i="19"/>
  <c r="AN830" i="19"/>
  <c r="AM829" i="19"/>
  <c r="Z828" i="19"/>
  <c r="AC828" i="19"/>
  <c r="AP829" i="19"/>
  <c r="AO829" i="19"/>
  <c r="AB828" i="19"/>
  <c r="S828" i="19" l="1"/>
  <c r="AF829" i="19"/>
  <c r="AL829" i="19"/>
  <c r="Y828" i="19"/>
  <c r="AK829" i="19"/>
  <c r="X828" i="19"/>
  <c r="AD827" i="19"/>
  <c r="AQ828" i="19"/>
  <c r="AC827" i="19"/>
  <c r="AP828" i="19"/>
  <c r="AM828" i="19"/>
  <c r="Z827" i="19"/>
  <c r="U827" i="19"/>
  <c r="AH828" i="19"/>
  <c r="AG828" i="19"/>
  <c r="T827" i="19"/>
  <c r="AJ828" i="19"/>
  <c r="W827" i="19"/>
  <c r="AO828" i="19"/>
  <c r="AB827" i="19"/>
  <c r="V827" i="19"/>
  <c r="AI828" i="19"/>
  <c r="AA828" i="19"/>
  <c r="AN829" i="19"/>
  <c r="AB826" i="19" l="1"/>
  <c r="AO827" i="19"/>
  <c r="AG827" i="19"/>
  <c r="T826" i="19"/>
  <c r="AD826" i="19"/>
  <c r="AQ827" i="19"/>
  <c r="V826" i="19"/>
  <c r="AI827" i="19"/>
  <c r="AL828" i="19"/>
  <c r="Y827" i="19"/>
  <c r="W826" i="19"/>
  <c r="AJ827" i="19"/>
  <c r="AN828" i="19"/>
  <c r="AA827" i="19"/>
  <c r="X827" i="19"/>
  <c r="AK828" i="19"/>
  <c r="U826" i="19"/>
  <c r="AH827" i="19"/>
  <c r="AM827" i="19"/>
  <c r="Z826" i="19"/>
  <c r="AC826" i="19"/>
  <c r="AP827" i="19"/>
  <c r="AF828" i="19"/>
  <c r="S827" i="19"/>
  <c r="AK827" i="19" l="1"/>
  <c r="X826" i="19"/>
  <c r="AF827" i="19"/>
  <c r="S826" i="19"/>
  <c r="AN827" i="19"/>
  <c r="AA826" i="19"/>
  <c r="T825" i="19"/>
  <c r="AG826" i="19"/>
  <c r="V825" i="19"/>
  <c r="AI826" i="19"/>
  <c r="AC825" i="19"/>
  <c r="AP826" i="19"/>
  <c r="AM826" i="19"/>
  <c r="Z825" i="19"/>
  <c r="AJ826" i="19"/>
  <c r="W825" i="19"/>
  <c r="AL827" i="19"/>
  <c r="Y826" i="19"/>
  <c r="AD825" i="19"/>
  <c r="AQ826" i="19"/>
  <c r="U825" i="19"/>
  <c r="AH826" i="19"/>
  <c r="AO826" i="19"/>
  <c r="AB825" i="19"/>
  <c r="T824" i="19" l="1"/>
  <c r="AG825" i="19"/>
  <c r="AA825" i="19"/>
  <c r="AN826" i="19"/>
  <c r="S825" i="19"/>
  <c r="AF826" i="19"/>
  <c r="AM825" i="19"/>
  <c r="Z824" i="19"/>
  <c r="AO825" i="19"/>
  <c r="AB824" i="19"/>
  <c r="U824" i="19"/>
  <c r="AH825" i="19"/>
  <c r="AC824" i="19"/>
  <c r="AP825" i="19"/>
  <c r="AL826" i="19"/>
  <c r="Y825" i="19"/>
  <c r="AK826" i="19"/>
  <c r="X825" i="19"/>
  <c r="AJ825" i="19"/>
  <c r="W824" i="19"/>
  <c r="AD824" i="19"/>
  <c r="AQ825" i="19"/>
  <c r="V824" i="19"/>
  <c r="AI825" i="19"/>
  <c r="AL825" i="19" l="1"/>
  <c r="Y824" i="19"/>
  <c r="AM824" i="19"/>
  <c r="Z823" i="19"/>
  <c r="S824" i="19"/>
  <c r="AF825" i="19"/>
  <c r="AN825" i="19"/>
  <c r="AA824" i="19"/>
  <c r="V823" i="19"/>
  <c r="AI824" i="19"/>
  <c r="AC823" i="19"/>
  <c r="AP824" i="19"/>
  <c r="X824" i="19"/>
  <c r="AK825" i="19"/>
  <c r="AB823" i="19"/>
  <c r="AO824" i="19"/>
  <c r="AD823" i="19"/>
  <c r="AQ824" i="19"/>
  <c r="W823" i="19"/>
  <c r="AJ824" i="19"/>
  <c r="U823" i="19"/>
  <c r="AH824" i="19"/>
  <c r="AG824" i="19"/>
  <c r="T823" i="19"/>
  <c r="S823" i="19" l="1"/>
  <c r="AF824" i="19"/>
  <c r="AM823" i="19"/>
  <c r="Z822" i="19"/>
  <c r="AG823" i="19"/>
  <c r="T822" i="19"/>
  <c r="AB822" i="19"/>
  <c r="AO823" i="19"/>
  <c r="U822" i="19"/>
  <c r="AH823" i="19"/>
  <c r="AC822" i="19"/>
  <c r="AP823" i="19"/>
  <c r="AL824" i="19"/>
  <c r="Y823" i="19"/>
  <c r="AA823" i="19"/>
  <c r="AN824" i="19"/>
  <c r="X823" i="19"/>
  <c r="AK824" i="19"/>
  <c r="W822" i="19"/>
  <c r="AJ823" i="19"/>
  <c r="AD822" i="19"/>
  <c r="AQ823" i="19"/>
  <c r="V822" i="19"/>
  <c r="AI823" i="19"/>
  <c r="AO822" i="19" l="1"/>
  <c r="AB821" i="19"/>
  <c r="AD821" i="19"/>
  <c r="AQ822" i="19"/>
  <c r="AL823" i="19"/>
  <c r="Y822" i="19"/>
  <c r="AJ822" i="19"/>
  <c r="W821" i="19"/>
  <c r="V821" i="19"/>
  <c r="AI822" i="19"/>
  <c r="T821" i="19"/>
  <c r="AG822" i="19"/>
  <c r="AM822" i="19"/>
  <c r="Z821" i="19"/>
  <c r="AA822" i="19"/>
  <c r="AN823" i="19"/>
  <c r="AC821" i="19"/>
  <c r="AP822" i="19"/>
  <c r="AK823" i="19"/>
  <c r="X822" i="19"/>
  <c r="U821" i="19"/>
  <c r="AH822" i="19"/>
  <c r="AF823" i="19"/>
  <c r="S822" i="19"/>
  <c r="AL822" i="19" l="1"/>
  <c r="Y821" i="19"/>
  <c r="AN822" i="19"/>
  <c r="AA821" i="19"/>
  <c r="W820" i="19"/>
  <c r="AJ821" i="19"/>
  <c r="AM821" i="19"/>
  <c r="Z820" i="19"/>
  <c r="U820" i="19"/>
  <c r="AH821" i="19"/>
  <c r="X821" i="19"/>
  <c r="AK822" i="19"/>
  <c r="T820" i="19"/>
  <c r="AG821" i="19"/>
  <c r="AD820" i="19"/>
  <c r="AQ821" i="19"/>
  <c r="AO821" i="19"/>
  <c r="AB820" i="19"/>
  <c r="AF822" i="19"/>
  <c r="S821" i="19"/>
  <c r="AC820" i="19"/>
  <c r="AP821" i="19"/>
  <c r="V820" i="19"/>
  <c r="AI821" i="19"/>
  <c r="AD819" i="19" l="1"/>
  <c r="AQ820" i="19"/>
  <c r="V819" i="19"/>
  <c r="AI820" i="19"/>
  <c r="AM820" i="19"/>
  <c r="Z819" i="19"/>
  <c r="AJ820" i="19"/>
  <c r="W819" i="19"/>
  <c r="AK821" i="19"/>
  <c r="X820" i="19"/>
  <c r="T819" i="19"/>
  <c r="AG820" i="19"/>
  <c r="AN821" i="19"/>
  <c r="AA820" i="19"/>
  <c r="AO820" i="19"/>
  <c r="AB819" i="19"/>
  <c r="AL821" i="19"/>
  <c r="Y820" i="19"/>
  <c r="AC819" i="19"/>
  <c r="AP820" i="19"/>
  <c r="S820" i="19"/>
  <c r="AF821" i="19"/>
  <c r="U819" i="19"/>
  <c r="AH820" i="19"/>
  <c r="AJ819" i="19" l="1"/>
  <c r="W818" i="19"/>
  <c r="AM819" i="19"/>
  <c r="Z818" i="19"/>
  <c r="AN820" i="19"/>
  <c r="AA819" i="19"/>
  <c r="T818" i="19"/>
  <c r="AG819" i="19"/>
  <c r="AB818" i="19"/>
  <c r="AO819" i="19"/>
  <c r="S819" i="19"/>
  <c r="AF820" i="19"/>
  <c r="AC818" i="19"/>
  <c r="AP819" i="19"/>
  <c r="V818" i="19"/>
  <c r="AI819" i="19"/>
  <c r="AL820" i="19"/>
  <c r="Y819" i="19"/>
  <c r="AK820" i="19"/>
  <c r="X819" i="19"/>
  <c r="U818" i="19"/>
  <c r="AH819" i="19"/>
  <c r="AD818" i="19"/>
  <c r="AQ819" i="19"/>
  <c r="AK819" i="19" l="1"/>
  <c r="X818" i="19"/>
  <c r="AG818" i="19"/>
  <c r="T817" i="19"/>
  <c r="U817" i="19"/>
  <c r="AH818" i="19"/>
  <c r="AD817" i="19"/>
  <c r="AQ818" i="19"/>
  <c r="AN819" i="19"/>
  <c r="AA818" i="19"/>
  <c r="S818" i="19"/>
  <c r="AF819" i="19"/>
  <c r="AL819" i="19"/>
  <c r="Y818" i="19"/>
  <c r="AJ818" i="19"/>
  <c r="W817" i="19"/>
  <c r="V817" i="19"/>
  <c r="AI818" i="19"/>
  <c r="AC817" i="19"/>
  <c r="AP818" i="19"/>
  <c r="AM818" i="19"/>
  <c r="Z817" i="19"/>
  <c r="AB817" i="19"/>
  <c r="AO818" i="19"/>
  <c r="AM817" i="19" l="1"/>
  <c r="Z816" i="19"/>
  <c r="AG817" i="19"/>
  <c r="T816" i="19"/>
  <c r="AL818" i="19"/>
  <c r="Y817" i="19"/>
  <c r="U816" i="19"/>
  <c r="AH817" i="19"/>
  <c r="S817" i="19"/>
  <c r="AF818" i="19"/>
  <c r="AB816" i="19"/>
  <c r="AO817" i="19"/>
  <c r="AC816" i="19"/>
  <c r="AP817" i="19"/>
  <c r="AA817" i="19"/>
  <c r="AN818" i="19"/>
  <c r="AK818" i="19"/>
  <c r="X817" i="19"/>
  <c r="AJ817" i="19"/>
  <c r="W816" i="19"/>
  <c r="AD816" i="19"/>
  <c r="AQ817" i="19"/>
  <c r="V816" i="19"/>
  <c r="AI817" i="19"/>
  <c r="AG816" i="19" l="1"/>
  <c r="T815" i="19"/>
  <c r="V815" i="19"/>
  <c r="AI816" i="19"/>
  <c r="AD815" i="19"/>
  <c r="AQ816" i="19"/>
  <c r="AN817" i="19"/>
  <c r="AA816" i="19"/>
  <c r="AL817" i="19"/>
  <c r="Y816" i="19"/>
  <c r="AC815" i="19"/>
  <c r="AP816" i="19"/>
  <c r="X816" i="19"/>
  <c r="AK817" i="19"/>
  <c r="AM816" i="19"/>
  <c r="Z815" i="19"/>
  <c r="U815" i="19"/>
  <c r="AH816" i="19"/>
  <c r="AJ816" i="19"/>
  <c r="W815" i="19"/>
  <c r="AB815" i="19"/>
  <c r="AO816" i="19"/>
  <c r="AF817" i="19"/>
  <c r="S816" i="19"/>
  <c r="AA815" i="19" l="1"/>
  <c r="AN816" i="19"/>
  <c r="AM815" i="19"/>
  <c r="Z814" i="19"/>
  <c r="AO815" i="19"/>
  <c r="AB814" i="19"/>
  <c r="X815" i="19"/>
  <c r="AK816" i="19"/>
  <c r="AC814" i="19"/>
  <c r="AP815" i="19"/>
  <c r="AF816" i="19"/>
  <c r="S815" i="19"/>
  <c r="AJ815" i="19"/>
  <c r="W814" i="19"/>
  <c r="AI815" i="19"/>
  <c r="V814" i="19"/>
  <c r="AL816" i="19"/>
  <c r="Y815" i="19"/>
  <c r="T814" i="19"/>
  <c r="AG815" i="19"/>
  <c r="AD814" i="19"/>
  <c r="AQ815" i="19"/>
  <c r="U814" i="19"/>
  <c r="AH815" i="19"/>
  <c r="V813" i="19" l="1"/>
  <c r="AI814" i="19"/>
  <c r="AH814" i="19"/>
  <c r="U813" i="19"/>
  <c r="W813" i="19"/>
  <c r="AJ814" i="19"/>
  <c r="S814" i="19"/>
  <c r="AF815" i="19"/>
  <c r="X814" i="19"/>
  <c r="AK815" i="19"/>
  <c r="AQ814" i="19"/>
  <c r="AD813" i="19"/>
  <c r="T813" i="19"/>
  <c r="AG814" i="19"/>
  <c r="AL815" i="19"/>
  <c r="Y814" i="19"/>
  <c r="AB813" i="19"/>
  <c r="AO814" i="19"/>
  <c r="AM814" i="19"/>
  <c r="Z813" i="19"/>
  <c r="AP814" i="19"/>
  <c r="AC813" i="19"/>
  <c r="AA814" i="19"/>
  <c r="AN815" i="19"/>
  <c r="S813" i="19" l="1"/>
  <c r="AF814" i="19"/>
  <c r="AH813" i="19"/>
  <c r="U812" i="19"/>
  <c r="AA813" i="19"/>
  <c r="AN814" i="19"/>
  <c r="AC812" i="19"/>
  <c r="AP813" i="19"/>
  <c r="AJ813" i="19"/>
  <c r="W812" i="19"/>
  <c r="AG813" i="19"/>
  <c r="T812" i="19"/>
  <c r="AD812" i="19"/>
  <c r="AQ813" i="19"/>
  <c r="AL814" i="19"/>
  <c r="Y813" i="19"/>
  <c r="Z812" i="19"/>
  <c r="AM813" i="19"/>
  <c r="AO813" i="19"/>
  <c r="AB812" i="19"/>
  <c r="X813" i="19"/>
  <c r="AK814" i="19"/>
  <c r="AI813" i="19"/>
  <c r="V812" i="19"/>
  <c r="V811" i="19" l="1"/>
  <c r="AI812" i="19"/>
  <c r="AG812" i="19"/>
  <c r="T811" i="19"/>
  <c r="X812" i="19"/>
  <c r="AK813" i="19"/>
  <c r="AA812" i="19"/>
  <c r="AN813" i="19"/>
  <c r="Y812" i="19"/>
  <c r="AL813" i="19"/>
  <c r="AC811" i="19"/>
  <c r="AP812" i="19"/>
  <c r="AD811" i="19"/>
  <c r="AQ812" i="19"/>
  <c r="AO812" i="19"/>
  <c r="AB811" i="19"/>
  <c r="AJ812" i="19"/>
  <c r="W811" i="19"/>
  <c r="U811" i="19"/>
  <c r="AH812" i="19"/>
  <c r="Z811" i="19"/>
  <c r="AM812" i="19"/>
  <c r="S812" i="19"/>
  <c r="AF813" i="19"/>
  <c r="AD810" i="19" l="1"/>
  <c r="AQ811" i="19"/>
  <c r="U810" i="19"/>
  <c r="AH811" i="19"/>
  <c r="S811" i="19"/>
  <c r="AF812" i="19"/>
  <c r="AM811" i="19"/>
  <c r="Z810" i="19"/>
  <c r="AC810" i="19"/>
  <c r="AP811" i="19"/>
  <c r="AO811" i="19"/>
  <c r="AB810" i="19"/>
  <c r="AA811" i="19"/>
  <c r="AN812" i="19"/>
  <c r="X811" i="19"/>
  <c r="AK812" i="19"/>
  <c r="AG811" i="19"/>
  <c r="T810" i="19"/>
  <c r="AJ811" i="19"/>
  <c r="W810" i="19"/>
  <c r="AL812" i="19"/>
  <c r="Y811" i="19"/>
  <c r="V810" i="19"/>
  <c r="AI811" i="19"/>
  <c r="X810" i="19" l="1"/>
  <c r="AK811" i="19"/>
  <c r="AO810" i="19"/>
  <c r="AB809" i="19"/>
  <c r="V809" i="19"/>
  <c r="AI810" i="19"/>
  <c r="AA810" i="19"/>
  <c r="AN811" i="19"/>
  <c r="S810" i="19"/>
  <c r="AF811" i="19"/>
  <c r="U809" i="19"/>
  <c r="AH810" i="19"/>
  <c r="AJ810" i="19"/>
  <c r="W809" i="19"/>
  <c r="AG810" i="19"/>
  <c r="T809" i="19"/>
  <c r="Z809" i="19"/>
  <c r="AM810" i="19"/>
  <c r="Y810" i="19"/>
  <c r="AL811" i="19"/>
  <c r="AP810" i="19"/>
  <c r="AC809" i="19"/>
  <c r="AQ810" i="19"/>
  <c r="AD809" i="19"/>
  <c r="AG809" i="19" l="1"/>
  <c r="T808" i="19"/>
  <c r="AJ809" i="19"/>
  <c r="W808" i="19"/>
  <c r="AD808" i="19"/>
  <c r="AQ809" i="19"/>
  <c r="AA809" i="19"/>
  <c r="AN810" i="19"/>
  <c r="AL810" i="19"/>
  <c r="Y809" i="19"/>
  <c r="AC808" i="19"/>
  <c r="AP809" i="19"/>
  <c r="AI809" i="19"/>
  <c r="V808" i="19"/>
  <c r="AO809" i="19"/>
  <c r="AB808" i="19"/>
  <c r="AH809" i="19"/>
  <c r="U808" i="19"/>
  <c r="Z808" i="19"/>
  <c r="AM809" i="19"/>
  <c r="S809" i="19"/>
  <c r="AF810" i="19"/>
  <c r="X809" i="19"/>
  <c r="AK810" i="19"/>
  <c r="AO808" i="19" l="1"/>
  <c r="AB807" i="19"/>
  <c r="AA808" i="19"/>
  <c r="AN809" i="19"/>
  <c r="S808" i="19"/>
  <c r="AF809" i="19"/>
  <c r="AJ808" i="19"/>
  <c r="W807" i="19"/>
  <c r="X808" i="19"/>
  <c r="AK809" i="19"/>
  <c r="V807" i="19"/>
  <c r="AI808" i="19"/>
  <c r="AD807" i="19"/>
  <c r="AQ808" i="19"/>
  <c r="AC807" i="19"/>
  <c r="AP808" i="19"/>
  <c r="Z807" i="19"/>
  <c r="AM808" i="19"/>
  <c r="AH808" i="19"/>
  <c r="U807" i="19"/>
  <c r="Y808" i="19"/>
  <c r="AL809" i="19"/>
  <c r="AG808" i="19"/>
  <c r="T807" i="19"/>
  <c r="AG807" i="19" l="1"/>
  <c r="T806" i="19"/>
  <c r="AC806" i="19"/>
  <c r="AP807" i="19"/>
  <c r="AD806" i="19"/>
  <c r="AQ807" i="19"/>
  <c r="V806" i="19"/>
  <c r="AI807" i="19"/>
  <c r="AJ807" i="19"/>
  <c r="W806" i="19"/>
  <c r="S807" i="19"/>
  <c r="AF808" i="19"/>
  <c r="AA807" i="19"/>
  <c r="AN808" i="19"/>
  <c r="AO807" i="19"/>
  <c r="AB806" i="19"/>
  <c r="AL808" i="19"/>
  <c r="Y807" i="19"/>
  <c r="U806" i="19"/>
  <c r="AH807" i="19"/>
  <c r="AM807" i="19"/>
  <c r="Z806" i="19"/>
  <c r="X807" i="19"/>
  <c r="AK808" i="19"/>
  <c r="Z805" i="19" l="1"/>
  <c r="AM806" i="19"/>
  <c r="AO806" i="19"/>
  <c r="AB805" i="19"/>
  <c r="X806" i="19"/>
  <c r="AK807" i="19"/>
  <c r="AA806" i="19"/>
  <c r="AN807" i="19"/>
  <c r="AP806" i="19"/>
  <c r="AC805" i="19"/>
  <c r="U805" i="19"/>
  <c r="AH806" i="19"/>
  <c r="S806" i="19"/>
  <c r="AF807" i="19"/>
  <c r="Y806" i="19"/>
  <c r="AL807" i="19"/>
  <c r="AJ806" i="19"/>
  <c r="W805" i="19"/>
  <c r="AG806" i="19"/>
  <c r="T805" i="19"/>
  <c r="V805" i="19"/>
  <c r="AI806" i="19"/>
  <c r="AQ806" i="19"/>
  <c r="AD805" i="19"/>
  <c r="AA805" i="19" l="1"/>
  <c r="AN806" i="19"/>
  <c r="S805" i="19"/>
  <c r="AF806" i="19"/>
  <c r="AO805" i="19"/>
  <c r="AB804" i="19"/>
  <c r="AD804" i="19"/>
  <c r="AQ805" i="19"/>
  <c r="X805" i="19"/>
  <c r="AK806" i="19"/>
  <c r="AH805" i="19"/>
  <c r="U804" i="19"/>
  <c r="Y805" i="19"/>
  <c r="AL806" i="19"/>
  <c r="AI805" i="19"/>
  <c r="V804" i="19"/>
  <c r="AJ805" i="19"/>
  <c r="W804" i="19"/>
  <c r="AC804" i="19"/>
  <c r="AP805" i="19"/>
  <c r="AG805" i="19"/>
  <c r="T804" i="19"/>
  <c r="Z804" i="19"/>
  <c r="AM805" i="19"/>
  <c r="AG804" i="19" l="1"/>
  <c r="T803" i="19"/>
  <c r="AO804" i="19"/>
  <c r="AB803" i="19"/>
  <c r="V803" i="19"/>
  <c r="AI804" i="19"/>
  <c r="Y804" i="19"/>
  <c r="AL805" i="19"/>
  <c r="Z803" i="19"/>
  <c r="AM804" i="19"/>
  <c r="AC803" i="19"/>
  <c r="AP804" i="19"/>
  <c r="S804" i="19"/>
  <c r="AF805" i="19"/>
  <c r="AJ804" i="19"/>
  <c r="W803" i="19"/>
  <c r="AD803" i="19"/>
  <c r="AQ804" i="19"/>
  <c r="U803" i="19"/>
  <c r="AH804" i="19"/>
  <c r="X804" i="19"/>
  <c r="AK805" i="19"/>
  <c r="AA804" i="19"/>
  <c r="AN805" i="19"/>
  <c r="AA803" i="19" l="1"/>
  <c r="AN804" i="19"/>
  <c r="S803" i="19"/>
  <c r="AF804" i="19"/>
  <c r="AO803" i="19"/>
  <c r="AB802" i="19"/>
  <c r="X803" i="19"/>
  <c r="AK804" i="19"/>
  <c r="U802" i="19"/>
  <c r="AH803" i="19"/>
  <c r="AJ803" i="19"/>
  <c r="W802" i="19"/>
  <c r="AL804" i="19"/>
  <c r="Y803" i="19"/>
  <c r="AI803" i="19"/>
  <c r="V802" i="19"/>
  <c r="AC802" i="19"/>
  <c r="AP803" i="19"/>
  <c r="AG803" i="19"/>
  <c r="T802" i="19"/>
  <c r="AD802" i="19"/>
  <c r="AQ803" i="19"/>
  <c r="AM803" i="19"/>
  <c r="Z802" i="19"/>
  <c r="Y802" i="19" l="1"/>
  <c r="AL803" i="19"/>
  <c r="Z801" i="19"/>
  <c r="AM802" i="19"/>
  <c r="AO802" i="19"/>
  <c r="AB801" i="19"/>
  <c r="V801" i="19"/>
  <c r="AI802" i="19"/>
  <c r="X802" i="19"/>
  <c r="AK803" i="19"/>
  <c r="AJ802" i="19"/>
  <c r="W801" i="19"/>
  <c r="S802" i="19"/>
  <c r="AF803" i="19"/>
  <c r="AQ802" i="19"/>
  <c r="AD801" i="19"/>
  <c r="AG802" i="19"/>
  <c r="T801" i="19"/>
  <c r="AP802" i="19"/>
  <c r="AC801" i="19"/>
  <c r="U801" i="19"/>
  <c r="AH802" i="19"/>
  <c r="AA802" i="19"/>
  <c r="AN803" i="19"/>
  <c r="AO801" i="19" l="1"/>
  <c r="AB800" i="19"/>
  <c r="AD800" i="19"/>
  <c r="AQ801" i="19"/>
  <c r="AA801" i="19"/>
  <c r="AN802" i="19"/>
  <c r="AH801" i="19"/>
  <c r="U800" i="19"/>
  <c r="AC800" i="19"/>
  <c r="AP801" i="19"/>
  <c r="Z800" i="19"/>
  <c r="AM801" i="19"/>
  <c r="AG801" i="19"/>
  <c r="T800" i="19"/>
  <c r="AI801" i="19"/>
  <c r="V800" i="19"/>
  <c r="S801" i="19"/>
  <c r="AF802" i="19"/>
  <c r="AJ801" i="19"/>
  <c r="W800" i="19"/>
  <c r="X801" i="19"/>
  <c r="AK802" i="19"/>
  <c r="Y801" i="19"/>
  <c r="AL802" i="19"/>
  <c r="U799" i="19" l="1"/>
  <c r="AH800" i="19"/>
  <c r="AG800" i="19"/>
  <c r="T799" i="19"/>
  <c r="Y800" i="19"/>
  <c r="AL801" i="19"/>
  <c r="X800" i="19"/>
  <c r="AK801" i="19"/>
  <c r="AJ800" i="19"/>
  <c r="W799" i="19"/>
  <c r="AD799" i="19"/>
  <c r="AQ800" i="19"/>
  <c r="V799" i="19"/>
  <c r="AI800" i="19"/>
  <c r="AA800" i="19"/>
  <c r="AN801" i="19"/>
  <c r="Z799" i="19"/>
  <c r="AM800" i="19"/>
  <c r="AO800" i="19"/>
  <c r="AB799" i="19"/>
  <c r="S800" i="19"/>
  <c r="AF801" i="19"/>
  <c r="AC799" i="19"/>
  <c r="AP800" i="19"/>
  <c r="AC798" i="19" l="1"/>
  <c r="AP799" i="19"/>
  <c r="AA799" i="19"/>
  <c r="AN800" i="19"/>
  <c r="AL800" i="19"/>
  <c r="Y799" i="19"/>
  <c r="AO799" i="19"/>
  <c r="AB798" i="19"/>
  <c r="AD798" i="19"/>
  <c r="AQ799" i="19"/>
  <c r="V798" i="19"/>
  <c r="AI799" i="19"/>
  <c r="AG799" i="19"/>
  <c r="T798" i="19"/>
  <c r="AJ799" i="19"/>
  <c r="W798" i="19"/>
  <c r="X799" i="19"/>
  <c r="AK800" i="19"/>
  <c r="S799" i="19"/>
  <c r="AF800" i="19"/>
  <c r="AM799" i="19"/>
  <c r="Z798" i="19"/>
  <c r="U798" i="19"/>
  <c r="AH799" i="19"/>
  <c r="AJ798" i="19" l="1"/>
  <c r="W797" i="19"/>
  <c r="U797" i="19"/>
  <c r="AH798" i="19"/>
  <c r="Y798" i="19"/>
  <c r="AL799" i="19"/>
  <c r="S798" i="19"/>
  <c r="AF799" i="19"/>
  <c r="AO798" i="19"/>
  <c r="AB797" i="19"/>
  <c r="Z797" i="19"/>
  <c r="AM798" i="19"/>
  <c r="V797" i="19"/>
  <c r="AI798" i="19"/>
  <c r="AA798" i="19"/>
  <c r="AN799" i="19"/>
  <c r="AG798" i="19"/>
  <c r="T797" i="19"/>
  <c r="X798" i="19"/>
  <c r="AK799" i="19"/>
  <c r="AQ798" i="19"/>
  <c r="AD797" i="19"/>
  <c r="AP798" i="19"/>
  <c r="AC797" i="19"/>
  <c r="AA797" i="19" l="1"/>
  <c r="AN798" i="19"/>
  <c r="S797" i="19"/>
  <c r="AF798" i="19"/>
  <c r="Y797" i="19"/>
  <c r="AL798" i="19"/>
  <c r="Z796" i="19"/>
  <c r="AM797" i="19"/>
  <c r="AP797" i="19"/>
  <c r="AC796" i="19"/>
  <c r="AI797" i="19"/>
  <c r="V796" i="19"/>
  <c r="X797" i="19"/>
  <c r="AK798" i="19"/>
  <c r="AH797" i="19"/>
  <c r="U796" i="19"/>
  <c r="AG797" i="19"/>
  <c r="T796" i="19"/>
  <c r="AO797" i="19"/>
  <c r="AB796" i="19"/>
  <c r="AJ797" i="19"/>
  <c r="W796" i="19"/>
  <c r="AD796" i="19"/>
  <c r="AQ797" i="19"/>
  <c r="U795" i="19" l="1"/>
  <c r="AH796" i="19"/>
  <c r="Y796" i="19"/>
  <c r="AL797" i="19"/>
  <c r="S796" i="19"/>
  <c r="AF797" i="19"/>
  <c r="Z795" i="19"/>
  <c r="AM796" i="19"/>
  <c r="AO796" i="19"/>
  <c r="AB795" i="19"/>
  <c r="AG796" i="19"/>
  <c r="T795" i="19"/>
  <c r="AC795" i="19"/>
  <c r="AP796" i="19"/>
  <c r="AD795" i="19"/>
  <c r="AQ796" i="19"/>
  <c r="AJ796" i="19"/>
  <c r="W795" i="19"/>
  <c r="X796" i="19"/>
  <c r="AK797" i="19"/>
  <c r="V795" i="19"/>
  <c r="AI796" i="19"/>
  <c r="AA796" i="19"/>
  <c r="AN797" i="19"/>
  <c r="AA795" i="19" l="1"/>
  <c r="AN796" i="19"/>
  <c r="V794" i="19"/>
  <c r="AI795" i="19"/>
  <c r="AD794" i="19"/>
  <c r="AQ795" i="19"/>
  <c r="S795" i="19"/>
  <c r="AF796" i="19"/>
  <c r="X795" i="19"/>
  <c r="AK796" i="19"/>
  <c r="AL796" i="19"/>
  <c r="Y795" i="19"/>
  <c r="AC794" i="19"/>
  <c r="AP795" i="19"/>
  <c r="AG795" i="19"/>
  <c r="T794" i="19"/>
  <c r="AJ795" i="19"/>
  <c r="W794" i="19"/>
  <c r="AO795" i="19"/>
  <c r="AB794" i="19"/>
  <c r="AM795" i="19"/>
  <c r="Z794" i="19"/>
  <c r="U794" i="19"/>
  <c r="AH795" i="19"/>
  <c r="AG794" i="19" l="1"/>
  <c r="T793" i="19"/>
  <c r="S794" i="19"/>
  <c r="AF795" i="19"/>
  <c r="AO794" i="19"/>
  <c r="AB793" i="19"/>
  <c r="V793" i="19"/>
  <c r="AI794" i="19"/>
  <c r="AQ794" i="19"/>
  <c r="AD793" i="19"/>
  <c r="Y794" i="19"/>
  <c r="AL795" i="19"/>
  <c r="AJ794" i="19"/>
  <c r="W793" i="19"/>
  <c r="U793" i="19"/>
  <c r="AH794" i="19"/>
  <c r="Z793" i="19"/>
  <c r="AM794" i="19"/>
  <c r="AP794" i="19"/>
  <c r="AC793" i="19"/>
  <c r="X794" i="19"/>
  <c r="AK795" i="19"/>
  <c r="AA794" i="19"/>
  <c r="AN795" i="19"/>
  <c r="AA793" i="19" l="1"/>
  <c r="AN794" i="19"/>
  <c r="AO793" i="19"/>
  <c r="AB792" i="19"/>
  <c r="Y793" i="19"/>
  <c r="AL794" i="19"/>
  <c r="AH793" i="19"/>
  <c r="U792" i="19"/>
  <c r="AJ793" i="19"/>
  <c r="W792" i="19"/>
  <c r="AC792" i="19"/>
  <c r="AP793" i="19"/>
  <c r="AD792" i="19"/>
  <c r="AQ793" i="19"/>
  <c r="AG793" i="19"/>
  <c r="T792" i="19"/>
  <c r="AI793" i="19"/>
  <c r="V792" i="19"/>
  <c r="X793" i="19"/>
  <c r="AK794" i="19"/>
  <c r="S793" i="19"/>
  <c r="AF794" i="19"/>
  <c r="Z792" i="19"/>
  <c r="AM793" i="19"/>
  <c r="AG792" i="19" l="1"/>
  <c r="T791" i="19"/>
  <c r="AO792" i="19"/>
  <c r="AB791" i="19"/>
  <c r="AQ792" i="19"/>
  <c r="AD791" i="19"/>
  <c r="Z791" i="19"/>
  <c r="AM792" i="19"/>
  <c r="Y792" i="19"/>
  <c r="AL793" i="19"/>
  <c r="X792" i="19"/>
  <c r="AK793" i="19"/>
  <c r="V791" i="19"/>
  <c r="AI792" i="19"/>
  <c r="AJ792" i="19"/>
  <c r="W791" i="19"/>
  <c r="U791" i="19"/>
  <c r="AH792" i="19"/>
  <c r="S792" i="19"/>
  <c r="AF793" i="19"/>
  <c r="AC791" i="19"/>
  <c r="AP792" i="19"/>
  <c r="AA792" i="19"/>
  <c r="AN793" i="19"/>
  <c r="AA791" i="19" l="1"/>
  <c r="AN792" i="19"/>
  <c r="AD790" i="19"/>
  <c r="AQ791" i="19"/>
  <c r="AO791" i="19"/>
  <c r="AB790" i="19"/>
  <c r="AJ791" i="19"/>
  <c r="W790" i="19"/>
  <c r="X791" i="19"/>
  <c r="AK792" i="19"/>
  <c r="AC790" i="19"/>
  <c r="AP791" i="19"/>
  <c r="S791" i="19"/>
  <c r="AF792" i="19"/>
  <c r="AG791" i="19"/>
  <c r="T790" i="19"/>
  <c r="AM791" i="19"/>
  <c r="Z790" i="19"/>
  <c r="V790" i="19"/>
  <c r="AI791" i="19"/>
  <c r="U790" i="19"/>
  <c r="AH791" i="19"/>
  <c r="AL792" i="19"/>
  <c r="Y791" i="19"/>
  <c r="AG790" i="19" l="1"/>
  <c r="T789" i="19"/>
  <c r="AO790" i="19"/>
  <c r="AB789" i="19"/>
  <c r="Y790" i="19"/>
  <c r="AL791" i="19"/>
  <c r="AQ790" i="19"/>
  <c r="AD789" i="19"/>
  <c r="U789" i="19"/>
  <c r="AH790" i="19"/>
  <c r="V789" i="19"/>
  <c r="AI790" i="19"/>
  <c r="AM790" i="19"/>
  <c r="Z789" i="19"/>
  <c r="AJ790" i="19"/>
  <c r="W789" i="19"/>
  <c r="S790" i="19"/>
  <c r="AF791" i="19"/>
  <c r="AP790" i="19"/>
  <c r="AC789" i="19"/>
  <c r="X790" i="19"/>
  <c r="AK791" i="19"/>
  <c r="AA790" i="19"/>
  <c r="AN791" i="19"/>
  <c r="AD788" i="19" l="1"/>
  <c r="AQ789" i="19"/>
  <c r="AC788" i="19"/>
  <c r="AP789" i="19"/>
  <c r="X789" i="19"/>
  <c r="AK790" i="19"/>
  <c r="Z788" i="19"/>
  <c r="AM789" i="19"/>
  <c r="AI789" i="19"/>
  <c r="V788" i="19"/>
  <c r="AG789" i="19"/>
  <c r="T788" i="19"/>
  <c r="AJ789" i="19"/>
  <c r="W788" i="19"/>
  <c r="AA789" i="19"/>
  <c r="AN790" i="19"/>
  <c r="Y789" i="19"/>
  <c r="AL790" i="19"/>
  <c r="AO789" i="19"/>
  <c r="AB788" i="19"/>
  <c r="S789" i="19"/>
  <c r="AF790" i="19"/>
  <c r="AH789" i="19"/>
  <c r="U788" i="19"/>
  <c r="Z787" i="19" l="1"/>
  <c r="AM788" i="19"/>
  <c r="AO788" i="19"/>
  <c r="AB787" i="19"/>
  <c r="S788" i="19"/>
  <c r="AF789" i="19"/>
  <c r="U787" i="19"/>
  <c r="AH788" i="19"/>
  <c r="AA788" i="19"/>
  <c r="AN789" i="19"/>
  <c r="AJ788" i="19"/>
  <c r="W787" i="19"/>
  <c r="AG788" i="19"/>
  <c r="T787" i="19"/>
  <c r="V787" i="19"/>
  <c r="AI788" i="19"/>
  <c r="X788" i="19"/>
  <c r="AK789" i="19"/>
  <c r="AC787" i="19"/>
  <c r="AP788" i="19"/>
  <c r="Y788" i="19"/>
  <c r="AL789" i="19"/>
  <c r="AD787" i="19"/>
  <c r="AQ788" i="19"/>
  <c r="AD786" i="19" l="1"/>
  <c r="AQ787" i="19"/>
  <c r="AG787" i="19"/>
  <c r="T786" i="19"/>
  <c r="AL788" i="19"/>
  <c r="Y787" i="19"/>
  <c r="AJ787" i="19"/>
  <c r="W786" i="19"/>
  <c r="U786" i="19"/>
  <c r="AH787" i="19"/>
  <c r="AC786" i="19"/>
  <c r="AP787" i="19"/>
  <c r="V786" i="19"/>
  <c r="AI787" i="19"/>
  <c r="AO787" i="19"/>
  <c r="AB786" i="19"/>
  <c r="S787" i="19"/>
  <c r="AF788" i="19"/>
  <c r="X787" i="19"/>
  <c r="AK788" i="19"/>
  <c r="AA787" i="19"/>
  <c r="AN788" i="19"/>
  <c r="AM787" i="19"/>
  <c r="Z786" i="19"/>
  <c r="AJ786" i="19" l="1"/>
  <c r="W785" i="19"/>
  <c r="Y786" i="19"/>
  <c r="AL787" i="19"/>
  <c r="Z785" i="19"/>
  <c r="AM786" i="19"/>
  <c r="AG786" i="19"/>
  <c r="T785" i="19"/>
  <c r="V785" i="19"/>
  <c r="AI786" i="19"/>
  <c r="X786" i="19"/>
  <c r="AK787" i="19"/>
  <c r="AA786" i="19"/>
  <c r="AN787" i="19"/>
  <c r="AP786" i="19"/>
  <c r="AC785" i="19"/>
  <c r="AO786" i="19"/>
  <c r="AB785" i="19"/>
  <c r="S786" i="19"/>
  <c r="AF787" i="19"/>
  <c r="U785" i="19"/>
  <c r="AH786" i="19"/>
  <c r="AQ786" i="19"/>
  <c r="AD785" i="19"/>
  <c r="AC784" i="19" l="1"/>
  <c r="AP785" i="19"/>
  <c r="Z784" i="19"/>
  <c r="AM785" i="19"/>
  <c r="Y785" i="19"/>
  <c r="AL786" i="19"/>
  <c r="AG785" i="19"/>
  <c r="T784" i="19"/>
  <c r="AH785" i="19"/>
  <c r="U784" i="19"/>
  <c r="X785" i="19"/>
  <c r="AK786" i="19"/>
  <c r="AO785" i="19"/>
  <c r="AB784" i="19"/>
  <c r="AJ785" i="19"/>
  <c r="W784" i="19"/>
  <c r="AD784" i="19"/>
  <c r="AQ785" i="19"/>
  <c r="AA785" i="19"/>
  <c r="AN786" i="19"/>
  <c r="S785" i="19"/>
  <c r="AF786" i="19"/>
  <c r="AI785" i="19"/>
  <c r="V784" i="19"/>
  <c r="AG784" i="19" l="1"/>
  <c r="T783" i="19"/>
  <c r="X784" i="19"/>
  <c r="AK785" i="19"/>
  <c r="AJ784" i="19"/>
  <c r="W783" i="19"/>
  <c r="AO784" i="19"/>
  <c r="AB783" i="19"/>
  <c r="S784" i="19"/>
  <c r="AF785" i="19"/>
  <c r="Z783" i="19"/>
  <c r="AM784" i="19"/>
  <c r="U783" i="19"/>
  <c r="AH784" i="19"/>
  <c r="V783" i="19"/>
  <c r="AI784" i="19"/>
  <c r="Y784" i="19"/>
  <c r="AL785" i="19"/>
  <c r="AA784" i="19"/>
  <c r="AN785" i="19"/>
  <c r="AD783" i="19"/>
  <c r="AQ784" i="19"/>
  <c r="AC783" i="19"/>
  <c r="AP784" i="19"/>
  <c r="AJ783" i="19" l="1"/>
  <c r="W782" i="19"/>
  <c r="V782" i="19"/>
  <c r="AI783" i="19"/>
  <c r="AD782" i="19"/>
  <c r="AQ783" i="19"/>
  <c r="AA783" i="19"/>
  <c r="AN784" i="19"/>
  <c r="X783" i="19"/>
  <c r="AK784" i="19"/>
  <c r="AC782" i="19"/>
  <c r="AP783" i="19"/>
  <c r="U782" i="19"/>
  <c r="AH783" i="19"/>
  <c r="AM783" i="19"/>
  <c r="Z782" i="19"/>
  <c r="AG783" i="19"/>
  <c r="T782" i="19"/>
  <c r="AO783" i="19"/>
  <c r="AB782" i="19"/>
  <c r="AL784" i="19"/>
  <c r="Y783" i="19"/>
  <c r="S783" i="19"/>
  <c r="AF784" i="19"/>
  <c r="S782" i="19" l="1"/>
  <c r="AF783" i="19"/>
  <c r="Y782" i="19"/>
  <c r="AL783" i="19"/>
  <c r="AQ782" i="19"/>
  <c r="AD781" i="19"/>
  <c r="V781" i="19"/>
  <c r="AI782" i="19"/>
  <c r="AO782" i="19"/>
  <c r="AB781" i="19"/>
  <c r="AP782" i="19"/>
  <c r="AC781" i="19"/>
  <c r="AG782" i="19"/>
  <c r="T781" i="19"/>
  <c r="AJ782" i="19"/>
  <c r="W781" i="19"/>
  <c r="Z781" i="19"/>
  <c r="AM782" i="19"/>
  <c r="AA782" i="19"/>
  <c r="AN783" i="19"/>
  <c r="U781" i="19"/>
  <c r="AH782" i="19"/>
  <c r="X782" i="19"/>
  <c r="AK783" i="19"/>
  <c r="AJ781" i="19" l="1"/>
  <c r="W780" i="19"/>
  <c r="AI781" i="19"/>
  <c r="V780" i="19"/>
  <c r="AD780" i="19"/>
  <c r="AQ781" i="19"/>
  <c r="AG781" i="19"/>
  <c r="T780" i="19"/>
  <c r="AC780" i="19"/>
  <c r="AP781" i="19"/>
  <c r="Y781" i="19"/>
  <c r="AL782" i="19"/>
  <c r="AO781" i="19"/>
  <c r="AB780" i="19"/>
  <c r="X781" i="19"/>
  <c r="AK782" i="19"/>
  <c r="AH781" i="19"/>
  <c r="U780" i="19"/>
  <c r="AA781" i="19"/>
  <c r="AN782" i="19"/>
  <c r="Z780" i="19"/>
  <c r="AM781" i="19"/>
  <c r="S781" i="19"/>
  <c r="AF782" i="19"/>
  <c r="V779" i="19" l="1"/>
  <c r="AI780" i="19"/>
  <c r="AG780" i="19"/>
  <c r="T779" i="19"/>
  <c r="Y780" i="19"/>
  <c r="AL781" i="19"/>
  <c r="S780" i="19"/>
  <c r="AF781" i="19"/>
  <c r="AM780" i="19"/>
  <c r="Z779" i="19"/>
  <c r="AD779" i="19"/>
  <c r="AQ780" i="19"/>
  <c r="AA780" i="19"/>
  <c r="AN781" i="19"/>
  <c r="U779" i="19"/>
  <c r="AH780" i="19"/>
  <c r="AJ780" i="19"/>
  <c r="W779" i="19"/>
  <c r="X780" i="19"/>
  <c r="AK781" i="19"/>
  <c r="AO780" i="19"/>
  <c r="AB779" i="19"/>
  <c r="AC779" i="19"/>
  <c r="AP780" i="19"/>
  <c r="U778" i="19" l="1"/>
  <c r="AH779" i="19"/>
  <c r="AO779" i="19"/>
  <c r="AB778" i="19"/>
  <c r="AG779" i="19"/>
  <c r="T778" i="19"/>
  <c r="S779" i="19"/>
  <c r="AF780" i="19"/>
  <c r="AL780" i="19"/>
  <c r="Y779" i="19"/>
  <c r="AA779" i="19"/>
  <c r="AN780" i="19"/>
  <c r="AD778" i="19"/>
  <c r="AQ779" i="19"/>
  <c r="AJ779" i="19"/>
  <c r="W778" i="19"/>
  <c r="AM779" i="19"/>
  <c r="Z778" i="19"/>
  <c r="AC778" i="19"/>
  <c r="AP779" i="19"/>
  <c r="X779" i="19"/>
  <c r="AK780" i="19"/>
  <c r="V778" i="19"/>
  <c r="AI779" i="19"/>
  <c r="S778" i="19" l="1"/>
  <c r="AF779" i="19"/>
  <c r="X778" i="19"/>
  <c r="AK779" i="19"/>
  <c r="V777" i="19"/>
  <c r="AI778" i="19"/>
  <c r="AP778" i="19"/>
  <c r="AC777" i="19"/>
  <c r="AQ778" i="19"/>
  <c r="AD777" i="19"/>
  <c r="AO778" i="19"/>
  <c r="AB777" i="19"/>
  <c r="AA778" i="19"/>
  <c r="AN779" i="19"/>
  <c r="Z777" i="19"/>
  <c r="AM778" i="19"/>
  <c r="Y778" i="19"/>
  <c r="AL779" i="19"/>
  <c r="AJ778" i="19"/>
  <c r="W777" i="19"/>
  <c r="AG778" i="19"/>
  <c r="T777" i="19"/>
  <c r="U777" i="19"/>
  <c r="AH778" i="19"/>
  <c r="AC776" i="19" l="1"/>
  <c r="AP777" i="19"/>
  <c r="AG777" i="19"/>
  <c r="T776" i="19"/>
  <c r="AJ777" i="19"/>
  <c r="W776" i="19"/>
  <c r="X777" i="19"/>
  <c r="AK778" i="19"/>
  <c r="Z776" i="19"/>
  <c r="AM777" i="19"/>
  <c r="AI777" i="19"/>
  <c r="V776" i="19"/>
  <c r="AD776" i="19"/>
  <c r="AQ777" i="19"/>
  <c r="AH777" i="19"/>
  <c r="U776" i="19"/>
  <c r="AA777" i="19"/>
  <c r="AN778" i="19"/>
  <c r="AO777" i="19"/>
  <c r="AB776" i="19"/>
  <c r="AL778" i="19"/>
  <c r="Y777" i="19"/>
  <c r="S777" i="19"/>
  <c r="AF778" i="19"/>
  <c r="S776" i="19" l="1"/>
  <c r="AF777" i="19"/>
  <c r="AD775" i="19"/>
  <c r="AQ776" i="19"/>
  <c r="V775" i="19"/>
  <c r="AI776" i="19"/>
  <c r="X776" i="19"/>
  <c r="AK777" i="19"/>
  <c r="AJ776" i="19"/>
  <c r="W775" i="19"/>
  <c r="AO776" i="19"/>
  <c r="AB775" i="19"/>
  <c r="AG776" i="19"/>
  <c r="T775" i="19"/>
  <c r="AH776" i="19"/>
  <c r="U775" i="19"/>
  <c r="Y776" i="19"/>
  <c r="AL777" i="19"/>
  <c r="AA776" i="19"/>
  <c r="AN777" i="19"/>
  <c r="Z775" i="19"/>
  <c r="AM776" i="19"/>
  <c r="AC775" i="19"/>
  <c r="AP776" i="19"/>
  <c r="AC774" i="19" l="1"/>
  <c r="AP775" i="19"/>
  <c r="X775" i="19"/>
  <c r="AK776" i="19"/>
  <c r="Z774" i="19"/>
  <c r="AM775" i="19"/>
  <c r="V774" i="19"/>
  <c r="AI775" i="19"/>
  <c r="AD774" i="19"/>
  <c r="AQ775" i="19"/>
  <c r="AO775" i="19"/>
  <c r="AB774" i="19"/>
  <c r="AA775" i="19"/>
  <c r="AN776" i="19"/>
  <c r="W774" i="19"/>
  <c r="AJ775" i="19"/>
  <c r="AH775" i="19"/>
  <c r="U774" i="19"/>
  <c r="AG775" i="19"/>
  <c r="T774" i="19"/>
  <c r="AL776" i="19"/>
  <c r="Y775" i="19"/>
  <c r="S775" i="19"/>
  <c r="AF776" i="19"/>
  <c r="Y774" i="19" l="1"/>
  <c r="AL775" i="19"/>
  <c r="S774" i="19"/>
  <c r="AF775" i="19"/>
  <c r="AJ774" i="19"/>
  <c r="W773" i="19"/>
  <c r="AG774" i="19"/>
  <c r="T773" i="19"/>
  <c r="AM774" i="19"/>
  <c r="Z773" i="19"/>
  <c r="AO774" i="19"/>
  <c r="AB773" i="19"/>
  <c r="AK775" i="19"/>
  <c r="X774" i="19"/>
  <c r="AH774" i="19"/>
  <c r="U773" i="19"/>
  <c r="V773" i="19"/>
  <c r="AI774" i="19"/>
  <c r="AA774" i="19"/>
  <c r="AN775" i="19"/>
  <c r="AQ774" i="19"/>
  <c r="AD773" i="19"/>
  <c r="AP774" i="19"/>
  <c r="AC773" i="19"/>
  <c r="AG773" i="19" l="1"/>
  <c r="T772" i="19"/>
  <c r="AQ773" i="19"/>
  <c r="AD772" i="19"/>
  <c r="AJ773" i="19"/>
  <c r="W772" i="19"/>
  <c r="AC772" i="19"/>
  <c r="AP773" i="19"/>
  <c r="AH773" i="19"/>
  <c r="U772" i="19"/>
  <c r="X773" i="19"/>
  <c r="AK774" i="19"/>
  <c r="AB772" i="19"/>
  <c r="AO773" i="19"/>
  <c r="AA773" i="19"/>
  <c r="AN774" i="19"/>
  <c r="S773" i="19"/>
  <c r="AF774" i="19"/>
  <c r="AM773" i="19"/>
  <c r="Z772" i="19"/>
  <c r="V772" i="19"/>
  <c r="AI773" i="19"/>
  <c r="Y773" i="19"/>
  <c r="AL774" i="19"/>
  <c r="AA772" i="19" l="1"/>
  <c r="AN773" i="19"/>
  <c r="AB771" i="19"/>
  <c r="AO772" i="19"/>
  <c r="AD771" i="19"/>
  <c r="AQ772" i="19"/>
  <c r="AL773" i="19"/>
  <c r="Y772" i="19"/>
  <c r="AJ772" i="19"/>
  <c r="W771" i="19"/>
  <c r="AM772" i="19"/>
  <c r="Z771" i="19"/>
  <c r="AK773" i="19"/>
  <c r="X772" i="19"/>
  <c r="AH772" i="19"/>
  <c r="U771" i="19"/>
  <c r="T771" i="19"/>
  <c r="AG772" i="19"/>
  <c r="AC771" i="19"/>
  <c r="AP772" i="19"/>
  <c r="AI772" i="19"/>
  <c r="V771" i="19"/>
  <c r="S772" i="19"/>
  <c r="AF773" i="19"/>
  <c r="Y771" i="19" l="1"/>
  <c r="AL772" i="19"/>
  <c r="S771" i="19"/>
  <c r="AF772" i="19"/>
  <c r="V770" i="19"/>
  <c r="AI771" i="19"/>
  <c r="U770" i="19"/>
  <c r="AH771" i="19"/>
  <c r="AO771" i="19"/>
  <c r="AB770" i="19"/>
  <c r="X771" i="19"/>
  <c r="AK772" i="19"/>
  <c r="AQ771" i="19"/>
  <c r="AD770" i="19"/>
  <c r="AM771" i="19"/>
  <c r="Z770" i="19"/>
  <c r="AJ771" i="19"/>
  <c r="W770" i="19"/>
  <c r="AP771" i="19"/>
  <c r="AC770" i="19"/>
  <c r="T770" i="19"/>
  <c r="AG771" i="19"/>
  <c r="AA771" i="19"/>
  <c r="AN772" i="19"/>
  <c r="AA770" i="19" l="1"/>
  <c r="AN771" i="19"/>
  <c r="AD769" i="19"/>
  <c r="AQ770" i="19"/>
  <c r="AC769" i="19"/>
  <c r="AP770" i="19"/>
  <c r="X770" i="19"/>
  <c r="AK771" i="19"/>
  <c r="AM770" i="19"/>
  <c r="Z769" i="19"/>
  <c r="AH770" i="19"/>
  <c r="U769" i="19"/>
  <c r="T769" i="19"/>
  <c r="AG770" i="19"/>
  <c r="S770" i="19"/>
  <c r="AF771" i="19"/>
  <c r="AJ770" i="19"/>
  <c r="W769" i="19"/>
  <c r="AO770" i="19"/>
  <c r="AB769" i="19"/>
  <c r="AI770" i="19"/>
  <c r="V769" i="19"/>
  <c r="AL771" i="19"/>
  <c r="Y770" i="19"/>
  <c r="Y769" i="19" l="1"/>
  <c r="AL770" i="19"/>
  <c r="S769" i="19"/>
  <c r="AF770" i="19"/>
  <c r="AC768" i="19"/>
  <c r="AP769" i="19"/>
  <c r="AH769" i="19"/>
  <c r="U768" i="19"/>
  <c r="AD768" i="19"/>
  <c r="AQ769" i="19"/>
  <c r="V768" i="19"/>
  <c r="AI769" i="19"/>
  <c r="T768" i="19"/>
  <c r="AG769" i="19"/>
  <c r="AJ769" i="19"/>
  <c r="W768" i="19"/>
  <c r="Z768" i="19"/>
  <c r="AM769" i="19"/>
  <c r="AK770" i="19"/>
  <c r="X769" i="19"/>
  <c r="AB768" i="19"/>
  <c r="AO769" i="19"/>
  <c r="AA769" i="19"/>
  <c r="AN770" i="19"/>
  <c r="AH768" i="19" l="1"/>
  <c r="U767" i="19"/>
  <c r="T767" i="19"/>
  <c r="AG768" i="19"/>
  <c r="AJ768" i="19"/>
  <c r="W767" i="19"/>
  <c r="AO768" i="19"/>
  <c r="AB767" i="19"/>
  <c r="AK769" i="19"/>
  <c r="X768" i="19"/>
  <c r="S768" i="19"/>
  <c r="AF769" i="19"/>
  <c r="AA768" i="19"/>
  <c r="AN769" i="19"/>
  <c r="AC767" i="19"/>
  <c r="AP768" i="19"/>
  <c r="V767" i="19"/>
  <c r="AI768" i="19"/>
  <c r="AM768" i="19"/>
  <c r="Z767" i="19"/>
  <c r="AD767" i="19"/>
  <c r="AQ768" i="19"/>
  <c r="Y768" i="19"/>
  <c r="AL769" i="19"/>
  <c r="Y767" i="19" l="1"/>
  <c r="AL768" i="19"/>
  <c r="Z766" i="19"/>
  <c r="AM767" i="19"/>
  <c r="AP767" i="19"/>
  <c r="AC766" i="19"/>
  <c r="AQ767" i="19"/>
  <c r="AD766" i="19"/>
  <c r="S767" i="19"/>
  <c r="AF768" i="19"/>
  <c r="AO767" i="19"/>
  <c r="AB766" i="19"/>
  <c r="AA767" i="19"/>
  <c r="AN768" i="19"/>
  <c r="AK768" i="19"/>
  <c r="X767" i="19"/>
  <c r="AH767" i="19"/>
  <c r="U766" i="19"/>
  <c r="AJ767" i="19"/>
  <c r="W766" i="19"/>
  <c r="T766" i="19"/>
  <c r="AG767" i="19"/>
  <c r="V766" i="19"/>
  <c r="AI767" i="19"/>
  <c r="AJ766" i="19" l="1"/>
  <c r="W765" i="19"/>
  <c r="AD765" i="19"/>
  <c r="AQ766" i="19"/>
  <c r="AG766" i="19"/>
  <c r="T765" i="19"/>
  <c r="X766" i="19"/>
  <c r="AK767" i="19"/>
  <c r="AA766" i="19"/>
  <c r="AN767" i="19"/>
  <c r="AB765" i="19"/>
  <c r="AO766" i="19"/>
  <c r="AH766" i="19"/>
  <c r="U765" i="19"/>
  <c r="V765" i="19"/>
  <c r="AI766" i="19"/>
  <c r="AC765" i="19"/>
  <c r="AP766" i="19"/>
  <c r="Z765" i="19"/>
  <c r="AM766" i="19"/>
  <c r="S766" i="19"/>
  <c r="AF767" i="19"/>
  <c r="Y766" i="19"/>
  <c r="AL767" i="19"/>
  <c r="T764" i="19" l="1"/>
  <c r="AG765" i="19"/>
  <c r="U764" i="19"/>
  <c r="AH765" i="19"/>
  <c r="AK766" i="19"/>
  <c r="X765" i="19"/>
  <c r="AB764" i="19"/>
  <c r="AO765" i="19"/>
  <c r="Y765" i="19"/>
  <c r="AL766" i="19"/>
  <c r="AM765" i="19"/>
  <c r="Z764" i="19"/>
  <c r="AD764" i="19"/>
  <c r="AQ765" i="19"/>
  <c r="AJ765" i="19"/>
  <c r="W764" i="19"/>
  <c r="V764" i="19"/>
  <c r="AI765" i="19"/>
  <c r="S765" i="19"/>
  <c r="AF766" i="19"/>
  <c r="AC764" i="19"/>
  <c r="AP765" i="19"/>
  <c r="AA765" i="19"/>
  <c r="AN766" i="19"/>
  <c r="AA764" i="19" l="1"/>
  <c r="AN765" i="19"/>
  <c r="AP764" i="19"/>
  <c r="AC763" i="19"/>
  <c r="AK765" i="19"/>
  <c r="X764" i="19"/>
  <c r="S764" i="19"/>
  <c r="AF765" i="19"/>
  <c r="AJ764" i="19"/>
  <c r="W763" i="19"/>
  <c r="AM764" i="19"/>
  <c r="Z763" i="19"/>
  <c r="AH764" i="19"/>
  <c r="U763" i="19"/>
  <c r="AB763" i="19"/>
  <c r="AO764" i="19"/>
  <c r="AD763" i="19"/>
  <c r="AQ764" i="19"/>
  <c r="V763" i="19"/>
  <c r="AI764" i="19"/>
  <c r="AL765" i="19"/>
  <c r="Y764" i="19"/>
  <c r="T763" i="19"/>
  <c r="AG764" i="19"/>
  <c r="S763" i="19" l="1"/>
  <c r="AF764" i="19"/>
  <c r="X763" i="19"/>
  <c r="AK764" i="19"/>
  <c r="Z762" i="19"/>
  <c r="AM763" i="19"/>
  <c r="T762" i="19"/>
  <c r="AG763" i="19"/>
  <c r="Y763" i="19"/>
  <c r="AL764" i="19"/>
  <c r="AP763" i="19"/>
  <c r="AC762" i="19"/>
  <c r="AJ763" i="19"/>
  <c r="W762" i="19"/>
  <c r="AO763" i="19"/>
  <c r="AB762" i="19"/>
  <c r="AH763" i="19"/>
  <c r="U762" i="19"/>
  <c r="V762" i="19"/>
  <c r="AI763" i="19"/>
  <c r="AD762" i="19"/>
  <c r="AQ763" i="19"/>
  <c r="AA763" i="19"/>
  <c r="AN764" i="19"/>
  <c r="AA762" i="19" l="1"/>
  <c r="AN763" i="19"/>
  <c r="T761" i="19"/>
  <c r="AG762" i="19"/>
  <c r="AQ762" i="19"/>
  <c r="AD761" i="19"/>
  <c r="V761" i="19"/>
  <c r="AI762" i="19"/>
  <c r="AK763" i="19"/>
  <c r="X762" i="19"/>
  <c r="AB761" i="19"/>
  <c r="AO762" i="19"/>
  <c r="AJ762" i="19"/>
  <c r="W761" i="19"/>
  <c r="Z761" i="19"/>
  <c r="AM762" i="19"/>
  <c r="AH762" i="19"/>
  <c r="U761" i="19"/>
  <c r="AP762" i="19"/>
  <c r="AC761" i="19"/>
  <c r="Y762" i="19"/>
  <c r="AL763" i="19"/>
  <c r="S762" i="19"/>
  <c r="AF763" i="19"/>
  <c r="S761" i="19" l="1"/>
  <c r="AF762" i="19"/>
  <c r="V760" i="19"/>
  <c r="AI761" i="19"/>
  <c r="AM761" i="19"/>
  <c r="Z760" i="19"/>
  <c r="Y761" i="19"/>
  <c r="AL762" i="19"/>
  <c r="T760" i="19"/>
  <c r="AG761" i="19"/>
  <c r="AJ761" i="19"/>
  <c r="W760" i="19"/>
  <c r="AB760" i="19"/>
  <c r="AO761" i="19"/>
  <c r="AD760" i="19"/>
  <c r="AQ761" i="19"/>
  <c r="AC760" i="19"/>
  <c r="AP761" i="19"/>
  <c r="AH761" i="19"/>
  <c r="U760" i="19"/>
  <c r="AK762" i="19"/>
  <c r="X761" i="19"/>
  <c r="AA761" i="19"/>
  <c r="AN762" i="19"/>
  <c r="AA760" i="19" l="1"/>
  <c r="AN761" i="19"/>
  <c r="AO760" i="19"/>
  <c r="AB759" i="19"/>
  <c r="AK761" i="19"/>
  <c r="X760" i="19"/>
  <c r="AD759" i="19"/>
  <c r="AQ760" i="19"/>
  <c r="U759" i="19"/>
  <c r="AH760" i="19"/>
  <c r="AJ760" i="19"/>
  <c r="W759" i="19"/>
  <c r="V759" i="19"/>
  <c r="AI760" i="19"/>
  <c r="AL761" i="19"/>
  <c r="Y760" i="19"/>
  <c r="AM760" i="19"/>
  <c r="Z759" i="19"/>
  <c r="AP760" i="19"/>
  <c r="AC759" i="19"/>
  <c r="T759" i="19"/>
  <c r="AG760" i="19"/>
  <c r="S760" i="19"/>
  <c r="AF761" i="19"/>
  <c r="AL760" i="19" l="1"/>
  <c r="Y759" i="19"/>
  <c r="AD758" i="19"/>
  <c r="AQ759" i="19"/>
  <c r="X759" i="19"/>
  <c r="AK760" i="19"/>
  <c r="AB758" i="19"/>
  <c r="AO759" i="19"/>
  <c r="T758" i="19"/>
  <c r="AG759" i="19"/>
  <c r="AJ759" i="19"/>
  <c r="W758" i="19"/>
  <c r="Z758" i="19"/>
  <c r="AM759" i="19"/>
  <c r="S759" i="19"/>
  <c r="AF760" i="19"/>
  <c r="V758" i="19"/>
  <c r="AI759" i="19"/>
  <c r="AP759" i="19"/>
  <c r="AC758" i="19"/>
  <c r="AH759" i="19"/>
  <c r="U758" i="19"/>
  <c r="AA759" i="19"/>
  <c r="AN760" i="19"/>
  <c r="AA758" i="19" l="1"/>
  <c r="AN759" i="19"/>
  <c r="AH758" i="19"/>
  <c r="U757" i="19"/>
  <c r="X758" i="19"/>
  <c r="AK759" i="19"/>
  <c r="AD757" i="19"/>
  <c r="AQ758" i="19"/>
  <c r="S758" i="19"/>
  <c r="AF759" i="19"/>
  <c r="AP758" i="19"/>
  <c r="AC757" i="19"/>
  <c r="Y758" i="19"/>
  <c r="AL759" i="19"/>
  <c r="AB757" i="19"/>
  <c r="AO758" i="19"/>
  <c r="Z757" i="19"/>
  <c r="AM758" i="19"/>
  <c r="AJ758" i="19"/>
  <c r="W757" i="19"/>
  <c r="AI758" i="19"/>
  <c r="V757" i="19"/>
  <c r="T757" i="19"/>
  <c r="AG758" i="19"/>
  <c r="AB756" i="19" l="1"/>
  <c r="AO757" i="19"/>
  <c r="AP757" i="19"/>
  <c r="AC756" i="19"/>
  <c r="T756" i="19"/>
  <c r="AG757" i="19"/>
  <c r="AK758" i="19"/>
  <c r="X757" i="19"/>
  <c r="V756" i="19"/>
  <c r="AI757" i="19"/>
  <c r="Y757" i="19"/>
  <c r="AL758" i="19"/>
  <c r="AJ757" i="19"/>
  <c r="W756" i="19"/>
  <c r="AD756" i="19"/>
  <c r="AQ757" i="19"/>
  <c r="U756" i="19"/>
  <c r="AH757" i="19"/>
  <c r="AM757" i="19"/>
  <c r="Z756" i="19"/>
  <c r="S757" i="19"/>
  <c r="AF758" i="19"/>
  <c r="AA757" i="19"/>
  <c r="AN758" i="19"/>
  <c r="AD755" i="19" l="1"/>
  <c r="AQ756" i="19"/>
  <c r="AK757" i="19"/>
  <c r="X756" i="19"/>
  <c r="T755" i="19"/>
  <c r="AG756" i="19"/>
  <c r="AP756" i="19"/>
  <c r="AC755" i="19"/>
  <c r="Y756" i="19"/>
  <c r="AL757" i="19"/>
  <c r="AA756" i="19"/>
  <c r="AN757" i="19"/>
  <c r="AJ756" i="19"/>
  <c r="W755" i="19"/>
  <c r="S756" i="19"/>
  <c r="AF757" i="19"/>
  <c r="AM756" i="19"/>
  <c r="Z755" i="19"/>
  <c r="AH756" i="19"/>
  <c r="U755" i="19"/>
  <c r="V755" i="19"/>
  <c r="AI756" i="19"/>
  <c r="AB755" i="19"/>
  <c r="AO756" i="19"/>
  <c r="AO755" i="19" l="1"/>
  <c r="AB754" i="19"/>
  <c r="AJ755" i="19"/>
  <c r="W754" i="19"/>
  <c r="S755" i="19"/>
  <c r="AF756" i="19"/>
  <c r="V754" i="19"/>
  <c r="AI755" i="19"/>
  <c r="AH755" i="19"/>
  <c r="U754" i="19"/>
  <c r="AP755" i="19"/>
  <c r="AC754" i="19"/>
  <c r="T754" i="19"/>
  <c r="AG755" i="19"/>
  <c r="X755" i="19"/>
  <c r="AK756" i="19"/>
  <c r="AA755" i="19"/>
  <c r="AN756" i="19"/>
  <c r="AM755" i="19"/>
  <c r="Z754" i="19"/>
  <c r="AL756" i="19"/>
  <c r="Y755" i="19"/>
  <c r="AD754" i="19"/>
  <c r="AQ755" i="19"/>
  <c r="X754" i="19" l="1"/>
  <c r="AK755" i="19"/>
  <c r="AI754" i="19"/>
  <c r="V753" i="19"/>
  <c r="Z753" i="19"/>
  <c r="AM754" i="19"/>
  <c r="Y754" i="19"/>
  <c r="AL755" i="19"/>
  <c r="T753" i="19"/>
  <c r="AG754" i="19"/>
  <c r="AJ754" i="19"/>
  <c r="W753" i="19"/>
  <c r="AH754" i="19"/>
  <c r="U753" i="19"/>
  <c r="AB753" i="19"/>
  <c r="AO754" i="19"/>
  <c r="AD753" i="19"/>
  <c r="AQ754" i="19"/>
  <c r="S754" i="19"/>
  <c r="AF755" i="19"/>
  <c r="AC753" i="19"/>
  <c r="AP754" i="19"/>
  <c r="AA754" i="19"/>
  <c r="AN755" i="19"/>
  <c r="AA753" i="19" l="1"/>
  <c r="AN754" i="19"/>
  <c r="AB752" i="19"/>
  <c r="AO753" i="19"/>
  <c r="U752" i="19"/>
  <c r="AH753" i="19"/>
  <c r="AJ753" i="19"/>
  <c r="W752" i="19"/>
  <c r="AM753" i="19"/>
  <c r="Z752" i="19"/>
  <c r="V752" i="19"/>
  <c r="AI753" i="19"/>
  <c r="S753" i="19"/>
  <c r="AF754" i="19"/>
  <c r="Y753" i="19"/>
  <c r="AL754" i="19"/>
  <c r="AP753" i="19"/>
  <c r="AC752" i="19"/>
  <c r="AD752" i="19"/>
  <c r="AQ753" i="19"/>
  <c r="T752" i="19"/>
  <c r="AG753" i="19"/>
  <c r="AK754" i="19"/>
  <c r="X753" i="19"/>
  <c r="AJ752" i="19" l="1"/>
  <c r="W751" i="19"/>
  <c r="AK753" i="19"/>
  <c r="X752" i="19"/>
  <c r="AL753" i="19"/>
  <c r="Y752" i="19"/>
  <c r="S752" i="19"/>
  <c r="AF753" i="19"/>
  <c r="AD751" i="19"/>
  <c r="AQ752" i="19"/>
  <c r="AB751" i="19"/>
  <c r="AO752" i="19"/>
  <c r="T751" i="19"/>
  <c r="AG752" i="19"/>
  <c r="U751" i="19"/>
  <c r="AH752" i="19"/>
  <c r="V751" i="19"/>
  <c r="AI752" i="19"/>
  <c r="AP752" i="19"/>
  <c r="AC751" i="19"/>
  <c r="AM752" i="19"/>
  <c r="Z751" i="19"/>
  <c r="AA752" i="19"/>
  <c r="AN753" i="19"/>
  <c r="AA751" i="19" l="1"/>
  <c r="AN752" i="19"/>
  <c r="AM751" i="19"/>
  <c r="Z750" i="19"/>
  <c r="S751" i="19"/>
  <c r="AF752" i="19"/>
  <c r="X751" i="19"/>
  <c r="AK752" i="19"/>
  <c r="AB750" i="19"/>
  <c r="AO751" i="19"/>
  <c r="AJ751" i="19"/>
  <c r="W750" i="19"/>
  <c r="AH751" i="19"/>
  <c r="U750" i="19"/>
  <c r="Y751" i="19"/>
  <c r="AL752" i="19"/>
  <c r="AG751" i="19"/>
  <c r="T750" i="19"/>
  <c r="AP751" i="19"/>
  <c r="AC750" i="19"/>
  <c r="V750" i="19"/>
  <c r="AI751" i="19"/>
  <c r="AD750" i="19"/>
  <c r="AQ751" i="19"/>
  <c r="AD749" i="19" l="1"/>
  <c r="AQ750" i="19"/>
  <c r="X750" i="19"/>
  <c r="AK751" i="19"/>
  <c r="V749" i="19"/>
  <c r="AI750" i="19"/>
  <c r="AM750" i="19"/>
  <c r="Z749" i="19"/>
  <c r="Y750" i="19"/>
  <c r="AL751" i="19"/>
  <c r="AP750" i="19"/>
  <c r="AC749" i="19"/>
  <c r="AJ750" i="19"/>
  <c r="W749" i="19"/>
  <c r="T749" i="19"/>
  <c r="AG750" i="19"/>
  <c r="AH750" i="19"/>
  <c r="U749" i="19"/>
  <c r="S750" i="19"/>
  <c r="AF751" i="19"/>
  <c r="AB749" i="19"/>
  <c r="AO750" i="19"/>
  <c r="AA750" i="19"/>
  <c r="AN751" i="19"/>
  <c r="AJ749" i="19" l="1"/>
  <c r="W748" i="19"/>
  <c r="AM749" i="19"/>
  <c r="Z748" i="19"/>
  <c r="AC748" i="19"/>
  <c r="AP749" i="19"/>
  <c r="AA749" i="19"/>
  <c r="AN750" i="19"/>
  <c r="AI749" i="19"/>
  <c r="V748" i="19"/>
  <c r="T748" i="19"/>
  <c r="AG749" i="19"/>
  <c r="AB748" i="19"/>
  <c r="AO749" i="19"/>
  <c r="S749" i="19"/>
  <c r="AF750" i="19"/>
  <c r="AK750" i="19"/>
  <c r="X749" i="19"/>
  <c r="U748" i="19"/>
  <c r="AH749" i="19"/>
  <c r="Y749" i="19"/>
  <c r="AL750" i="19"/>
  <c r="AD748" i="19"/>
  <c r="AQ749" i="19"/>
  <c r="AD747" i="19" l="1"/>
  <c r="AQ748" i="19"/>
  <c r="AA748" i="19"/>
  <c r="AN749" i="19"/>
  <c r="Y748" i="19"/>
  <c r="AL749" i="19"/>
  <c r="AM748" i="19"/>
  <c r="Z747" i="19"/>
  <c r="S748" i="19"/>
  <c r="AF749" i="19"/>
  <c r="AB747" i="19"/>
  <c r="AO748" i="19"/>
  <c r="U747" i="19"/>
  <c r="AH748" i="19"/>
  <c r="T747" i="19"/>
  <c r="AG748" i="19"/>
  <c r="AK749" i="19"/>
  <c r="X748" i="19"/>
  <c r="V747" i="19"/>
  <c r="AI748" i="19"/>
  <c r="AJ748" i="19"/>
  <c r="W747" i="19"/>
  <c r="AP748" i="19"/>
  <c r="AC747" i="19"/>
  <c r="AJ747" i="19" l="1"/>
  <c r="W746" i="19"/>
  <c r="AH747" i="19"/>
  <c r="U746" i="19"/>
  <c r="Y747" i="19"/>
  <c r="AL748" i="19"/>
  <c r="AA747" i="19"/>
  <c r="AN748" i="19"/>
  <c r="AP747" i="19"/>
  <c r="AC746" i="19"/>
  <c r="AG747" i="19"/>
  <c r="T746" i="19"/>
  <c r="V746" i="19"/>
  <c r="AI747" i="19"/>
  <c r="X747" i="19"/>
  <c r="AK748" i="19"/>
  <c r="Z746" i="19"/>
  <c r="AM747" i="19"/>
  <c r="AB746" i="19"/>
  <c r="AO747" i="19"/>
  <c r="S747" i="19"/>
  <c r="AF748" i="19"/>
  <c r="AD746" i="19"/>
  <c r="AQ747" i="19"/>
  <c r="AA746" i="19" l="1"/>
  <c r="AN747" i="19"/>
  <c r="Y746" i="19"/>
  <c r="AL747" i="19"/>
  <c r="AH746" i="19"/>
  <c r="U745" i="19"/>
  <c r="T745" i="19"/>
  <c r="AG746" i="19"/>
  <c r="AD745" i="19"/>
  <c r="AQ746" i="19"/>
  <c r="S746" i="19"/>
  <c r="AF747" i="19"/>
  <c r="AB745" i="19"/>
  <c r="AO746" i="19"/>
  <c r="AC745" i="19"/>
  <c r="AP746" i="19"/>
  <c r="AJ746" i="19"/>
  <c r="W745" i="19"/>
  <c r="X746" i="19"/>
  <c r="AK747" i="19"/>
  <c r="V745" i="19"/>
  <c r="AI746" i="19"/>
  <c r="AM746" i="19"/>
  <c r="Z745" i="19"/>
  <c r="U744" i="19" l="1"/>
  <c r="AH745" i="19"/>
  <c r="AM745" i="19"/>
  <c r="Z744" i="19"/>
  <c r="AC744" i="19"/>
  <c r="AP745" i="19"/>
  <c r="V744" i="19"/>
  <c r="AI745" i="19"/>
  <c r="S745" i="19"/>
  <c r="AF746" i="19"/>
  <c r="AB744" i="19"/>
  <c r="AO745" i="19"/>
  <c r="AK746" i="19"/>
  <c r="X745" i="19"/>
  <c r="Y745" i="19"/>
  <c r="AL746" i="19"/>
  <c r="AJ745" i="19"/>
  <c r="W744" i="19"/>
  <c r="T744" i="19"/>
  <c r="AG745" i="19"/>
  <c r="AD744" i="19"/>
  <c r="AQ745" i="19"/>
  <c r="AA745" i="19"/>
  <c r="AN746" i="19"/>
  <c r="AA744" i="19" l="1"/>
  <c r="AN745" i="19"/>
  <c r="Y744" i="19"/>
  <c r="AL745" i="19"/>
  <c r="Z743" i="19"/>
  <c r="AM744" i="19"/>
  <c r="AK745" i="19"/>
  <c r="X744" i="19"/>
  <c r="AP744" i="19"/>
  <c r="AC743" i="19"/>
  <c r="AB743" i="19"/>
  <c r="AO744" i="19"/>
  <c r="V743" i="19"/>
  <c r="AI744" i="19"/>
  <c r="AD743" i="19"/>
  <c r="AQ744" i="19"/>
  <c r="T743" i="19"/>
  <c r="AG744" i="19"/>
  <c r="AJ744" i="19"/>
  <c r="W743" i="19"/>
  <c r="S744" i="19"/>
  <c r="AF745" i="19"/>
  <c r="U743" i="19"/>
  <c r="AH744" i="19"/>
  <c r="AK744" i="19" l="1"/>
  <c r="X743" i="19"/>
  <c r="AJ743" i="19"/>
  <c r="W742" i="19"/>
  <c r="S743" i="19"/>
  <c r="AF744" i="19"/>
  <c r="AL744" i="19"/>
  <c r="Y743" i="19"/>
  <c r="AQ743" i="19"/>
  <c r="AD742" i="19"/>
  <c r="Z742" i="19"/>
  <c r="AM743" i="19"/>
  <c r="AB742" i="19"/>
  <c r="AO743" i="19"/>
  <c r="AC742" i="19"/>
  <c r="AP743" i="19"/>
  <c r="U742" i="19"/>
  <c r="AH743" i="19"/>
  <c r="AI743" i="19"/>
  <c r="V742" i="19"/>
  <c r="T742" i="19"/>
  <c r="AG743" i="19"/>
  <c r="AA743" i="19"/>
  <c r="AN744" i="19"/>
  <c r="AP742" i="19" l="1"/>
  <c r="AC741" i="19"/>
  <c r="T741" i="19"/>
  <c r="AG742" i="19"/>
  <c r="AA742" i="19"/>
  <c r="AN743" i="19"/>
  <c r="S742" i="19"/>
  <c r="AF743" i="19"/>
  <c r="AJ742" i="19"/>
  <c r="W741" i="19"/>
  <c r="AD741" i="19"/>
  <c r="AQ742" i="19"/>
  <c r="AK743" i="19"/>
  <c r="X742" i="19"/>
  <c r="Y742" i="19"/>
  <c r="AL743" i="19"/>
  <c r="AB741" i="19"/>
  <c r="AO742" i="19"/>
  <c r="V741" i="19"/>
  <c r="AI742" i="19"/>
  <c r="AM742" i="19"/>
  <c r="Z741" i="19"/>
  <c r="AH742" i="19"/>
  <c r="U741" i="19"/>
  <c r="S741" i="19" l="1"/>
  <c r="AF742" i="19"/>
  <c r="V740" i="19"/>
  <c r="AI741" i="19"/>
  <c r="U740" i="19"/>
  <c r="AH741" i="19"/>
  <c r="Y741" i="19"/>
  <c r="AL742" i="19"/>
  <c r="AK742" i="19"/>
  <c r="X741" i="19"/>
  <c r="AD740" i="19"/>
  <c r="AQ741" i="19"/>
  <c r="AJ741" i="19"/>
  <c r="W740" i="19"/>
  <c r="AC740" i="19"/>
  <c r="AP741" i="19"/>
  <c r="AM741" i="19"/>
  <c r="Z740" i="19"/>
  <c r="AA741" i="19"/>
  <c r="AN742" i="19"/>
  <c r="T740" i="19"/>
  <c r="AG741" i="19"/>
  <c r="AB740" i="19"/>
  <c r="AO741" i="19"/>
  <c r="AL741" i="19" l="1"/>
  <c r="Y740" i="19"/>
  <c r="AB739" i="19"/>
  <c r="AO740" i="19"/>
  <c r="AI740" i="19"/>
  <c r="V739" i="19"/>
  <c r="AC739" i="19"/>
  <c r="AP740" i="19"/>
  <c r="T739" i="19"/>
  <c r="AG740" i="19"/>
  <c r="AQ740" i="19"/>
  <c r="AD739" i="19"/>
  <c r="AM740" i="19"/>
  <c r="Z739" i="19"/>
  <c r="AK741" i="19"/>
  <c r="X740" i="19"/>
  <c r="AJ740" i="19"/>
  <c r="W739" i="19"/>
  <c r="U739" i="19"/>
  <c r="AH740" i="19"/>
  <c r="AA740" i="19"/>
  <c r="AN741" i="19"/>
  <c r="S740" i="19"/>
  <c r="AF741" i="19"/>
  <c r="AK740" i="19" l="1"/>
  <c r="X739" i="19"/>
  <c r="AI739" i="19"/>
  <c r="V738" i="19"/>
  <c r="AB738" i="19"/>
  <c r="AO739" i="19"/>
  <c r="AP739" i="19"/>
  <c r="AC738" i="19"/>
  <c r="AA739" i="19"/>
  <c r="AN740" i="19"/>
  <c r="AH739" i="19"/>
  <c r="U738" i="19"/>
  <c r="AL740" i="19"/>
  <c r="Y739" i="19"/>
  <c r="S739" i="19"/>
  <c r="AF740" i="19"/>
  <c r="Z738" i="19"/>
  <c r="AM739" i="19"/>
  <c r="AD738" i="19"/>
  <c r="AQ739" i="19"/>
  <c r="AJ739" i="19"/>
  <c r="W738" i="19"/>
  <c r="T738" i="19"/>
  <c r="AG739" i="19"/>
  <c r="AL739" i="19" l="1"/>
  <c r="Y738" i="19"/>
  <c r="AC737" i="19"/>
  <c r="AP738" i="19"/>
  <c r="S738" i="19"/>
  <c r="AF739" i="19"/>
  <c r="AJ738" i="19"/>
  <c r="W737" i="19"/>
  <c r="AH738" i="19"/>
  <c r="U737" i="19"/>
  <c r="AD737" i="19"/>
  <c r="AQ738" i="19"/>
  <c r="AK739" i="19"/>
  <c r="X738" i="19"/>
  <c r="T737" i="19"/>
  <c r="AG738" i="19"/>
  <c r="AB737" i="19"/>
  <c r="AO738" i="19"/>
  <c r="AI738" i="19"/>
  <c r="V737" i="19"/>
  <c r="Z737" i="19"/>
  <c r="AM738" i="19"/>
  <c r="AA738" i="19"/>
  <c r="AN739" i="19"/>
  <c r="AA737" i="19" l="1"/>
  <c r="AN738" i="19"/>
  <c r="S737" i="19"/>
  <c r="AF738" i="19"/>
  <c r="AC736" i="19"/>
  <c r="AP737" i="19"/>
  <c r="T736" i="19"/>
  <c r="AG737" i="19"/>
  <c r="AM737" i="19"/>
  <c r="Z736" i="19"/>
  <c r="AQ737" i="19"/>
  <c r="AD736" i="19"/>
  <c r="AH737" i="19"/>
  <c r="U736" i="19"/>
  <c r="Y737" i="19"/>
  <c r="AL738" i="19"/>
  <c r="AJ737" i="19"/>
  <c r="W736" i="19"/>
  <c r="AK738" i="19"/>
  <c r="X737" i="19"/>
  <c r="V736" i="19"/>
  <c r="AI737" i="19"/>
  <c r="AB736" i="19"/>
  <c r="AO737" i="19"/>
  <c r="U735" i="19" l="1"/>
  <c r="AH736" i="19"/>
  <c r="T735" i="19"/>
  <c r="AG736" i="19"/>
  <c r="AB735" i="19"/>
  <c r="AO736" i="19"/>
  <c r="AP736" i="19"/>
  <c r="AC735" i="19"/>
  <c r="S736" i="19"/>
  <c r="AF737" i="19"/>
  <c r="Y736" i="19"/>
  <c r="AL737" i="19"/>
  <c r="V735" i="19"/>
  <c r="AI736" i="19"/>
  <c r="AQ736" i="19"/>
  <c r="AD735" i="19"/>
  <c r="AJ736" i="19"/>
  <c r="W735" i="19"/>
  <c r="Z735" i="19"/>
  <c r="AM736" i="19"/>
  <c r="AK737" i="19"/>
  <c r="X736" i="19"/>
  <c r="AA736" i="19"/>
  <c r="AN737" i="19"/>
  <c r="AQ735" i="19" l="1"/>
  <c r="AD734" i="19"/>
  <c r="AA735" i="19"/>
  <c r="AN736" i="19"/>
  <c r="AK736" i="19"/>
  <c r="X735" i="19"/>
  <c r="Z734" i="19"/>
  <c r="AM735" i="19"/>
  <c r="AP735" i="19"/>
  <c r="AC734" i="19"/>
  <c r="AB734" i="19"/>
  <c r="AO735" i="19"/>
  <c r="AL736" i="19"/>
  <c r="Y735" i="19"/>
  <c r="T734" i="19"/>
  <c r="AG735" i="19"/>
  <c r="AJ735" i="19"/>
  <c r="W734" i="19"/>
  <c r="AI735" i="19"/>
  <c r="V734" i="19"/>
  <c r="S735" i="19"/>
  <c r="AF736" i="19"/>
  <c r="U734" i="19"/>
  <c r="AH735" i="19"/>
  <c r="AK735" i="19" l="1"/>
  <c r="X734" i="19"/>
  <c r="T733" i="19"/>
  <c r="AG734" i="19"/>
  <c r="Y734" i="19"/>
  <c r="AL735" i="19"/>
  <c r="AB733" i="19"/>
  <c r="AO734" i="19"/>
  <c r="AM734" i="19"/>
  <c r="Z733" i="19"/>
  <c r="AA734" i="19"/>
  <c r="AN735" i="19"/>
  <c r="AJ734" i="19"/>
  <c r="W733" i="19"/>
  <c r="AP734" i="19"/>
  <c r="AC733" i="19"/>
  <c r="AQ734" i="19"/>
  <c r="AD733" i="19"/>
  <c r="AH734" i="19"/>
  <c r="U733" i="19"/>
  <c r="S734" i="19"/>
  <c r="AF735" i="19"/>
  <c r="V733" i="19"/>
  <c r="AI734" i="19"/>
  <c r="AB732" i="19" l="1"/>
  <c r="AO733" i="19"/>
  <c r="V732" i="19"/>
  <c r="AI733" i="19"/>
  <c r="S733" i="19"/>
  <c r="AF734" i="19"/>
  <c r="Y733" i="19"/>
  <c r="AL734" i="19"/>
  <c r="AA733" i="19"/>
  <c r="AN734" i="19"/>
  <c r="AP733" i="19"/>
  <c r="AC732" i="19"/>
  <c r="T732" i="19"/>
  <c r="AG733" i="19"/>
  <c r="AD732" i="19"/>
  <c r="AQ733" i="19"/>
  <c r="AM733" i="19"/>
  <c r="Z732" i="19"/>
  <c r="AK734" i="19"/>
  <c r="X733" i="19"/>
  <c r="AJ733" i="19"/>
  <c r="W732" i="19"/>
  <c r="U732" i="19"/>
  <c r="AH733" i="19"/>
  <c r="U731" i="19" l="1"/>
  <c r="AH732" i="19"/>
  <c r="AQ732" i="19"/>
  <c r="AD731" i="19"/>
  <c r="T731" i="19"/>
  <c r="AG732" i="19"/>
  <c r="AI732" i="19"/>
  <c r="V731" i="19"/>
  <c r="AL733" i="19"/>
  <c r="Y732" i="19"/>
  <c r="S732" i="19"/>
  <c r="AF733" i="19"/>
  <c r="AC731" i="19"/>
  <c r="AP732" i="19"/>
  <c r="AM732" i="19"/>
  <c r="Z731" i="19"/>
  <c r="AJ732" i="19"/>
  <c r="W731" i="19"/>
  <c r="AK733" i="19"/>
  <c r="X732" i="19"/>
  <c r="AA732" i="19"/>
  <c r="AN733" i="19"/>
  <c r="AB731" i="19"/>
  <c r="AO732" i="19"/>
  <c r="Z730" i="19" l="1"/>
  <c r="AM731" i="19"/>
  <c r="AA731" i="19"/>
  <c r="AN732" i="19"/>
  <c r="AD730" i="19"/>
  <c r="AQ731" i="19"/>
  <c r="AB730" i="19"/>
  <c r="AO731" i="19"/>
  <c r="AK732" i="19"/>
  <c r="X731" i="19"/>
  <c r="AP731" i="19"/>
  <c r="AC730" i="19"/>
  <c r="S731" i="19"/>
  <c r="AF732" i="19"/>
  <c r="AJ731" i="19"/>
  <c r="W730" i="19"/>
  <c r="AL732" i="19"/>
  <c r="Y731" i="19"/>
  <c r="AI731" i="19"/>
  <c r="V730" i="19"/>
  <c r="T730" i="19"/>
  <c r="AG731" i="19"/>
  <c r="AH731" i="19"/>
  <c r="U730" i="19"/>
  <c r="AJ730" i="19" l="1"/>
  <c r="W729" i="19"/>
  <c r="T729" i="19"/>
  <c r="AG730" i="19"/>
  <c r="AI730" i="19"/>
  <c r="V729" i="19"/>
  <c r="AA730" i="19"/>
  <c r="AN731" i="19"/>
  <c r="AH730" i="19"/>
  <c r="U729" i="19"/>
  <c r="AB729" i="19"/>
  <c r="AO730" i="19"/>
  <c r="S730" i="19"/>
  <c r="AF731" i="19"/>
  <c r="AL731" i="19"/>
  <c r="Y730" i="19"/>
  <c r="AK731" i="19"/>
  <c r="X730" i="19"/>
  <c r="AD729" i="19"/>
  <c r="AQ730" i="19"/>
  <c r="AC729" i="19"/>
  <c r="AP730" i="19"/>
  <c r="AM730" i="19"/>
  <c r="Z729" i="19"/>
  <c r="AA729" i="19" l="1"/>
  <c r="AN730" i="19"/>
  <c r="AI729" i="19"/>
  <c r="V728" i="19"/>
  <c r="Y729" i="19"/>
  <c r="AL730" i="19"/>
  <c r="S729" i="19"/>
  <c r="AF730" i="19"/>
  <c r="AC728" i="19"/>
  <c r="AP729" i="19"/>
  <c r="T728" i="19"/>
  <c r="AG729" i="19"/>
  <c r="AM729" i="19"/>
  <c r="Z728" i="19"/>
  <c r="AQ729" i="19"/>
  <c r="AD728" i="19"/>
  <c r="AB728" i="19"/>
  <c r="AO729" i="19"/>
  <c r="AK730" i="19"/>
  <c r="X729" i="19"/>
  <c r="AH729" i="19"/>
  <c r="U728" i="19"/>
  <c r="AJ729" i="19"/>
  <c r="W728" i="19"/>
  <c r="AQ728" i="19" l="1"/>
  <c r="AD727" i="19"/>
  <c r="Z727" i="19"/>
  <c r="AM728" i="19"/>
  <c r="AB727" i="19"/>
  <c r="AO728" i="19"/>
  <c r="AJ728" i="19"/>
  <c r="W727" i="19"/>
  <c r="S728" i="19"/>
  <c r="AF729" i="19"/>
  <c r="V727" i="19"/>
  <c r="AI728" i="19"/>
  <c r="AP728" i="19"/>
  <c r="AC727" i="19"/>
  <c r="AH728" i="19"/>
  <c r="U727" i="19"/>
  <c r="AL729" i="19"/>
  <c r="Y728" i="19"/>
  <c r="AK729" i="19"/>
  <c r="X728" i="19"/>
  <c r="T727" i="19"/>
  <c r="AG728" i="19"/>
  <c r="AA728" i="19"/>
  <c r="AN729" i="19"/>
  <c r="AA727" i="19" l="1"/>
  <c r="AN728" i="19"/>
  <c r="AP727" i="19"/>
  <c r="AC726" i="19"/>
  <c r="AJ727" i="19"/>
  <c r="W726" i="19"/>
  <c r="U726" i="19"/>
  <c r="AH727" i="19"/>
  <c r="T726" i="19"/>
  <c r="AG727" i="19"/>
  <c r="AK728" i="19"/>
  <c r="X727" i="19"/>
  <c r="AI727" i="19"/>
  <c r="V726" i="19"/>
  <c r="AB726" i="19"/>
  <c r="AO727" i="19"/>
  <c r="Z726" i="19"/>
  <c r="AM727" i="19"/>
  <c r="AL728" i="19"/>
  <c r="Y727" i="19"/>
  <c r="AQ727" i="19"/>
  <c r="AD726" i="19"/>
  <c r="S727" i="19"/>
  <c r="AF728" i="19"/>
  <c r="AH726" i="19" l="1"/>
  <c r="U725" i="19"/>
  <c r="S726" i="19"/>
  <c r="AF727" i="19"/>
  <c r="AJ726" i="19"/>
  <c r="W725" i="19"/>
  <c r="AP726" i="19"/>
  <c r="AC725" i="19"/>
  <c r="V725" i="19"/>
  <c r="AI726" i="19"/>
  <c r="AD725" i="19"/>
  <c r="AQ726" i="19"/>
  <c r="Y726" i="19"/>
  <c r="AL727" i="19"/>
  <c r="AB725" i="19"/>
  <c r="AO726" i="19"/>
  <c r="AK727" i="19"/>
  <c r="X726" i="19"/>
  <c r="AM726" i="19"/>
  <c r="Z725" i="19"/>
  <c r="T725" i="19"/>
  <c r="AG726" i="19"/>
  <c r="AA726" i="19"/>
  <c r="AN727" i="19"/>
  <c r="AC724" i="19" l="1"/>
  <c r="AP725" i="19"/>
  <c r="AA725" i="19"/>
  <c r="AN726" i="19"/>
  <c r="AB724" i="19"/>
  <c r="AO725" i="19"/>
  <c r="Y725" i="19"/>
  <c r="AL726" i="19"/>
  <c r="S725" i="19"/>
  <c r="AF726" i="19"/>
  <c r="T724" i="19"/>
  <c r="AG725" i="19"/>
  <c r="AM725" i="19"/>
  <c r="Z724" i="19"/>
  <c r="AD724" i="19"/>
  <c r="AQ725" i="19"/>
  <c r="AK726" i="19"/>
  <c r="X725" i="19"/>
  <c r="U724" i="19"/>
  <c r="AH725" i="19"/>
  <c r="AJ725" i="19"/>
  <c r="W724" i="19"/>
  <c r="V724" i="19"/>
  <c r="AI725" i="19"/>
  <c r="AC723" i="19" l="1"/>
  <c r="AP724" i="19"/>
  <c r="AQ724" i="19"/>
  <c r="AD723" i="19"/>
  <c r="AM724" i="19"/>
  <c r="Z723" i="19"/>
  <c r="AL725" i="19"/>
  <c r="Y724" i="19"/>
  <c r="S724" i="19"/>
  <c r="AF725" i="19"/>
  <c r="AI724" i="19"/>
  <c r="V723" i="19"/>
  <c r="AB723" i="19"/>
  <c r="AO724" i="19"/>
  <c r="U723" i="19"/>
  <c r="AH724" i="19"/>
  <c r="AJ724" i="19"/>
  <c r="W723" i="19"/>
  <c r="T723" i="19"/>
  <c r="AG724" i="19"/>
  <c r="AA724" i="19"/>
  <c r="AN725" i="19"/>
  <c r="AK725" i="19"/>
  <c r="X724" i="19"/>
  <c r="Z722" i="19" l="1"/>
  <c r="AM723" i="19"/>
  <c r="AD722" i="19"/>
  <c r="AQ723" i="19"/>
  <c r="AK724" i="19"/>
  <c r="X723" i="19"/>
  <c r="AH723" i="19"/>
  <c r="U722" i="19"/>
  <c r="AB722" i="19"/>
  <c r="AO723" i="19"/>
  <c r="AA723" i="19"/>
  <c r="AN724" i="19"/>
  <c r="AI723" i="19"/>
  <c r="V722" i="19"/>
  <c r="T722" i="19"/>
  <c r="AG723" i="19"/>
  <c r="AJ723" i="19"/>
  <c r="W722" i="19"/>
  <c r="AL724" i="19"/>
  <c r="Y723" i="19"/>
  <c r="S723" i="19"/>
  <c r="AF724" i="19"/>
  <c r="AP723" i="19"/>
  <c r="AC722" i="19"/>
  <c r="AC721" i="19" l="1"/>
  <c r="AP722" i="19"/>
  <c r="U721" i="19"/>
  <c r="AH722" i="19"/>
  <c r="AK723" i="19"/>
  <c r="X722" i="19"/>
  <c r="AD721" i="19"/>
  <c r="AQ722" i="19"/>
  <c r="AI722" i="19"/>
  <c r="V721" i="19"/>
  <c r="S722" i="19"/>
  <c r="AF723" i="19"/>
  <c r="AL723" i="19"/>
  <c r="Y722" i="19"/>
  <c r="AA722" i="19"/>
  <c r="AN723" i="19"/>
  <c r="W721" i="19"/>
  <c r="AJ722" i="19"/>
  <c r="AG722" i="19"/>
  <c r="T721" i="19"/>
  <c r="AO722" i="19"/>
  <c r="AB721" i="19"/>
  <c r="Z721" i="19"/>
  <c r="AM722" i="19"/>
  <c r="AA721" i="19" l="1"/>
  <c r="AN722" i="19"/>
  <c r="AK722" i="19"/>
  <c r="X721" i="19"/>
  <c r="AH721" i="19"/>
  <c r="U720" i="19"/>
  <c r="Z720" i="19"/>
  <c r="AM721" i="19"/>
  <c r="AB720" i="19"/>
  <c r="AO721" i="19"/>
  <c r="AG721" i="19"/>
  <c r="T720" i="19"/>
  <c r="AF722" i="19"/>
  <c r="S721" i="19"/>
  <c r="V720" i="19"/>
  <c r="AI721" i="19"/>
  <c r="AQ721" i="19"/>
  <c r="AD720" i="19"/>
  <c r="Y721" i="19"/>
  <c r="AL722" i="19"/>
  <c r="W720" i="19"/>
  <c r="AJ721" i="19"/>
  <c r="AP721" i="19"/>
  <c r="AC720" i="19"/>
  <c r="AM720" i="19" l="1"/>
  <c r="Z719" i="19"/>
  <c r="AP720" i="19"/>
  <c r="AC719" i="19"/>
  <c r="AH720" i="19"/>
  <c r="U719" i="19"/>
  <c r="AF721" i="19"/>
  <c r="S720" i="19"/>
  <c r="W719" i="19"/>
  <c r="AJ720" i="19"/>
  <c r="AG720" i="19"/>
  <c r="T719" i="19"/>
  <c r="Y720" i="19"/>
  <c r="AL721" i="19"/>
  <c r="AQ720" i="19"/>
  <c r="AD719" i="19"/>
  <c r="V719" i="19"/>
  <c r="AI720" i="19"/>
  <c r="X720" i="19"/>
  <c r="AK721" i="19"/>
  <c r="AB719" i="19"/>
  <c r="AO720" i="19"/>
  <c r="AA720" i="19"/>
  <c r="AN721" i="19"/>
  <c r="AF720" i="19" l="1"/>
  <c r="S719" i="19"/>
  <c r="AQ719" i="19"/>
  <c r="AD718" i="19"/>
  <c r="AB718" i="19"/>
  <c r="AO719" i="19"/>
  <c r="X719" i="19"/>
  <c r="AK720" i="19"/>
  <c r="AH719" i="19"/>
  <c r="U718" i="19"/>
  <c r="AC718" i="19"/>
  <c r="AP719" i="19"/>
  <c r="Z718" i="19"/>
  <c r="AM719" i="19"/>
  <c r="AN720" i="19"/>
  <c r="AA719" i="19"/>
  <c r="AL720" i="19"/>
  <c r="Y719" i="19"/>
  <c r="T718" i="19"/>
  <c r="AG719" i="19"/>
  <c r="AI719" i="19"/>
  <c r="V718" i="19"/>
  <c r="W718" i="19"/>
  <c r="AJ719" i="19"/>
  <c r="W717" i="19" l="1"/>
  <c r="AJ718" i="19"/>
  <c r="AI718" i="19"/>
  <c r="V717" i="19"/>
  <c r="AK719" i="19"/>
  <c r="X718" i="19"/>
  <c r="Z717" i="19"/>
  <c r="AM718" i="19"/>
  <c r="AC717" i="19"/>
  <c r="AP718" i="19"/>
  <c r="AB717" i="19"/>
  <c r="AO718" i="19"/>
  <c r="AD717" i="19"/>
  <c r="AQ718" i="19"/>
  <c r="AG718" i="19"/>
  <c r="T717" i="19"/>
  <c r="Y718" i="19"/>
  <c r="AL719" i="19"/>
  <c r="U717" i="19"/>
  <c r="AH718" i="19"/>
  <c r="AF719" i="19"/>
  <c r="S718" i="19"/>
  <c r="AN719" i="19"/>
  <c r="AA718" i="19"/>
  <c r="AF718" i="19" l="1"/>
  <c r="S717" i="19"/>
  <c r="AG717" i="19"/>
  <c r="T716" i="19"/>
  <c r="AM717" i="19"/>
  <c r="Z716" i="19"/>
  <c r="X717" i="19"/>
  <c r="AK718" i="19"/>
  <c r="AQ717" i="19"/>
  <c r="AD716" i="19"/>
  <c r="U716" i="19"/>
  <c r="AH717" i="19"/>
  <c r="AN718" i="19"/>
  <c r="AA717" i="19"/>
  <c r="V716" i="19"/>
  <c r="AI717" i="19"/>
  <c r="AO717" i="19"/>
  <c r="AB716" i="19"/>
  <c r="Y717" i="19"/>
  <c r="AL718" i="19"/>
  <c r="AP717" i="19"/>
  <c r="AC716" i="19"/>
  <c r="W716" i="19"/>
  <c r="AJ717" i="19"/>
  <c r="X716" i="19" l="1"/>
  <c r="AK717" i="19"/>
  <c r="AP716" i="19"/>
  <c r="AC715" i="19"/>
  <c r="W715" i="19"/>
  <c r="AJ716" i="19"/>
  <c r="AI716" i="19"/>
  <c r="V715" i="19"/>
  <c r="AH716" i="19"/>
  <c r="U715" i="19"/>
  <c r="Z715" i="19"/>
  <c r="AM716" i="19"/>
  <c r="AG716" i="19"/>
  <c r="T715" i="19"/>
  <c r="AL717" i="19"/>
  <c r="Y716" i="19"/>
  <c r="AB715" i="19"/>
  <c r="AO716" i="19"/>
  <c r="AD715" i="19"/>
  <c r="AQ716" i="19"/>
  <c r="AF717" i="19"/>
  <c r="S716" i="19"/>
  <c r="AN717" i="19"/>
  <c r="AA716" i="19"/>
  <c r="AI715" i="19" l="1"/>
  <c r="V714" i="19"/>
  <c r="T714" i="19"/>
  <c r="AG715" i="19"/>
  <c r="Y715" i="19"/>
  <c r="AL716" i="19"/>
  <c r="W714" i="19"/>
  <c r="AJ715" i="19"/>
  <c r="Z714" i="19"/>
  <c r="AM715" i="19"/>
  <c r="AN716" i="19"/>
  <c r="AA715" i="19"/>
  <c r="AF716" i="19"/>
  <c r="S715" i="19"/>
  <c r="AC714" i="19"/>
  <c r="AP715" i="19"/>
  <c r="AQ715" i="19"/>
  <c r="AD714" i="19"/>
  <c r="AH715" i="19"/>
  <c r="U714" i="19"/>
  <c r="AO715" i="19"/>
  <c r="AB714" i="19"/>
  <c r="X715" i="19"/>
  <c r="AK716" i="19"/>
  <c r="W713" i="19" l="1"/>
  <c r="AJ714" i="19"/>
  <c r="AF715" i="19"/>
  <c r="S714" i="19"/>
  <c r="X714" i="19"/>
  <c r="AK715" i="19"/>
  <c r="AO714" i="19"/>
  <c r="AB713" i="19"/>
  <c r="Y714" i="19"/>
  <c r="AL715" i="19"/>
  <c r="AP714" i="19"/>
  <c r="AC713" i="19"/>
  <c r="U713" i="19"/>
  <c r="AH714" i="19"/>
  <c r="AN715" i="19"/>
  <c r="AA714" i="19"/>
  <c r="T713" i="19"/>
  <c r="AG714" i="19"/>
  <c r="AD713" i="19"/>
  <c r="AQ714" i="19"/>
  <c r="AI714" i="19"/>
  <c r="V713" i="19"/>
  <c r="Z713" i="19"/>
  <c r="AM714" i="19"/>
  <c r="AO713" i="19" l="1"/>
  <c r="AB712" i="19"/>
  <c r="AH713" i="19"/>
  <c r="U712" i="19"/>
  <c r="AC712" i="19"/>
  <c r="AP713" i="19"/>
  <c r="Z712" i="19"/>
  <c r="AM713" i="19"/>
  <c r="AN714" i="19"/>
  <c r="AA713" i="19"/>
  <c r="V712" i="19"/>
  <c r="AI713" i="19"/>
  <c r="AK714" i="19"/>
  <c r="X713" i="19"/>
  <c r="AF714" i="19"/>
  <c r="S713" i="19"/>
  <c r="AD712" i="19"/>
  <c r="AQ713" i="19"/>
  <c r="AG713" i="19"/>
  <c r="T712" i="19"/>
  <c r="AL714" i="19"/>
  <c r="Y713" i="19"/>
  <c r="W712" i="19"/>
  <c r="AJ713" i="19"/>
  <c r="AF713" i="19" l="1"/>
  <c r="S712" i="19"/>
  <c r="X712" i="19"/>
  <c r="AK713" i="19"/>
  <c r="AG712" i="19"/>
  <c r="T711" i="19"/>
  <c r="Z711" i="19"/>
  <c r="AM712" i="19"/>
  <c r="Y712" i="19"/>
  <c r="AL713" i="19"/>
  <c r="AH712" i="19"/>
  <c r="U711" i="19"/>
  <c r="AN713" i="19"/>
  <c r="AA712" i="19"/>
  <c r="AB711" i="19"/>
  <c r="AO712" i="19"/>
  <c r="W711" i="19"/>
  <c r="AJ712" i="19"/>
  <c r="AP712" i="19"/>
  <c r="AC711" i="19"/>
  <c r="V711" i="19"/>
  <c r="AI712" i="19"/>
  <c r="AQ712" i="19"/>
  <c r="AD711" i="19"/>
  <c r="AO711" i="19" l="1"/>
  <c r="AB710" i="19"/>
  <c r="Z710" i="19"/>
  <c r="AM711" i="19"/>
  <c r="AQ711" i="19"/>
  <c r="AD710" i="19"/>
  <c r="T710" i="19"/>
  <c r="AG711" i="19"/>
  <c r="AH711" i="19"/>
  <c r="U710" i="19"/>
  <c r="X711" i="19"/>
  <c r="AK712" i="19"/>
  <c r="AN712" i="19"/>
  <c r="AA711" i="19"/>
  <c r="AF712" i="19"/>
  <c r="S711" i="19"/>
  <c r="V710" i="19"/>
  <c r="AI711" i="19"/>
  <c r="AC710" i="19"/>
  <c r="AP711" i="19"/>
  <c r="W710" i="19"/>
  <c r="AJ711" i="19"/>
  <c r="Y711" i="19"/>
  <c r="AL712" i="19"/>
  <c r="AN711" i="19" l="1"/>
  <c r="AA710" i="19"/>
  <c r="AD709" i="19"/>
  <c r="AQ710" i="19"/>
  <c r="AG710" i="19"/>
  <c r="T709" i="19"/>
  <c r="Y710" i="19"/>
  <c r="AL711" i="19"/>
  <c r="AK711" i="19"/>
  <c r="X710" i="19"/>
  <c r="AF711" i="19"/>
  <c r="S710" i="19"/>
  <c r="W709" i="19"/>
  <c r="AJ710" i="19"/>
  <c r="AC709" i="19"/>
  <c r="AP710" i="19"/>
  <c r="Z709" i="19"/>
  <c r="AM710" i="19"/>
  <c r="U709" i="19"/>
  <c r="AH710" i="19"/>
  <c r="AB709" i="19"/>
  <c r="AO710" i="19"/>
  <c r="AI710" i="19"/>
  <c r="V709" i="19"/>
  <c r="V708" i="19" l="1"/>
  <c r="AI709" i="19"/>
  <c r="AP709" i="19"/>
  <c r="AC708" i="19"/>
  <c r="Y709" i="19"/>
  <c r="AL710" i="19"/>
  <c r="AF710" i="19"/>
  <c r="S709" i="19"/>
  <c r="AQ709" i="19"/>
  <c r="AD708" i="19"/>
  <c r="AG709" i="19"/>
  <c r="T708" i="19"/>
  <c r="W708" i="19"/>
  <c r="AJ709" i="19"/>
  <c r="U708" i="19"/>
  <c r="AH709" i="19"/>
  <c r="AN710" i="19"/>
  <c r="AA709" i="19"/>
  <c r="AO709" i="19"/>
  <c r="AB708" i="19"/>
  <c r="X709" i="19"/>
  <c r="AK710" i="19"/>
  <c r="AM709" i="19"/>
  <c r="Z708" i="19"/>
  <c r="AM708" i="19" l="1"/>
  <c r="Z707" i="19"/>
  <c r="AF709" i="19"/>
  <c r="S708" i="19"/>
  <c r="AB707" i="19"/>
  <c r="AO708" i="19"/>
  <c r="W707" i="19"/>
  <c r="AJ708" i="19"/>
  <c r="AL709" i="19"/>
  <c r="Y708" i="19"/>
  <c r="AP708" i="19"/>
  <c r="AC707" i="19"/>
  <c r="AD707" i="19"/>
  <c r="AQ708" i="19"/>
  <c r="AH708" i="19"/>
  <c r="U707" i="19"/>
  <c r="X708" i="19"/>
  <c r="AK709" i="19"/>
  <c r="AG708" i="19"/>
  <c r="T707" i="19"/>
  <c r="AN709" i="19"/>
  <c r="AA708" i="19"/>
  <c r="AI708" i="19"/>
  <c r="V707" i="19"/>
  <c r="AN708" i="19" l="1"/>
  <c r="AA707" i="19"/>
  <c r="AI707" i="19"/>
  <c r="V706" i="19"/>
  <c r="AB706" i="19"/>
  <c r="AO707" i="19"/>
  <c r="X707" i="19"/>
  <c r="AK708" i="19"/>
  <c r="AH707" i="19"/>
  <c r="U706" i="19"/>
  <c r="W706" i="19"/>
  <c r="AJ707" i="19"/>
  <c r="AQ707" i="19"/>
  <c r="AD706" i="19"/>
  <c r="T706" i="19"/>
  <c r="AG707" i="19"/>
  <c r="AC706" i="19"/>
  <c r="AP707" i="19"/>
  <c r="AF708" i="19"/>
  <c r="S707" i="19"/>
  <c r="Y707" i="19"/>
  <c r="AL708" i="19"/>
  <c r="Z706" i="19"/>
  <c r="AM707" i="19"/>
  <c r="X706" i="19" l="1"/>
  <c r="AK707" i="19"/>
  <c r="AQ706" i="19"/>
  <c r="AD705" i="19"/>
  <c r="AC705" i="19"/>
  <c r="AP706" i="19"/>
  <c r="AM706" i="19"/>
  <c r="Z705" i="19"/>
  <c r="Y706" i="19"/>
  <c r="AL707" i="19"/>
  <c r="AO706" i="19"/>
  <c r="AB705" i="19"/>
  <c r="W705" i="19"/>
  <c r="AJ706" i="19"/>
  <c r="T705" i="19"/>
  <c r="AG706" i="19"/>
  <c r="AF707" i="19"/>
  <c r="S706" i="19"/>
  <c r="AI706" i="19"/>
  <c r="V705" i="19"/>
  <c r="U705" i="19"/>
  <c r="AH706" i="19"/>
  <c r="AN707" i="19"/>
  <c r="AA706" i="19"/>
  <c r="AN706" i="19" l="1"/>
  <c r="AA705" i="19"/>
  <c r="X705" i="19"/>
  <c r="AK706" i="19"/>
  <c r="T704" i="19"/>
  <c r="AG705" i="19"/>
  <c r="W704" i="19"/>
  <c r="AJ705" i="19"/>
  <c r="AC704" i="19"/>
  <c r="AP705" i="19"/>
  <c r="V704" i="19"/>
  <c r="AI705" i="19"/>
  <c r="Y705" i="19"/>
  <c r="AL706" i="19"/>
  <c r="AM705" i="19"/>
  <c r="Z704" i="19"/>
  <c r="U704" i="19"/>
  <c r="AH705" i="19"/>
  <c r="AB704" i="19"/>
  <c r="AO705" i="19"/>
  <c r="AD704" i="19"/>
  <c r="AQ705" i="19"/>
  <c r="AF706" i="19"/>
  <c r="S705" i="19"/>
  <c r="AQ704" i="19" l="1"/>
  <c r="AD703" i="19"/>
  <c r="AF705" i="19"/>
  <c r="S704" i="19"/>
  <c r="W703" i="19"/>
  <c r="AJ704" i="19"/>
  <c r="AL705" i="19"/>
  <c r="Y704" i="19"/>
  <c r="AB703" i="19"/>
  <c r="AO704" i="19"/>
  <c r="X704" i="19"/>
  <c r="AK705" i="19"/>
  <c r="Z703" i="19"/>
  <c r="AM704" i="19"/>
  <c r="T703" i="19"/>
  <c r="AG704" i="19"/>
  <c r="AI704" i="19"/>
  <c r="V703" i="19"/>
  <c r="AN705" i="19"/>
  <c r="AA704" i="19"/>
  <c r="U703" i="19"/>
  <c r="AH704" i="19"/>
  <c r="AC703" i="19"/>
  <c r="AP704" i="19"/>
  <c r="AL704" i="19" l="1"/>
  <c r="Y703" i="19"/>
  <c r="U702" i="19"/>
  <c r="AH703" i="19"/>
  <c r="AC702" i="19"/>
  <c r="AP703" i="19"/>
  <c r="AN704" i="19"/>
  <c r="AA703" i="19"/>
  <c r="AK704" i="19"/>
  <c r="X703" i="19"/>
  <c r="Z702" i="19"/>
  <c r="AM703" i="19"/>
  <c r="AI703" i="19"/>
  <c r="V702" i="19"/>
  <c r="AQ703" i="19"/>
  <c r="AD702" i="19"/>
  <c r="T702" i="19"/>
  <c r="AG703" i="19"/>
  <c r="W702" i="19"/>
  <c r="AJ703" i="19"/>
  <c r="AF704" i="19"/>
  <c r="S703" i="19"/>
  <c r="AB702" i="19"/>
  <c r="AO703" i="19"/>
  <c r="AD701" i="19" l="1"/>
  <c r="AQ702" i="19"/>
  <c r="AN703" i="19"/>
  <c r="AA702" i="19"/>
  <c r="AI702" i="19"/>
  <c r="V701" i="19"/>
  <c r="U701" i="19"/>
  <c r="AH702" i="19"/>
  <c r="AF703" i="19"/>
  <c r="S702" i="19"/>
  <c r="AC701" i="19"/>
  <c r="AP702" i="19"/>
  <c r="AM702" i="19"/>
  <c r="Z701" i="19"/>
  <c r="AK703" i="19"/>
  <c r="X702" i="19"/>
  <c r="AL703" i="19"/>
  <c r="Y702" i="19"/>
  <c r="AB701" i="19"/>
  <c r="AO702" i="19"/>
  <c r="W701" i="19"/>
  <c r="AJ702" i="19"/>
  <c r="T701" i="19"/>
  <c r="AG702" i="19"/>
  <c r="AM701" i="19" l="1"/>
  <c r="Z700" i="19"/>
  <c r="V700" i="19"/>
  <c r="AI701" i="19"/>
  <c r="T700" i="19"/>
  <c r="AG701" i="19"/>
  <c r="AK702" i="19"/>
  <c r="X701" i="19"/>
  <c r="U700" i="19"/>
  <c r="AH701" i="19"/>
  <c r="AC700" i="19"/>
  <c r="AP701" i="19"/>
  <c r="AQ701" i="19"/>
  <c r="AD700" i="19"/>
  <c r="W700" i="19"/>
  <c r="AJ701" i="19"/>
  <c r="AN702" i="19"/>
  <c r="AA701" i="19"/>
  <c r="AB700" i="19"/>
  <c r="AO701" i="19"/>
  <c r="AL702" i="19"/>
  <c r="Y701" i="19"/>
  <c r="AF702" i="19"/>
  <c r="S701" i="19"/>
  <c r="AQ700" i="19" l="1"/>
  <c r="AD699" i="19"/>
  <c r="W699" i="19"/>
  <c r="AJ700" i="19"/>
  <c r="AL701" i="19"/>
  <c r="Y700" i="19"/>
  <c r="AC699" i="19"/>
  <c r="AP700" i="19"/>
  <c r="AF701" i="19"/>
  <c r="S700" i="19"/>
  <c r="T699" i="19"/>
  <c r="AG700" i="19"/>
  <c r="AB699" i="19"/>
  <c r="AO700" i="19"/>
  <c r="AI700" i="19"/>
  <c r="V699" i="19"/>
  <c r="AN701" i="19"/>
  <c r="AA700" i="19"/>
  <c r="Z699" i="19"/>
  <c r="AM700" i="19"/>
  <c r="AK701" i="19"/>
  <c r="X700" i="19"/>
  <c r="U699" i="19"/>
  <c r="AH700" i="19"/>
  <c r="AI699" i="19" l="1"/>
  <c r="V698" i="19"/>
  <c r="AK700" i="19"/>
  <c r="X699" i="19"/>
  <c r="AL700" i="19"/>
  <c r="Y699" i="19"/>
  <c r="AC698" i="19"/>
  <c r="AP699" i="19"/>
  <c r="U698" i="19"/>
  <c r="AH699" i="19"/>
  <c r="AB698" i="19"/>
  <c r="AO699" i="19"/>
  <c r="W698" i="19"/>
  <c r="AJ699" i="19"/>
  <c r="Z698" i="19"/>
  <c r="AM699" i="19"/>
  <c r="T698" i="19"/>
  <c r="AG699" i="19"/>
  <c r="AN700" i="19"/>
  <c r="AA699" i="19"/>
  <c r="AF700" i="19"/>
  <c r="S699" i="19"/>
  <c r="AD698" i="19"/>
  <c r="AQ699" i="19"/>
  <c r="AD697" i="19" l="1"/>
  <c r="AQ698" i="19"/>
  <c r="AF699" i="19"/>
  <c r="S698" i="19"/>
  <c r="AL699" i="19"/>
  <c r="Y698" i="19"/>
  <c r="W697" i="19"/>
  <c r="AJ698" i="19"/>
  <c r="AC697" i="19"/>
  <c r="AP698" i="19"/>
  <c r="AN699" i="19"/>
  <c r="AA698" i="19"/>
  <c r="AK699" i="19"/>
  <c r="X698" i="19"/>
  <c r="AB697" i="19"/>
  <c r="AO698" i="19"/>
  <c r="V697" i="19"/>
  <c r="AI698" i="19"/>
  <c r="AM698" i="19"/>
  <c r="Z697" i="19"/>
  <c r="T697" i="19"/>
  <c r="AG698" i="19"/>
  <c r="U697" i="19"/>
  <c r="AH698" i="19"/>
  <c r="AK698" i="19" l="1"/>
  <c r="X697" i="19"/>
  <c r="AF698" i="19"/>
  <c r="S697" i="19"/>
  <c r="W696" i="19"/>
  <c r="AJ697" i="19"/>
  <c r="U696" i="19"/>
  <c r="AH697" i="19"/>
  <c r="T696" i="19"/>
  <c r="AG697" i="19"/>
  <c r="AM697" i="19"/>
  <c r="Z696" i="19"/>
  <c r="AB696" i="19"/>
  <c r="AO697" i="19"/>
  <c r="AL698" i="19"/>
  <c r="Y697" i="19"/>
  <c r="AN698" i="19"/>
  <c r="AA697" i="19"/>
  <c r="V696" i="19"/>
  <c r="AI697" i="19"/>
  <c r="AC696" i="19"/>
  <c r="AP697" i="19"/>
  <c r="AQ697" i="19"/>
  <c r="AD696" i="19"/>
  <c r="U695" i="19" l="1"/>
  <c r="AH696" i="19"/>
  <c r="AD695" i="19"/>
  <c r="AQ696" i="19"/>
  <c r="AB695" i="19"/>
  <c r="AO696" i="19"/>
  <c r="T695" i="19"/>
  <c r="AG696" i="19"/>
  <c r="AL697" i="19"/>
  <c r="Y696" i="19"/>
  <c r="Z695" i="19"/>
  <c r="AM696" i="19"/>
  <c r="AC695" i="19"/>
  <c r="AP696" i="19"/>
  <c r="W695" i="19"/>
  <c r="AJ696" i="19"/>
  <c r="AF697" i="19"/>
  <c r="S696" i="19"/>
  <c r="AI696" i="19"/>
  <c r="V695" i="19"/>
  <c r="AN697" i="19"/>
  <c r="AA696" i="19"/>
  <c r="AK697" i="19"/>
  <c r="X696" i="19"/>
  <c r="AN696" i="19" l="1"/>
  <c r="AA695" i="19"/>
  <c r="W694" i="19"/>
  <c r="AJ695" i="19"/>
  <c r="AB694" i="19"/>
  <c r="AO695" i="19"/>
  <c r="AM695" i="19"/>
  <c r="Z694" i="19"/>
  <c r="AK696" i="19"/>
  <c r="X695" i="19"/>
  <c r="T694" i="19"/>
  <c r="AG695" i="19"/>
  <c r="AC694" i="19"/>
  <c r="AP695" i="19"/>
  <c r="AI695" i="19"/>
  <c r="V694" i="19"/>
  <c r="AD694" i="19"/>
  <c r="AQ695" i="19"/>
  <c r="AF696" i="19"/>
  <c r="S695" i="19"/>
  <c r="AL696" i="19"/>
  <c r="Y695" i="19"/>
  <c r="U694" i="19"/>
  <c r="AH695" i="19"/>
  <c r="AM694" i="19" l="1"/>
  <c r="Z693" i="19"/>
  <c r="AB693" i="19"/>
  <c r="AO694" i="19"/>
  <c r="W693" i="19"/>
  <c r="AJ694" i="19"/>
  <c r="AI694" i="19"/>
  <c r="V693" i="19"/>
  <c r="U693" i="19"/>
  <c r="AH694" i="19"/>
  <c r="AL695" i="19"/>
  <c r="Y694" i="19"/>
  <c r="AC693" i="19"/>
  <c r="AP694" i="19"/>
  <c r="AK695" i="19"/>
  <c r="X694" i="19"/>
  <c r="AN695" i="19"/>
  <c r="AA694" i="19"/>
  <c r="AF695" i="19"/>
  <c r="S694" i="19"/>
  <c r="T693" i="19"/>
  <c r="AG694" i="19"/>
  <c r="AD693" i="19"/>
  <c r="AQ694" i="19"/>
  <c r="V692" i="19" l="1"/>
  <c r="AI693" i="19"/>
  <c r="AK694" i="19"/>
  <c r="X693" i="19"/>
  <c r="AC692" i="19"/>
  <c r="AP693" i="19"/>
  <c r="AB692" i="19"/>
  <c r="AO693" i="19"/>
  <c r="AQ693" i="19"/>
  <c r="AD692" i="19"/>
  <c r="T692" i="19"/>
  <c r="AG693" i="19"/>
  <c r="AF694" i="19"/>
  <c r="S693" i="19"/>
  <c r="AN694" i="19"/>
  <c r="AA693" i="19"/>
  <c r="AM693" i="19"/>
  <c r="Z692" i="19"/>
  <c r="W692" i="19"/>
  <c r="AJ693" i="19"/>
  <c r="AL694" i="19"/>
  <c r="Y693" i="19"/>
  <c r="U692" i="19"/>
  <c r="AH693" i="19"/>
  <c r="AL693" i="19" l="1"/>
  <c r="Y692" i="19"/>
  <c r="AN693" i="19"/>
  <c r="AA692" i="19"/>
  <c r="AB691" i="19"/>
  <c r="AO692" i="19"/>
  <c r="AC691" i="19"/>
  <c r="AP692" i="19"/>
  <c r="T691" i="19"/>
  <c r="AG692" i="19"/>
  <c r="Z691" i="19"/>
  <c r="AM692" i="19"/>
  <c r="AQ692" i="19"/>
  <c r="AD691" i="19"/>
  <c r="U691" i="19"/>
  <c r="AH692" i="19"/>
  <c r="AF693" i="19"/>
  <c r="S692" i="19"/>
  <c r="AK693" i="19"/>
  <c r="X692" i="19"/>
  <c r="W691" i="19"/>
  <c r="AJ692" i="19"/>
  <c r="AI692" i="19"/>
  <c r="V691" i="19"/>
  <c r="AI691" i="19" l="1"/>
  <c r="V690" i="19"/>
  <c r="U690" i="19"/>
  <c r="AH691" i="19"/>
  <c r="AQ691" i="19"/>
  <c r="AD690" i="19"/>
  <c r="T690" i="19"/>
  <c r="AG691" i="19"/>
  <c r="W690" i="19"/>
  <c r="AJ691" i="19"/>
  <c r="AB690" i="19"/>
  <c r="AO691" i="19"/>
  <c r="Z690" i="19"/>
  <c r="AM691" i="19"/>
  <c r="AC690" i="19"/>
  <c r="AP691" i="19"/>
  <c r="AK692" i="19"/>
  <c r="X691" i="19"/>
  <c r="AN692" i="19"/>
  <c r="AA691" i="19"/>
  <c r="AF692" i="19"/>
  <c r="S691" i="19"/>
  <c r="AL692" i="19"/>
  <c r="Y691" i="19"/>
  <c r="AL691" i="19" l="1"/>
  <c r="Y690" i="19"/>
  <c r="AF691" i="19"/>
  <c r="S690" i="19"/>
  <c r="AD689" i="19"/>
  <c r="AQ690" i="19"/>
  <c r="AC689" i="19"/>
  <c r="AP690" i="19"/>
  <c r="T689" i="19"/>
  <c r="AG690" i="19"/>
  <c r="AB689" i="19"/>
  <c r="AO690" i="19"/>
  <c r="W689" i="19"/>
  <c r="AJ690" i="19"/>
  <c r="AM690" i="19"/>
  <c r="Z689" i="19"/>
  <c r="AN691" i="19"/>
  <c r="AA690" i="19"/>
  <c r="U689" i="19"/>
  <c r="AH690" i="19"/>
  <c r="AK691" i="19"/>
  <c r="X690" i="19"/>
  <c r="AI690" i="19"/>
  <c r="V689" i="19"/>
  <c r="V688" i="19" l="1"/>
  <c r="AI689" i="19"/>
  <c r="AB688" i="19"/>
  <c r="AO689" i="19"/>
  <c r="AM689" i="19"/>
  <c r="Z688" i="19"/>
  <c r="AK690" i="19"/>
  <c r="X689" i="19"/>
  <c r="AQ689" i="19"/>
  <c r="AD688" i="19"/>
  <c r="AF690" i="19"/>
  <c r="S689" i="19"/>
  <c r="U688" i="19"/>
  <c r="AH689" i="19"/>
  <c r="AN690" i="19"/>
  <c r="AA689" i="19"/>
  <c r="AL690" i="19"/>
  <c r="Y689" i="19"/>
  <c r="AC688" i="19"/>
  <c r="AP689" i="19"/>
  <c r="W688" i="19"/>
  <c r="AJ689" i="19"/>
  <c r="T688" i="19"/>
  <c r="AG689" i="19"/>
  <c r="U687" i="19" l="1"/>
  <c r="AH688" i="19"/>
  <c r="AK689" i="19"/>
  <c r="X688" i="19"/>
  <c r="AN689" i="19"/>
  <c r="AA688" i="19"/>
  <c r="Z687" i="19"/>
  <c r="AM688" i="19"/>
  <c r="AB687" i="19"/>
  <c r="AO688" i="19"/>
  <c r="T687" i="19"/>
  <c r="AG688" i="19"/>
  <c r="AC687" i="19"/>
  <c r="AP688" i="19"/>
  <c r="AL689" i="19"/>
  <c r="Y688" i="19"/>
  <c r="AQ688" i="19"/>
  <c r="AD687" i="19"/>
  <c r="W687" i="19"/>
  <c r="AJ688" i="19"/>
  <c r="AF689" i="19"/>
  <c r="S688" i="19"/>
  <c r="AI688" i="19"/>
  <c r="V687" i="19"/>
  <c r="AM687" i="19" l="1"/>
  <c r="Z686" i="19"/>
  <c r="AI687" i="19"/>
  <c r="V686" i="19"/>
  <c r="AL688" i="19"/>
  <c r="Y687" i="19"/>
  <c r="AF688" i="19"/>
  <c r="S687" i="19"/>
  <c r="AC686" i="19"/>
  <c r="AP687" i="19"/>
  <c r="AK688" i="19"/>
  <c r="X687" i="19"/>
  <c r="AN688" i="19"/>
  <c r="AA687" i="19"/>
  <c r="T686" i="19"/>
  <c r="AG687" i="19"/>
  <c r="AD686" i="19"/>
  <c r="AQ687" i="19"/>
  <c r="W686" i="19"/>
  <c r="AJ687" i="19"/>
  <c r="AB686" i="19"/>
  <c r="AO687" i="19"/>
  <c r="U686" i="19"/>
  <c r="AH687" i="19"/>
  <c r="AF687" i="19" l="1"/>
  <c r="S686" i="19"/>
  <c r="T685" i="19"/>
  <c r="AG686" i="19"/>
  <c r="AB685" i="19"/>
  <c r="AO686" i="19"/>
  <c r="V685" i="19"/>
  <c r="AI686" i="19"/>
  <c r="AL687" i="19"/>
  <c r="Y686" i="19"/>
  <c r="W685" i="19"/>
  <c r="AJ686" i="19"/>
  <c r="AM686" i="19"/>
  <c r="Z685" i="19"/>
  <c r="U685" i="19"/>
  <c r="AH686" i="19"/>
  <c r="AN687" i="19"/>
  <c r="AA686" i="19"/>
  <c r="AK687" i="19"/>
  <c r="X686" i="19"/>
  <c r="AD685" i="19"/>
  <c r="AQ686" i="19"/>
  <c r="AC685" i="19"/>
  <c r="AP686" i="19"/>
  <c r="V684" i="19" l="1"/>
  <c r="AI685" i="19"/>
  <c r="AC684" i="19"/>
  <c r="AP685" i="19"/>
  <c r="AB684" i="19"/>
  <c r="AO685" i="19"/>
  <c r="T684" i="19"/>
  <c r="AG685" i="19"/>
  <c r="Z684" i="19"/>
  <c r="AM685" i="19"/>
  <c r="AQ685" i="19"/>
  <c r="AD684" i="19"/>
  <c r="AF686" i="19"/>
  <c r="S685" i="19"/>
  <c r="U684" i="19"/>
  <c r="AH685" i="19"/>
  <c r="AK686" i="19"/>
  <c r="X685" i="19"/>
  <c r="W684" i="19"/>
  <c r="AJ685" i="19"/>
  <c r="AN686" i="19"/>
  <c r="AA685" i="19"/>
  <c r="AL686" i="19"/>
  <c r="Y685" i="19"/>
  <c r="AL685" i="19" l="1"/>
  <c r="Y684" i="19"/>
  <c r="U683" i="19"/>
  <c r="AH684" i="19"/>
  <c r="AC683" i="19"/>
  <c r="AP684" i="19"/>
  <c r="AF685" i="19"/>
  <c r="S684" i="19"/>
  <c r="W683" i="19"/>
  <c r="AJ684" i="19"/>
  <c r="AK685" i="19"/>
  <c r="X684" i="19"/>
  <c r="T683" i="19"/>
  <c r="AG684" i="19"/>
  <c r="AN685" i="19"/>
  <c r="AA684" i="19"/>
  <c r="AB683" i="19"/>
  <c r="AO684" i="19"/>
  <c r="AQ684" i="19"/>
  <c r="AD683" i="19"/>
  <c r="Z683" i="19"/>
  <c r="AM684" i="19"/>
  <c r="AI684" i="19"/>
  <c r="V683" i="19"/>
  <c r="AN684" i="19" l="1"/>
  <c r="AA683" i="19"/>
  <c r="AF684" i="19"/>
  <c r="S683" i="19"/>
  <c r="Z682" i="19"/>
  <c r="AM683" i="19"/>
  <c r="AK684" i="19"/>
  <c r="X683" i="19"/>
  <c r="U682" i="19"/>
  <c r="AH683" i="19"/>
  <c r="AI683" i="19"/>
  <c r="V682" i="19"/>
  <c r="T682" i="19"/>
  <c r="AG683" i="19"/>
  <c r="AL684" i="19"/>
  <c r="Y683" i="19"/>
  <c r="AC682" i="19"/>
  <c r="AP683" i="19"/>
  <c r="AQ683" i="19"/>
  <c r="AD682" i="19"/>
  <c r="AB682" i="19"/>
  <c r="AO683" i="19"/>
  <c r="W682" i="19"/>
  <c r="AJ683" i="19"/>
  <c r="AK683" i="19" l="1"/>
  <c r="X682" i="19"/>
  <c r="T681" i="19"/>
  <c r="AG682" i="19"/>
  <c r="AI682" i="19"/>
  <c r="V681" i="19"/>
  <c r="W681" i="19"/>
  <c r="AJ682" i="19"/>
  <c r="AM682" i="19"/>
  <c r="Z681" i="19"/>
  <c r="AF683" i="19"/>
  <c r="S682" i="19"/>
  <c r="AN683" i="19"/>
  <c r="AA682" i="19"/>
  <c r="AL683" i="19"/>
  <c r="Y682" i="19"/>
  <c r="AB681" i="19"/>
  <c r="AO682" i="19"/>
  <c r="AD681" i="19"/>
  <c r="AQ682" i="19"/>
  <c r="AC681" i="19"/>
  <c r="AP682" i="19"/>
  <c r="U681" i="19"/>
  <c r="AH682" i="19"/>
  <c r="U680" i="19" l="1"/>
  <c r="AH681" i="19"/>
  <c r="AC680" i="19"/>
  <c r="AP681" i="19"/>
  <c r="AQ681" i="19"/>
  <c r="AD680" i="19"/>
  <c r="T680" i="19"/>
  <c r="AG681" i="19"/>
  <c r="AN682" i="19"/>
  <c r="AA681" i="19"/>
  <c r="AM681" i="19"/>
  <c r="Z680" i="19"/>
  <c r="AK682" i="19"/>
  <c r="X681" i="19"/>
  <c r="AL682" i="19"/>
  <c r="Y681" i="19"/>
  <c r="W680" i="19"/>
  <c r="AJ681" i="19"/>
  <c r="V680" i="19"/>
  <c r="AI681" i="19"/>
  <c r="AF682" i="19"/>
  <c r="S681" i="19"/>
  <c r="AB680" i="19"/>
  <c r="AO681" i="19"/>
  <c r="AL681" i="19" l="1"/>
  <c r="Y680" i="19"/>
  <c r="AB679" i="19"/>
  <c r="AO680" i="19"/>
  <c r="AF681" i="19"/>
  <c r="S680" i="19"/>
  <c r="AC679" i="19"/>
  <c r="AP680" i="19"/>
  <c r="T679" i="19"/>
  <c r="AG680" i="19"/>
  <c r="AQ680" i="19"/>
  <c r="AD679" i="19"/>
  <c r="AI680" i="19"/>
  <c r="V679" i="19"/>
  <c r="AN681" i="19"/>
  <c r="AA680" i="19"/>
  <c r="AK681" i="19"/>
  <c r="X680" i="19"/>
  <c r="Z679" i="19"/>
  <c r="AM680" i="19"/>
  <c r="W679" i="19"/>
  <c r="AJ680" i="19"/>
  <c r="U679" i="19"/>
  <c r="AH680" i="19"/>
  <c r="AN680" i="19" l="1"/>
  <c r="AA679" i="19"/>
  <c r="AC678" i="19"/>
  <c r="AP679" i="19"/>
  <c r="AF680" i="19"/>
  <c r="S679" i="19"/>
  <c r="W678" i="19"/>
  <c r="AJ679" i="19"/>
  <c r="AQ679" i="19"/>
  <c r="AD678" i="19"/>
  <c r="AI679" i="19"/>
  <c r="V678" i="19"/>
  <c r="Z678" i="19"/>
  <c r="AM679" i="19"/>
  <c r="AB678" i="19"/>
  <c r="AO679" i="19"/>
  <c r="AK680" i="19"/>
  <c r="X679" i="19"/>
  <c r="AL680" i="19"/>
  <c r="Y679" i="19"/>
  <c r="U678" i="19"/>
  <c r="AH679" i="19"/>
  <c r="T678" i="19"/>
  <c r="AG679" i="19"/>
  <c r="AB677" i="19" l="1"/>
  <c r="AO678" i="19"/>
  <c r="U677" i="19"/>
  <c r="AH678" i="19"/>
  <c r="V677" i="19"/>
  <c r="AI678" i="19"/>
  <c r="W677" i="19"/>
  <c r="AJ678" i="19"/>
  <c r="AM678" i="19"/>
  <c r="Z677" i="19"/>
  <c r="AL679" i="19"/>
  <c r="Y678" i="19"/>
  <c r="AC677" i="19"/>
  <c r="AP678" i="19"/>
  <c r="AK679" i="19"/>
  <c r="X678" i="19"/>
  <c r="AD677" i="19"/>
  <c r="AQ678" i="19"/>
  <c r="AN679" i="19"/>
  <c r="AA678" i="19"/>
  <c r="T677" i="19"/>
  <c r="AG678" i="19"/>
  <c r="AF679" i="19"/>
  <c r="S678" i="19"/>
  <c r="AK678" i="19" l="1"/>
  <c r="X677" i="19"/>
  <c r="W676" i="19"/>
  <c r="AJ677" i="19"/>
  <c r="AC676" i="19"/>
  <c r="AP677" i="19"/>
  <c r="AL678" i="19"/>
  <c r="Y677" i="19"/>
  <c r="U676" i="19"/>
  <c r="AH677" i="19"/>
  <c r="T676" i="19"/>
  <c r="AG677" i="19"/>
  <c r="AN678" i="19"/>
  <c r="AA677" i="19"/>
  <c r="AM677" i="19"/>
  <c r="Z676" i="19"/>
  <c r="AF678" i="19"/>
  <c r="S677" i="19"/>
  <c r="V676" i="19"/>
  <c r="AI677" i="19"/>
  <c r="AQ677" i="19"/>
  <c r="AD676" i="19"/>
  <c r="AB676" i="19"/>
  <c r="AO677" i="19"/>
  <c r="AN677" i="19" l="1"/>
  <c r="AA676" i="19"/>
  <c r="T675" i="19"/>
  <c r="AG676" i="19"/>
  <c r="Z675" i="19"/>
  <c r="AM676" i="19"/>
  <c r="AB675" i="19"/>
  <c r="AO676" i="19"/>
  <c r="AC675" i="19"/>
  <c r="AP676" i="19"/>
  <c r="AI676" i="19"/>
  <c r="V675" i="19"/>
  <c r="AF677" i="19"/>
  <c r="S676" i="19"/>
  <c r="AK677" i="19"/>
  <c r="X676" i="19"/>
  <c r="AL677" i="19"/>
  <c r="Y676" i="19"/>
  <c r="AQ676" i="19"/>
  <c r="AD675" i="19"/>
  <c r="W675" i="19"/>
  <c r="AJ676" i="19"/>
  <c r="U675" i="19"/>
  <c r="AH676" i="19"/>
  <c r="AF676" i="19" l="1"/>
  <c r="S675" i="19"/>
  <c r="V674" i="19"/>
  <c r="AI675" i="19"/>
  <c r="AK676" i="19"/>
  <c r="X675" i="19"/>
  <c r="AB674" i="19"/>
  <c r="AO675" i="19"/>
  <c r="Z674" i="19"/>
  <c r="AM675" i="19"/>
  <c r="T674" i="19"/>
  <c r="AG675" i="19"/>
  <c r="AL676" i="19"/>
  <c r="Y675" i="19"/>
  <c r="AN676" i="19"/>
  <c r="AA675" i="19"/>
  <c r="U674" i="19"/>
  <c r="AH675" i="19"/>
  <c r="W674" i="19"/>
  <c r="AJ675" i="19"/>
  <c r="AQ675" i="19"/>
  <c r="AD674" i="19"/>
  <c r="AC674" i="19"/>
  <c r="AP675" i="19"/>
  <c r="AC673" i="19" l="1"/>
  <c r="AP674" i="19"/>
  <c r="AK675" i="19"/>
  <c r="X674" i="19"/>
  <c r="AD673" i="19"/>
  <c r="AQ674" i="19"/>
  <c r="W673" i="19"/>
  <c r="AJ674" i="19"/>
  <c r="AL675" i="19"/>
  <c r="Y674" i="19"/>
  <c r="T673" i="19"/>
  <c r="AG674" i="19"/>
  <c r="V673" i="19"/>
  <c r="AI674" i="19"/>
  <c r="AF675" i="19"/>
  <c r="S674" i="19"/>
  <c r="AN675" i="19"/>
  <c r="AA674" i="19"/>
  <c r="AB673" i="19"/>
  <c r="AO674" i="19"/>
  <c r="U673" i="19"/>
  <c r="AH674" i="19"/>
  <c r="AM674" i="19"/>
  <c r="Z673" i="19"/>
  <c r="W672" i="19" l="1"/>
  <c r="AJ673" i="19"/>
  <c r="AM673" i="19"/>
  <c r="Z672" i="19"/>
  <c r="U672" i="19"/>
  <c r="AH673" i="19"/>
  <c r="T672" i="19"/>
  <c r="AG673" i="19"/>
  <c r="AF674" i="19"/>
  <c r="S673" i="19"/>
  <c r="AQ673" i="19"/>
  <c r="AD672" i="19"/>
  <c r="AK674" i="19"/>
  <c r="X673" i="19"/>
  <c r="AB672" i="19"/>
  <c r="AO673" i="19"/>
  <c r="AN674" i="19"/>
  <c r="AA673" i="19"/>
  <c r="AL674" i="19"/>
  <c r="Y673" i="19"/>
  <c r="V672" i="19"/>
  <c r="AI673" i="19"/>
  <c r="AC672" i="19"/>
  <c r="AP673" i="19"/>
  <c r="AB671" i="19" l="1"/>
  <c r="AO672" i="19"/>
  <c r="AD671" i="19"/>
  <c r="AQ672" i="19"/>
  <c r="AC671" i="19"/>
  <c r="AP672" i="19"/>
  <c r="AK673" i="19"/>
  <c r="X672" i="19"/>
  <c r="AI672" i="19"/>
  <c r="V671" i="19"/>
  <c r="Z671" i="19"/>
  <c r="AM672" i="19"/>
  <c r="AN673" i="19"/>
  <c r="AA672" i="19"/>
  <c r="AF673" i="19"/>
  <c r="S672" i="19"/>
  <c r="T671" i="19"/>
  <c r="AG672" i="19"/>
  <c r="U671" i="19"/>
  <c r="AH672" i="19"/>
  <c r="AL673" i="19"/>
  <c r="Y672" i="19"/>
  <c r="W671" i="19"/>
  <c r="AJ672" i="19"/>
  <c r="AF672" i="19" l="1"/>
  <c r="S671" i="19"/>
  <c r="AK672" i="19"/>
  <c r="X671" i="19"/>
  <c r="AL672" i="19"/>
  <c r="Y671" i="19"/>
  <c r="U670" i="19"/>
  <c r="AH671" i="19"/>
  <c r="Z670" i="19"/>
  <c r="AM671" i="19"/>
  <c r="AQ671" i="19"/>
  <c r="AD670" i="19"/>
  <c r="W670" i="19"/>
  <c r="AJ671" i="19"/>
  <c r="AI671" i="19"/>
  <c r="V670" i="19"/>
  <c r="AN672" i="19"/>
  <c r="AA671" i="19"/>
  <c r="AC670" i="19"/>
  <c r="AP671" i="19"/>
  <c r="T670" i="19"/>
  <c r="AG671" i="19"/>
  <c r="AB670" i="19"/>
  <c r="AO671" i="19"/>
  <c r="AB669" i="19" l="1"/>
  <c r="AO670" i="19"/>
  <c r="T669" i="19"/>
  <c r="AG670" i="19"/>
  <c r="W669" i="19"/>
  <c r="AJ670" i="19"/>
  <c r="AD669" i="19"/>
  <c r="AQ670" i="19"/>
  <c r="AC669" i="19"/>
  <c r="AP670" i="19"/>
  <c r="AN671" i="19"/>
  <c r="AA670" i="19"/>
  <c r="AF671" i="19"/>
  <c r="S670" i="19"/>
  <c r="AI670" i="19"/>
  <c r="V669" i="19"/>
  <c r="U669" i="19"/>
  <c r="AH670" i="19"/>
  <c r="AL671" i="19"/>
  <c r="Y670" i="19"/>
  <c r="AK671" i="19"/>
  <c r="X670" i="19"/>
  <c r="AM670" i="19"/>
  <c r="Z669" i="19"/>
  <c r="AM669" i="19" l="1"/>
  <c r="Z668" i="19"/>
  <c r="AQ669" i="19"/>
  <c r="AD668" i="19"/>
  <c r="W668" i="19"/>
  <c r="AJ669" i="19"/>
  <c r="AN670" i="19"/>
  <c r="AA669" i="19"/>
  <c r="T668" i="19"/>
  <c r="AG669" i="19"/>
  <c r="AK670" i="19"/>
  <c r="X669" i="19"/>
  <c r="V668" i="19"/>
  <c r="AI669" i="19"/>
  <c r="AF670" i="19"/>
  <c r="S669" i="19"/>
  <c r="AL670" i="19"/>
  <c r="Y669" i="19"/>
  <c r="U668" i="19"/>
  <c r="AH669" i="19"/>
  <c r="AC668" i="19"/>
  <c r="AP669" i="19"/>
  <c r="AB668" i="19"/>
  <c r="AO669" i="19"/>
  <c r="AN669" i="19" l="1"/>
  <c r="AA668" i="19"/>
  <c r="AC667" i="19"/>
  <c r="AP668" i="19"/>
  <c r="U667" i="19"/>
  <c r="AH668" i="19"/>
  <c r="AI668" i="19"/>
  <c r="V667" i="19"/>
  <c r="AQ668" i="19"/>
  <c r="AD667" i="19"/>
  <c r="AL669" i="19"/>
  <c r="Y668" i="19"/>
  <c r="Z667" i="19"/>
  <c r="AM668" i="19"/>
  <c r="AF669" i="19"/>
  <c r="S668" i="19"/>
  <c r="AB667" i="19"/>
  <c r="AO668" i="19"/>
  <c r="W667" i="19"/>
  <c r="AJ668" i="19"/>
  <c r="AK669" i="19"/>
  <c r="X668" i="19"/>
  <c r="T667" i="19"/>
  <c r="AG668" i="19"/>
  <c r="T666" i="19" l="1"/>
  <c r="AG667" i="19"/>
  <c r="AF668" i="19"/>
  <c r="S667" i="19"/>
  <c r="Z666" i="19"/>
  <c r="AM667" i="19"/>
  <c r="AL668" i="19"/>
  <c r="Y667" i="19"/>
  <c r="W666" i="19"/>
  <c r="AJ667" i="19"/>
  <c r="AC666" i="19"/>
  <c r="AP667" i="19"/>
  <c r="AD666" i="19"/>
  <c r="AQ667" i="19"/>
  <c r="AN668" i="19"/>
  <c r="AA667" i="19"/>
  <c r="AI667" i="19"/>
  <c r="V666" i="19"/>
  <c r="AK668" i="19"/>
  <c r="X667" i="19"/>
  <c r="U666" i="19"/>
  <c r="AH667" i="19"/>
  <c r="AB666" i="19"/>
  <c r="AO667" i="19"/>
  <c r="AB665" i="19" l="1"/>
  <c r="AO666" i="19"/>
  <c r="U665" i="19"/>
  <c r="AH666" i="19"/>
  <c r="AK667" i="19"/>
  <c r="X666" i="19"/>
  <c r="AN667" i="19"/>
  <c r="AA666" i="19"/>
  <c r="AD665" i="19"/>
  <c r="AQ666" i="19"/>
  <c r="AC665" i="19"/>
  <c r="AP666" i="19"/>
  <c r="V665" i="19"/>
  <c r="AI666" i="19"/>
  <c r="AL667" i="19"/>
  <c r="Y666" i="19"/>
  <c r="AM666" i="19"/>
  <c r="Z665" i="19"/>
  <c r="AF667" i="19"/>
  <c r="S666" i="19"/>
  <c r="W665" i="19"/>
  <c r="AJ666" i="19"/>
  <c r="T665" i="19"/>
  <c r="AG666" i="19"/>
  <c r="AN666" i="19" l="1"/>
  <c r="AA665" i="19"/>
  <c r="AL666" i="19"/>
  <c r="Y665" i="19"/>
  <c r="AK666" i="19"/>
  <c r="X665" i="19"/>
  <c r="V664" i="19"/>
  <c r="AI665" i="19"/>
  <c r="U664" i="19"/>
  <c r="AH665" i="19"/>
  <c r="W664" i="19"/>
  <c r="AJ665" i="19"/>
  <c r="AF666" i="19"/>
  <c r="S665" i="19"/>
  <c r="AC664" i="19"/>
  <c r="AP665" i="19"/>
  <c r="AM665" i="19"/>
  <c r="Z664" i="19"/>
  <c r="T664" i="19"/>
  <c r="AG665" i="19"/>
  <c r="AQ665" i="19"/>
  <c r="AD664" i="19"/>
  <c r="AB664" i="19"/>
  <c r="AO665" i="19"/>
  <c r="AK665" i="19" l="1"/>
  <c r="X664" i="19"/>
  <c r="AC663" i="19"/>
  <c r="AP664" i="19"/>
  <c r="AD663" i="19"/>
  <c r="AQ664" i="19"/>
  <c r="AL665" i="19"/>
  <c r="Y664" i="19"/>
  <c r="T663" i="19"/>
  <c r="AG664" i="19"/>
  <c r="W663" i="19"/>
  <c r="AJ664" i="19"/>
  <c r="AI664" i="19"/>
  <c r="V663" i="19"/>
  <c r="AB663" i="19"/>
  <c r="AO664" i="19"/>
  <c r="AF665" i="19"/>
  <c r="S664" i="19"/>
  <c r="Z663" i="19"/>
  <c r="AM664" i="19"/>
  <c r="AN665" i="19"/>
  <c r="AA664" i="19"/>
  <c r="U663" i="19"/>
  <c r="AH664" i="19"/>
  <c r="AL664" i="19" l="1"/>
  <c r="Y663" i="19"/>
  <c r="AI663" i="19"/>
  <c r="V662" i="19"/>
  <c r="U662" i="19"/>
  <c r="AH663" i="19"/>
  <c r="AN664" i="19"/>
  <c r="AA663" i="19"/>
  <c r="AM663" i="19"/>
  <c r="Z662" i="19"/>
  <c r="AC662" i="19"/>
  <c r="AP663" i="19"/>
  <c r="AQ663" i="19"/>
  <c r="AD662" i="19"/>
  <c r="W662" i="19"/>
  <c r="AJ663" i="19"/>
  <c r="AK664" i="19"/>
  <c r="X663" i="19"/>
  <c r="AB662" i="19"/>
  <c r="AO663" i="19"/>
  <c r="AF664" i="19"/>
  <c r="S663" i="19"/>
  <c r="T662" i="19"/>
  <c r="AG663" i="19"/>
  <c r="AN663" i="19" l="1"/>
  <c r="AA662" i="19"/>
  <c r="T661" i="19"/>
  <c r="AG662" i="19"/>
  <c r="W661" i="19"/>
  <c r="AJ662" i="19"/>
  <c r="AF663" i="19"/>
  <c r="S662" i="19"/>
  <c r="AD661" i="19"/>
  <c r="AQ662" i="19"/>
  <c r="U661" i="19"/>
  <c r="AH662" i="19"/>
  <c r="AI662" i="19"/>
  <c r="V661" i="19"/>
  <c r="AB661" i="19"/>
  <c r="AO662" i="19"/>
  <c r="AC661" i="19"/>
  <c r="AP662" i="19"/>
  <c r="AK663" i="19"/>
  <c r="X662" i="19"/>
  <c r="AM662" i="19"/>
  <c r="Z661" i="19"/>
  <c r="AL663" i="19"/>
  <c r="Y662" i="19"/>
  <c r="AQ661" i="19" l="1"/>
  <c r="AD660" i="19"/>
  <c r="AB660" i="19"/>
  <c r="AO661" i="19"/>
  <c r="AL662" i="19"/>
  <c r="Y661" i="19"/>
  <c r="V660" i="19"/>
  <c r="AI661" i="19"/>
  <c r="AC660" i="19"/>
  <c r="AP661" i="19"/>
  <c r="Z660" i="19"/>
  <c r="AM661" i="19"/>
  <c r="W660" i="19"/>
  <c r="AJ661" i="19"/>
  <c r="U660" i="19"/>
  <c r="AH661" i="19"/>
  <c r="T660" i="19"/>
  <c r="AG661" i="19"/>
  <c r="AF662" i="19"/>
  <c r="S661" i="19"/>
  <c r="AK662" i="19"/>
  <c r="X661" i="19"/>
  <c r="AN662" i="19"/>
  <c r="AA661" i="19"/>
  <c r="U659" i="19" l="1"/>
  <c r="AH660" i="19"/>
  <c r="AL661" i="19"/>
  <c r="Y660" i="19"/>
  <c r="Z659" i="19"/>
  <c r="AM660" i="19"/>
  <c r="AB659" i="19"/>
  <c r="AO660" i="19"/>
  <c r="AN661" i="19"/>
  <c r="AA660" i="19"/>
  <c r="AI660" i="19"/>
  <c r="V659" i="19"/>
  <c r="AF661" i="19"/>
  <c r="S660" i="19"/>
  <c r="AQ660" i="19"/>
  <c r="AD659" i="19"/>
  <c r="AK661" i="19"/>
  <c r="X660" i="19"/>
  <c r="W659" i="19"/>
  <c r="AJ660" i="19"/>
  <c r="T659" i="19"/>
  <c r="AG660" i="19"/>
  <c r="AC659" i="19"/>
  <c r="AP660" i="19"/>
  <c r="AC658" i="19" l="1"/>
  <c r="AP659" i="19"/>
  <c r="AB658" i="19"/>
  <c r="AO659" i="19"/>
  <c r="AQ659" i="19"/>
  <c r="AD658" i="19"/>
  <c r="Z658" i="19"/>
  <c r="AM659" i="19"/>
  <c r="W658" i="19"/>
  <c r="AJ659" i="19"/>
  <c r="AF660" i="19"/>
  <c r="S659" i="19"/>
  <c r="T658" i="19"/>
  <c r="AG659" i="19"/>
  <c r="AI659" i="19"/>
  <c r="V658" i="19"/>
  <c r="AL660" i="19"/>
  <c r="Y659" i="19"/>
  <c r="AK660" i="19"/>
  <c r="X659" i="19"/>
  <c r="AN660" i="19"/>
  <c r="AA659" i="19"/>
  <c r="U658" i="19"/>
  <c r="AH659" i="19"/>
  <c r="AI658" i="19" l="1"/>
  <c r="V657" i="19"/>
  <c r="AM658" i="19"/>
  <c r="Z657" i="19"/>
  <c r="AD657" i="19"/>
  <c r="AQ658" i="19"/>
  <c r="T657" i="19"/>
  <c r="AG658" i="19"/>
  <c r="AF659" i="19"/>
  <c r="S658" i="19"/>
  <c r="AB657" i="19"/>
  <c r="AO658" i="19"/>
  <c r="U657" i="19"/>
  <c r="AH658" i="19"/>
  <c r="AK659" i="19"/>
  <c r="X658" i="19"/>
  <c r="AL659" i="19"/>
  <c r="Y658" i="19"/>
  <c r="AN659" i="19"/>
  <c r="AA658" i="19"/>
  <c r="W657" i="19"/>
  <c r="AJ658" i="19"/>
  <c r="AC657" i="19"/>
  <c r="AP658" i="19"/>
  <c r="T656" i="19" l="1"/>
  <c r="AG657" i="19"/>
  <c r="AC656" i="19"/>
  <c r="AP657" i="19"/>
  <c r="AQ657" i="19"/>
  <c r="AD656" i="19"/>
  <c r="AK658" i="19"/>
  <c r="X657" i="19"/>
  <c r="W656" i="19"/>
  <c r="AJ657" i="19"/>
  <c r="AN658" i="19"/>
  <c r="AA657" i="19"/>
  <c r="AM657" i="19"/>
  <c r="Z656" i="19"/>
  <c r="AL658" i="19"/>
  <c r="Y657" i="19"/>
  <c r="V656" i="19"/>
  <c r="AI657" i="19"/>
  <c r="U656" i="19"/>
  <c r="AH657" i="19"/>
  <c r="AB656" i="19"/>
  <c r="AO657" i="19"/>
  <c r="AF658" i="19"/>
  <c r="S657" i="19"/>
  <c r="AL657" i="19" l="1"/>
  <c r="Y656" i="19"/>
  <c r="AK657" i="19"/>
  <c r="X656" i="19"/>
  <c r="AF657" i="19"/>
  <c r="S656" i="19"/>
  <c r="AB655" i="19"/>
  <c r="AO656" i="19"/>
  <c r="AQ656" i="19"/>
  <c r="AD655" i="19"/>
  <c r="U655" i="19"/>
  <c r="AH656" i="19"/>
  <c r="AC655" i="19"/>
  <c r="AP656" i="19"/>
  <c r="Z655" i="19"/>
  <c r="AM656" i="19"/>
  <c r="AN657" i="19"/>
  <c r="AA656" i="19"/>
  <c r="AI656" i="19"/>
  <c r="V655" i="19"/>
  <c r="W655" i="19"/>
  <c r="AJ656" i="19"/>
  <c r="T655" i="19"/>
  <c r="AG656" i="19"/>
  <c r="AM655" i="19" l="1"/>
  <c r="Z654" i="19"/>
  <c r="T654" i="19"/>
  <c r="AG655" i="19"/>
  <c r="W654" i="19"/>
  <c r="AJ655" i="19"/>
  <c r="AI655" i="19"/>
  <c r="V654" i="19"/>
  <c r="AK656" i="19"/>
  <c r="X655" i="19"/>
  <c r="AB654" i="19"/>
  <c r="AO655" i="19"/>
  <c r="AF656" i="19"/>
  <c r="S655" i="19"/>
  <c r="U654" i="19"/>
  <c r="AH655" i="19"/>
  <c r="AD654" i="19"/>
  <c r="AQ655" i="19"/>
  <c r="AL656" i="19"/>
  <c r="Y655" i="19"/>
  <c r="AC654" i="19"/>
  <c r="AP655" i="19"/>
  <c r="AN656" i="19"/>
  <c r="AA655" i="19"/>
  <c r="AI654" i="19" l="1"/>
  <c r="V653" i="19"/>
  <c r="AN655" i="19"/>
  <c r="AA654" i="19"/>
  <c r="U653" i="19"/>
  <c r="AH654" i="19"/>
  <c r="W653" i="19"/>
  <c r="AJ654" i="19"/>
  <c r="T653" i="19"/>
  <c r="AG654" i="19"/>
  <c r="AC653" i="19"/>
  <c r="AP654" i="19"/>
  <c r="AL655" i="19"/>
  <c r="Y654" i="19"/>
  <c r="AK655" i="19"/>
  <c r="X654" i="19"/>
  <c r="AM654" i="19"/>
  <c r="Z653" i="19"/>
  <c r="AF655" i="19"/>
  <c r="S654" i="19"/>
  <c r="AB653" i="19"/>
  <c r="AO654" i="19"/>
  <c r="AD653" i="19"/>
  <c r="AQ654" i="19"/>
  <c r="W652" i="19" l="1"/>
  <c r="AJ653" i="19"/>
  <c r="U652" i="19"/>
  <c r="AH653" i="19"/>
  <c r="AC652" i="19"/>
  <c r="AP653" i="19"/>
  <c r="AK654" i="19"/>
  <c r="X653" i="19"/>
  <c r="AF654" i="19"/>
  <c r="S653" i="19"/>
  <c r="AN654" i="19"/>
  <c r="AA653" i="19"/>
  <c r="V652" i="19"/>
  <c r="AI653" i="19"/>
  <c r="AQ653" i="19"/>
  <c r="AD652" i="19"/>
  <c r="AL654" i="19"/>
  <c r="Y653" i="19"/>
  <c r="AB652" i="19"/>
  <c r="AO653" i="19"/>
  <c r="AM653" i="19"/>
  <c r="Z652" i="19"/>
  <c r="T652" i="19"/>
  <c r="AG653" i="19"/>
  <c r="AD651" i="19" l="1"/>
  <c r="AQ652" i="19"/>
  <c r="AK653" i="19"/>
  <c r="X652" i="19"/>
  <c r="T651" i="19"/>
  <c r="AG652" i="19"/>
  <c r="AM652" i="19"/>
  <c r="Z651" i="19"/>
  <c r="V651" i="19"/>
  <c r="AI652" i="19"/>
  <c r="U651" i="19"/>
  <c r="AH652" i="19"/>
  <c r="AN653" i="19"/>
  <c r="AA652" i="19"/>
  <c r="AB651" i="19"/>
  <c r="AO652" i="19"/>
  <c r="AF653" i="19"/>
  <c r="S652" i="19"/>
  <c r="AC651" i="19"/>
  <c r="AP652" i="19"/>
  <c r="AL653" i="19"/>
  <c r="Y652" i="19"/>
  <c r="W651" i="19"/>
  <c r="AJ652" i="19"/>
  <c r="AB650" i="19" l="1"/>
  <c r="AO651" i="19"/>
  <c r="AN652" i="19"/>
  <c r="AA651" i="19"/>
  <c r="AM651" i="19"/>
  <c r="Z650" i="19"/>
  <c r="T650" i="19"/>
  <c r="AG651" i="19"/>
  <c r="AL652" i="19"/>
  <c r="Y651" i="19"/>
  <c r="U650" i="19"/>
  <c r="AH651" i="19"/>
  <c r="W650" i="19"/>
  <c r="AJ651" i="19"/>
  <c r="AK652" i="19"/>
  <c r="X651" i="19"/>
  <c r="AC650" i="19"/>
  <c r="AP651" i="19"/>
  <c r="AF652" i="19"/>
  <c r="S651" i="19"/>
  <c r="V650" i="19"/>
  <c r="AI651" i="19"/>
  <c r="AD650" i="19"/>
  <c r="AQ651" i="19"/>
  <c r="T649" i="19" l="1"/>
  <c r="AG650" i="19"/>
  <c r="AM650" i="19"/>
  <c r="Z649" i="19"/>
  <c r="U649" i="19"/>
  <c r="AH650" i="19"/>
  <c r="X650" i="19"/>
  <c r="AK651" i="19"/>
  <c r="AD649" i="19"/>
  <c r="AQ650" i="19"/>
  <c r="W649" i="19"/>
  <c r="AJ650" i="19"/>
  <c r="Y650" i="19"/>
  <c r="AL651" i="19"/>
  <c r="V649" i="19"/>
  <c r="AI650" i="19"/>
  <c r="S650" i="19"/>
  <c r="AF651" i="19"/>
  <c r="AN651" i="19"/>
  <c r="AA650" i="19"/>
  <c r="AC649" i="19"/>
  <c r="AP650" i="19"/>
  <c r="AO650" i="19"/>
  <c r="AB649" i="19"/>
  <c r="X649" i="19" l="1"/>
  <c r="AK650" i="19"/>
  <c r="AP649" i="19"/>
  <c r="AC648" i="19"/>
  <c r="AN650" i="19"/>
  <c r="AA649" i="19"/>
  <c r="Y649" i="19"/>
  <c r="AL650" i="19"/>
  <c r="AO649" i="19"/>
  <c r="AB648" i="19"/>
  <c r="V648" i="19"/>
  <c r="AI649" i="19"/>
  <c r="AH649" i="19"/>
  <c r="U648" i="19"/>
  <c r="Z648" i="19"/>
  <c r="AM649" i="19"/>
  <c r="W648" i="19"/>
  <c r="AJ649" i="19"/>
  <c r="AF650" i="19"/>
  <c r="S649" i="19"/>
  <c r="AQ649" i="19"/>
  <c r="AD648" i="19"/>
  <c r="AG649" i="19"/>
  <c r="T648" i="19"/>
  <c r="AG648" i="19" l="1"/>
  <c r="T647" i="19"/>
  <c r="AD647" i="19"/>
  <c r="AQ648" i="19"/>
  <c r="Y648" i="19"/>
  <c r="AL649" i="19"/>
  <c r="AF649" i="19"/>
  <c r="S648" i="19"/>
  <c r="V647" i="19"/>
  <c r="AI648" i="19"/>
  <c r="AH648" i="19"/>
  <c r="U647" i="19"/>
  <c r="AO648" i="19"/>
  <c r="AB647" i="19"/>
  <c r="Z647" i="19"/>
  <c r="AM648" i="19"/>
  <c r="AA648" i="19"/>
  <c r="AN649" i="19"/>
  <c r="AP648" i="19"/>
  <c r="AC647" i="19"/>
  <c r="W647" i="19"/>
  <c r="AJ648" i="19"/>
  <c r="X648" i="19"/>
  <c r="AK649" i="19"/>
  <c r="S647" i="19" l="1"/>
  <c r="AF648" i="19"/>
  <c r="W646" i="19"/>
  <c r="AJ647" i="19"/>
  <c r="AM647" i="19"/>
  <c r="Z646" i="19"/>
  <c r="AP647" i="19"/>
  <c r="AC646" i="19"/>
  <c r="AD646" i="19"/>
  <c r="AQ647" i="19"/>
  <c r="Y647" i="19"/>
  <c r="AL648" i="19"/>
  <c r="AG647" i="19"/>
  <c r="T646" i="19"/>
  <c r="X647" i="19"/>
  <c r="AK648" i="19"/>
  <c r="AO647" i="19"/>
  <c r="AB646" i="19"/>
  <c r="AH647" i="19"/>
  <c r="U646" i="19"/>
  <c r="AA647" i="19"/>
  <c r="AN648" i="19"/>
  <c r="V646" i="19"/>
  <c r="AI647" i="19"/>
  <c r="AP646" i="19" l="1"/>
  <c r="AC645" i="19"/>
  <c r="AN647" i="19"/>
  <c r="AA646" i="19"/>
  <c r="V645" i="19"/>
  <c r="AI646" i="19"/>
  <c r="AG646" i="19"/>
  <c r="T645" i="19"/>
  <c r="W645" i="19"/>
  <c r="AJ646" i="19"/>
  <c r="X646" i="19"/>
  <c r="AK647" i="19"/>
  <c r="AM646" i="19"/>
  <c r="Z645" i="19"/>
  <c r="AH646" i="19"/>
  <c r="U645" i="19"/>
  <c r="Y646" i="19"/>
  <c r="AL647" i="19"/>
  <c r="AO646" i="19"/>
  <c r="AB645" i="19"/>
  <c r="AD645" i="19"/>
  <c r="AQ646" i="19"/>
  <c r="AF647" i="19"/>
  <c r="S646" i="19"/>
  <c r="AH645" i="19" l="1"/>
  <c r="U644" i="19"/>
  <c r="AM645" i="19"/>
  <c r="Z644" i="19"/>
  <c r="AD644" i="19"/>
  <c r="AQ645" i="19"/>
  <c r="AG645" i="19"/>
  <c r="T644" i="19"/>
  <c r="AO645" i="19"/>
  <c r="AB644" i="19"/>
  <c r="AN646" i="19"/>
  <c r="AA645" i="19"/>
  <c r="X645" i="19"/>
  <c r="AK646" i="19"/>
  <c r="AF646" i="19"/>
  <c r="S645" i="19"/>
  <c r="V644" i="19"/>
  <c r="AI645" i="19"/>
  <c r="AP645" i="19"/>
  <c r="AC644" i="19"/>
  <c r="Y645" i="19"/>
  <c r="AL646" i="19"/>
  <c r="W644" i="19"/>
  <c r="AJ645" i="19"/>
  <c r="AD643" i="19" l="1"/>
  <c r="AQ644" i="19"/>
  <c r="AG644" i="19"/>
  <c r="T643" i="19"/>
  <c r="Y644" i="19"/>
  <c r="AL645" i="19"/>
  <c r="W643" i="19"/>
  <c r="AJ644" i="19"/>
  <c r="X644" i="19"/>
  <c r="AK645" i="19"/>
  <c r="AN645" i="19"/>
  <c r="AA644" i="19"/>
  <c r="AO644" i="19"/>
  <c r="AB643" i="19"/>
  <c r="AH644" i="19"/>
  <c r="U643" i="19"/>
  <c r="AF645" i="19"/>
  <c r="S644" i="19"/>
  <c r="AP644" i="19"/>
  <c r="AC643" i="19"/>
  <c r="AM644" i="19"/>
  <c r="Z643" i="19"/>
  <c r="V643" i="19"/>
  <c r="AI644" i="19"/>
  <c r="AH643" i="19" l="1"/>
  <c r="U642" i="19"/>
  <c r="AM643" i="19"/>
  <c r="Z642" i="19"/>
  <c r="V642" i="19"/>
  <c r="AI643" i="19"/>
  <c r="Y643" i="19"/>
  <c r="AL644" i="19"/>
  <c r="AN644" i="19"/>
  <c r="AA643" i="19"/>
  <c r="W642" i="19"/>
  <c r="AJ643" i="19"/>
  <c r="AP643" i="19"/>
  <c r="AC642" i="19"/>
  <c r="AF644" i="19"/>
  <c r="S643" i="19"/>
  <c r="AO643" i="19"/>
  <c r="AB642" i="19"/>
  <c r="AG643" i="19"/>
  <c r="T642" i="19"/>
  <c r="X643" i="19"/>
  <c r="AK644" i="19"/>
  <c r="AD642" i="19"/>
  <c r="AQ643" i="19"/>
  <c r="Y642" i="19" l="1"/>
  <c r="AL643" i="19"/>
  <c r="V641" i="19"/>
  <c r="AI642" i="19"/>
  <c r="AM642" i="19"/>
  <c r="Z641" i="19"/>
  <c r="AD641" i="19"/>
  <c r="AQ642" i="19"/>
  <c r="AP642" i="19"/>
  <c r="AC641" i="19"/>
  <c r="X642" i="19"/>
  <c r="AK643" i="19"/>
  <c r="W641" i="19"/>
  <c r="AJ642" i="19"/>
  <c r="AH642" i="19"/>
  <c r="U641" i="19"/>
  <c r="AF643" i="19"/>
  <c r="S642" i="19"/>
  <c r="AG642" i="19"/>
  <c r="T641" i="19"/>
  <c r="AO642" i="19"/>
  <c r="AB641" i="19"/>
  <c r="AN643" i="19"/>
  <c r="AA642" i="19"/>
  <c r="AH641" i="19" l="1"/>
  <c r="U640" i="19"/>
  <c r="AD640" i="19"/>
  <c r="AQ641" i="19"/>
  <c r="AM641" i="19"/>
  <c r="Z640" i="19"/>
  <c r="W640" i="19"/>
  <c r="AJ641" i="19"/>
  <c r="X641" i="19"/>
  <c r="AK642" i="19"/>
  <c r="V640" i="19"/>
  <c r="AI641" i="19"/>
  <c r="AO641" i="19"/>
  <c r="AB640" i="19"/>
  <c r="AP641" i="19"/>
  <c r="AC640" i="19"/>
  <c r="AN642" i="19"/>
  <c r="AA641" i="19"/>
  <c r="AG641" i="19"/>
  <c r="T640" i="19"/>
  <c r="AF642" i="19"/>
  <c r="S641" i="19"/>
  <c r="Y641" i="19"/>
  <c r="AL642" i="19"/>
  <c r="Y640" i="19" l="1"/>
  <c r="AL641" i="19"/>
  <c r="W639" i="19"/>
  <c r="AJ640" i="19"/>
  <c r="AO640" i="19"/>
  <c r="AB639" i="19"/>
  <c r="AM640" i="19"/>
  <c r="Z639" i="19"/>
  <c r="AP640" i="19"/>
  <c r="AC639" i="19"/>
  <c r="V639" i="19"/>
  <c r="AI640" i="19"/>
  <c r="AD639" i="19"/>
  <c r="AQ640" i="19"/>
  <c r="X640" i="19"/>
  <c r="AK641" i="19"/>
  <c r="AF641" i="19"/>
  <c r="S640" i="19"/>
  <c r="AG640" i="19"/>
  <c r="T639" i="19"/>
  <c r="AN641" i="19"/>
  <c r="AA640" i="19"/>
  <c r="AH640" i="19"/>
  <c r="U639" i="19"/>
  <c r="AM639" i="19" l="1"/>
  <c r="Z638" i="19"/>
  <c r="AH639" i="19"/>
  <c r="U638" i="19"/>
  <c r="X639" i="19"/>
  <c r="AK640" i="19"/>
  <c r="AO639" i="19"/>
  <c r="AB638" i="19"/>
  <c r="AG639" i="19"/>
  <c r="T638" i="19"/>
  <c r="V638" i="19"/>
  <c r="AI639" i="19"/>
  <c r="W638" i="19"/>
  <c r="AJ639" i="19"/>
  <c r="AP639" i="19"/>
  <c r="AC638" i="19"/>
  <c r="AN640" i="19"/>
  <c r="AA639" i="19"/>
  <c r="AD638" i="19"/>
  <c r="AQ639" i="19"/>
  <c r="AF640" i="19"/>
  <c r="S639" i="19"/>
  <c r="Y639" i="19"/>
  <c r="AL640" i="19"/>
  <c r="AP638" i="19" l="1"/>
  <c r="AC637" i="19"/>
  <c r="Y638" i="19"/>
  <c r="AL639" i="19"/>
  <c r="AO638" i="19"/>
  <c r="AB637" i="19"/>
  <c r="W637" i="19"/>
  <c r="AJ638" i="19"/>
  <c r="AD637" i="19"/>
  <c r="AQ638" i="19"/>
  <c r="V637" i="19"/>
  <c r="AI638" i="19"/>
  <c r="AF639" i="19"/>
  <c r="S638" i="19"/>
  <c r="X638" i="19"/>
  <c r="AK639" i="19"/>
  <c r="AH638" i="19"/>
  <c r="U637" i="19"/>
  <c r="AN639" i="19"/>
  <c r="AA638" i="19"/>
  <c r="AG638" i="19"/>
  <c r="T637" i="19"/>
  <c r="AM638" i="19"/>
  <c r="Z637" i="19"/>
  <c r="X637" i="19" l="1"/>
  <c r="AK638" i="19"/>
  <c r="AM637" i="19"/>
  <c r="Z636" i="19"/>
  <c r="AG637" i="19"/>
  <c r="T636" i="19"/>
  <c r="V636" i="19"/>
  <c r="AI637" i="19"/>
  <c r="Y637" i="19"/>
  <c r="AL638" i="19"/>
  <c r="W636" i="19"/>
  <c r="AJ637" i="19"/>
  <c r="AF638" i="19"/>
  <c r="S637" i="19"/>
  <c r="AH637" i="19"/>
  <c r="U636" i="19"/>
  <c r="AP637" i="19"/>
  <c r="AC636" i="19"/>
  <c r="AO637" i="19"/>
  <c r="AB636" i="19"/>
  <c r="AN638" i="19"/>
  <c r="AA637" i="19"/>
  <c r="AD636" i="19"/>
  <c r="AQ637" i="19"/>
  <c r="AH636" i="19" l="1"/>
  <c r="U635" i="19"/>
  <c r="V635" i="19"/>
  <c r="AI636" i="19"/>
  <c r="AD635" i="19"/>
  <c r="AQ636" i="19"/>
  <c r="AN637" i="19"/>
  <c r="AA636" i="19"/>
  <c r="AM636" i="19"/>
  <c r="Z635" i="19"/>
  <c r="AG636" i="19"/>
  <c r="T635" i="19"/>
  <c r="AF637" i="19"/>
  <c r="S636" i="19"/>
  <c r="AO636" i="19"/>
  <c r="AB635" i="19"/>
  <c r="W635" i="19"/>
  <c r="AJ636" i="19"/>
  <c r="AP636" i="19"/>
  <c r="AC635" i="19"/>
  <c r="Y636" i="19"/>
  <c r="AL637" i="19"/>
  <c r="X636" i="19"/>
  <c r="AK637" i="19"/>
  <c r="AN636" i="19" l="1"/>
  <c r="AA635" i="19"/>
  <c r="AO635" i="19"/>
  <c r="AB634" i="19"/>
  <c r="Y635" i="19"/>
  <c r="AL636" i="19"/>
  <c r="AG635" i="19"/>
  <c r="T634" i="19"/>
  <c r="V634" i="19"/>
  <c r="AI635" i="19"/>
  <c r="AD634" i="19"/>
  <c r="AQ635" i="19"/>
  <c r="AM635" i="19"/>
  <c r="Z634" i="19"/>
  <c r="AH635" i="19"/>
  <c r="U634" i="19"/>
  <c r="X635" i="19"/>
  <c r="AK636" i="19"/>
  <c r="AF636" i="19"/>
  <c r="S635" i="19"/>
  <c r="AP635" i="19"/>
  <c r="AC634" i="19"/>
  <c r="W634" i="19"/>
  <c r="AJ635" i="19"/>
  <c r="AG634" i="19" l="1"/>
  <c r="T633" i="19"/>
  <c r="W633" i="19"/>
  <c r="AJ634" i="19"/>
  <c r="AH634" i="19"/>
  <c r="U633" i="19"/>
  <c r="AP634" i="19"/>
  <c r="AC633" i="19"/>
  <c r="AD633" i="19"/>
  <c r="AQ634" i="19"/>
  <c r="AM634" i="19"/>
  <c r="Z633" i="19"/>
  <c r="Y634" i="19"/>
  <c r="AL635" i="19"/>
  <c r="AO634" i="19"/>
  <c r="AB633" i="19"/>
  <c r="AN635" i="19"/>
  <c r="AA634" i="19"/>
  <c r="AF635" i="19"/>
  <c r="S634" i="19"/>
  <c r="X634" i="19"/>
  <c r="AK635" i="19"/>
  <c r="V633" i="19"/>
  <c r="AI634" i="19"/>
  <c r="AO633" i="19" l="1"/>
  <c r="AB632" i="19"/>
  <c r="AP633" i="19"/>
  <c r="AC632" i="19"/>
  <c r="V632" i="19"/>
  <c r="AI633" i="19"/>
  <c r="Y633" i="19"/>
  <c r="AL634" i="19"/>
  <c r="X633" i="19"/>
  <c r="AK634" i="19"/>
  <c r="AM633" i="19"/>
  <c r="Z632" i="19"/>
  <c r="W632" i="19"/>
  <c r="AJ633" i="19"/>
  <c r="AN634" i="19"/>
  <c r="AA633" i="19"/>
  <c r="AG633" i="19"/>
  <c r="T632" i="19"/>
  <c r="AH633" i="19"/>
  <c r="U632" i="19"/>
  <c r="AF634" i="19"/>
  <c r="S633" i="19"/>
  <c r="AD632" i="19"/>
  <c r="AQ633" i="19"/>
  <c r="AN633" i="19" l="1"/>
  <c r="AA632" i="19"/>
  <c r="Y632" i="19"/>
  <c r="AL633" i="19"/>
  <c r="AF633" i="19"/>
  <c r="S632" i="19"/>
  <c r="W631" i="19"/>
  <c r="AJ632" i="19"/>
  <c r="AD631" i="19"/>
  <c r="AQ632" i="19"/>
  <c r="AH632" i="19"/>
  <c r="U631" i="19"/>
  <c r="AP632" i="19"/>
  <c r="AC631" i="19"/>
  <c r="AO632" i="19"/>
  <c r="AB631" i="19"/>
  <c r="V631" i="19"/>
  <c r="AI632" i="19"/>
  <c r="AM632" i="19"/>
  <c r="Z631" i="19"/>
  <c r="AG632" i="19"/>
  <c r="T631" i="19"/>
  <c r="X632" i="19"/>
  <c r="AK633" i="19"/>
  <c r="AO631" i="19" l="1"/>
  <c r="AB630" i="19"/>
  <c r="X631" i="19"/>
  <c r="AK632" i="19"/>
  <c r="AG631" i="19"/>
  <c r="T630" i="19"/>
  <c r="W630" i="19"/>
  <c r="AJ631" i="19"/>
  <c r="Y631" i="19"/>
  <c r="AL632" i="19"/>
  <c r="AF632" i="19"/>
  <c r="S631" i="19"/>
  <c r="AM631" i="19"/>
  <c r="Z630" i="19"/>
  <c r="AN632" i="19"/>
  <c r="AA631" i="19"/>
  <c r="AP631" i="19"/>
  <c r="AC630" i="19"/>
  <c r="AH631" i="19"/>
  <c r="U630" i="19"/>
  <c r="V630" i="19"/>
  <c r="AI631" i="19"/>
  <c r="AD630" i="19"/>
  <c r="AQ631" i="19"/>
  <c r="AN631" i="19" l="1"/>
  <c r="AA630" i="19"/>
  <c r="AH630" i="19"/>
  <c r="U629" i="19"/>
  <c r="AG630" i="19"/>
  <c r="T629" i="19"/>
  <c r="X630" i="19"/>
  <c r="AK631" i="19"/>
  <c r="W629" i="19"/>
  <c r="AJ630" i="19"/>
  <c r="AM630" i="19"/>
  <c r="Z629" i="19"/>
  <c r="AP630" i="19"/>
  <c r="AC629" i="19"/>
  <c r="AO630" i="19"/>
  <c r="AB629" i="19"/>
  <c r="AD629" i="19"/>
  <c r="AQ630" i="19"/>
  <c r="V629" i="19"/>
  <c r="AI630" i="19"/>
  <c r="AF631" i="19"/>
  <c r="S630" i="19"/>
  <c r="Y630" i="19"/>
  <c r="AL631" i="19"/>
  <c r="AF630" i="19" l="1"/>
  <c r="S629" i="19"/>
  <c r="AP629" i="19"/>
  <c r="AC628" i="19"/>
  <c r="AG629" i="19"/>
  <c r="T628" i="19"/>
  <c r="AO629" i="19"/>
  <c r="AB628" i="19"/>
  <c r="AH629" i="19"/>
  <c r="U628" i="19"/>
  <c r="X629" i="19"/>
  <c r="AK630" i="19"/>
  <c r="Y629" i="19"/>
  <c r="AL630" i="19"/>
  <c r="AM629" i="19"/>
  <c r="Z628" i="19"/>
  <c r="V628" i="19"/>
  <c r="AI629" i="19"/>
  <c r="AN630" i="19"/>
  <c r="AA629" i="19"/>
  <c r="AD628" i="19"/>
  <c r="AQ629" i="19"/>
  <c r="W628" i="19"/>
  <c r="AJ629" i="19"/>
  <c r="Y628" i="19" l="1"/>
  <c r="AL629" i="19"/>
  <c r="AM628" i="19"/>
  <c r="Z627" i="19"/>
  <c r="X628" i="19"/>
  <c r="AK629" i="19"/>
  <c r="W627" i="19"/>
  <c r="AJ628" i="19"/>
  <c r="AD627" i="19"/>
  <c r="AQ628" i="19"/>
  <c r="AP628" i="19"/>
  <c r="AC627" i="19"/>
  <c r="AH628" i="19"/>
  <c r="U627" i="19"/>
  <c r="AF629" i="19"/>
  <c r="S628" i="19"/>
  <c r="AO628" i="19"/>
  <c r="AB627" i="19"/>
  <c r="AG628" i="19"/>
  <c r="T627" i="19"/>
  <c r="AN629" i="19"/>
  <c r="AA628" i="19"/>
  <c r="V627" i="19"/>
  <c r="AI628" i="19"/>
  <c r="AF628" i="19" l="1"/>
  <c r="S627" i="19"/>
  <c r="AH627" i="19"/>
  <c r="U626" i="19"/>
  <c r="AM627" i="19"/>
  <c r="Z626" i="19"/>
  <c r="AP627" i="19"/>
  <c r="AC626" i="19"/>
  <c r="W626" i="19"/>
  <c r="AJ627" i="19"/>
  <c r="X627" i="19"/>
  <c r="AK628" i="19"/>
  <c r="AO627" i="19"/>
  <c r="AB626" i="19"/>
  <c r="V626" i="19"/>
  <c r="AI627" i="19"/>
  <c r="AN628" i="19"/>
  <c r="AA627" i="19"/>
  <c r="AG627" i="19"/>
  <c r="T626" i="19"/>
  <c r="AD626" i="19"/>
  <c r="AQ627" i="19"/>
  <c r="Y627" i="19"/>
  <c r="AL628" i="19"/>
  <c r="AP626" i="19" l="1"/>
  <c r="AC625" i="19"/>
  <c r="AM626" i="19"/>
  <c r="Z625" i="19"/>
  <c r="AH626" i="19"/>
  <c r="U625" i="19"/>
  <c r="V625" i="19"/>
  <c r="AI626" i="19"/>
  <c r="Y626" i="19"/>
  <c r="AL627" i="19"/>
  <c r="AO626" i="19"/>
  <c r="AB625" i="19"/>
  <c r="AG626" i="19"/>
  <c r="T625" i="19"/>
  <c r="X626" i="19"/>
  <c r="AK627" i="19"/>
  <c r="AN627" i="19"/>
  <c r="AA626" i="19"/>
  <c r="AF627" i="19"/>
  <c r="S626" i="19"/>
  <c r="AD625" i="19"/>
  <c r="AQ626" i="19"/>
  <c r="W625" i="19"/>
  <c r="AJ626" i="19"/>
  <c r="AD624" i="19" l="1"/>
  <c r="AQ625" i="19"/>
  <c r="V624" i="19"/>
  <c r="AI625" i="19"/>
  <c r="AH625" i="19"/>
  <c r="U624" i="19"/>
  <c r="AM625" i="19"/>
  <c r="Z624" i="19"/>
  <c r="X625" i="19"/>
  <c r="AK626" i="19"/>
  <c r="AO625" i="19"/>
  <c r="AB624" i="19"/>
  <c r="AP625" i="19"/>
  <c r="AC624" i="19"/>
  <c r="W624" i="19"/>
  <c r="AJ625" i="19"/>
  <c r="AG625" i="19"/>
  <c r="T624" i="19"/>
  <c r="AF626" i="19"/>
  <c r="S625" i="19"/>
  <c r="AN626" i="19"/>
  <c r="AA625" i="19"/>
  <c r="Y625" i="19"/>
  <c r="AL626" i="19"/>
  <c r="W623" i="19" l="1"/>
  <c r="AJ624" i="19"/>
  <c r="AM624" i="19"/>
  <c r="Z623" i="19"/>
  <c r="AP624" i="19"/>
  <c r="AC623" i="19"/>
  <c r="AN625" i="19"/>
  <c r="AA624" i="19"/>
  <c r="V623" i="19"/>
  <c r="AI624" i="19"/>
  <c r="Y624" i="19"/>
  <c r="AL625" i="19"/>
  <c r="AH624" i="19"/>
  <c r="U623" i="19"/>
  <c r="AO624" i="19"/>
  <c r="AB623" i="19"/>
  <c r="AF625" i="19"/>
  <c r="S624" i="19"/>
  <c r="AG624" i="19"/>
  <c r="T623" i="19"/>
  <c r="X624" i="19"/>
  <c r="AK625" i="19"/>
  <c r="AD623" i="19"/>
  <c r="AQ624" i="19"/>
  <c r="AO623" i="19" l="1"/>
  <c r="AB622" i="19"/>
  <c r="AN624" i="19"/>
  <c r="AA623" i="19"/>
  <c r="AD622" i="19"/>
  <c r="AQ623" i="19"/>
  <c r="X623" i="19"/>
  <c r="AK624" i="19"/>
  <c r="AM623" i="19"/>
  <c r="Z622" i="19"/>
  <c r="AH623" i="19"/>
  <c r="U622" i="19"/>
  <c r="AG623" i="19"/>
  <c r="T622" i="19"/>
  <c r="Y623" i="19"/>
  <c r="AL624" i="19"/>
  <c r="AF624" i="19"/>
  <c r="S623" i="19"/>
  <c r="AP623" i="19"/>
  <c r="AC622" i="19"/>
  <c r="V622" i="19"/>
  <c r="AI623" i="19"/>
  <c r="W622" i="19"/>
  <c r="AJ623" i="19"/>
  <c r="AM622" i="19" l="1"/>
  <c r="Z621" i="19"/>
  <c r="AO622" i="19"/>
  <c r="AB621" i="19"/>
  <c r="AF623" i="19"/>
  <c r="S622" i="19"/>
  <c r="W621" i="19"/>
  <c r="AJ622" i="19"/>
  <c r="Y622" i="19"/>
  <c r="AL623" i="19"/>
  <c r="X622" i="19"/>
  <c r="AK623" i="19"/>
  <c r="AG622" i="19"/>
  <c r="T621" i="19"/>
  <c r="V621" i="19"/>
  <c r="AI622" i="19"/>
  <c r="AD621" i="19"/>
  <c r="AQ622" i="19"/>
  <c r="AP622" i="19"/>
  <c r="AC621" i="19"/>
  <c r="AH622" i="19"/>
  <c r="U621" i="19"/>
  <c r="AN623" i="19"/>
  <c r="AA622" i="19"/>
  <c r="Y621" i="19" l="1"/>
  <c r="AL622" i="19"/>
  <c r="AN622" i="19"/>
  <c r="AA621" i="19"/>
  <c r="V620" i="19"/>
  <c r="AI621" i="19"/>
  <c r="AF622" i="19"/>
  <c r="S621" i="19"/>
  <c r="AH621" i="19"/>
  <c r="U620" i="19"/>
  <c r="AP621" i="19"/>
  <c r="AC620" i="19"/>
  <c r="AO621" i="19"/>
  <c r="AB620" i="19"/>
  <c r="AD620" i="19"/>
  <c r="AQ621" i="19"/>
  <c r="AG621" i="19"/>
  <c r="T620" i="19"/>
  <c r="X621" i="19"/>
  <c r="AK622" i="19"/>
  <c r="W620" i="19"/>
  <c r="AJ621" i="19"/>
  <c r="AM621" i="19"/>
  <c r="Z620" i="19"/>
  <c r="AF621" i="19" l="1"/>
  <c r="S620" i="19"/>
  <c r="V619" i="19"/>
  <c r="AI620" i="19"/>
  <c r="AN621" i="19"/>
  <c r="AA620" i="19"/>
  <c r="AM620" i="19"/>
  <c r="Z619" i="19"/>
  <c r="AD619" i="19"/>
  <c r="AQ620" i="19"/>
  <c r="AO620" i="19"/>
  <c r="AB619" i="19"/>
  <c r="AP620" i="19"/>
  <c r="AC619" i="19"/>
  <c r="AH620" i="19"/>
  <c r="U619" i="19"/>
  <c r="W619" i="19"/>
  <c r="AJ620" i="19"/>
  <c r="X620" i="19"/>
  <c r="AK621" i="19"/>
  <c r="AG620" i="19"/>
  <c r="T619" i="19"/>
  <c r="Y620" i="19"/>
  <c r="AL621" i="19"/>
  <c r="AM619" i="19" l="1"/>
  <c r="Z618" i="19"/>
  <c r="AH619" i="19"/>
  <c r="U618" i="19"/>
  <c r="AG619" i="19"/>
  <c r="T618" i="19"/>
  <c r="X619" i="19"/>
  <c r="AK620" i="19"/>
  <c r="V618" i="19"/>
  <c r="AI619" i="19"/>
  <c r="AP619" i="19"/>
  <c r="AC618" i="19"/>
  <c r="AO619" i="19"/>
  <c r="AB618" i="19"/>
  <c r="AF620" i="19"/>
  <c r="S619" i="19"/>
  <c r="Y619" i="19"/>
  <c r="AL620" i="19"/>
  <c r="AN620" i="19"/>
  <c r="AA619" i="19"/>
  <c r="W618" i="19"/>
  <c r="AJ619" i="19"/>
  <c r="AD618" i="19"/>
  <c r="AQ619" i="19"/>
  <c r="AF619" i="19" l="1"/>
  <c r="S618" i="19"/>
  <c r="X618" i="19"/>
  <c r="AK619" i="19"/>
  <c r="AD617" i="19"/>
  <c r="AQ618" i="19"/>
  <c r="AG618" i="19"/>
  <c r="T617" i="19"/>
  <c r="AH618" i="19"/>
  <c r="U617" i="19"/>
  <c r="W617" i="19"/>
  <c r="AJ618" i="19"/>
  <c r="AN619" i="19"/>
  <c r="AA618" i="19"/>
  <c r="AP618" i="19"/>
  <c r="AC617" i="19"/>
  <c r="AM618" i="19"/>
  <c r="Z617" i="19"/>
  <c r="AO618" i="19"/>
  <c r="AB617" i="19"/>
  <c r="Y618" i="19"/>
  <c r="AL619" i="19"/>
  <c r="V617" i="19"/>
  <c r="AI618" i="19"/>
  <c r="AP617" i="19" l="1"/>
  <c r="AC616" i="19"/>
  <c r="AG617" i="19"/>
  <c r="T616" i="19"/>
  <c r="AN618" i="19"/>
  <c r="AA617" i="19"/>
  <c r="AD616" i="19"/>
  <c r="AQ617" i="19"/>
  <c r="Y617" i="19"/>
  <c r="AL618" i="19"/>
  <c r="AO617" i="19"/>
  <c r="AB616" i="19"/>
  <c r="X617" i="19"/>
  <c r="AK618" i="19"/>
  <c r="AM617" i="19"/>
  <c r="Z616" i="19"/>
  <c r="AH617" i="19"/>
  <c r="U616" i="19"/>
  <c r="AF618" i="19"/>
  <c r="S617" i="19"/>
  <c r="V616" i="19"/>
  <c r="AI617" i="19"/>
  <c r="W616" i="19"/>
  <c r="AJ617" i="19"/>
  <c r="AM616" i="19" l="1"/>
  <c r="Z615" i="19"/>
  <c r="AG616" i="19"/>
  <c r="T615" i="19"/>
  <c r="W615" i="19"/>
  <c r="AJ616" i="19"/>
  <c r="AN617" i="19"/>
  <c r="AA616" i="19"/>
  <c r="X616" i="19"/>
  <c r="AK617" i="19"/>
  <c r="AF617" i="19"/>
  <c r="S616" i="19"/>
  <c r="AH616" i="19"/>
  <c r="U615" i="19"/>
  <c r="AP616" i="19"/>
  <c r="AC615" i="19"/>
  <c r="AD615" i="19"/>
  <c r="AQ616" i="19"/>
  <c r="V615" i="19"/>
  <c r="AI616" i="19"/>
  <c r="AO616" i="19"/>
  <c r="AB615" i="19"/>
  <c r="Y616" i="19"/>
  <c r="AL617" i="19"/>
  <c r="AN616" i="19" l="1"/>
  <c r="AA615" i="19"/>
  <c r="W614" i="19"/>
  <c r="AJ615" i="19"/>
  <c r="Y615" i="19"/>
  <c r="AL616" i="19"/>
  <c r="AG615" i="19"/>
  <c r="T614" i="19"/>
  <c r="AO615" i="19"/>
  <c r="AB614" i="19"/>
  <c r="AM615" i="19"/>
  <c r="Z614" i="19"/>
  <c r="AP615" i="19"/>
  <c r="AC614" i="19"/>
  <c r="AH615" i="19"/>
  <c r="U614" i="19"/>
  <c r="AF616" i="19"/>
  <c r="S615" i="19"/>
  <c r="V614" i="19"/>
  <c r="AI615" i="19"/>
  <c r="AD614" i="19"/>
  <c r="AQ615" i="19"/>
  <c r="X615" i="19"/>
  <c r="AK616" i="19"/>
  <c r="AG614" i="19" l="1"/>
  <c r="T613" i="19"/>
  <c r="AH614" i="19"/>
  <c r="U613" i="19"/>
  <c r="Y614" i="19"/>
  <c r="AL615" i="19"/>
  <c r="X614" i="19"/>
  <c r="AK615" i="19"/>
  <c r="AP614" i="19"/>
  <c r="AC613" i="19"/>
  <c r="W613" i="19"/>
  <c r="AJ614" i="19"/>
  <c r="AD613" i="19"/>
  <c r="AQ614" i="19"/>
  <c r="AF615" i="19"/>
  <c r="S614" i="19"/>
  <c r="AN615" i="19"/>
  <c r="AA614" i="19"/>
  <c r="AM614" i="19"/>
  <c r="Z613" i="19"/>
  <c r="V613" i="19"/>
  <c r="AI614" i="19"/>
  <c r="AO614" i="19"/>
  <c r="AB613" i="19"/>
  <c r="AO613" i="19" l="1"/>
  <c r="AB612" i="19"/>
  <c r="V612" i="19"/>
  <c r="AI613" i="19"/>
  <c r="Y613" i="19"/>
  <c r="AL614" i="19"/>
  <c r="X613" i="19"/>
  <c r="AK614" i="19"/>
  <c r="AM613" i="19"/>
  <c r="Z612" i="19"/>
  <c r="AH613" i="19"/>
  <c r="U612" i="19"/>
  <c r="AF614" i="19"/>
  <c r="S613" i="19"/>
  <c r="AN614" i="19"/>
  <c r="AA613" i="19"/>
  <c r="AG613" i="19"/>
  <c r="T612" i="19"/>
  <c r="AD612" i="19"/>
  <c r="AQ613" i="19"/>
  <c r="W612" i="19"/>
  <c r="AJ613" i="19"/>
  <c r="AP613" i="19"/>
  <c r="AC612" i="19"/>
  <c r="AP612" i="19" l="1"/>
  <c r="AC611" i="19"/>
  <c r="Y612" i="19"/>
  <c r="AL613" i="19"/>
  <c r="X612" i="19"/>
  <c r="AK613" i="19"/>
  <c r="W611" i="19"/>
  <c r="AJ612" i="19"/>
  <c r="AD611" i="19"/>
  <c r="AQ612" i="19"/>
  <c r="V611" i="19"/>
  <c r="AI612" i="19"/>
  <c r="AF613" i="19"/>
  <c r="S612" i="19"/>
  <c r="AG612" i="19"/>
  <c r="T611" i="19"/>
  <c r="AO612" i="19"/>
  <c r="AB611" i="19"/>
  <c r="AN613" i="19"/>
  <c r="AA612" i="19"/>
  <c r="AH612" i="19"/>
  <c r="U611" i="19"/>
  <c r="AM612" i="19"/>
  <c r="Z611" i="19"/>
  <c r="W610" i="19" l="1"/>
  <c r="AJ611" i="19"/>
  <c r="X611" i="19"/>
  <c r="AK612" i="19"/>
  <c r="AG611" i="19"/>
  <c r="T610" i="19"/>
  <c r="AF612" i="19"/>
  <c r="S611" i="19"/>
  <c r="AN612" i="19"/>
  <c r="AA611" i="19"/>
  <c r="Y611" i="19"/>
  <c r="AL612" i="19"/>
  <c r="AP611" i="19"/>
  <c r="AC610" i="19"/>
  <c r="AM611" i="19"/>
  <c r="Z610" i="19"/>
  <c r="AH611" i="19"/>
  <c r="U610" i="19"/>
  <c r="V610" i="19"/>
  <c r="AI611" i="19"/>
  <c r="AO611" i="19"/>
  <c r="AB610" i="19"/>
  <c r="AD610" i="19"/>
  <c r="AQ611" i="19"/>
  <c r="AF611" i="19" l="1"/>
  <c r="S610" i="19"/>
  <c r="AD609" i="19"/>
  <c r="AQ610" i="19"/>
  <c r="AO610" i="19"/>
  <c r="AB609" i="19"/>
  <c r="AM610" i="19"/>
  <c r="Z609" i="19"/>
  <c r="AP610" i="19"/>
  <c r="AC609" i="19"/>
  <c r="X610" i="19"/>
  <c r="AK611" i="19"/>
  <c r="Y610" i="19"/>
  <c r="AL611" i="19"/>
  <c r="AN611" i="19"/>
  <c r="AA610" i="19"/>
  <c r="AG610" i="19"/>
  <c r="T609" i="19"/>
  <c r="V609" i="19"/>
  <c r="AI610" i="19"/>
  <c r="AH610" i="19"/>
  <c r="U609" i="19"/>
  <c r="W609" i="19"/>
  <c r="AJ610" i="19"/>
  <c r="AM609" i="19" l="1"/>
  <c r="Z608" i="19"/>
  <c r="Y609" i="19"/>
  <c r="AL610" i="19"/>
  <c r="AN610" i="19"/>
  <c r="AA609" i="19"/>
  <c r="AH609" i="19"/>
  <c r="U608" i="19"/>
  <c r="AD608" i="19"/>
  <c r="AQ609" i="19"/>
  <c r="W608" i="19"/>
  <c r="AJ609" i="19"/>
  <c r="AO609" i="19"/>
  <c r="AB608" i="19"/>
  <c r="AG609" i="19"/>
  <c r="T608" i="19"/>
  <c r="AF610" i="19"/>
  <c r="S609" i="19"/>
  <c r="V608" i="19"/>
  <c r="AI609" i="19"/>
  <c r="X609" i="19"/>
  <c r="AK610" i="19"/>
  <c r="AP609" i="19"/>
  <c r="AC608" i="19"/>
  <c r="AH608" i="19" l="1"/>
  <c r="U607" i="19"/>
  <c r="AG608" i="19"/>
  <c r="T607" i="19"/>
  <c r="AO608" i="19"/>
  <c r="AB607" i="19"/>
  <c r="AP608" i="19"/>
  <c r="AC607" i="19"/>
  <c r="V607" i="19"/>
  <c r="AI608" i="19"/>
  <c r="Y608" i="19"/>
  <c r="AL609" i="19"/>
  <c r="X608" i="19"/>
  <c r="AK609" i="19"/>
  <c r="AM608" i="19"/>
  <c r="Z607" i="19"/>
  <c r="AN609" i="19"/>
  <c r="AA608" i="19"/>
  <c r="W607" i="19"/>
  <c r="AJ608" i="19"/>
  <c r="AF609" i="19"/>
  <c r="S608" i="19"/>
  <c r="AD607" i="19"/>
  <c r="AQ608" i="19"/>
  <c r="AP607" i="19" l="1"/>
  <c r="AC606" i="19"/>
  <c r="AD606" i="19"/>
  <c r="AQ607" i="19"/>
  <c r="AG607" i="19"/>
  <c r="T606" i="19"/>
  <c r="Y607" i="19"/>
  <c r="AL608" i="19"/>
  <c r="AF608" i="19"/>
  <c r="S607" i="19"/>
  <c r="X607" i="19"/>
  <c r="AK608" i="19"/>
  <c r="AH607" i="19"/>
  <c r="U606" i="19"/>
  <c r="AM607" i="19"/>
  <c r="Z606" i="19"/>
  <c r="AO607" i="19"/>
  <c r="AB606" i="19"/>
  <c r="W606" i="19"/>
  <c r="AJ607" i="19"/>
  <c r="AN608" i="19"/>
  <c r="AA607" i="19"/>
  <c r="V606" i="19"/>
  <c r="AI607" i="19"/>
  <c r="V605" i="19" l="1"/>
  <c r="AI606" i="19"/>
  <c r="AM606" i="19"/>
  <c r="Z605" i="19"/>
  <c r="AH606" i="19"/>
  <c r="U605" i="19"/>
  <c r="AG606" i="19"/>
  <c r="T605" i="19"/>
  <c r="AD605" i="19"/>
  <c r="AQ606" i="19"/>
  <c r="Y606" i="19"/>
  <c r="AL607" i="19"/>
  <c r="W605" i="19"/>
  <c r="AJ606" i="19"/>
  <c r="AF607" i="19"/>
  <c r="S606" i="19"/>
  <c r="AP606" i="19"/>
  <c r="AC605" i="19"/>
  <c r="AN607" i="19"/>
  <c r="AA606" i="19"/>
  <c r="X606" i="19"/>
  <c r="AK607" i="19"/>
  <c r="AO606" i="19"/>
  <c r="AB605" i="19"/>
  <c r="AG605" i="19" l="1"/>
  <c r="T604" i="19"/>
  <c r="X605" i="19"/>
  <c r="AK606" i="19"/>
  <c r="AO605" i="19"/>
  <c r="AB604" i="19"/>
  <c r="AH605" i="19"/>
  <c r="U604" i="19"/>
  <c r="AM605" i="19"/>
  <c r="Z604" i="19"/>
  <c r="W604" i="19"/>
  <c r="AJ605" i="19"/>
  <c r="AF606" i="19"/>
  <c r="S605" i="19"/>
  <c r="AN606" i="19"/>
  <c r="AA605" i="19"/>
  <c r="Y605" i="19"/>
  <c r="AL606" i="19"/>
  <c r="AP605" i="19"/>
  <c r="AC604" i="19"/>
  <c r="AD604" i="19"/>
  <c r="AQ605" i="19"/>
  <c r="V604" i="19"/>
  <c r="AI605" i="19"/>
  <c r="AN605" i="19" l="1"/>
  <c r="AA604" i="19"/>
  <c r="AH604" i="19"/>
  <c r="U603" i="19"/>
  <c r="AF605" i="19"/>
  <c r="S604" i="19"/>
  <c r="AO604" i="19"/>
  <c r="AB603" i="19"/>
  <c r="X604" i="19"/>
  <c r="AK605" i="19"/>
  <c r="V603" i="19"/>
  <c r="AI604" i="19"/>
  <c r="AD603" i="19"/>
  <c r="AQ604" i="19"/>
  <c r="AG604" i="19"/>
  <c r="T603" i="19"/>
  <c r="AP604" i="19"/>
  <c r="AC603" i="19"/>
  <c r="W603" i="19"/>
  <c r="AJ604" i="19"/>
  <c r="AM604" i="19"/>
  <c r="Z603" i="19"/>
  <c r="Y604" i="19"/>
  <c r="AL605" i="19"/>
  <c r="AO603" i="19" l="1"/>
  <c r="AB602" i="19"/>
  <c r="AF604" i="19"/>
  <c r="S603" i="19"/>
  <c r="AG603" i="19"/>
  <c r="T602" i="19"/>
  <c r="W602" i="19"/>
  <c r="AJ603" i="19"/>
  <c r="AP603" i="19"/>
  <c r="AC602" i="19"/>
  <c r="AN604" i="19"/>
  <c r="AA603" i="19"/>
  <c r="Y603" i="19"/>
  <c r="AL604" i="19"/>
  <c r="AM603" i="19"/>
  <c r="Z602" i="19"/>
  <c r="AD602" i="19"/>
  <c r="AQ603" i="19"/>
  <c r="AH603" i="19"/>
  <c r="U602" i="19"/>
  <c r="V602" i="19"/>
  <c r="AI603" i="19"/>
  <c r="X603" i="19"/>
  <c r="AK604" i="19"/>
  <c r="AM602" i="19" l="1"/>
  <c r="Z601" i="19"/>
  <c r="X602" i="19"/>
  <c r="AK603" i="19"/>
  <c r="AF603" i="19"/>
  <c r="S602" i="19"/>
  <c r="Y602" i="19"/>
  <c r="AL603" i="19"/>
  <c r="W601" i="19"/>
  <c r="AJ602" i="19"/>
  <c r="V601" i="19"/>
  <c r="AI602" i="19"/>
  <c r="AN603" i="19"/>
  <c r="AA602" i="19"/>
  <c r="AO602" i="19"/>
  <c r="AB601" i="19"/>
  <c r="AG602" i="19"/>
  <c r="T601" i="19"/>
  <c r="AH602" i="19"/>
  <c r="U601" i="19"/>
  <c r="AP602" i="19"/>
  <c r="AC601" i="19"/>
  <c r="AD601" i="19"/>
  <c r="AQ602" i="19"/>
  <c r="AO601" i="19" l="1"/>
  <c r="AB600" i="19"/>
  <c r="AD600" i="19"/>
  <c r="AQ601" i="19"/>
  <c r="AN602" i="19"/>
  <c r="AA601" i="19"/>
  <c r="AP601" i="19"/>
  <c r="AC600" i="19"/>
  <c r="AH601" i="19"/>
  <c r="U600" i="19"/>
  <c r="X601" i="19"/>
  <c r="AK602" i="19"/>
  <c r="AF602" i="19"/>
  <c r="S601" i="19"/>
  <c r="AG601" i="19"/>
  <c r="T600" i="19"/>
  <c r="AM601" i="19"/>
  <c r="Z600" i="19"/>
  <c r="Y601" i="19"/>
  <c r="AL602" i="19"/>
  <c r="V600" i="19"/>
  <c r="AI601" i="19"/>
  <c r="W600" i="19"/>
  <c r="AJ601" i="19"/>
  <c r="AG600" i="19" l="1"/>
  <c r="T599" i="19"/>
  <c r="AP600" i="19"/>
  <c r="AC599" i="19"/>
  <c r="W599" i="19"/>
  <c r="AJ600" i="19"/>
  <c r="AF601" i="19"/>
  <c r="S600" i="19"/>
  <c r="AD599" i="19"/>
  <c r="AQ600" i="19"/>
  <c r="AN601" i="19"/>
  <c r="AA600" i="19"/>
  <c r="AM600" i="19"/>
  <c r="Z599" i="19"/>
  <c r="AO600" i="19"/>
  <c r="AB599" i="19"/>
  <c r="V599" i="19"/>
  <c r="AI600" i="19"/>
  <c r="Y600" i="19"/>
  <c r="AL601" i="19"/>
  <c r="X600" i="19"/>
  <c r="AK601" i="19"/>
  <c r="AH600" i="19"/>
  <c r="U599" i="19"/>
  <c r="AF600" i="19" l="1"/>
  <c r="S599" i="19"/>
  <c r="W598" i="19"/>
  <c r="AJ599" i="19"/>
  <c r="AP599" i="19"/>
  <c r="AC598" i="19"/>
  <c r="AH599" i="19"/>
  <c r="U598" i="19"/>
  <c r="AM599" i="19"/>
  <c r="Z598" i="19"/>
  <c r="X599" i="19"/>
  <c r="AK600" i="19"/>
  <c r="AN600" i="19"/>
  <c r="AA599" i="19"/>
  <c r="AG599" i="19"/>
  <c r="T598" i="19"/>
  <c r="AO599" i="19"/>
  <c r="AB598" i="19"/>
  <c r="Y599" i="19"/>
  <c r="AL600" i="19"/>
  <c r="V598" i="19"/>
  <c r="AI599" i="19"/>
  <c r="AD598" i="19"/>
  <c r="AQ599" i="19"/>
  <c r="AH598" i="19" l="1"/>
  <c r="U597" i="19"/>
  <c r="AG598" i="19"/>
  <c r="T597" i="19"/>
  <c r="W597" i="19"/>
  <c r="AJ598" i="19"/>
  <c r="AP598" i="19"/>
  <c r="AC597" i="19"/>
  <c r="X598" i="19"/>
  <c r="AK599" i="19"/>
  <c r="AF599" i="19"/>
  <c r="S598" i="19"/>
  <c r="AD597" i="19"/>
  <c r="AQ598" i="19"/>
  <c r="AN599" i="19"/>
  <c r="AA598" i="19"/>
  <c r="V597" i="19"/>
  <c r="AI598" i="19"/>
  <c r="Y598" i="19"/>
  <c r="AL599" i="19"/>
  <c r="AO598" i="19"/>
  <c r="AB597" i="19"/>
  <c r="AM598" i="19"/>
  <c r="Z597" i="19"/>
  <c r="AP597" i="19" l="1"/>
  <c r="AC596" i="19"/>
  <c r="W596" i="19"/>
  <c r="AJ597" i="19"/>
  <c r="AG597" i="19"/>
  <c r="T596" i="19"/>
  <c r="AN598" i="19"/>
  <c r="AA597" i="19"/>
  <c r="AO597" i="19"/>
  <c r="AB596" i="19"/>
  <c r="AD596" i="19"/>
  <c r="AQ597" i="19"/>
  <c r="AH597" i="19"/>
  <c r="U596" i="19"/>
  <c r="AM597" i="19"/>
  <c r="Z596" i="19"/>
  <c r="AF598" i="19"/>
  <c r="S597" i="19"/>
  <c r="Y597" i="19"/>
  <c r="AL598" i="19"/>
  <c r="V596" i="19"/>
  <c r="AI597" i="19"/>
  <c r="X597" i="19"/>
  <c r="AK598" i="19"/>
  <c r="AN597" i="19" l="1"/>
  <c r="AA596" i="19"/>
  <c r="AM596" i="19"/>
  <c r="Z595" i="19"/>
  <c r="AH596" i="19"/>
  <c r="U595" i="19"/>
  <c r="W595" i="19"/>
  <c r="AJ596" i="19"/>
  <c r="V595" i="19"/>
  <c r="AI596" i="19"/>
  <c r="AF597" i="19"/>
  <c r="S596" i="19"/>
  <c r="AP596" i="19"/>
  <c r="AC595" i="19"/>
  <c r="X596" i="19"/>
  <c r="AK597" i="19"/>
  <c r="AG596" i="19"/>
  <c r="T595" i="19"/>
  <c r="Y596" i="19"/>
  <c r="AL597" i="19"/>
  <c r="AD595" i="19"/>
  <c r="AQ596" i="19"/>
  <c r="AO596" i="19"/>
  <c r="AB595" i="19"/>
  <c r="W594" i="19" l="1"/>
  <c r="AJ595" i="19"/>
  <c r="AO595" i="19"/>
  <c r="AB594" i="19"/>
  <c r="X595" i="19"/>
  <c r="AK596" i="19"/>
  <c r="AD594" i="19"/>
  <c r="AQ595" i="19"/>
  <c r="AF596" i="19"/>
  <c r="S595" i="19"/>
  <c r="AH595" i="19"/>
  <c r="U594" i="19"/>
  <c r="AP595" i="19"/>
  <c r="AC594" i="19"/>
  <c r="Y595" i="19"/>
  <c r="AL596" i="19"/>
  <c r="AN596" i="19"/>
  <c r="AA595" i="19"/>
  <c r="AM595" i="19"/>
  <c r="Z594" i="19"/>
  <c r="AG595" i="19"/>
  <c r="T594" i="19"/>
  <c r="V594" i="19"/>
  <c r="AI595" i="19"/>
  <c r="AD593" i="19" l="1"/>
  <c r="AQ594" i="19"/>
  <c r="X594" i="19"/>
  <c r="AK595" i="19"/>
  <c r="V593" i="19"/>
  <c r="AI594" i="19"/>
  <c r="AO594" i="19"/>
  <c r="AB593" i="19"/>
  <c r="AG594" i="19"/>
  <c r="T593" i="19"/>
  <c r="Y594" i="19"/>
  <c r="AL595" i="19"/>
  <c r="AH594" i="19"/>
  <c r="U593" i="19"/>
  <c r="AN595" i="19"/>
  <c r="AA594" i="19"/>
  <c r="AP594" i="19"/>
  <c r="AC593" i="19"/>
  <c r="AM594" i="19"/>
  <c r="Z593" i="19"/>
  <c r="AF595" i="19"/>
  <c r="S594" i="19"/>
  <c r="W593" i="19"/>
  <c r="AJ594" i="19"/>
  <c r="AO593" i="19" l="1"/>
  <c r="AB592" i="19"/>
  <c r="AF594" i="19"/>
  <c r="S593" i="19"/>
  <c r="V592" i="19"/>
  <c r="AI593" i="19"/>
  <c r="AN594" i="19"/>
  <c r="AA593" i="19"/>
  <c r="W592" i="19"/>
  <c r="AJ593" i="19"/>
  <c r="AH593" i="19"/>
  <c r="U592" i="19"/>
  <c r="AM593" i="19"/>
  <c r="Z592" i="19"/>
  <c r="X593" i="19"/>
  <c r="AK594" i="19"/>
  <c r="AP593" i="19"/>
  <c r="AC592" i="19"/>
  <c r="Y593" i="19"/>
  <c r="AL594" i="19"/>
  <c r="AG593" i="19"/>
  <c r="T592" i="19"/>
  <c r="AD592" i="19"/>
  <c r="AQ593" i="19"/>
  <c r="AN593" i="19" l="1"/>
  <c r="AA592" i="19"/>
  <c r="V591" i="19"/>
  <c r="AI592" i="19"/>
  <c r="AD591" i="19"/>
  <c r="AQ592" i="19"/>
  <c r="AF593" i="19"/>
  <c r="S592" i="19"/>
  <c r="AG592" i="19"/>
  <c r="T591" i="19"/>
  <c r="AM592" i="19"/>
  <c r="Z591" i="19"/>
  <c r="AH592" i="19"/>
  <c r="U591" i="19"/>
  <c r="AO592" i="19"/>
  <c r="AB591" i="19"/>
  <c r="X592" i="19"/>
  <c r="AK593" i="19"/>
  <c r="Y592" i="19"/>
  <c r="AL593" i="19"/>
  <c r="AP592" i="19"/>
  <c r="AC591" i="19"/>
  <c r="W591" i="19"/>
  <c r="AJ592" i="19"/>
  <c r="AD590" i="19" l="1"/>
  <c r="AQ591" i="19"/>
  <c r="AF592" i="19"/>
  <c r="S591" i="19"/>
  <c r="AH591" i="19"/>
  <c r="U590" i="19"/>
  <c r="V590" i="19"/>
  <c r="AI591" i="19"/>
  <c r="W590" i="19"/>
  <c r="AJ591" i="19"/>
  <c r="Y591" i="19"/>
  <c r="AL592" i="19"/>
  <c r="AN592" i="19"/>
  <c r="AA591" i="19"/>
  <c r="AO591" i="19"/>
  <c r="AB590" i="19"/>
  <c r="AP591" i="19"/>
  <c r="AC590" i="19"/>
  <c r="AM591" i="19"/>
  <c r="Z590" i="19"/>
  <c r="AG591" i="19"/>
  <c r="T590" i="19"/>
  <c r="X591" i="19"/>
  <c r="AK592" i="19"/>
  <c r="X590" i="19" l="1"/>
  <c r="AK591" i="19"/>
  <c r="AO590" i="19"/>
  <c r="AB589" i="19"/>
  <c r="AH590" i="19"/>
  <c r="U589" i="19"/>
  <c r="V589" i="19"/>
  <c r="AI590" i="19"/>
  <c r="AG590" i="19"/>
  <c r="T589" i="19"/>
  <c r="AN591" i="19"/>
  <c r="AA590" i="19"/>
  <c r="AM590" i="19"/>
  <c r="Z589" i="19"/>
  <c r="AF591" i="19"/>
  <c r="S590" i="19"/>
  <c r="Y590" i="19"/>
  <c r="AL591" i="19"/>
  <c r="AP590" i="19"/>
  <c r="AC589" i="19"/>
  <c r="W589" i="19"/>
  <c r="AJ590" i="19"/>
  <c r="AD589" i="19"/>
  <c r="AQ590" i="19"/>
  <c r="V588" i="19" l="1"/>
  <c r="AI589" i="19"/>
  <c r="AF590" i="19"/>
  <c r="S589" i="19"/>
  <c r="AH589" i="19"/>
  <c r="U588" i="19"/>
  <c r="AO589" i="19"/>
  <c r="AB588" i="19"/>
  <c r="AD588" i="19"/>
  <c r="AQ589" i="19"/>
  <c r="W588" i="19"/>
  <c r="AJ589" i="19"/>
  <c r="AM589" i="19"/>
  <c r="Z588" i="19"/>
  <c r="AP589" i="19"/>
  <c r="AC588" i="19"/>
  <c r="AN590" i="19"/>
  <c r="AA589" i="19"/>
  <c r="AG589" i="19"/>
  <c r="T588" i="19"/>
  <c r="Y589" i="19"/>
  <c r="AL590" i="19"/>
  <c r="X589" i="19"/>
  <c r="AK590" i="19"/>
  <c r="AO588" i="19" l="1"/>
  <c r="AB587" i="19"/>
  <c r="Y588" i="19"/>
  <c r="AL589" i="19"/>
  <c r="AF589" i="19"/>
  <c r="S588" i="19"/>
  <c r="X588" i="19"/>
  <c r="AK589" i="19"/>
  <c r="AM588" i="19"/>
  <c r="Z587" i="19"/>
  <c r="AG588" i="19"/>
  <c r="T587" i="19"/>
  <c r="W587" i="19"/>
  <c r="AJ588" i="19"/>
  <c r="AP588" i="19"/>
  <c r="AC587" i="19"/>
  <c r="AH588" i="19"/>
  <c r="U587" i="19"/>
  <c r="AN589" i="19"/>
  <c r="AA588" i="19"/>
  <c r="AD587" i="19"/>
  <c r="AQ588" i="19"/>
  <c r="V587" i="19"/>
  <c r="AI588" i="19"/>
  <c r="AP587" i="19" l="1"/>
  <c r="AC586" i="19"/>
  <c r="AG587" i="19"/>
  <c r="T586" i="19"/>
  <c r="V586" i="19"/>
  <c r="AI587" i="19"/>
  <c r="AF588" i="19"/>
  <c r="S587" i="19"/>
  <c r="AN588" i="19"/>
  <c r="AA587" i="19"/>
  <c r="Y587" i="19"/>
  <c r="AL588" i="19"/>
  <c r="W586" i="19"/>
  <c r="AJ587" i="19"/>
  <c r="AH587" i="19"/>
  <c r="U586" i="19"/>
  <c r="AO587" i="19"/>
  <c r="AB586" i="19"/>
  <c r="X587" i="19"/>
  <c r="AK588" i="19"/>
  <c r="AD586" i="19"/>
  <c r="AQ587" i="19"/>
  <c r="AM587" i="19"/>
  <c r="Z586" i="19"/>
  <c r="AF587" i="19" l="1"/>
  <c r="S586" i="19"/>
  <c r="AH586" i="19"/>
  <c r="U585" i="19"/>
  <c r="V585" i="19"/>
  <c r="AI586" i="19"/>
  <c r="AG586" i="19"/>
  <c r="T585" i="19"/>
  <c r="AM586" i="19"/>
  <c r="Z585" i="19"/>
  <c r="W585" i="19"/>
  <c r="AJ586" i="19"/>
  <c r="AO586" i="19"/>
  <c r="AB585" i="19"/>
  <c r="AP586" i="19"/>
  <c r="AC585" i="19"/>
  <c r="AD585" i="19"/>
  <c r="AQ586" i="19"/>
  <c r="X586" i="19"/>
  <c r="AK587" i="19"/>
  <c r="Y586" i="19"/>
  <c r="AL587" i="19"/>
  <c r="AN587" i="19"/>
  <c r="AA586" i="19"/>
  <c r="T584" i="19" l="1"/>
  <c r="AG585" i="19"/>
  <c r="AN586" i="19"/>
  <c r="AA585" i="19"/>
  <c r="V584" i="19"/>
  <c r="AI585" i="19"/>
  <c r="AC584" i="19"/>
  <c r="AP585" i="19"/>
  <c r="W584" i="19"/>
  <c r="AJ585" i="19"/>
  <c r="U584" i="19"/>
  <c r="AH585" i="19"/>
  <c r="AF586" i="19"/>
  <c r="S585" i="19"/>
  <c r="AB584" i="19"/>
  <c r="AO585" i="19"/>
  <c r="Y585" i="19"/>
  <c r="AL586" i="19"/>
  <c r="X585" i="19"/>
  <c r="AK586" i="19"/>
  <c r="Z584" i="19"/>
  <c r="AM585" i="19"/>
  <c r="AD584" i="19"/>
  <c r="AQ585" i="19"/>
  <c r="AI584" i="19" l="1"/>
  <c r="V583" i="19"/>
  <c r="AD583" i="19"/>
  <c r="AQ584" i="19"/>
  <c r="AF585" i="19"/>
  <c r="S584" i="19"/>
  <c r="AB583" i="19"/>
  <c r="AO584" i="19"/>
  <c r="AA584" i="19"/>
  <c r="AN585" i="19"/>
  <c r="AC583" i="19"/>
  <c r="AP584" i="19"/>
  <c r="Z583" i="19"/>
  <c r="AM584" i="19"/>
  <c r="X584" i="19"/>
  <c r="AK585" i="19"/>
  <c r="U583" i="19"/>
  <c r="AH584" i="19"/>
  <c r="Y584" i="19"/>
  <c r="AL585" i="19"/>
  <c r="W583" i="19"/>
  <c r="AJ584" i="19"/>
  <c r="T583" i="19"/>
  <c r="AG584" i="19"/>
  <c r="T582" i="19" l="1"/>
  <c r="AG583" i="19"/>
  <c r="X583" i="19"/>
  <c r="AK584" i="19"/>
  <c r="Z582" i="19"/>
  <c r="AM583" i="19"/>
  <c r="Y583" i="19"/>
  <c r="AL584" i="19"/>
  <c r="AQ583" i="19"/>
  <c r="AD582" i="19"/>
  <c r="AB582" i="19"/>
  <c r="AO583" i="19"/>
  <c r="W582" i="19"/>
  <c r="AJ583" i="19"/>
  <c r="AI583" i="19"/>
  <c r="V582" i="19"/>
  <c r="AF584" i="19"/>
  <c r="S583" i="19"/>
  <c r="AC582" i="19"/>
  <c r="AP583" i="19"/>
  <c r="U582" i="19"/>
  <c r="AH583" i="19"/>
  <c r="AA583" i="19"/>
  <c r="AN584" i="19"/>
  <c r="AI582" i="19" l="1"/>
  <c r="V581" i="19"/>
  <c r="Z581" i="19"/>
  <c r="AM582" i="19"/>
  <c r="AL583" i="19"/>
  <c r="Y582" i="19"/>
  <c r="U581" i="19"/>
  <c r="AH582" i="19"/>
  <c r="AK583" i="19"/>
  <c r="X582" i="19"/>
  <c r="W581" i="19"/>
  <c r="AJ582" i="19"/>
  <c r="AC581" i="19"/>
  <c r="AP582" i="19"/>
  <c r="AQ582" i="19"/>
  <c r="AD581" i="19"/>
  <c r="AN583" i="19"/>
  <c r="AA582" i="19"/>
  <c r="AB581" i="19"/>
  <c r="AO582" i="19"/>
  <c r="AF583" i="19"/>
  <c r="S582" i="19"/>
  <c r="T581" i="19"/>
  <c r="AG582" i="19"/>
  <c r="T580" i="19" l="1"/>
  <c r="AG581" i="19"/>
  <c r="AQ581" i="19"/>
  <c r="AD580" i="19"/>
  <c r="AL582" i="19"/>
  <c r="Y581" i="19"/>
  <c r="S581" i="19"/>
  <c r="AF582" i="19"/>
  <c r="AC580" i="19"/>
  <c r="AP581" i="19"/>
  <c r="Z580" i="19"/>
  <c r="AM581" i="19"/>
  <c r="AB580" i="19"/>
  <c r="AO581" i="19"/>
  <c r="AK582" i="19"/>
  <c r="X581" i="19"/>
  <c r="AI581" i="19"/>
  <c r="V580" i="19"/>
  <c r="U580" i="19"/>
  <c r="AH581" i="19"/>
  <c r="AJ581" i="19"/>
  <c r="W580" i="19"/>
  <c r="AN582" i="19"/>
  <c r="AA581" i="19"/>
  <c r="AN581" i="19" l="1"/>
  <c r="AA580" i="19"/>
  <c r="AB579" i="19"/>
  <c r="AO580" i="19"/>
  <c r="AQ580" i="19"/>
  <c r="AD579" i="19"/>
  <c r="AK581" i="19"/>
  <c r="X580" i="19"/>
  <c r="AL581" i="19"/>
  <c r="Y580" i="19"/>
  <c r="S580" i="19"/>
  <c r="AF581" i="19"/>
  <c r="AI580" i="19"/>
  <c r="V579" i="19"/>
  <c r="AJ580" i="19"/>
  <c r="W579" i="19"/>
  <c r="U579" i="19"/>
  <c r="AH580" i="19"/>
  <c r="Z579" i="19"/>
  <c r="AM580" i="19"/>
  <c r="AC579" i="19"/>
  <c r="AP580" i="19"/>
  <c r="T579" i="19"/>
  <c r="AG580" i="19"/>
  <c r="AK580" i="19" l="1"/>
  <c r="X579" i="19"/>
  <c r="AJ579" i="19"/>
  <c r="W578" i="19"/>
  <c r="AQ579" i="19"/>
  <c r="AD578" i="19"/>
  <c r="T578" i="19"/>
  <c r="AG579" i="19"/>
  <c r="AI579" i="19"/>
  <c r="V578" i="19"/>
  <c r="AB578" i="19"/>
  <c r="AO579" i="19"/>
  <c r="AC578" i="19"/>
  <c r="AP579" i="19"/>
  <c r="AL580" i="19"/>
  <c r="Y579" i="19"/>
  <c r="AN580" i="19"/>
  <c r="AA579" i="19"/>
  <c r="Z578" i="19"/>
  <c r="AM579" i="19"/>
  <c r="S579" i="19"/>
  <c r="AF580" i="19"/>
  <c r="U578" i="19"/>
  <c r="AH579" i="19"/>
  <c r="U577" i="19" l="1"/>
  <c r="AH578" i="19"/>
  <c r="AQ578" i="19"/>
  <c r="AD577" i="19"/>
  <c r="AJ578" i="19"/>
  <c r="W577" i="19"/>
  <c r="T577" i="19"/>
  <c r="AG578" i="19"/>
  <c r="S578" i="19"/>
  <c r="AF579" i="19"/>
  <c r="AI578" i="19"/>
  <c r="V577" i="19"/>
  <c r="AK579" i="19"/>
  <c r="X578" i="19"/>
  <c r="AL579" i="19"/>
  <c r="Y578" i="19"/>
  <c r="AC577" i="19"/>
  <c r="AP578" i="19"/>
  <c r="Z577" i="19"/>
  <c r="AM578" i="19"/>
  <c r="AB577" i="19"/>
  <c r="AO578" i="19"/>
  <c r="AA578" i="19"/>
  <c r="AN579" i="19"/>
  <c r="T576" i="19" l="1"/>
  <c r="AG577" i="19"/>
  <c r="AB576" i="19"/>
  <c r="AO577" i="19"/>
  <c r="AQ577" i="19"/>
  <c r="AD576" i="19"/>
  <c r="AL578" i="19"/>
  <c r="Y577" i="19"/>
  <c r="AK578" i="19"/>
  <c r="X577" i="19"/>
  <c r="AI577" i="19"/>
  <c r="V576" i="19"/>
  <c r="AA577" i="19"/>
  <c r="AN578" i="19"/>
  <c r="AJ577" i="19"/>
  <c r="W576" i="19"/>
  <c r="Z576" i="19"/>
  <c r="AM577" i="19"/>
  <c r="AC576" i="19"/>
  <c r="AP577" i="19"/>
  <c r="S577" i="19"/>
  <c r="AF578" i="19"/>
  <c r="U576" i="19"/>
  <c r="AH577" i="19"/>
  <c r="AL577" i="19" l="1"/>
  <c r="Y576" i="19"/>
  <c r="AJ576" i="19"/>
  <c r="W575" i="19"/>
  <c r="S576" i="19"/>
  <c r="AF577" i="19"/>
  <c r="U575" i="19"/>
  <c r="AH576" i="19"/>
  <c r="AQ576" i="19"/>
  <c r="AD575" i="19"/>
  <c r="AA576" i="19"/>
  <c r="AN577" i="19"/>
  <c r="AB575" i="19"/>
  <c r="AO576" i="19"/>
  <c r="AI576" i="19"/>
  <c r="V575" i="19"/>
  <c r="AK577" i="19"/>
  <c r="X576" i="19"/>
  <c r="AC575" i="19"/>
  <c r="AP576" i="19"/>
  <c r="Z575" i="19"/>
  <c r="AM576" i="19"/>
  <c r="T575" i="19"/>
  <c r="AG576" i="19"/>
  <c r="AI575" i="19" l="1"/>
  <c r="V574" i="19"/>
  <c r="T574" i="19"/>
  <c r="AG575" i="19"/>
  <c r="S575" i="19"/>
  <c r="AF576" i="19"/>
  <c r="AJ575" i="19"/>
  <c r="W574" i="19"/>
  <c r="AB574" i="19"/>
  <c r="AO575" i="19"/>
  <c r="AC574" i="19"/>
  <c r="AP575" i="19"/>
  <c r="AQ575" i="19"/>
  <c r="AD574" i="19"/>
  <c r="AL576" i="19"/>
  <c r="Y575" i="19"/>
  <c r="U574" i="19"/>
  <c r="AH575" i="19"/>
  <c r="Z574" i="19"/>
  <c r="AM575" i="19"/>
  <c r="AA575" i="19"/>
  <c r="AN576" i="19"/>
  <c r="AK576" i="19"/>
  <c r="X575" i="19"/>
  <c r="AK575" i="19" l="1"/>
  <c r="X574" i="19"/>
  <c r="S574" i="19"/>
  <c r="AF575" i="19"/>
  <c r="AJ574" i="19"/>
  <c r="W573" i="19"/>
  <c r="AL575" i="19"/>
  <c r="Y574" i="19"/>
  <c r="AQ574" i="19"/>
  <c r="AD573" i="19"/>
  <c r="T573" i="19"/>
  <c r="AG574" i="19"/>
  <c r="Z573" i="19"/>
  <c r="AM574" i="19"/>
  <c r="AI574" i="19"/>
  <c r="V573" i="19"/>
  <c r="AA574" i="19"/>
  <c r="AN575" i="19"/>
  <c r="AC573" i="19"/>
  <c r="AP574" i="19"/>
  <c r="U573" i="19"/>
  <c r="AH574" i="19"/>
  <c r="AB573" i="19"/>
  <c r="AO574" i="19"/>
  <c r="AL574" i="19" l="1"/>
  <c r="Y573" i="19"/>
  <c r="AI573" i="19"/>
  <c r="V572" i="19"/>
  <c r="U572" i="19"/>
  <c r="AH573" i="19"/>
  <c r="S573" i="19"/>
  <c r="AF574" i="19"/>
  <c r="AB572" i="19"/>
  <c r="AO573" i="19"/>
  <c r="AJ573" i="19"/>
  <c r="W572" i="19"/>
  <c r="AK574" i="19"/>
  <c r="X573" i="19"/>
  <c r="Z572" i="19"/>
  <c r="AM573" i="19"/>
  <c r="AC572" i="19"/>
  <c r="AP573" i="19"/>
  <c r="T572" i="19"/>
  <c r="AG573" i="19"/>
  <c r="AQ573" i="19"/>
  <c r="AD572" i="19"/>
  <c r="AA573" i="19"/>
  <c r="AN574" i="19"/>
  <c r="Z571" i="19" l="1"/>
  <c r="AM572" i="19"/>
  <c r="U571" i="19"/>
  <c r="AH572" i="19"/>
  <c r="AA572" i="19"/>
  <c r="AN573" i="19"/>
  <c r="AQ572" i="19"/>
  <c r="AD571" i="19"/>
  <c r="AJ572" i="19"/>
  <c r="W571" i="19"/>
  <c r="AK573" i="19"/>
  <c r="X572" i="19"/>
  <c r="T571" i="19"/>
  <c r="AG572" i="19"/>
  <c r="AL573" i="19"/>
  <c r="Y572" i="19"/>
  <c r="S572" i="19"/>
  <c r="AF573" i="19"/>
  <c r="AI572" i="19"/>
  <c r="V571" i="19"/>
  <c r="AC571" i="19"/>
  <c r="AP572" i="19"/>
  <c r="AB571" i="19"/>
  <c r="AO572" i="19"/>
  <c r="AQ571" i="19" l="1"/>
  <c r="AD570" i="19"/>
  <c r="AA571" i="19"/>
  <c r="AN572" i="19"/>
  <c r="AC570" i="19"/>
  <c r="AP571" i="19"/>
  <c r="AI571" i="19"/>
  <c r="V570" i="19"/>
  <c r="U570" i="19"/>
  <c r="AH571" i="19"/>
  <c r="AL572" i="19"/>
  <c r="Y571" i="19"/>
  <c r="T570" i="19"/>
  <c r="AG571" i="19"/>
  <c r="AB570" i="19"/>
  <c r="AO571" i="19"/>
  <c r="AK572" i="19"/>
  <c r="X571" i="19"/>
  <c r="AJ571" i="19"/>
  <c r="W570" i="19"/>
  <c r="S571" i="19"/>
  <c r="AF572" i="19"/>
  <c r="Z570" i="19"/>
  <c r="AM571" i="19"/>
  <c r="AI570" i="19" l="1"/>
  <c r="V569" i="19"/>
  <c r="AB569" i="19"/>
  <c r="AO570" i="19"/>
  <c r="AC569" i="19"/>
  <c r="AP570" i="19"/>
  <c r="Z569" i="19"/>
  <c r="AM570" i="19"/>
  <c r="S570" i="19"/>
  <c r="AF571" i="19"/>
  <c r="AA570" i="19"/>
  <c r="AN571" i="19"/>
  <c r="AJ570" i="19"/>
  <c r="W569" i="19"/>
  <c r="AQ570" i="19"/>
  <c r="AD569" i="19"/>
  <c r="T569" i="19"/>
  <c r="AG570" i="19"/>
  <c r="AL571" i="19"/>
  <c r="Y570" i="19"/>
  <c r="AK571" i="19"/>
  <c r="X570" i="19"/>
  <c r="U569" i="19"/>
  <c r="AH570" i="19"/>
  <c r="AC568" i="19" l="1"/>
  <c r="AP569" i="19"/>
  <c r="AQ569" i="19"/>
  <c r="AD568" i="19"/>
  <c r="AK570" i="19"/>
  <c r="X569" i="19"/>
  <c r="AJ569" i="19"/>
  <c r="W568" i="19"/>
  <c r="AB568" i="19"/>
  <c r="AO569" i="19"/>
  <c r="Z568" i="19"/>
  <c r="AM569" i="19"/>
  <c r="AI569" i="19"/>
  <c r="V568" i="19"/>
  <c r="U568" i="19"/>
  <c r="AH569" i="19"/>
  <c r="AL570" i="19"/>
  <c r="Y569" i="19"/>
  <c r="AA569" i="19"/>
  <c r="AN570" i="19"/>
  <c r="T568" i="19"/>
  <c r="AG569" i="19"/>
  <c r="S569" i="19"/>
  <c r="AF570" i="19"/>
  <c r="AJ568" i="19" l="1"/>
  <c r="W567" i="19"/>
  <c r="U567" i="19"/>
  <c r="AH568" i="19"/>
  <c r="S568" i="19"/>
  <c r="AF569" i="19"/>
  <c r="AI568" i="19"/>
  <c r="V567" i="19"/>
  <c r="Z567" i="19"/>
  <c r="AM568" i="19"/>
  <c r="AL569" i="19"/>
  <c r="Y568" i="19"/>
  <c r="AK569" i="19"/>
  <c r="X568" i="19"/>
  <c r="T567" i="19"/>
  <c r="AG568" i="19"/>
  <c r="AQ568" i="19"/>
  <c r="AD567" i="19"/>
  <c r="AA568" i="19"/>
  <c r="AN569" i="19"/>
  <c r="AB567" i="19"/>
  <c r="AO568" i="19"/>
  <c r="AC567" i="19"/>
  <c r="AP568" i="19"/>
  <c r="AI567" i="19" l="1"/>
  <c r="V566" i="19"/>
  <c r="S567" i="19"/>
  <c r="AF568" i="19"/>
  <c r="T566" i="19"/>
  <c r="AG567" i="19"/>
  <c r="AB566" i="19"/>
  <c r="AO567" i="19"/>
  <c r="AK568" i="19"/>
  <c r="X567" i="19"/>
  <c r="AA567" i="19"/>
  <c r="AN568" i="19"/>
  <c r="AQ567" i="19"/>
  <c r="AD566" i="19"/>
  <c r="AJ567" i="19"/>
  <c r="W566" i="19"/>
  <c r="AC566" i="19"/>
  <c r="AP567" i="19"/>
  <c r="AL568" i="19"/>
  <c r="Y567" i="19"/>
  <c r="U566" i="19"/>
  <c r="AH567" i="19"/>
  <c r="Z566" i="19"/>
  <c r="AM567" i="19"/>
  <c r="Z565" i="19" l="1"/>
  <c r="AM566" i="19"/>
  <c r="T565" i="19"/>
  <c r="AG566" i="19"/>
  <c r="AJ566" i="19"/>
  <c r="W565" i="19"/>
  <c r="AA566" i="19"/>
  <c r="AN567" i="19"/>
  <c r="AQ566" i="19"/>
  <c r="AD565" i="19"/>
  <c r="AI566" i="19"/>
  <c r="V565" i="19"/>
  <c r="AB565" i="19"/>
  <c r="AO566" i="19"/>
  <c r="U565" i="19"/>
  <c r="AH566" i="19"/>
  <c r="AL567" i="19"/>
  <c r="Y566" i="19"/>
  <c r="S566" i="19"/>
  <c r="AF567" i="19"/>
  <c r="AK567" i="19"/>
  <c r="X566" i="19"/>
  <c r="AC565" i="19"/>
  <c r="AP566" i="19"/>
  <c r="AK566" i="19" l="1"/>
  <c r="X565" i="19"/>
  <c r="AC564" i="19"/>
  <c r="AP565" i="19"/>
  <c r="AJ565" i="19"/>
  <c r="W564" i="19"/>
  <c r="T564" i="19"/>
  <c r="AG565" i="19"/>
  <c r="AA565" i="19"/>
  <c r="AN566" i="19"/>
  <c r="AI565" i="19"/>
  <c r="V564" i="19"/>
  <c r="AQ565" i="19"/>
  <c r="AD564" i="19"/>
  <c r="U564" i="19"/>
  <c r="AH565" i="19"/>
  <c r="AB564" i="19"/>
  <c r="AO565" i="19"/>
  <c r="S565" i="19"/>
  <c r="AF566" i="19"/>
  <c r="AL566" i="19"/>
  <c r="Y565" i="19"/>
  <c r="Z564" i="19"/>
  <c r="AM565" i="19"/>
  <c r="U563" i="19" l="1"/>
  <c r="AH564" i="19"/>
  <c r="T563" i="19"/>
  <c r="AG564" i="19"/>
  <c r="AQ564" i="19"/>
  <c r="AD563" i="19"/>
  <c r="AC563" i="19"/>
  <c r="AP564" i="19"/>
  <c r="AL565" i="19"/>
  <c r="Y564" i="19"/>
  <c r="AK565" i="19"/>
  <c r="X564" i="19"/>
  <c r="Z563" i="19"/>
  <c r="AM564" i="19"/>
  <c r="AJ564" i="19"/>
  <c r="W563" i="19"/>
  <c r="AI564" i="19"/>
  <c r="V563" i="19"/>
  <c r="S564" i="19"/>
  <c r="AF565" i="19"/>
  <c r="AB563" i="19"/>
  <c r="AO564" i="19"/>
  <c r="AA564" i="19"/>
  <c r="AN565" i="19"/>
  <c r="AB562" i="19" l="1"/>
  <c r="AO563" i="19"/>
  <c r="AA563" i="19"/>
  <c r="AN564" i="19"/>
  <c r="AQ563" i="19"/>
  <c r="AD562" i="19"/>
  <c r="T562" i="19"/>
  <c r="AG563" i="19"/>
  <c r="AJ563" i="19"/>
  <c r="W562" i="19"/>
  <c r="S563" i="19"/>
  <c r="AF564" i="19"/>
  <c r="AL564" i="19"/>
  <c r="Y563" i="19"/>
  <c r="AC562" i="19"/>
  <c r="AP563" i="19"/>
  <c r="Z562" i="19"/>
  <c r="AM563" i="19"/>
  <c r="AK564" i="19"/>
  <c r="X563" i="19"/>
  <c r="AI563" i="19"/>
  <c r="V562" i="19"/>
  <c r="U562" i="19"/>
  <c r="AH563" i="19"/>
  <c r="T561" i="19" l="1"/>
  <c r="AG562" i="19"/>
  <c r="AC561" i="19"/>
  <c r="AP562" i="19"/>
  <c r="AQ562" i="19"/>
  <c r="AD561" i="19"/>
  <c r="AI562" i="19"/>
  <c r="V561" i="19"/>
  <c r="AA562" i="19"/>
  <c r="AN563" i="19"/>
  <c r="AL563" i="19"/>
  <c r="Y562" i="19"/>
  <c r="U561" i="19"/>
  <c r="AH562" i="19"/>
  <c r="AK563" i="19"/>
  <c r="X562" i="19"/>
  <c r="S562" i="19"/>
  <c r="AF563" i="19"/>
  <c r="AJ562" i="19"/>
  <c r="W561" i="19"/>
  <c r="Z561" i="19"/>
  <c r="AM562" i="19"/>
  <c r="AB561" i="19"/>
  <c r="AO562" i="19"/>
  <c r="AI561" i="19" l="1"/>
  <c r="V560" i="19"/>
  <c r="AB560" i="19"/>
  <c r="AO561" i="19"/>
  <c r="Z560" i="19"/>
  <c r="AM561" i="19"/>
  <c r="U560" i="19"/>
  <c r="AH561" i="19"/>
  <c r="AJ561" i="19"/>
  <c r="W560" i="19"/>
  <c r="AK562" i="19"/>
  <c r="X561" i="19"/>
  <c r="AQ561" i="19"/>
  <c r="AD560" i="19"/>
  <c r="AL562" i="19"/>
  <c r="Y561" i="19"/>
  <c r="AC560" i="19"/>
  <c r="AP561" i="19"/>
  <c r="S561" i="19"/>
  <c r="AF562" i="19"/>
  <c r="AA561" i="19"/>
  <c r="AN562" i="19"/>
  <c r="T560" i="19"/>
  <c r="AG561" i="19"/>
  <c r="Z559" i="19" l="1"/>
  <c r="AM560" i="19"/>
  <c r="AA560" i="19"/>
  <c r="AN561" i="19"/>
  <c r="AL561" i="19"/>
  <c r="Y560" i="19"/>
  <c r="AQ560" i="19"/>
  <c r="AD559" i="19"/>
  <c r="AB559" i="19"/>
  <c r="AO560" i="19"/>
  <c r="U559" i="19"/>
  <c r="AH560" i="19"/>
  <c r="S560" i="19"/>
  <c r="AF561" i="19"/>
  <c r="AJ560" i="19"/>
  <c r="W559" i="19"/>
  <c r="AI560" i="19"/>
  <c r="V559" i="19"/>
  <c r="T559" i="19"/>
  <c r="AG560" i="19"/>
  <c r="AK561" i="19"/>
  <c r="X560" i="19"/>
  <c r="AC559" i="19"/>
  <c r="AP560" i="19"/>
  <c r="AQ559" i="19" l="1"/>
  <c r="AD558" i="19"/>
  <c r="AC558" i="19"/>
  <c r="AP559" i="19"/>
  <c r="AJ559" i="19"/>
  <c r="W558" i="19"/>
  <c r="AL560" i="19"/>
  <c r="Y559" i="19"/>
  <c r="AA559" i="19"/>
  <c r="AN560" i="19"/>
  <c r="AK560" i="19"/>
  <c r="X559" i="19"/>
  <c r="S559" i="19"/>
  <c r="AF560" i="19"/>
  <c r="T558" i="19"/>
  <c r="AG559" i="19"/>
  <c r="U558" i="19"/>
  <c r="AH559" i="19"/>
  <c r="AI559" i="19"/>
  <c r="V558" i="19"/>
  <c r="AB558" i="19"/>
  <c r="AO559" i="19"/>
  <c r="Z558" i="19"/>
  <c r="AM559" i="19"/>
  <c r="AL559" i="19" l="1"/>
  <c r="Y558" i="19"/>
  <c r="T557" i="19"/>
  <c r="AG558" i="19"/>
  <c r="AK559" i="19"/>
  <c r="X558" i="19"/>
  <c r="S558" i="19"/>
  <c r="AF559" i="19"/>
  <c r="AC557" i="19"/>
  <c r="AP558" i="19"/>
  <c r="AJ558" i="19"/>
  <c r="W557" i="19"/>
  <c r="AI558" i="19"/>
  <c r="V557" i="19"/>
  <c r="AQ558" i="19"/>
  <c r="AD557" i="19"/>
  <c r="Z557" i="19"/>
  <c r="AM558" i="19"/>
  <c r="AB557" i="19"/>
  <c r="AO558" i="19"/>
  <c r="U557" i="19"/>
  <c r="AH558" i="19"/>
  <c r="AA558" i="19"/>
  <c r="AN559" i="19"/>
  <c r="S557" i="19" l="1"/>
  <c r="AF558" i="19"/>
  <c r="U556" i="19"/>
  <c r="AH557" i="19"/>
  <c r="AA557" i="19"/>
  <c r="AN558" i="19"/>
  <c r="T556" i="19"/>
  <c r="AG557" i="19"/>
  <c r="AB556" i="19"/>
  <c r="AO557" i="19"/>
  <c r="AL558" i="19"/>
  <c r="Y557" i="19"/>
  <c r="AQ557" i="19"/>
  <c r="AD556" i="19"/>
  <c r="AI557" i="19"/>
  <c r="V556" i="19"/>
  <c r="AK558" i="19"/>
  <c r="X557" i="19"/>
  <c r="AJ557" i="19"/>
  <c r="W556" i="19"/>
  <c r="Z556" i="19"/>
  <c r="AM557" i="19"/>
  <c r="AC556" i="19"/>
  <c r="AP557" i="19"/>
  <c r="AI556" i="19" l="1"/>
  <c r="V555" i="19"/>
  <c r="AA556" i="19"/>
  <c r="AN557" i="19"/>
  <c r="AC555" i="19"/>
  <c r="AP556" i="19"/>
  <c r="AQ556" i="19"/>
  <c r="AD555" i="19"/>
  <c r="AJ556" i="19"/>
  <c r="W555" i="19"/>
  <c r="U555" i="19"/>
  <c r="AH556" i="19"/>
  <c r="T555" i="19"/>
  <c r="AG556" i="19"/>
  <c r="Z555" i="19"/>
  <c r="AM556" i="19"/>
  <c r="AL557" i="19"/>
  <c r="Y556" i="19"/>
  <c r="AK557" i="19"/>
  <c r="X556" i="19"/>
  <c r="AB555" i="19"/>
  <c r="AO556" i="19"/>
  <c r="S556" i="19"/>
  <c r="AF557" i="19"/>
  <c r="AQ555" i="19" l="1"/>
  <c r="AD554" i="19"/>
  <c r="Z554" i="19"/>
  <c r="AM555" i="19"/>
  <c r="AC554" i="19"/>
  <c r="AP555" i="19"/>
  <c r="S555" i="19"/>
  <c r="AF556" i="19"/>
  <c r="AA555" i="19"/>
  <c r="AN556" i="19"/>
  <c r="AB554" i="19"/>
  <c r="AO555" i="19"/>
  <c r="AK556" i="19"/>
  <c r="X555" i="19"/>
  <c r="AL556" i="19"/>
  <c r="Y555" i="19"/>
  <c r="AI555" i="19"/>
  <c r="V554" i="19"/>
  <c r="T554" i="19"/>
  <c r="AG555" i="19"/>
  <c r="U554" i="19"/>
  <c r="AH555" i="19"/>
  <c r="AJ555" i="19"/>
  <c r="W554" i="19"/>
  <c r="AJ554" i="19" l="1"/>
  <c r="W553" i="19"/>
  <c r="AC553" i="19"/>
  <c r="AP554" i="19"/>
  <c r="U553" i="19"/>
  <c r="AH554" i="19"/>
  <c r="T553" i="19"/>
  <c r="AG554" i="19"/>
  <c r="Z553" i="19"/>
  <c r="AM554" i="19"/>
  <c r="AL555" i="19"/>
  <c r="Y554" i="19"/>
  <c r="AK555" i="19"/>
  <c r="X554" i="19"/>
  <c r="AQ554" i="19"/>
  <c r="AD553" i="19"/>
  <c r="S554" i="19"/>
  <c r="AF555" i="19"/>
  <c r="AB553" i="19"/>
  <c r="AO554" i="19"/>
  <c r="AI554" i="19"/>
  <c r="V553" i="19"/>
  <c r="AA554" i="19"/>
  <c r="AN555" i="19"/>
  <c r="AI553" i="19" l="1"/>
  <c r="V552" i="19"/>
  <c r="U552" i="19"/>
  <c r="AH553" i="19"/>
  <c r="AQ553" i="19"/>
  <c r="AD552" i="19"/>
  <c r="T552" i="19"/>
  <c r="AG553" i="19"/>
  <c r="AC552" i="19"/>
  <c r="AP553" i="19"/>
  <c r="AL554" i="19"/>
  <c r="Y553" i="19"/>
  <c r="AJ553" i="19"/>
  <c r="W552" i="19"/>
  <c r="AA553" i="19"/>
  <c r="AN554" i="19"/>
  <c r="AK554" i="19"/>
  <c r="X553" i="19"/>
  <c r="AB552" i="19"/>
  <c r="AO553" i="19"/>
  <c r="S553" i="19"/>
  <c r="AF554" i="19"/>
  <c r="Z552" i="19"/>
  <c r="AM553" i="19"/>
  <c r="T551" i="19" l="1"/>
  <c r="AG552" i="19"/>
  <c r="Z551" i="19"/>
  <c r="AM552" i="19"/>
  <c r="S552" i="19"/>
  <c r="AF553" i="19"/>
  <c r="U551" i="19"/>
  <c r="AH552" i="19"/>
  <c r="W551" i="19"/>
  <c r="AJ552" i="19"/>
  <c r="AK553" i="19"/>
  <c r="X552" i="19"/>
  <c r="V551" i="19"/>
  <c r="AI552" i="19"/>
  <c r="AA552" i="19"/>
  <c r="AN553" i="19"/>
  <c r="AQ552" i="19"/>
  <c r="AD551" i="19"/>
  <c r="AL553" i="19"/>
  <c r="Y552" i="19"/>
  <c r="AB551" i="19"/>
  <c r="AO552" i="19"/>
  <c r="AC551" i="19"/>
  <c r="AP552" i="19"/>
  <c r="AA551" i="19" l="1"/>
  <c r="AN552" i="19"/>
  <c r="S551" i="19"/>
  <c r="AF552" i="19"/>
  <c r="X551" i="19"/>
  <c r="AK552" i="19"/>
  <c r="U550" i="19"/>
  <c r="AH551" i="19"/>
  <c r="AO551" i="19"/>
  <c r="AB550" i="19"/>
  <c r="Y551" i="19"/>
  <c r="AL552" i="19"/>
  <c r="Z550" i="19"/>
  <c r="AM551" i="19"/>
  <c r="AC550" i="19"/>
  <c r="AP551" i="19"/>
  <c r="V550" i="19"/>
  <c r="AI551" i="19"/>
  <c r="AQ551" i="19"/>
  <c r="AD550" i="19"/>
  <c r="W550" i="19"/>
  <c r="AJ551" i="19"/>
  <c r="AG551" i="19"/>
  <c r="T550" i="19"/>
  <c r="AC549" i="19" l="1"/>
  <c r="AP550" i="19"/>
  <c r="AM550" i="19"/>
  <c r="Z549" i="19"/>
  <c r="X550" i="19"/>
  <c r="AK551" i="19"/>
  <c r="AF551" i="19"/>
  <c r="S550" i="19"/>
  <c r="AG550" i="19"/>
  <c r="T549" i="19"/>
  <c r="AO550" i="19"/>
  <c r="AB549" i="19"/>
  <c r="U549" i="19"/>
  <c r="AH550" i="19"/>
  <c r="W549" i="19"/>
  <c r="AJ550" i="19"/>
  <c r="AQ550" i="19"/>
  <c r="AD549" i="19"/>
  <c r="Y550" i="19"/>
  <c r="AL551" i="19"/>
  <c r="V549" i="19"/>
  <c r="AI550" i="19"/>
  <c r="AA550" i="19"/>
  <c r="AN551" i="19"/>
  <c r="AF550" i="19" l="1"/>
  <c r="S549" i="19"/>
  <c r="W548" i="19"/>
  <c r="AJ549" i="19"/>
  <c r="AI549" i="19"/>
  <c r="V548" i="19"/>
  <c r="X549" i="19"/>
  <c r="AK550" i="19"/>
  <c r="AN550" i="19"/>
  <c r="AA549" i="19"/>
  <c r="AM549" i="19"/>
  <c r="Z548" i="19"/>
  <c r="AL550" i="19"/>
  <c r="Y549" i="19"/>
  <c r="AG549" i="19"/>
  <c r="T548" i="19"/>
  <c r="U548" i="19"/>
  <c r="AH549" i="19"/>
  <c r="AO549" i="19"/>
  <c r="AB548" i="19"/>
  <c r="AQ549" i="19"/>
  <c r="AD548" i="19"/>
  <c r="AC548" i="19"/>
  <c r="AP549" i="19"/>
  <c r="AC547" i="19" l="1"/>
  <c r="AP548" i="19"/>
  <c r="AD547" i="19"/>
  <c r="AQ548" i="19"/>
  <c r="AM548" i="19"/>
  <c r="Z547" i="19"/>
  <c r="X548" i="19"/>
  <c r="AK549" i="19"/>
  <c r="W547" i="19"/>
  <c r="AJ548" i="19"/>
  <c r="AL549" i="19"/>
  <c r="Y548" i="19"/>
  <c r="AO548" i="19"/>
  <c r="AB547" i="19"/>
  <c r="AN549" i="19"/>
  <c r="AA548" i="19"/>
  <c r="AF549" i="19"/>
  <c r="S548" i="19"/>
  <c r="AG548" i="19"/>
  <c r="T547" i="19"/>
  <c r="AI548" i="19"/>
  <c r="V547" i="19"/>
  <c r="U547" i="19"/>
  <c r="AH548" i="19"/>
  <c r="U546" i="19" l="1"/>
  <c r="AH547" i="19"/>
  <c r="X547" i="19"/>
  <c r="AK548" i="19"/>
  <c r="AD546" i="19"/>
  <c r="AQ547" i="19"/>
  <c r="AN548" i="19"/>
  <c r="AA547" i="19"/>
  <c r="AO547" i="19"/>
  <c r="AB546" i="19"/>
  <c r="AG547" i="19"/>
  <c r="T546" i="19"/>
  <c r="AI547" i="19"/>
  <c r="V546" i="19"/>
  <c r="AM547" i="19"/>
  <c r="Z546" i="19"/>
  <c r="AL548" i="19"/>
  <c r="Y547" i="19"/>
  <c r="AF548" i="19"/>
  <c r="S547" i="19"/>
  <c r="W546" i="19"/>
  <c r="AJ547" i="19"/>
  <c r="AC546" i="19"/>
  <c r="AP547" i="19"/>
  <c r="AD545" i="19" l="1"/>
  <c r="AQ546" i="19"/>
  <c r="AN547" i="19"/>
  <c r="AA546" i="19"/>
  <c r="V545" i="19"/>
  <c r="AI546" i="19"/>
  <c r="AC545" i="19"/>
  <c r="AP546" i="19"/>
  <c r="AF547" i="19"/>
  <c r="S546" i="19"/>
  <c r="X546" i="19"/>
  <c r="AK547" i="19"/>
  <c r="Z545" i="19"/>
  <c r="AM546" i="19"/>
  <c r="AL547" i="19"/>
  <c r="Y546" i="19"/>
  <c r="W545" i="19"/>
  <c r="AJ546" i="19"/>
  <c r="AG546" i="19"/>
  <c r="T545" i="19"/>
  <c r="AO546" i="19"/>
  <c r="AB545" i="19"/>
  <c r="U545" i="19"/>
  <c r="AH546" i="19"/>
  <c r="U544" i="19" l="1"/>
  <c r="AH545" i="19"/>
  <c r="AO545" i="19"/>
  <c r="AB544" i="19"/>
  <c r="V544" i="19"/>
  <c r="AI545" i="19"/>
  <c r="AC544" i="19"/>
  <c r="AP545" i="19"/>
  <c r="AM545" i="19"/>
  <c r="Z544" i="19"/>
  <c r="AN546" i="19"/>
  <c r="AA545" i="19"/>
  <c r="AG545" i="19"/>
  <c r="T544" i="19"/>
  <c r="AF546" i="19"/>
  <c r="S545" i="19"/>
  <c r="AL546" i="19"/>
  <c r="Y545" i="19"/>
  <c r="X545" i="19"/>
  <c r="AK546" i="19"/>
  <c r="W544" i="19"/>
  <c r="AJ545" i="19"/>
  <c r="AD544" i="19"/>
  <c r="AQ545" i="19"/>
  <c r="V543" i="19" l="1"/>
  <c r="AI544" i="19"/>
  <c r="AD543" i="19"/>
  <c r="AQ544" i="19"/>
  <c r="AN545" i="19"/>
  <c r="AA544" i="19"/>
  <c r="AC543" i="19"/>
  <c r="AP544" i="19"/>
  <c r="W543" i="19"/>
  <c r="AJ544" i="19"/>
  <c r="AG544" i="19"/>
  <c r="T543" i="19"/>
  <c r="X544" i="19"/>
  <c r="AK545" i="19"/>
  <c r="AM544" i="19"/>
  <c r="Z543" i="19"/>
  <c r="AF545" i="19"/>
  <c r="S544" i="19"/>
  <c r="AO544" i="19"/>
  <c r="AB543" i="19"/>
  <c r="AL545" i="19"/>
  <c r="Y544" i="19"/>
  <c r="U543" i="19"/>
  <c r="AH544" i="19"/>
  <c r="U542" i="19" l="1"/>
  <c r="AH543" i="19"/>
  <c r="AM543" i="19"/>
  <c r="Z542" i="19"/>
  <c r="AL544" i="19"/>
  <c r="Y543" i="19"/>
  <c r="AN544" i="19"/>
  <c r="AA543" i="19"/>
  <c r="AO543" i="19"/>
  <c r="AB542" i="19"/>
  <c r="AD542" i="19"/>
  <c r="AQ543" i="19"/>
  <c r="AC542" i="19"/>
  <c r="AP543" i="19"/>
  <c r="X543" i="19"/>
  <c r="AK544" i="19"/>
  <c r="AF544" i="19"/>
  <c r="S543" i="19"/>
  <c r="AG543" i="19"/>
  <c r="T542" i="19"/>
  <c r="W542" i="19"/>
  <c r="AJ543" i="19"/>
  <c r="V542" i="19"/>
  <c r="AI543" i="19"/>
  <c r="AN543" i="19" l="1"/>
  <c r="AA542" i="19"/>
  <c r="V541" i="19"/>
  <c r="AI542" i="19"/>
  <c r="AC541" i="19"/>
  <c r="AP542" i="19"/>
  <c r="W541" i="19"/>
  <c r="AJ542" i="19"/>
  <c r="AM542" i="19"/>
  <c r="Z541" i="19"/>
  <c r="AO542" i="19"/>
  <c r="AB541" i="19"/>
  <c r="X542" i="19"/>
  <c r="AK543" i="19"/>
  <c r="AL543" i="19"/>
  <c r="Y542" i="19"/>
  <c r="AG542" i="19"/>
  <c r="T541" i="19"/>
  <c r="AD541" i="19"/>
  <c r="AQ542" i="19"/>
  <c r="AF543" i="19"/>
  <c r="S542" i="19"/>
  <c r="U541" i="19"/>
  <c r="AH542" i="19"/>
  <c r="U540" i="19" l="1"/>
  <c r="AH541" i="19"/>
  <c r="AC540" i="19"/>
  <c r="AP541" i="19"/>
  <c r="W540" i="19"/>
  <c r="AJ541" i="19"/>
  <c r="AD540" i="19"/>
  <c r="AQ541" i="19"/>
  <c r="V540" i="19"/>
  <c r="AI541" i="19"/>
  <c r="AL542" i="19"/>
  <c r="Y541" i="19"/>
  <c r="AF542" i="19"/>
  <c r="S541" i="19"/>
  <c r="X541" i="19"/>
  <c r="AK542" i="19"/>
  <c r="AO541" i="19"/>
  <c r="AB540" i="19"/>
  <c r="AM541" i="19"/>
  <c r="Z540" i="19"/>
  <c r="AN542" i="19"/>
  <c r="AA541" i="19"/>
  <c r="AG541" i="19"/>
  <c r="T540" i="19"/>
  <c r="AG540" i="19" l="1"/>
  <c r="T539" i="19"/>
  <c r="AF541" i="19"/>
  <c r="S540" i="19"/>
  <c r="W539" i="19"/>
  <c r="AJ540" i="19"/>
  <c r="AN541" i="19"/>
  <c r="AA540" i="19"/>
  <c r="AM540" i="19"/>
  <c r="Z539" i="19"/>
  <c r="AL541" i="19"/>
  <c r="Y540" i="19"/>
  <c r="AC539" i="19"/>
  <c r="AP540" i="19"/>
  <c r="X540" i="19"/>
  <c r="AK541" i="19"/>
  <c r="AD539" i="19"/>
  <c r="AQ540" i="19"/>
  <c r="AO540" i="19"/>
  <c r="AB539" i="19"/>
  <c r="V539" i="19"/>
  <c r="AI540" i="19"/>
  <c r="U539" i="19"/>
  <c r="AH540" i="19"/>
  <c r="AN540" i="19" l="1"/>
  <c r="AA539" i="19"/>
  <c r="X539" i="19"/>
  <c r="AK540" i="19"/>
  <c r="W538" i="19"/>
  <c r="AJ539" i="19"/>
  <c r="U538" i="19"/>
  <c r="AH539" i="19"/>
  <c r="AF540" i="19"/>
  <c r="S539" i="19"/>
  <c r="V538" i="19"/>
  <c r="AI539" i="19"/>
  <c r="AO539" i="19"/>
  <c r="AB538" i="19"/>
  <c r="AC538" i="19"/>
  <c r="AP539" i="19"/>
  <c r="AM539" i="19"/>
  <c r="Z538" i="19"/>
  <c r="AG539" i="19"/>
  <c r="T538" i="19"/>
  <c r="AL540" i="19"/>
  <c r="Y539" i="19"/>
  <c r="AD538" i="19"/>
  <c r="AQ539" i="19"/>
  <c r="AD537" i="19" l="1"/>
  <c r="AQ538" i="19"/>
  <c r="AO538" i="19"/>
  <c r="AB537" i="19"/>
  <c r="W537" i="19"/>
  <c r="AJ538" i="19"/>
  <c r="AC537" i="19"/>
  <c r="AP538" i="19"/>
  <c r="AG538" i="19"/>
  <c r="T537" i="19"/>
  <c r="AL539" i="19"/>
  <c r="Y538" i="19"/>
  <c r="X538" i="19"/>
  <c r="AK539" i="19"/>
  <c r="U537" i="19"/>
  <c r="AH538" i="19"/>
  <c r="AM538" i="19"/>
  <c r="Z537" i="19"/>
  <c r="AF539" i="19"/>
  <c r="S538" i="19"/>
  <c r="AN539" i="19"/>
  <c r="AA538" i="19"/>
  <c r="V537" i="19"/>
  <c r="AI538" i="19"/>
  <c r="AN538" i="19" l="1"/>
  <c r="AA537" i="19"/>
  <c r="W536" i="19"/>
  <c r="AJ537" i="19"/>
  <c r="U536" i="19"/>
  <c r="AH537" i="19"/>
  <c r="AO537" i="19"/>
  <c r="AB536" i="19"/>
  <c r="AC536" i="19"/>
  <c r="AP537" i="19"/>
  <c r="X537" i="19"/>
  <c r="AK538" i="19"/>
  <c r="V536" i="19"/>
  <c r="AI537" i="19"/>
  <c r="AF538" i="19"/>
  <c r="S537" i="19"/>
  <c r="AG537" i="19"/>
  <c r="T536" i="19"/>
  <c r="AL538" i="19"/>
  <c r="Y537" i="19"/>
  <c r="AM537" i="19"/>
  <c r="Z536" i="19"/>
  <c r="AD536" i="19"/>
  <c r="AQ537" i="19"/>
  <c r="AO536" i="19" l="1"/>
  <c r="AB535" i="19"/>
  <c r="AM536" i="19"/>
  <c r="Z535" i="19"/>
  <c r="U535" i="19"/>
  <c r="AH536" i="19"/>
  <c r="AF537" i="19"/>
  <c r="S536" i="19"/>
  <c r="AL537" i="19"/>
  <c r="Y536" i="19"/>
  <c r="W535" i="19"/>
  <c r="AJ536" i="19"/>
  <c r="V535" i="19"/>
  <c r="AI536" i="19"/>
  <c r="AG536" i="19"/>
  <c r="T535" i="19"/>
  <c r="AN537" i="19"/>
  <c r="AA536" i="19"/>
  <c r="AD535" i="19"/>
  <c r="AQ536" i="19"/>
  <c r="X536" i="19"/>
  <c r="AK537" i="19"/>
  <c r="AC535" i="19"/>
  <c r="AP536" i="19"/>
  <c r="AF536" i="19" l="1"/>
  <c r="S535" i="19"/>
  <c r="U534" i="19"/>
  <c r="AH535" i="19"/>
  <c r="AG535" i="19"/>
  <c r="T534" i="19"/>
  <c r="AM535" i="19"/>
  <c r="Z534" i="19"/>
  <c r="V534" i="19"/>
  <c r="AI535" i="19"/>
  <c r="AD534" i="19"/>
  <c r="AQ535" i="19"/>
  <c r="AL536" i="19"/>
  <c r="Y535" i="19"/>
  <c r="AO535" i="19"/>
  <c r="AB534" i="19"/>
  <c r="AC534" i="19"/>
  <c r="AP535" i="19"/>
  <c r="X535" i="19"/>
  <c r="AK536" i="19"/>
  <c r="W534" i="19"/>
  <c r="AJ535" i="19"/>
  <c r="AN536" i="19"/>
  <c r="AA535" i="19"/>
  <c r="AM534" i="19" l="1"/>
  <c r="Z533" i="19"/>
  <c r="AO534" i="19"/>
  <c r="AB533" i="19"/>
  <c r="AG534" i="19"/>
  <c r="T533" i="19"/>
  <c r="U533" i="19"/>
  <c r="AH534" i="19"/>
  <c r="AN535" i="19"/>
  <c r="AA534" i="19"/>
  <c r="AD533" i="19"/>
  <c r="AQ534" i="19"/>
  <c r="AF535" i="19"/>
  <c r="S534" i="19"/>
  <c r="AL535" i="19"/>
  <c r="Y534" i="19"/>
  <c r="W533" i="19"/>
  <c r="AJ534" i="19"/>
  <c r="X534" i="19"/>
  <c r="AK535" i="19"/>
  <c r="AC533" i="19"/>
  <c r="AP534" i="19"/>
  <c r="V533" i="19"/>
  <c r="AI534" i="19"/>
  <c r="V532" i="19" l="1"/>
  <c r="AI533" i="19"/>
  <c r="AG533" i="19"/>
  <c r="T532" i="19"/>
  <c r="AO533" i="19"/>
  <c r="AB532" i="19"/>
  <c r="U532" i="19"/>
  <c r="AH533" i="19"/>
  <c r="AC532" i="19"/>
  <c r="AP533" i="19"/>
  <c r="X533" i="19"/>
  <c r="AK534" i="19"/>
  <c r="AN534" i="19"/>
  <c r="AA533" i="19"/>
  <c r="AM533" i="19"/>
  <c r="Z532" i="19"/>
  <c r="AL534" i="19"/>
  <c r="Y533" i="19"/>
  <c r="AF534" i="19"/>
  <c r="S533" i="19"/>
  <c r="AD532" i="19"/>
  <c r="AQ533" i="19"/>
  <c r="W532" i="19"/>
  <c r="AJ533" i="19"/>
  <c r="AM532" i="19" l="1"/>
  <c r="Z531" i="19"/>
  <c r="U531" i="19"/>
  <c r="AH532" i="19"/>
  <c r="AN533" i="19"/>
  <c r="AA532" i="19"/>
  <c r="AG532" i="19"/>
  <c r="T531" i="19"/>
  <c r="AO532" i="19"/>
  <c r="AB531" i="19"/>
  <c r="AF533" i="19"/>
  <c r="S532" i="19"/>
  <c r="X532" i="19"/>
  <c r="AK533" i="19"/>
  <c r="AD531" i="19"/>
  <c r="AQ532" i="19"/>
  <c r="W531" i="19"/>
  <c r="AJ532" i="19"/>
  <c r="AL533" i="19"/>
  <c r="Y532" i="19"/>
  <c r="AC531" i="19"/>
  <c r="AP532" i="19"/>
  <c r="V531" i="19"/>
  <c r="AI532" i="19"/>
  <c r="AG531" i="19" l="1"/>
  <c r="T530" i="19"/>
  <c r="V530" i="19"/>
  <c r="AI531" i="19"/>
  <c r="AF532" i="19"/>
  <c r="S531" i="19"/>
  <c r="X531" i="19"/>
  <c r="AK532" i="19"/>
  <c r="U530" i="19"/>
  <c r="AH531" i="19"/>
  <c r="AC530" i="19"/>
  <c r="AP531" i="19"/>
  <c r="AO531" i="19"/>
  <c r="AB530" i="19"/>
  <c r="AM531" i="19"/>
  <c r="Z530" i="19"/>
  <c r="AD530" i="19"/>
  <c r="AQ531" i="19"/>
  <c r="AN532" i="19"/>
  <c r="AA531" i="19"/>
  <c r="AL532" i="19"/>
  <c r="Y531" i="19"/>
  <c r="W530" i="19"/>
  <c r="AJ531" i="19"/>
  <c r="AL531" i="19" l="1"/>
  <c r="Y530" i="19"/>
  <c r="AF531" i="19"/>
  <c r="S530" i="19"/>
  <c r="W529" i="19"/>
  <c r="AJ530" i="19"/>
  <c r="AO530" i="19"/>
  <c r="AB529" i="19"/>
  <c r="V529" i="19"/>
  <c r="AI530" i="19"/>
  <c r="X530" i="19"/>
  <c r="AK531" i="19"/>
  <c r="AG530" i="19"/>
  <c r="T529" i="19"/>
  <c r="AM530" i="19"/>
  <c r="Z529" i="19"/>
  <c r="AN531" i="19"/>
  <c r="AA530" i="19"/>
  <c r="AC529" i="19"/>
  <c r="AP530" i="19"/>
  <c r="AD529" i="19"/>
  <c r="AQ530" i="19"/>
  <c r="U529" i="19"/>
  <c r="AH530" i="19"/>
  <c r="AO529" i="19" l="1"/>
  <c r="AB528" i="19"/>
  <c r="W528" i="19"/>
  <c r="AJ529" i="19"/>
  <c r="U528" i="19"/>
  <c r="AH529" i="19"/>
  <c r="AM529" i="19"/>
  <c r="Z528" i="19"/>
  <c r="AG529" i="19"/>
  <c r="T528" i="19"/>
  <c r="X529" i="19"/>
  <c r="AK530" i="19"/>
  <c r="AN530" i="19"/>
  <c r="AA529" i="19"/>
  <c r="AL530" i="19"/>
  <c r="Y529" i="19"/>
  <c r="AD528" i="19"/>
  <c r="AQ529" i="19"/>
  <c r="AF530" i="19"/>
  <c r="S529" i="19"/>
  <c r="AC528" i="19"/>
  <c r="AP529" i="19"/>
  <c r="V528" i="19"/>
  <c r="AI529" i="19"/>
  <c r="AM528" i="19" l="1"/>
  <c r="Z527" i="19"/>
  <c r="U527" i="19"/>
  <c r="AH528" i="19"/>
  <c r="AL529" i="19"/>
  <c r="Y528" i="19"/>
  <c r="AC527" i="19"/>
  <c r="AP528" i="19"/>
  <c r="W527" i="19"/>
  <c r="AJ528" i="19"/>
  <c r="AG528" i="19"/>
  <c r="T527" i="19"/>
  <c r="AO528" i="19"/>
  <c r="AB527" i="19"/>
  <c r="V527" i="19"/>
  <c r="AI528" i="19"/>
  <c r="AN529" i="19"/>
  <c r="AA528" i="19"/>
  <c r="AF529" i="19"/>
  <c r="S528" i="19"/>
  <c r="X528" i="19"/>
  <c r="AK529" i="19"/>
  <c r="AD527" i="19"/>
  <c r="AQ528" i="19"/>
  <c r="AD526" i="19" l="1"/>
  <c r="AQ527" i="19"/>
  <c r="AL528" i="19"/>
  <c r="Y527" i="19"/>
  <c r="V526" i="19"/>
  <c r="AI527" i="19"/>
  <c r="U526" i="19"/>
  <c r="AH527" i="19"/>
  <c r="AC526" i="19"/>
  <c r="AP527" i="19"/>
  <c r="X527" i="19"/>
  <c r="AK528" i="19"/>
  <c r="AF528" i="19"/>
  <c r="S527" i="19"/>
  <c r="AN528" i="19"/>
  <c r="AA527" i="19"/>
  <c r="AM527" i="19"/>
  <c r="Z526" i="19"/>
  <c r="AO527" i="19"/>
  <c r="AB526" i="19"/>
  <c r="AG527" i="19"/>
  <c r="T526" i="19"/>
  <c r="W526" i="19"/>
  <c r="AJ527" i="19"/>
  <c r="AN527" i="19" l="1"/>
  <c r="AA526" i="19"/>
  <c r="U525" i="19"/>
  <c r="AH526" i="19"/>
  <c r="V525" i="19"/>
  <c r="AI526" i="19"/>
  <c r="W525" i="19"/>
  <c r="AJ526" i="19"/>
  <c r="AL527" i="19"/>
  <c r="Y526" i="19"/>
  <c r="AO526" i="19"/>
  <c r="AB525" i="19"/>
  <c r="X526" i="19"/>
  <c r="AK527" i="19"/>
  <c r="AG526" i="19"/>
  <c r="T525" i="19"/>
  <c r="AM526" i="19"/>
  <c r="Z525" i="19"/>
  <c r="AF527" i="19"/>
  <c r="S526" i="19"/>
  <c r="AC525" i="19"/>
  <c r="AP526" i="19"/>
  <c r="AD525" i="19"/>
  <c r="AQ526" i="19"/>
  <c r="AG525" i="19" l="1"/>
  <c r="T524" i="19"/>
  <c r="AD524" i="19"/>
  <c r="AQ525" i="19"/>
  <c r="V524" i="19"/>
  <c r="AI525" i="19"/>
  <c r="AF526" i="19"/>
  <c r="S525" i="19"/>
  <c r="U524" i="19"/>
  <c r="AH525" i="19"/>
  <c r="W524" i="19"/>
  <c r="AJ525" i="19"/>
  <c r="AC524" i="19"/>
  <c r="AP525" i="19"/>
  <c r="AL526" i="19"/>
  <c r="Y525" i="19"/>
  <c r="AN526" i="19"/>
  <c r="AA525" i="19"/>
  <c r="X525" i="19"/>
  <c r="AK526" i="19"/>
  <c r="AO525" i="19"/>
  <c r="AB524" i="19"/>
  <c r="AM525" i="19"/>
  <c r="Z524" i="19"/>
  <c r="AL525" i="19" l="1"/>
  <c r="Y524" i="19"/>
  <c r="AF525" i="19"/>
  <c r="S524" i="19"/>
  <c r="V523" i="19"/>
  <c r="AI524" i="19"/>
  <c r="AD523" i="19"/>
  <c r="AQ524" i="19"/>
  <c r="AC523" i="19"/>
  <c r="AP524" i="19"/>
  <c r="X524" i="19"/>
  <c r="AK525" i="19"/>
  <c r="T523" i="19"/>
  <c r="AG524" i="19"/>
  <c r="AM524" i="19"/>
  <c r="Z523" i="19"/>
  <c r="AB523" i="19"/>
  <c r="AO524" i="19"/>
  <c r="W523" i="19"/>
  <c r="AJ524" i="19"/>
  <c r="AN525" i="19"/>
  <c r="AA524" i="19"/>
  <c r="U523" i="19"/>
  <c r="AH524" i="19"/>
  <c r="AD522" i="19" l="1"/>
  <c r="AQ523" i="19"/>
  <c r="V522" i="19"/>
  <c r="AI523" i="19"/>
  <c r="U522" i="19"/>
  <c r="AH523" i="19"/>
  <c r="S523" i="19"/>
  <c r="AF524" i="19"/>
  <c r="AM523" i="19"/>
  <c r="Z522" i="19"/>
  <c r="AN524" i="19"/>
  <c r="AA523" i="19"/>
  <c r="T522" i="19"/>
  <c r="AG523" i="19"/>
  <c r="AL524" i="19"/>
  <c r="Y523" i="19"/>
  <c r="W522" i="19"/>
  <c r="AJ523" i="19"/>
  <c r="X523" i="19"/>
  <c r="AK524" i="19"/>
  <c r="AB522" i="19"/>
  <c r="AO523" i="19"/>
  <c r="AC522" i="19"/>
  <c r="AP523" i="19"/>
  <c r="U521" i="19" l="1"/>
  <c r="AH522" i="19"/>
  <c r="AC521" i="19"/>
  <c r="AP522" i="19"/>
  <c r="AL523" i="19"/>
  <c r="Y522" i="19"/>
  <c r="S522" i="19"/>
  <c r="AF523" i="19"/>
  <c r="AG522" i="19"/>
  <c r="T521" i="19"/>
  <c r="AB521" i="19"/>
  <c r="AO522" i="19"/>
  <c r="AA522" i="19"/>
  <c r="AN523" i="19"/>
  <c r="X522" i="19"/>
  <c r="AK523" i="19"/>
  <c r="V521" i="19"/>
  <c r="AI522" i="19"/>
  <c r="AM522" i="19"/>
  <c r="Z521" i="19"/>
  <c r="AJ522" i="19"/>
  <c r="W521" i="19"/>
  <c r="AD521" i="19"/>
  <c r="AQ522" i="19"/>
  <c r="X521" i="19" l="1"/>
  <c r="AK522" i="19"/>
  <c r="AD520" i="19"/>
  <c r="AQ521" i="19"/>
  <c r="AJ521" i="19"/>
  <c r="W520" i="19"/>
  <c r="AM521" i="19"/>
  <c r="Z520" i="19"/>
  <c r="AC520" i="19"/>
  <c r="AP521" i="19"/>
  <c r="AL522" i="19"/>
  <c r="Y521" i="19"/>
  <c r="AG521" i="19"/>
  <c r="T520" i="19"/>
  <c r="S521" i="19"/>
  <c r="AF522" i="19"/>
  <c r="AA521" i="19"/>
  <c r="AN522" i="19"/>
  <c r="AO521" i="19"/>
  <c r="AB520" i="19"/>
  <c r="V520" i="19"/>
  <c r="AI521" i="19"/>
  <c r="U520" i="19"/>
  <c r="AH521" i="19"/>
  <c r="S520" i="19" l="1"/>
  <c r="AF521" i="19"/>
  <c r="V519" i="19"/>
  <c r="AI520" i="19"/>
  <c r="AM520" i="19"/>
  <c r="Z519" i="19"/>
  <c r="T519" i="19"/>
  <c r="AG520" i="19"/>
  <c r="AO520" i="19"/>
  <c r="AB519" i="19"/>
  <c r="AD519" i="19"/>
  <c r="AQ520" i="19"/>
  <c r="U519" i="19"/>
  <c r="AH520" i="19"/>
  <c r="AJ520" i="19"/>
  <c r="W519" i="19"/>
  <c r="AL521" i="19"/>
  <c r="Y520" i="19"/>
  <c r="AA520" i="19"/>
  <c r="AN521" i="19"/>
  <c r="AC519" i="19"/>
  <c r="AP520" i="19"/>
  <c r="X520" i="19"/>
  <c r="AK521" i="19"/>
  <c r="AJ519" i="19" l="1"/>
  <c r="W518" i="19"/>
  <c r="AM519" i="19"/>
  <c r="Z518" i="19"/>
  <c r="X519" i="19"/>
  <c r="AK520" i="19"/>
  <c r="T518" i="19"/>
  <c r="AG519" i="19"/>
  <c r="AC518" i="19"/>
  <c r="AP519" i="19"/>
  <c r="AD518" i="19"/>
  <c r="AQ519" i="19"/>
  <c r="AA519" i="19"/>
  <c r="AN520" i="19"/>
  <c r="AL520" i="19"/>
  <c r="Y519" i="19"/>
  <c r="U518" i="19"/>
  <c r="AH519" i="19"/>
  <c r="V518" i="19"/>
  <c r="AI519" i="19"/>
  <c r="AO519" i="19"/>
  <c r="AB518" i="19"/>
  <c r="S519" i="19"/>
  <c r="AF520" i="19"/>
  <c r="AK519" i="19" l="1"/>
  <c r="X518" i="19"/>
  <c r="S518" i="19"/>
  <c r="AF519" i="19"/>
  <c r="AB517" i="19"/>
  <c r="AO518" i="19"/>
  <c r="AA518" i="19"/>
  <c r="AN519" i="19"/>
  <c r="V517" i="19"/>
  <c r="AI518" i="19"/>
  <c r="T517" i="19"/>
  <c r="AG518" i="19"/>
  <c r="AJ518" i="19"/>
  <c r="W517" i="19"/>
  <c r="AL519" i="19"/>
  <c r="Y518" i="19"/>
  <c r="AM518" i="19"/>
  <c r="Z517" i="19"/>
  <c r="AD517" i="19"/>
  <c r="AQ518" i="19"/>
  <c r="U517" i="19"/>
  <c r="AH518" i="19"/>
  <c r="AC517" i="19"/>
  <c r="AP518" i="19"/>
  <c r="AL518" i="19" l="1"/>
  <c r="Y517" i="19"/>
  <c r="AB516" i="19"/>
  <c r="AO517" i="19"/>
  <c r="AC516" i="19"/>
  <c r="AP517" i="19"/>
  <c r="AJ517" i="19"/>
  <c r="W516" i="19"/>
  <c r="S517" i="19"/>
  <c r="AF518" i="19"/>
  <c r="AA517" i="19"/>
  <c r="AN518" i="19"/>
  <c r="U516" i="19"/>
  <c r="AH517" i="19"/>
  <c r="AM517" i="19"/>
  <c r="Z516" i="19"/>
  <c r="AK518" i="19"/>
  <c r="X517" i="19"/>
  <c r="AD516" i="19"/>
  <c r="AQ517" i="19"/>
  <c r="T516" i="19"/>
  <c r="AG517" i="19"/>
  <c r="V516" i="19"/>
  <c r="AI517" i="19"/>
  <c r="AA516" i="19" l="1"/>
  <c r="AN517" i="19"/>
  <c r="AB515" i="19"/>
  <c r="AO516" i="19"/>
  <c r="AK517" i="19"/>
  <c r="X516" i="19"/>
  <c r="AL517" i="19"/>
  <c r="Y516" i="19"/>
  <c r="S516" i="19"/>
  <c r="AF517" i="19"/>
  <c r="AM516" i="19"/>
  <c r="Z515" i="19"/>
  <c r="AJ516" i="19"/>
  <c r="W515" i="19"/>
  <c r="AD515" i="19"/>
  <c r="AQ516" i="19"/>
  <c r="V515" i="19"/>
  <c r="AI516" i="19"/>
  <c r="T515" i="19"/>
  <c r="AG516" i="19"/>
  <c r="U515" i="19"/>
  <c r="AH516" i="19"/>
  <c r="AC515" i="19"/>
  <c r="AP516" i="19"/>
  <c r="AM515" i="19" l="1"/>
  <c r="Z514" i="19"/>
  <c r="T514" i="19"/>
  <c r="AG515" i="19"/>
  <c r="AB514" i="19"/>
  <c r="AO515" i="19"/>
  <c r="V514" i="19"/>
  <c r="AI515" i="19"/>
  <c r="S515" i="19"/>
  <c r="AF516" i="19"/>
  <c r="AA515" i="19"/>
  <c r="AN516" i="19"/>
  <c r="AL516" i="19"/>
  <c r="Y515" i="19"/>
  <c r="AC514" i="19"/>
  <c r="AP515" i="19"/>
  <c r="AD514" i="19"/>
  <c r="AQ515" i="19"/>
  <c r="AJ515" i="19"/>
  <c r="W514" i="19"/>
  <c r="AK516" i="19"/>
  <c r="X515" i="19"/>
  <c r="U514" i="19"/>
  <c r="AH515" i="19"/>
  <c r="U513" i="19" l="1"/>
  <c r="AH514" i="19"/>
  <c r="AB513" i="19"/>
  <c r="AO514" i="19"/>
  <c r="AC513" i="19"/>
  <c r="AP514" i="19"/>
  <c r="V513" i="19"/>
  <c r="AI514" i="19"/>
  <c r="T513" i="19"/>
  <c r="AG514" i="19"/>
  <c r="AK515" i="19"/>
  <c r="X514" i="19"/>
  <c r="AJ514" i="19"/>
  <c r="W513" i="19"/>
  <c r="AM514" i="19"/>
  <c r="Z513" i="19"/>
  <c r="AL515" i="19"/>
  <c r="Y514" i="19"/>
  <c r="AA514" i="19"/>
  <c r="AN515" i="19"/>
  <c r="AD513" i="19"/>
  <c r="AQ514" i="19"/>
  <c r="S514" i="19"/>
  <c r="AF515" i="19"/>
  <c r="AM513" i="19" l="1"/>
  <c r="Z512" i="19"/>
  <c r="AC512" i="19"/>
  <c r="AP513" i="19"/>
  <c r="AJ513" i="19"/>
  <c r="W512" i="19"/>
  <c r="AK514" i="19"/>
  <c r="X513" i="19"/>
  <c r="AD512" i="19"/>
  <c r="AQ513" i="19"/>
  <c r="AB512" i="19"/>
  <c r="AO513" i="19"/>
  <c r="AA513" i="19"/>
  <c r="AN514" i="19"/>
  <c r="S513" i="19"/>
  <c r="AF514" i="19"/>
  <c r="V512" i="19"/>
  <c r="AI513" i="19"/>
  <c r="AL514" i="19"/>
  <c r="Y513" i="19"/>
  <c r="T512" i="19"/>
  <c r="AG513" i="19"/>
  <c r="U512" i="19"/>
  <c r="AH513" i="19"/>
  <c r="AK513" i="19" l="1"/>
  <c r="X512" i="19"/>
  <c r="S512" i="19"/>
  <c r="AF513" i="19"/>
  <c r="T511" i="19"/>
  <c r="AG512" i="19"/>
  <c r="AA512" i="19"/>
  <c r="AN513" i="19"/>
  <c r="AB511" i="19"/>
  <c r="AO512" i="19"/>
  <c r="U511" i="19"/>
  <c r="AH512" i="19"/>
  <c r="AC511" i="19"/>
  <c r="AP512" i="19"/>
  <c r="AM512" i="19"/>
  <c r="Z511" i="19"/>
  <c r="AJ512" i="19"/>
  <c r="W511" i="19"/>
  <c r="AL513" i="19"/>
  <c r="Y512" i="19"/>
  <c r="V511" i="19"/>
  <c r="AI512" i="19"/>
  <c r="AD511" i="19"/>
  <c r="AQ512" i="19"/>
  <c r="AM511" i="19" l="1"/>
  <c r="Z510" i="19"/>
  <c r="AC510" i="19"/>
  <c r="AP511" i="19"/>
  <c r="AD510" i="19"/>
  <c r="AQ511" i="19"/>
  <c r="U510" i="19"/>
  <c r="AH511" i="19"/>
  <c r="V510" i="19"/>
  <c r="AI511" i="19"/>
  <c r="AL512" i="19"/>
  <c r="Y511" i="19"/>
  <c r="S511" i="19"/>
  <c r="AF512" i="19"/>
  <c r="AJ511" i="19"/>
  <c r="W510" i="19"/>
  <c r="AK512" i="19"/>
  <c r="X511" i="19"/>
  <c r="AA511" i="19"/>
  <c r="AN512" i="19"/>
  <c r="T510" i="19"/>
  <c r="AG511" i="19"/>
  <c r="AB510" i="19"/>
  <c r="AO511" i="19"/>
  <c r="AD509" i="19" l="1"/>
  <c r="AQ510" i="19"/>
  <c r="AL511" i="19"/>
  <c r="Y510" i="19"/>
  <c r="AB509" i="19"/>
  <c r="AO510" i="19"/>
  <c r="T509" i="19"/>
  <c r="AG510" i="19"/>
  <c r="AJ510" i="19"/>
  <c r="W509" i="19"/>
  <c r="AA510" i="19"/>
  <c r="AN511" i="19"/>
  <c r="AK511" i="19"/>
  <c r="X510" i="19"/>
  <c r="AM510" i="19"/>
  <c r="Z509" i="19"/>
  <c r="U509" i="19"/>
  <c r="AH510" i="19"/>
  <c r="S510" i="19"/>
  <c r="AF511" i="19"/>
  <c r="AC509" i="19"/>
  <c r="AP510" i="19"/>
  <c r="V509" i="19"/>
  <c r="AI510" i="19"/>
  <c r="V508" i="19" l="1"/>
  <c r="AI509" i="19"/>
  <c r="T508" i="19"/>
  <c r="AG509" i="19"/>
  <c r="AB508" i="19"/>
  <c r="AO509" i="19"/>
  <c r="AM509" i="19"/>
  <c r="Z508" i="19"/>
  <c r="AA509" i="19"/>
  <c r="AN510" i="19"/>
  <c r="AJ509" i="19"/>
  <c r="W508" i="19"/>
  <c r="AK510" i="19"/>
  <c r="X509" i="19"/>
  <c r="AC508" i="19"/>
  <c r="AP509" i="19"/>
  <c r="AL510" i="19"/>
  <c r="Y509" i="19"/>
  <c r="S509" i="19"/>
  <c r="AF510" i="19"/>
  <c r="U508" i="19"/>
  <c r="AH509" i="19"/>
  <c r="AD508" i="19"/>
  <c r="AQ509" i="19"/>
  <c r="AM508" i="19" l="1"/>
  <c r="Z507" i="19"/>
  <c r="U507" i="19"/>
  <c r="AH508" i="19"/>
  <c r="AJ508" i="19"/>
  <c r="W507" i="19"/>
  <c r="AB507" i="19"/>
  <c r="AO508" i="19"/>
  <c r="AD507" i="19"/>
  <c r="AQ508" i="19"/>
  <c r="AK509" i="19"/>
  <c r="X508" i="19"/>
  <c r="S508" i="19"/>
  <c r="AF509" i="19"/>
  <c r="AC507" i="19"/>
  <c r="AP508" i="19"/>
  <c r="T507" i="19"/>
  <c r="AG508" i="19"/>
  <c r="AL509" i="19"/>
  <c r="Y508" i="19"/>
  <c r="AA508" i="19"/>
  <c r="AN509" i="19"/>
  <c r="V507" i="19"/>
  <c r="AI508" i="19"/>
  <c r="AC506" i="19" l="1"/>
  <c r="AP507" i="19"/>
  <c r="AL508" i="19"/>
  <c r="Y507" i="19"/>
  <c r="U506" i="19"/>
  <c r="AH507" i="19"/>
  <c r="V506" i="19"/>
  <c r="AI507" i="19"/>
  <c r="AJ507" i="19"/>
  <c r="W506" i="19"/>
  <c r="S507" i="19"/>
  <c r="AF508" i="19"/>
  <c r="AM507" i="19"/>
  <c r="Z506" i="19"/>
  <c r="AB506" i="19"/>
  <c r="AO507" i="19"/>
  <c r="AA507" i="19"/>
  <c r="AN508" i="19"/>
  <c r="AK508" i="19"/>
  <c r="X507" i="19"/>
  <c r="T506" i="19"/>
  <c r="AG507" i="19"/>
  <c r="AD506" i="19"/>
  <c r="AQ507" i="19"/>
  <c r="T505" i="19" l="1"/>
  <c r="AG506" i="19"/>
  <c r="AD505" i="19"/>
  <c r="AQ506" i="19"/>
  <c r="V505" i="19"/>
  <c r="AI506" i="19"/>
  <c r="S506" i="19"/>
  <c r="AF507" i="19"/>
  <c r="AK507" i="19"/>
  <c r="X506" i="19"/>
  <c r="AB505" i="19"/>
  <c r="AO506" i="19"/>
  <c r="AM506" i="19"/>
  <c r="Z505" i="19"/>
  <c r="U505" i="19"/>
  <c r="AH506" i="19"/>
  <c r="AL507" i="19"/>
  <c r="Y506" i="19"/>
  <c r="AJ506" i="19"/>
  <c r="W505" i="19"/>
  <c r="AA506" i="19"/>
  <c r="AN507" i="19"/>
  <c r="AC505" i="19"/>
  <c r="AP506" i="19"/>
  <c r="U504" i="19" l="1"/>
  <c r="AH505" i="19"/>
  <c r="V504" i="19"/>
  <c r="AI505" i="19"/>
  <c r="AC504" i="19"/>
  <c r="AP505" i="19"/>
  <c r="AD504" i="19"/>
  <c r="AQ505" i="19"/>
  <c r="AM505" i="19"/>
  <c r="Z504" i="19"/>
  <c r="AJ505" i="19"/>
  <c r="W504" i="19"/>
  <c r="AL506" i="19"/>
  <c r="Y505" i="19"/>
  <c r="AK506" i="19"/>
  <c r="X505" i="19"/>
  <c r="S505" i="19"/>
  <c r="AF506" i="19"/>
  <c r="AA505" i="19"/>
  <c r="AN506" i="19"/>
  <c r="AB504" i="19"/>
  <c r="AO505" i="19"/>
  <c r="T504" i="19"/>
  <c r="AG505" i="19"/>
  <c r="T503" i="19" l="1"/>
  <c r="AG504" i="19"/>
  <c r="AK505" i="19"/>
  <c r="X504" i="19"/>
  <c r="AL505" i="19"/>
  <c r="Y504" i="19"/>
  <c r="AC503" i="19"/>
  <c r="AP504" i="19"/>
  <c r="V503" i="19"/>
  <c r="AI504" i="19"/>
  <c r="AB503" i="19"/>
  <c r="AO504" i="19"/>
  <c r="AJ504" i="19"/>
  <c r="W503" i="19"/>
  <c r="AM504" i="19"/>
  <c r="Z503" i="19"/>
  <c r="AD503" i="19"/>
  <c r="AQ504" i="19"/>
  <c r="AA504" i="19"/>
  <c r="AN505" i="19"/>
  <c r="S504" i="19"/>
  <c r="AF505" i="19"/>
  <c r="U503" i="19"/>
  <c r="AH504" i="19"/>
  <c r="Z502" i="19" l="1"/>
  <c r="AM503" i="19"/>
  <c r="AJ503" i="19"/>
  <c r="W502" i="19"/>
  <c r="AC502" i="19"/>
  <c r="AP503" i="19"/>
  <c r="S503" i="19"/>
  <c r="AF504" i="19"/>
  <c r="AB502" i="19"/>
  <c r="AO503" i="19"/>
  <c r="U502" i="19"/>
  <c r="AH503" i="19"/>
  <c r="AL504" i="19"/>
  <c r="Y503" i="19"/>
  <c r="AK504" i="19"/>
  <c r="X503" i="19"/>
  <c r="AA503" i="19"/>
  <c r="AN504" i="19"/>
  <c r="AD502" i="19"/>
  <c r="AQ503" i="19"/>
  <c r="V502" i="19"/>
  <c r="AI503" i="19"/>
  <c r="T502" i="19"/>
  <c r="AG503" i="19"/>
  <c r="T501" i="19" l="1"/>
  <c r="AG502" i="19"/>
  <c r="AL503" i="19"/>
  <c r="Y502" i="19"/>
  <c r="AC501" i="19"/>
  <c r="AP502" i="19"/>
  <c r="AK503" i="19"/>
  <c r="X502" i="19"/>
  <c r="V501" i="19"/>
  <c r="AI502" i="19"/>
  <c r="U501" i="19"/>
  <c r="AH502" i="19"/>
  <c r="S502" i="19"/>
  <c r="AF503" i="19"/>
  <c r="AJ502" i="19"/>
  <c r="W501" i="19"/>
  <c r="AD501" i="19"/>
  <c r="AQ502" i="19"/>
  <c r="AA502" i="19"/>
  <c r="AN503" i="19"/>
  <c r="AO502" i="19"/>
  <c r="AB501" i="19"/>
  <c r="Z501" i="19"/>
  <c r="AM502" i="19"/>
  <c r="AC500" i="19" l="1"/>
  <c r="AP501" i="19"/>
  <c r="Z500" i="19"/>
  <c r="AM501" i="19"/>
  <c r="AL502" i="19"/>
  <c r="Y501" i="19"/>
  <c r="W500" i="19"/>
  <c r="AJ501" i="19"/>
  <c r="U500" i="19"/>
  <c r="AH501" i="19"/>
  <c r="AK502" i="19"/>
  <c r="X501" i="19"/>
  <c r="AO501" i="19"/>
  <c r="AB500" i="19"/>
  <c r="S501" i="19"/>
  <c r="AF502" i="19"/>
  <c r="AN502" i="19"/>
  <c r="AA501" i="19"/>
  <c r="AQ501" i="19"/>
  <c r="AD500" i="19"/>
  <c r="AI501" i="19"/>
  <c r="V500" i="19"/>
  <c r="AG501" i="19"/>
  <c r="T500" i="19"/>
  <c r="AG500" i="19" l="1"/>
  <c r="T499" i="19"/>
  <c r="AF501" i="19"/>
  <c r="S500" i="19"/>
  <c r="AQ500" i="19"/>
  <c r="AD499" i="19"/>
  <c r="AB499" i="19"/>
  <c r="AO500" i="19"/>
  <c r="AJ500" i="19"/>
  <c r="W499" i="19"/>
  <c r="AA500" i="19"/>
  <c r="AN501" i="19"/>
  <c r="AI500" i="19"/>
  <c r="V499" i="19"/>
  <c r="AL501" i="19"/>
  <c r="Y500" i="19"/>
  <c r="X500" i="19"/>
  <c r="AK501" i="19"/>
  <c r="Z499" i="19"/>
  <c r="AM500" i="19"/>
  <c r="U499" i="19"/>
  <c r="AH500" i="19"/>
  <c r="AC499" i="19"/>
  <c r="AP500" i="19"/>
  <c r="AL500" i="19" l="1"/>
  <c r="Y499" i="19"/>
  <c r="U498" i="19"/>
  <c r="AH499" i="19"/>
  <c r="AC498" i="19"/>
  <c r="AP499" i="19"/>
  <c r="AI499" i="19"/>
  <c r="V498" i="19"/>
  <c r="AA499" i="19"/>
  <c r="AN500" i="19"/>
  <c r="AQ499" i="19"/>
  <c r="AD498" i="19"/>
  <c r="AJ499" i="19"/>
  <c r="W498" i="19"/>
  <c r="T498" i="19"/>
  <c r="AG499" i="19"/>
  <c r="AB498" i="19"/>
  <c r="AO499" i="19"/>
  <c r="AF500" i="19"/>
  <c r="S499" i="19"/>
  <c r="Z498" i="19"/>
  <c r="AM499" i="19"/>
  <c r="X499" i="19"/>
  <c r="AK500" i="19"/>
  <c r="AK499" i="19" l="1"/>
  <c r="X498" i="19"/>
  <c r="AQ498" i="19"/>
  <c r="AD497" i="19"/>
  <c r="AC497" i="19"/>
  <c r="AP498" i="19"/>
  <c r="T497" i="19"/>
  <c r="AG498" i="19"/>
  <c r="S498" i="19"/>
  <c r="AF499" i="19"/>
  <c r="U497" i="19"/>
  <c r="AH498" i="19"/>
  <c r="AL499" i="19"/>
  <c r="Y498" i="19"/>
  <c r="AI498" i="19"/>
  <c r="V497" i="19"/>
  <c r="W497" i="19"/>
  <c r="AJ498" i="19"/>
  <c r="Z497" i="19"/>
  <c r="AM498" i="19"/>
  <c r="AO498" i="19"/>
  <c r="AB497" i="19"/>
  <c r="AA498" i="19"/>
  <c r="AN499" i="19"/>
  <c r="AN498" i="19" l="1"/>
  <c r="AA497" i="19"/>
  <c r="AC496" i="19"/>
  <c r="AP497" i="19"/>
  <c r="AI497" i="19"/>
  <c r="V496" i="19"/>
  <c r="AO497" i="19"/>
  <c r="AB496" i="19"/>
  <c r="U496" i="19"/>
  <c r="AH497" i="19"/>
  <c r="AL498" i="19"/>
  <c r="Y497" i="19"/>
  <c r="Z496" i="19"/>
  <c r="AM497" i="19"/>
  <c r="AK498" i="19"/>
  <c r="X497" i="19"/>
  <c r="AG497" i="19"/>
  <c r="T496" i="19"/>
  <c r="AQ497" i="19"/>
  <c r="AD496" i="19"/>
  <c r="W496" i="19"/>
  <c r="AJ497" i="19"/>
  <c r="S497" i="19"/>
  <c r="AF498" i="19"/>
  <c r="AB495" i="19" l="1"/>
  <c r="AO496" i="19"/>
  <c r="AJ496" i="19"/>
  <c r="W495" i="19"/>
  <c r="AF497" i="19"/>
  <c r="S496" i="19"/>
  <c r="AQ496" i="19"/>
  <c r="AD495" i="19"/>
  <c r="AC495" i="19"/>
  <c r="AP496" i="19"/>
  <c r="Z495" i="19"/>
  <c r="AM496" i="19"/>
  <c r="AG496" i="19"/>
  <c r="T495" i="19"/>
  <c r="AN497" i="19"/>
  <c r="AA496" i="19"/>
  <c r="X496" i="19"/>
  <c r="AK497" i="19"/>
  <c r="AI496" i="19"/>
  <c r="V495" i="19"/>
  <c r="AL497" i="19"/>
  <c r="Y496" i="19"/>
  <c r="U495" i="19"/>
  <c r="AH496" i="19"/>
  <c r="AA495" i="19" l="1"/>
  <c r="AN496" i="19"/>
  <c r="T494" i="19"/>
  <c r="AG495" i="19"/>
  <c r="S495" i="19"/>
  <c r="AF496" i="19"/>
  <c r="AI495" i="19"/>
  <c r="V494" i="19"/>
  <c r="U494" i="19"/>
  <c r="AH495" i="19"/>
  <c r="Z494" i="19"/>
  <c r="AM495" i="19"/>
  <c r="AQ495" i="19"/>
  <c r="AD494" i="19"/>
  <c r="AL496" i="19"/>
  <c r="Y495" i="19"/>
  <c r="AJ495" i="19"/>
  <c r="W494" i="19"/>
  <c r="X495" i="19"/>
  <c r="AK496" i="19"/>
  <c r="AC494" i="19"/>
  <c r="AP495" i="19"/>
  <c r="AB494" i="19"/>
  <c r="AO495" i="19"/>
  <c r="AL495" i="19" l="1"/>
  <c r="Y494" i="19"/>
  <c r="AC493" i="19"/>
  <c r="AP494" i="19"/>
  <c r="AO494" i="19"/>
  <c r="AB493" i="19"/>
  <c r="AQ494" i="19"/>
  <c r="AD493" i="19"/>
  <c r="AI494" i="19"/>
  <c r="V493" i="19"/>
  <c r="S494" i="19"/>
  <c r="AF495" i="19"/>
  <c r="Z493" i="19"/>
  <c r="AM494" i="19"/>
  <c r="AK495" i="19"/>
  <c r="X494" i="19"/>
  <c r="W493" i="19"/>
  <c r="AJ494" i="19"/>
  <c r="T493" i="19"/>
  <c r="AG494" i="19"/>
  <c r="U493" i="19"/>
  <c r="AH494" i="19"/>
  <c r="AA494" i="19"/>
  <c r="AN495" i="19"/>
  <c r="AQ493" i="19" l="1"/>
  <c r="AD492" i="19"/>
  <c r="U492" i="19"/>
  <c r="AH493" i="19"/>
  <c r="AN494" i="19"/>
  <c r="AA493" i="19"/>
  <c r="X493" i="19"/>
  <c r="AK494" i="19"/>
  <c r="S493" i="19"/>
  <c r="AF494" i="19"/>
  <c r="AO493" i="19"/>
  <c r="AB492" i="19"/>
  <c r="AG493" i="19"/>
  <c r="T492" i="19"/>
  <c r="AI493" i="19"/>
  <c r="V492" i="19"/>
  <c r="AL494" i="19"/>
  <c r="Y493" i="19"/>
  <c r="Z492" i="19"/>
  <c r="AM493" i="19"/>
  <c r="AC492" i="19"/>
  <c r="AP493" i="19"/>
  <c r="W492" i="19"/>
  <c r="AJ493" i="19"/>
  <c r="AI492" i="19" l="1"/>
  <c r="V491" i="19"/>
  <c r="AJ492" i="19"/>
  <c r="W491" i="19"/>
  <c r="AG492" i="19"/>
  <c r="T491" i="19"/>
  <c r="AC491" i="19"/>
  <c r="AP492" i="19"/>
  <c r="Z491" i="19"/>
  <c r="AM492" i="19"/>
  <c r="X492" i="19"/>
  <c r="AK493" i="19"/>
  <c r="AA492" i="19"/>
  <c r="AN493" i="19"/>
  <c r="U491" i="19"/>
  <c r="AH492" i="19"/>
  <c r="AL493" i="19"/>
  <c r="Y492" i="19"/>
  <c r="AQ492" i="19"/>
  <c r="AD491" i="19"/>
  <c r="AB491" i="19"/>
  <c r="AO492" i="19"/>
  <c r="AF493" i="19"/>
  <c r="S492" i="19"/>
  <c r="U490" i="19" l="1"/>
  <c r="AH491" i="19"/>
  <c r="AA491" i="19"/>
  <c r="AN492" i="19"/>
  <c r="T490" i="19"/>
  <c r="AG491" i="19"/>
  <c r="AC490" i="19"/>
  <c r="AP491" i="19"/>
  <c r="AB490" i="19"/>
  <c r="AO491" i="19"/>
  <c r="X491" i="19"/>
  <c r="AK492" i="19"/>
  <c r="AF492" i="19"/>
  <c r="S491" i="19"/>
  <c r="AL492" i="19"/>
  <c r="Y491" i="19"/>
  <c r="AI491" i="19"/>
  <c r="V490" i="19"/>
  <c r="AQ491" i="19"/>
  <c r="AD490" i="19"/>
  <c r="AJ491" i="19"/>
  <c r="W490" i="19"/>
  <c r="Z490" i="19"/>
  <c r="AM491" i="19"/>
  <c r="AL491" i="19" l="1"/>
  <c r="Y490" i="19"/>
  <c r="T489" i="19"/>
  <c r="AG490" i="19"/>
  <c r="Z489" i="19"/>
  <c r="AM490" i="19"/>
  <c r="S490" i="19"/>
  <c r="AF491" i="19"/>
  <c r="AA490" i="19"/>
  <c r="AN491" i="19"/>
  <c r="AC489" i="19"/>
  <c r="AP490" i="19"/>
  <c r="AI490" i="19"/>
  <c r="V489" i="19"/>
  <c r="W489" i="19"/>
  <c r="AJ490" i="19"/>
  <c r="AQ490" i="19"/>
  <c r="AD489" i="19"/>
  <c r="AK491" i="19"/>
  <c r="X490" i="19"/>
  <c r="AO490" i="19"/>
  <c r="AB489" i="19"/>
  <c r="U489" i="19"/>
  <c r="AH490" i="19"/>
  <c r="W488" i="19" l="1"/>
  <c r="AJ489" i="19"/>
  <c r="AI489" i="19"/>
  <c r="V488" i="19"/>
  <c r="AK490" i="19"/>
  <c r="X489" i="19"/>
  <c r="AC488" i="19"/>
  <c r="AP489" i="19"/>
  <c r="S489" i="19"/>
  <c r="AF490" i="19"/>
  <c r="Z488" i="19"/>
  <c r="AM489" i="19"/>
  <c r="AQ489" i="19"/>
  <c r="AD488" i="19"/>
  <c r="AL490" i="19"/>
  <c r="Y489" i="19"/>
  <c r="U488" i="19"/>
  <c r="AH489" i="19"/>
  <c r="AO489" i="19"/>
  <c r="AB488" i="19"/>
  <c r="AG489" i="19"/>
  <c r="T488" i="19"/>
  <c r="AN490" i="19"/>
  <c r="AA489" i="19"/>
  <c r="AN489" i="19" l="1"/>
  <c r="AA488" i="19"/>
  <c r="X488" i="19"/>
  <c r="AK489" i="19"/>
  <c r="AL489" i="19"/>
  <c r="Y488" i="19"/>
  <c r="AQ488" i="19"/>
  <c r="AD487" i="19"/>
  <c r="AC487" i="19"/>
  <c r="AP488" i="19"/>
  <c r="AB487" i="19"/>
  <c r="AO488" i="19"/>
  <c r="Z487" i="19"/>
  <c r="AM488" i="19"/>
  <c r="AG488" i="19"/>
  <c r="T487" i="19"/>
  <c r="AI488" i="19"/>
  <c r="V487" i="19"/>
  <c r="U487" i="19"/>
  <c r="AH488" i="19"/>
  <c r="AF489" i="19"/>
  <c r="S488" i="19"/>
  <c r="AJ488" i="19"/>
  <c r="W487" i="19"/>
  <c r="AQ487" i="19" l="1"/>
  <c r="AD486" i="19"/>
  <c r="T486" i="19"/>
  <c r="AG487" i="19"/>
  <c r="Z486" i="19"/>
  <c r="AM487" i="19"/>
  <c r="AB486" i="19"/>
  <c r="AO487" i="19"/>
  <c r="U486" i="19"/>
  <c r="AH487" i="19"/>
  <c r="X487" i="19"/>
  <c r="AK488" i="19"/>
  <c r="AA487" i="19"/>
  <c r="AN488" i="19"/>
  <c r="AJ487" i="19"/>
  <c r="W486" i="19"/>
  <c r="S487" i="19"/>
  <c r="AF488" i="19"/>
  <c r="AL488" i="19"/>
  <c r="Y487" i="19"/>
  <c r="AI487" i="19"/>
  <c r="V486" i="19"/>
  <c r="AC486" i="19"/>
  <c r="AP487" i="19"/>
  <c r="Z485" i="19" l="1"/>
  <c r="AM486" i="19"/>
  <c r="W485" i="19"/>
  <c r="AJ486" i="19"/>
  <c r="AC485" i="19"/>
  <c r="AP486" i="19"/>
  <c r="AI486" i="19"/>
  <c r="V485" i="19"/>
  <c r="AA486" i="19"/>
  <c r="AN487" i="19"/>
  <c r="AK487" i="19"/>
  <c r="X486" i="19"/>
  <c r="AL487" i="19"/>
  <c r="Y486" i="19"/>
  <c r="T485" i="19"/>
  <c r="AG486" i="19"/>
  <c r="AQ486" i="19"/>
  <c r="AD485" i="19"/>
  <c r="AO486" i="19"/>
  <c r="AB485" i="19"/>
  <c r="S486" i="19"/>
  <c r="AF487" i="19"/>
  <c r="U485" i="19"/>
  <c r="AH486" i="19"/>
  <c r="AO485" i="19" l="1"/>
  <c r="AB484" i="19"/>
  <c r="AI485" i="19"/>
  <c r="V484" i="19"/>
  <c r="AC484" i="19"/>
  <c r="AP485" i="19"/>
  <c r="W484" i="19"/>
  <c r="AJ485" i="19"/>
  <c r="U484" i="19"/>
  <c r="AH485" i="19"/>
  <c r="X485" i="19"/>
  <c r="AK486" i="19"/>
  <c r="AG485" i="19"/>
  <c r="T484" i="19"/>
  <c r="AL486" i="19"/>
  <c r="Y485" i="19"/>
  <c r="S485" i="19"/>
  <c r="AF486" i="19"/>
  <c r="AQ485" i="19"/>
  <c r="AD484" i="19"/>
  <c r="AN486" i="19"/>
  <c r="AA485" i="19"/>
  <c r="Z484" i="19"/>
  <c r="AM485" i="19"/>
  <c r="Z483" i="19" l="1"/>
  <c r="AM484" i="19"/>
  <c r="AG484" i="19"/>
  <c r="T483" i="19"/>
  <c r="AJ484" i="19"/>
  <c r="W483" i="19"/>
  <c r="X484" i="19"/>
  <c r="AK485" i="19"/>
  <c r="AL485" i="19"/>
  <c r="Y484" i="19"/>
  <c r="AA484" i="19"/>
  <c r="AN485" i="19"/>
  <c r="AC483" i="19"/>
  <c r="AP484" i="19"/>
  <c r="AB483" i="19"/>
  <c r="AO484" i="19"/>
  <c r="AQ484" i="19"/>
  <c r="AD483" i="19"/>
  <c r="AI484" i="19"/>
  <c r="V483" i="19"/>
  <c r="AF485" i="19"/>
  <c r="S484" i="19"/>
  <c r="U483" i="19"/>
  <c r="AH484" i="19"/>
  <c r="AC482" i="19" l="1"/>
  <c r="AP483" i="19"/>
  <c r="AF484" i="19"/>
  <c r="S483" i="19"/>
  <c r="AI483" i="19"/>
  <c r="V482" i="19"/>
  <c r="X483" i="19"/>
  <c r="AK484" i="19"/>
  <c r="AA483" i="19"/>
  <c r="AN484" i="19"/>
  <c r="U482" i="19"/>
  <c r="AH483" i="19"/>
  <c r="T482" i="19"/>
  <c r="AG483" i="19"/>
  <c r="AL484" i="19"/>
  <c r="Y483" i="19"/>
  <c r="AB482" i="19"/>
  <c r="AO483" i="19"/>
  <c r="AJ483" i="19"/>
  <c r="W482" i="19"/>
  <c r="AQ483" i="19"/>
  <c r="AD482" i="19"/>
  <c r="Z482" i="19"/>
  <c r="AM483" i="19"/>
  <c r="Z481" i="19" l="1"/>
  <c r="AM482" i="19"/>
  <c r="AQ482" i="19"/>
  <c r="AD481" i="19"/>
  <c r="W481" i="19"/>
  <c r="AJ482" i="19"/>
  <c r="AK483" i="19"/>
  <c r="X482" i="19"/>
  <c r="T481" i="19"/>
  <c r="AG482" i="19"/>
  <c r="AL483" i="19"/>
  <c r="Y482" i="19"/>
  <c r="AI482" i="19"/>
  <c r="V481" i="19"/>
  <c r="S482" i="19"/>
  <c r="AF483" i="19"/>
  <c r="U481" i="19"/>
  <c r="AH482" i="19"/>
  <c r="AO482" i="19"/>
  <c r="AB481" i="19"/>
  <c r="AA482" i="19"/>
  <c r="AN483" i="19"/>
  <c r="AC481" i="19"/>
  <c r="AP482" i="19"/>
  <c r="AI481" i="19" l="1"/>
  <c r="V480" i="19"/>
  <c r="AO481" i="19"/>
  <c r="AB480" i="19"/>
  <c r="S481" i="19"/>
  <c r="AF482" i="19"/>
  <c r="AJ481" i="19"/>
  <c r="W480" i="19"/>
  <c r="AC480" i="19"/>
  <c r="AP481" i="19"/>
  <c r="AQ481" i="19"/>
  <c r="AD480" i="19"/>
  <c r="AK482" i="19"/>
  <c r="X481" i="19"/>
  <c r="AN482" i="19"/>
  <c r="AA481" i="19"/>
  <c r="AL482" i="19"/>
  <c r="Y481" i="19"/>
  <c r="U480" i="19"/>
  <c r="AH481" i="19"/>
  <c r="T480" i="19"/>
  <c r="AG481" i="19"/>
  <c r="Z480" i="19"/>
  <c r="AM481" i="19"/>
  <c r="AJ480" i="19" l="1"/>
  <c r="W479" i="19"/>
  <c r="S480" i="19"/>
  <c r="AF481" i="19"/>
  <c r="AO480" i="19"/>
  <c r="AB479" i="19"/>
  <c r="Z479" i="19"/>
  <c r="AM480" i="19"/>
  <c r="AG480" i="19"/>
  <c r="T479" i="19"/>
  <c r="X480" i="19"/>
  <c r="AK481" i="19"/>
  <c r="U479" i="19"/>
  <c r="AH480" i="19"/>
  <c r="AL481" i="19"/>
  <c r="Y480" i="19"/>
  <c r="V479" i="19"/>
  <c r="AI480" i="19"/>
  <c r="AN481" i="19"/>
  <c r="AA480" i="19"/>
  <c r="AD479" i="19"/>
  <c r="AQ480" i="19"/>
  <c r="AC479" i="19"/>
  <c r="AP480" i="19"/>
  <c r="Y479" i="19" l="1"/>
  <c r="AL480" i="19"/>
  <c r="AD478" i="19"/>
  <c r="AQ479" i="19"/>
  <c r="AP479" i="19"/>
  <c r="AC478" i="19"/>
  <c r="X479" i="19"/>
  <c r="AK480" i="19"/>
  <c r="AH479" i="19"/>
  <c r="U478" i="19"/>
  <c r="AA479" i="19"/>
  <c r="AN480" i="19"/>
  <c r="S479" i="19"/>
  <c r="AF480" i="19"/>
  <c r="AG479" i="19"/>
  <c r="T478" i="19"/>
  <c r="W478" i="19"/>
  <c r="AJ479" i="19"/>
  <c r="Z478" i="19"/>
  <c r="AM479" i="19"/>
  <c r="AB478" i="19"/>
  <c r="AO479" i="19"/>
  <c r="V478" i="19"/>
  <c r="AI479" i="19"/>
  <c r="S478" i="19" l="1"/>
  <c r="AF479" i="19"/>
  <c r="AG478" i="19"/>
  <c r="T477" i="19"/>
  <c r="AD477" i="19"/>
  <c r="AQ478" i="19"/>
  <c r="AP478" i="19"/>
  <c r="AC477" i="19"/>
  <c r="AN479" i="19"/>
  <c r="AA478" i="19"/>
  <c r="AH478" i="19"/>
  <c r="U477" i="19"/>
  <c r="V477" i="19"/>
  <c r="AI478" i="19"/>
  <c r="X478" i="19"/>
  <c r="AK479" i="19"/>
  <c r="AB477" i="19"/>
  <c r="AO478" i="19"/>
  <c r="AM478" i="19"/>
  <c r="Z477" i="19"/>
  <c r="AJ478" i="19"/>
  <c r="W477" i="19"/>
  <c r="Y478" i="19"/>
  <c r="AL479" i="19"/>
  <c r="AD476" i="19" l="1"/>
  <c r="AQ477" i="19"/>
  <c r="Y477" i="19"/>
  <c r="AL478" i="19"/>
  <c r="AJ477" i="19"/>
  <c r="W476" i="19"/>
  <c r="AH477" i="19"/>
  <c r="U476" i="19"/>
  <c r="V476" i="19"/>
  <c r="AI477" i="19"/>
  <c r="X477" i="19"/>
  <c r="AK478" i="19"/>
  <c r="AM477" i="19"/>
  <c r="Z476" i="19"/>
  <c r="AA477" i="19"/>
  <c r="AN478" i="19"/>
  <c r="AP477" i="19"/>
  <c r="AC476" i="19"/>
  <c r="AG477" i="19"/>
  <c r="T476" i="19"/>
  <c r="AB476" i="19"/>
  <c r="AO477" i="19"/>
  <c r="AF478" i="19"/>
  <c r="S477" i="19"/>
  <c r="AH476" i="19" l="1"/>
  <c r="U475" i="19"/>
  <c r="S476" i="19"/>
  <c r="AF477" i="19"/>
  <c r="AM476" i="19"/>
  <c r="Z475" i="19"/>
  <c r="Y476" i="19"/>
  <c r="AL477" i="19"/>
  <c r="AO476" i="19"/>
  <c r="AB475" i="19"/>
  <c r="T475" i="19"/>
  <c r="AG476" i="19"/>
  <c r="AK477" i="19"/>
  <c r="X476" i="19"/>
  <c r="AP476" i="19"/>
  <c r="AC475" i="19"/>
  <c r="AA476" i="19"/>
  <c r="AN477" i="19"/>
  <c r="W475" i="19"/>
  <c r="AJ476" i="19"/>
  <c r="V475" i="19"/>
  <c r="AI476" i="19"/>
  <c r="AD475" i="19"/>
  <c r="AQ476" i="19"/>
  <c r="AD474" i="19" l="1"/>
  <c r="AQ475" i="19"/>
  <c r="X475" i="19"/>
  <c r="AK476" i="19"/>
  <c r="AP475" i="19"/>
  <c r="AC474" i="19"/>
  <c r="S475" i="19"/>
  <c r="AF476" i="19"/>
  <c r="Y475" i="19"/>
  <c r="AL476" i="19"/>
  <c r="V474" i="19"/>
  <c r="AI475" i="19"/>
  <c r="AG475" i="19"/>
  <c r="T474" i="19"/>
  <c r="AO475" i="19"/>
  <c r="AB474" i="19"/>
  <c r="AH475" i="19"/>
  <c r="U474" i="19"/>
  <c r="AM475" i="19"/>
  <c r="Z474" i="19"/>
  <c r="AJ475" i="19"/>
  <c r="W474" i="19"/>
  <c r="AA475" i="19"/>
  <c r="AN476" i="19"/>
  <c r="AA474" i="19" l="1"/>
  <c r="AN475" i="19"/>
  <c r="AB473" i="19"/>
  <c r="AO474" i="19"/>
  <c r="W473" i="19"/>
  <c r="AJ474" i="19"/>
  <c r="T473" i="19"/>
  <c r="AG474" i="19"/>
  <c r="X474" i="19"/>
  <c r="AK475" i="19"/>
  <c r="S474" i="19"/>
  <c r="AF475" i="19"/>
  <c r="V473" i="19"/>
  <c r="AI474" i="19"/>
  <c r="AH474" i="19"/>
  <c r="U473" i="19"/>
  <c r="AP474" i="19"/>
  <c r="AC473" i="19"/>
  <c r="AM474" i="19"/>
  <c r="Z473" i="19"/>
  <c r="Y474" i="19"/>
  <c r="AL475" i="19"/>
  <c r="AD473" i="19"/>
  <c r="AQ474" i="19"/>
  <c r="Y473" i="19" l="1"/>
  <c r="AL474" i="19"/>
  <c r="AD472" i="19"/>
  <c r="AQ473" i="19"/>
  <c r="AM473" i="19"/>
  <c r="Z472" i="19"/>
  <c r="S473" i="19"/>
  <c r="AF474" i="19"/>
  <c r="AH473" i="19"/>
  <c r="U472" i="19"/>
  <c r="AJ473" i="19"/>
  <c r="W472" i="19"/>
  <c r="AB472" i="19"/>
  <c r="AO473" i="19"/>
  <c r="T472" i="19"/>
  <c r="AG473" i="19"/>
  <c r="V472" i="19"/>
  <c r="AI473" i="19"/>
  <c r="AP473" i="19"/>
  <c r="AC472" i="19"/>
  <c r="AK474" i="19"/>
  <c r="X473" i="19"/>
  <c r="AN474" i="19"/>
  <c r="AA473" i="19"/>
  <c r="AB471" i="19" l="1"/>
  <c r="AO472" i="19"/>
  <c r="X472" i="19"/>
  <c r="AK473" i="19"/>
  <c r="W471" i="19"/>
  <c r="AJ472" i="19"/>
  <c r="AN473" i="19"/>
  <c r="AA472" i="19"/>
  <c r="T471" i="19"/>
  <c r="AG472" i="19"/>
  <c r="AF473" i="19"/>
  <c r="S472" i="19"/>
  <c r="AM472" i="19"/>
  <c r="Z471" i="19"/>
  <c r="AP472" i="19"/>
  <c r="AC471" i="19"/>
  <c r="AD471" i="19"/>
  <c r="AQ472" i="19"/>
  <c r="AH472" i="19"/>
  <c r="U471" i="19"/>
  <c r="V471" i="19"/>
  <c r="AI472" i="19"/>
  <c r="Y472" i="19"/>
  <c r="AL473" i="19"/>
  <c r="AA471" i="19" l="1"/>
  <c r="AN472" i="19"/>
  <c r="AM471" i="19"/>
  <c r="Z470" i="19"/>
  <c r="AH471" i="19"/>
  <c r="U470" i="19"/>
  <c r="AP471" i="19"/>
  <c r="AC470" i="19"/>
  <c r="Y471" i="19"/>
  <c r="AL472" i="19"/>
  <c r="V470" i="19"/>
  <c r="AI471" i="19"/>
  <c r="AK472" i="19"/>
  <c r="X471" i="19"/>
  <c r="AJ471" i="19"/>
  <c r="W470" i="19"/>
  <c r="S471" i="19"/>
  <c r="AF472" i="19"/>
  <c r="AD470" i="19"/>
  <c r="AQ471" i="19"/>
  <c r="T470" i="19"/>
  <c r="AG471" i="19"/>
  <c r="AB470" i="19"/>
  <c r="AO471" i="19"/>
  <c r="AP470" i="19" l="1"/>
  <c r="AC469" i="19"/>
  <c r="AJ470" i="19"/>
  <c r="W469" i="19"/>
  <c r="AB469" i="19"/>
  <c r="AO470" i="19"/>
  <c r="AH470" i="19"/>
  <c r="U469" i="19"/>
  <c r="T469" i="19"/>
  <c r="AG470" i="19"/>
  <c r="V469" i="19"/>
  <c r="AI470" i="19"/>
  <c r="AK471" i="19"/>
  <c r="X470" i="19"/>
  <c r="AM470" i="19"/>
  <c r="Z469" i="19"/>
  <c r="AD469" i="19"/>
  <c r="AQ470" i="19"/>
  <c r="AF471" i="19"/>
  <c r="S470" i="19"/>
  <c r="Y470" i="19"/>
  <c r="AL471" i="19"/>
  <c r="AN471" i="19"/>
  <c r="AA470" i="19"/>
  <c r="AH469" i="19" l="1"/>
  <c r="U468" i="19"/>
  <c r="AB468" i="19"/>
  <c r="AO469" i="19"/>
  <c r="AN470" i="19"/>
  <c r="AA469" i="19"/>
  <c r="AK470" i="19"/>
  <c r="X469" i="19"/>
  <c r="W468" i="19"/>
  <c r="AJ469" i="19"/>
  <c r="Y469" i="19"/>
  <c r="AL470" i="19"/>
  <c r="V468" i="19"/>
  <c r="AI469" i="19"/>
  <c r="AM469" i="19"/>
  <c r="Z468" i="19"/>
  <c r="AP469" i="19"/>
  <c r="AC468" i="19"/>
  <c r="AF470" i="19"/>
  <c r="S469" i="19"/>
  <c r="AD468" i="19"/>
  <c r="AQ469" i="19"/>
  <c r="T468" i="19"/>
  <c r="AG469" i="19"/>
  <c r="AM468" i="19" l="1"/>
  <c r="Z467" i="19"/>
  <c r="AK469" i="19"/>
  <c r="X468" i="19"/>
  <c r="V467" i="19"/>
  <c r="AI468" i="19"/>
  <c r="T467" i="19"/>
  <c r="AG468" i="19"/>
  <c r="AF469" i="19"/>
  <c r="S468" i="19"/>
  <c r="Y468" i="19"/>
  <c r="AL469" i="19"/>
  <c r="AA468" i="19"/>
  <c r="AN469" i="19"/>
  <c r="AB467" i="19"/>
  <c r="AO468" i="19"/>
  <c r="AH468" i="19"/>
  <c r="U467" i="19"/>
  <c r="AD467" i="19"/>
  <c r="AQ468" i="19"/>
  <c r="AP468" i="19"/>
  <c r="AC467" i="19"/>
  <c r="AJ468" i="19"/>
  <c r="W467" i="19"/>
  <c r="W466" i="19" l="1"/>
  <c r="AJ467" i="19"/>
  <c r="AA467" i="19"/>
  <c r="AN468" i="19"/>
  <c r="AP467" i="19"/>
  <c r="AC466" i="19"/>
  <c r="T466" i="19"/>
  <c r="AG467" i="19"/>
  <c r="V466" i="19"/>
  <c r="AI467" i="19"/>
  <c r="AB466" i="19"/>
  <c r="AO467" i="19"/>
  <c r="AD466" i="19"/>
  <c r="AQ467" i="19"/>
  <c r="AH467" i="19"/>
  <c r="U466" i="19"/>
  <c r="AM467" i="19"/>
  <c r="Z466" i="19"/>
  <c r="AK468" i="19"/>
  <c r="X467" i="19"/>
  <c r="Y467" i="19"/>
  <c r="AL468" i="19"/>
  <c r="AF468" i="19"/>
  <c r="S467" i="19"/>
  <c r="S466" i="19" l="1"/>
  <c r="AF467" i="19"/>
  <c r="AH466" i="19"/>
  <c r="U465" i="19"/>
  <c r="Y466" i="19"/>
  <c r="AL467" i="19"/>
  <c r="AK467" i="19"/>
  <c r="X466" i="19"/>
  <c r="AN467" i="19"/>
  <c r="AA466" i="19"/>
  <c r="T465" i="19"/>
  <c r="AG466" i="19"/>
  <c r="AP466" i="19"/>
  <c r="AC465" i="19"/>
  <c r="AB465" i="19"/>
  <c r="AO466" i="19"/>
  <c r="AD465" i="19"/>
  <c r="AQ466" i="19"/>
  <c r="AM466" i="19"/>
  <c r="Z465" i="19"/>
  <c r="V465" i="19"/>
  <c r="AI466" i="19"/>
  <c r="W465" i="19"/>
  <c r="AJ466" i="19"/>
  <c r="AK466" i="19" l="1"/>
  <c r="X465" i="19"/>
  <c r="Y465" i="19"/>
  <c r="AL466" i="19"/>
  <c r="AB464" i="19"/>
  <c r="AO465" i="19"/>
  <c r="T464" i="19"/>
  <c r="AG465" i="19"/>
  <c r="AJ465" i="19"/>
  <c r="W464" i="19"/>
  <c r="AP465" i="19"/>
  <c r="AC464" i="19"/>
  <c r="V464" i="19"/>
  <c r="AI465" i="19"/>
  <c r="AN466" i="19"/>
  <c r="AA465" i="19"/>
  <c r="AM465" i="19"/>
  <c r="Z464" i="19"/>
  <c r="AH465" i="19"/>
  <c r="U464" i="19"/>
  <c r="AD464" i="19"/>
  <c r="AQ465" i="19"/>
  <c r="AF466" i="19"/>
  <c r="S465" i="19"/>
  <c r="AN465" i="19" l="1"/>
  <c r="AA464" i="19"/>
  <c r="V463" i="19"/>
  <c r="AI464" i="19"/>
  <c r="T463" i="19"/>
  <c r="AG464" i="19"/>
  <c r="AD463" i="19"/>
  <c r="AQ464" i="19"/>
  <c r="AP464" i="19"/>
  <c r="AC463" i="19"/>
  <c r="Y464" i="19"/>
  <c r="AL465" i="19"/>
  <c r="AB463" i="19"/>
  <c r="AO464" i="19"/>
  <c r="AJ464" i="19"/>
  <c r="W463" i="19"/>
  <c r="AK465" i="19"/>
  <c r="X464" i="19"/>
  <c r="AF465" i="19"/>
  <c r="S464" i="19"/>
  <c r="AH464" i="19"/>
  <c r="U463" i="19"/>
  <c r="AM464" i="19"/>
  <c r="Z463" i="19"/>
  <c r="T462" i="19" l="1"/>
  <c r="AG463" i="19"/>
  <c r="AJ463" i="19"/>
  <c r="W462" i="19"/>
  <c r="AD462" i="19"/>
  <c r="AQ463" i="19"/>
  <c r="AB462" i="19"/>
  <c r="AO463" i="19"/>
  <c r="V462" i="19"/>
  <c r="AI463" i="19"/>
  <c r="S463" i="19"/>
  <c r="AF464" i="19"/>
  <c r="AP463" i="19"/>
  <c r="AC462" i="19"/>
  <c r="AA463" i="19"/>
  <c r="AN464" i="19"/>
  <c r="AM463" i="19"/>
  <c r="Z462" i="19"/>
  <c r="AH463" i="19"/>
  <c r="U462" i="19"/>
  <c r="Y463" i="19"/>
  <c r="AL464" i="19"/>
  <c r="AK464" i="19"/>
  <c r="X463" i="19"/>
  <c r="AK463" i="19" l="1"/>
  <c r="X462" i="19"/>
  <c r="Y462" i="19"/>
  <c r="AL463" i="19"/>
  <c r="AB461" i="19"/>
  <c r="AO462" i="19"/>
  <c r="AP462" i="19"/>
  <c r="AC461" i="19"/>
  <c r="AD461" i="19"/>
  <c r="AQ462" i="19"/>
  <c r="AH462" i="19"/>
  <c r="U461" i="19"/>
  <c r="AA462" i="19"/>
  <c r="AN463" i="19"/>
  <c r="W461" i="19"/>
  <c r="AJ462" i="19"/>
  <c r="S462" i="19"/>
  <c r="AF463" i="19"/>
  <c r="AM462" i="19"/>
  <c r="Z461" i="19"/>
  <c r="V461" i="19"/>
  <c r="AI462" i="19"/>
  <c r="T461" i="19"/>
  <c r="AG462" i="19"/>
  <c r="AP461" i="19" l="1"/>
  <c r="AC460" i="19"/>
  <c r="V460" i="19"/>
  <c r="AI461" i="19"/>
  <c r="AM461" i="19"/>
  <c r="Z460" i="19"/>
  <c r="AB460" i="19"/>
  <c r="AO461" i="19"/>
  <c r="W460" i="19"/>
  <c r="AJ461" i="19"/>
  <c r="Y461" i="19"/>
  <c r="AL462" i="19"/>
  <c r="AK462" i="19"/>
  <c r="X461" i="19"/>
  <c r="T460" i="19"/>
  <c r="AG461" i="19"/>
  <c r="AN462" i="19"/>
  <c r="AA461" i="19"/>
  <c r="AH461" i="19"/>
  <c r="U460" i="19"/>
  <c r="AF462" i="19"/>
  <c r="S461" i="19"/>
  <c r="AD460" i="19"/>
  <c r="AQ461" i="19"/>
  <c r="AM460" i="19" l="1"/>
  <c r="Z459" i="19"/>
  <c r="T459" i="19"/>
  <c r="AG460" i="19"/>
  <c r="AK461" i="19"/>
  <c r="X460" i="19"/>
  <c r="Y460" i="19"/>
  <c r="AL461" i="19"/>
  <c r="AD459" i="19"/>
  <c r="AQ460" i="19"/>
  <c r="AF461" i="19"/>
  <c r="S460" i="19"/>
  <c r="V459" i="19"/>
  <c r="AI460" i="19"/>
  <c r="AP460" i="19"/>
  <c r="AC459" i="19"/>
  <c r="AB459" i="19"/>
  <c r="AO460" i="19"/>
  <c r="AH460" i="19"/>
  <c r="U459" i="19"/>
  <c r="AA460" i="19"/>
  <c r="AN461" i="19"/>
  <c r="AJ460" i="19"/>
  <c r="W459" i="19"/>
  <c r="W458" i="19" l="1"/>
  <c r="AJ459" i="19"/>
  <c r="AH459" i="19"/>
  <c r="U458" i="19"/>
  <c r="AP459" i="19"/>
  <c r="AC458" i="19"/>
  <c r="Y459" i="19"/>
  <c r="AL460" i="19"/>
  <c r="AA459" i="19"/>
  <c r="AN460" i="19"/>
  <c r="V458" i="19"/>
  <c r="AI459" i="19"/>
  <c r="T458" i="19"/>
  <c r="AG459" i="19"/>
  <c r="AM459" i="19"/>
  <c r="Z458" i="19"/>
  <c r="AK460" i="19"/>
  <c r="X459" i="19"/>
  <c r="AF460" i="19"/>
  <c r="S459" i="19"/>
  <c r="AB458" i="19"/>
  <c r="AO459" i="19"/>
  <c r="AD458" i="19"/>
  <c r="AQ459" i="19"/>
  <c r="AM458" i="19" l="1"/>
  <c r="Z457" i="19"/>
  <c r="AD457" i="19"/>
  <c r="AQ458" i="19"/>
  <c r="T457" i="19"/>
  <c r="AG458" i="19"/>
  <c r="S458" i="19"/>
  <c r="AF459" i="19"/>
  <c r="AP458" i="19"/>
  <c r="AC457" i="19"/>
  <c r="V457" i="19"/>
  <c r="AI458" i="19"/>
  <c r="Y458" i="19"/>
  <c r="AL459" i="19"/>
  <c r="AH458" i="19"/>
  <c r="U457" i="19"/>
  <c r="AB457" i="19"/>
  <c r="AO458" i="19"/>
  <c r="AK459" i="19"/>
  <c r="X458" i="19"/>
  <c r="AN459" i="19"/>
  <c r="AA458" i="19"/>
  <c r="W457" i="19"/>
  <c r="AJ458" i="19"/>
  <c r="T456" i="19" l="1"/>
  <c r="AG457" i="19"/>
  <c r="AJ457" i="19"/>
  <c r="W456" i="19"/>
  <c r="S457" i="19"/>
  <c r="AF458" i="19"/>
  <c r="AK458" i="19"/>
  <c r="X457" i="19"/>
  <c r="AH457" i="19"/>
  <c r="U456" i="19"/>
  <c r="Y457" i="19"/>
  <c r="AL458" i="19"/>
  <c r="V456" i="19"/>
  <c r="AI457" i="19"/>
  <c r="AD456" i="19"/>
  <c r="AQ457" i="19"/>
  <c r="AM457" i="19"/>
  <c r="Z456" i="19"/>
  <c r="AN458" i="19"/>
  <c r="AA457" i="19"/>
  <c r="AP457" i="19"/>
  <c r="AC456" i="19"/>
  <c r="AB456" i="19"/>
  <c r="AO457" i="19"/>
  <c r="AD455" i="19" l="1"/>
  <c r="AQ456" i="19"/>
  <c r="AF457" i="19"/>
  <c r="S456" i="19"/>
  <c r="V455" i="19"/>
  <c r="AI456" i="19"/>
  <c r="Y456" i="19"/>
  <c r="AL457" i="19"/>
  <c r="AK457" i="19"/>
  <c r="X456" i="19"/>
  <c r="AP456" i="19"/>
  <c r="AC455" i="19"/>
  <c r="AH456" i="19"/>
  <c r="U455" i="19"/>
  <c r="AB455" i="19"/>
  <c r="AO456" i="19"/>
  <c r="AN457" i="19"/>
  <c r="AA456" i="19"/>
  <c r="AJ456" i="19"/>
  <c r="W455" i="19"/>
  <c r="AM456" i="19"/>
  <c r="Z455" i="19"/>
  <c r="T455" i="19"/>
  <c r="AG456" i="19"/>
  <c r="V454" i="19" l="1"/>
  <c r="AI455" i="19"/>
  <c r="AH455" i="19"/>
  <c r="U454" i="19"/>
  <c r="AP455" i="19"/>
  <c r="AC454" i="19"/>
  <c r="AB454" i="19"/>
  <c r="AO455" i="19"/>
  <c r="AM455" i="19"/>
  <c r="Z454" i="19"/>
  <c r="T454" i="19"/>
  <c r="AG455" i="19"/>
  <c r="Y455" i="19"/>
  <c r="AL456" i="19"/>
  <c r="AK456" i="19"/>
  <c r="X455" i="19"/>
  <c r="AJ455" i="19"/>
  <c r="W454" i="19"/>
  <c r="S455" i="19"/>
  <c r="AF456" i="19"/>
  <c r="AA455" i="19"/>
  <c r="AN456" i="19"/>
  <c r="AD454" i="19"/>
  <c r="AQ455" i="19"/>
  <c r="AK455" i="19" l="1"/>
  <c r="X454" i="19"/>
  <c r="AH454" i="19"/>
  <c r="U453" i="19"/>
  <c r="AD453" i="19"/>
  <c r="AQ454" i="19"/>
  <c r="AP454" i="19"/>
  <c r="AC453" i="19"/>
  <c r="Y454" i="19"/>
  <c r="AL455" i="19"/>
  <c r="T453" i="19"/>
  <c r="AG454" i="19"/>
  <c r="AJ454" i="19"/>
  <c r="W453" i="19"/>
  <c r="AM454" i="19"/>
  <c r="Z453" i="19"/>
  <c r="AB453" i="19"/>
  <c r="AO454" i="19"/>
  <c r="AN455" i="19"/>
  <c r="AA454" i="19"/>
  <c r="S454" i="19"/>
  <c r="AF455" i="19"/>
  <c r="V453" i="19"/>
  <c r="AI454" i="19"/>
  <c r="AM453" i="19" l="1"/>
  <c r="Z452" i="19"/>
  <c r="AP453" i="19"/>
  <c r="AC452" i="19"/>
  <c r="AN454" i="19"/>
  <c r="AA453" i="19"/>
  <c r="V452" i="19"/>
  <c r="AI453" i="19"/>
  <c r="W452" i="19"/>
  <c r="AJ453" i="19"/>
  <c r="AD452" i="19"/>
  <c r="AQ453" i="19"/>
  <c r="AF454" i="19"/>
  <c r="S453" i="19"/>
  <c r="AH453" i="19"/>
  <c r="U452" i="19"/>
  <c r="T452" i="19"/>
  <c r="AG453" i="19"/>
  <c r="AK454" i="19"/>
  <c r="X453" i="19"/>
  <c r="AB452" i="19"/>
  <c r="AO453" i="19"/>
  <c r="Y453" i="19"/>
  <c r="AL454" i="19"/>
  <c r="AH452" i="19" l="1"/>
  <c r="U451" i="19"/>
  <c r="Y452" i="19"/>
  <c r="AL453" i="19"/>
  <c r="AF453" i="19"/>
  <c r="S452" i="19"/>
  <c r="AK453" i="19"/>
  <c r="X452" i="19"/>
  <c r="AB451" i="19"/>
  <c r="AO452" i="19"/>
  <c r="V451" i="19"/>
  <c r="AI452" i="19"/>
  <c r="AA452" i="19"/>
  <c r="AN453" i="19"/>
  <c r="AM452" i="19"/>
  <c r="Z451" i="19"/>
  <c r="AP452" i="19"/>
  <c r="AC451" i="19"/>
  <c r="AD451" i="19"/>
  <c r="AQ452" i="19"/>
  <c r="T451" i="19"/>
  <c r="AG452" i="19"/>
  <c r="AJ452" i="19"/>
  <c r="W451" i="19"/>
  <c r="W450" i="19" l="1"/>
  <c r="AJ451" i="19"/>
  <c r="AK452" i="19"/>
  <c r="X451" i="19"/>
  <c r="AA451" i="19"/>
  <c r="AN452" i="19"/>
  <c r="V450" i="19"/>
  <c r="AI451" i="19"/>
  <c r="AF452" i="19"/>
  <c r="S451" i="19"/>
  <c r="T450" i="19"/>
  <c r="AG451" i="19"/>
  <c r="AD450" i="19"/>
  <c r="AQ451" i="19"/>
  <c r="AP451" i="19"/>
  <c r="AC450" i="19"/>
  <c r="AH451" i="19"/>
  <c r="U450" i="19"/>
  <c r="AM451" i="19"/>
  <c r="Z450" i="19"/>
  <c r="Y451" i="19"/>
  <c r="AL452" i="19"/>
  <c r="AB450" i="19"/>
  <c r="AO451" i="19"/>
  <c r="AB449" i="19" l="1"/>
  <c r="AO450" i="19"/>
  <c r="AN451" i="19"/>
  <c r="AA450" i="19"/>
  <c r="AP450" i="19"/>
  <c r="AC449" i="19"/>
  <c r="AD449" i="19"/>
  <c r="AQ450" i="19"/>
  <c r="T449" i="19"/>
  <c r="AG450" i="19"/>
  <c r="V449" i="19"/>
  <c r="AI450" i="19"/>
  <c r="Y450" i="19"/>
  <c r="AL451" i="19"/>
  <c r="S450" i="19"/>
  <c r="AF451" i="19"/>
  <c r="AM450" i="19"/>
  <c r="Z449" i="19"/>
  <c r="AK451" i="19"/>
  <c r="X450" i="19"/>
  <c r="AH450" i="19"/>
  <c r="U449" i="19"/>
  <c r="W449" i="19"/>
  <c r="AJ450" i="19"/>
  <c r="AH449" i="19" l="1"/>
  <c r="U448" i="19"/>
  <c r="AF450" i="19"/>
  <c r="S449" i="19"/>
  <c r="V448" i="19"/>
  <c r="AI449" i="19"/>
  <c r="AD448" i="19"/>
  <c r="AQ449" i="19"/>
  <c r="Y449" i="19"/>
  <c r="AL450" i="19"/>
  <c r="AK450" i="19"/>
  <c r="X449" i="19"/>
  <c r="AM449" i="19"/>
  <c r="Z448" i="19"/>
  <c r="AJ449" i="19"/>
  <c r="W448" i="19"/>
  <c r="AP449" i="19"/>
  <c r="AC448" i="19"/>
  <c r="AN450" i="19"/>
  <c r="AA449" i="19"/>
  <c r="T448" i="19"/>
  <c r="AG449" i="19"/>
  <c r="AB448" i="19"/>
  <c r="AO449" i="19"/>
  <c r="AJ448" i="19" l="1"/>
  <c r="W447" i="19"/>
  <c r="V447" i="19"/>
  <c r="AI448" i="19"/>
  <c r="AF449" i="19"/>
  <c r="S448" i="19"/>
  <c r="AM448" i="19"/>
  <c r="Z447" i="19"/>
  <c r="AB447" i="19"/>
  <c r="AO448" i="19"/>
  <c r="T447" i="19"/>
  <c r="AG448" i="19"/>
  <c r="AN449" i="19"/>
  <c r="AA448" i="19"/>
  <c r="AH448" i="19"/>
  <c r="U447" i="19"/>
  <c r="AD447" i="19"/>
  <c r="AQ448" i="19"/>
  <c r="AK449" i="19"/>
  <c r="X448" i="19"/>
  <c r="AC447" i="19"/>
  <c r="AP448" i="19"/>
  <c r="Y448" i="19"/>
  <c r="AL449" i="19"/>
  <c r="AH447" i="19" l="1"/>
  <c r="U446" i="19"/>
  <c r="AL448" i="19"/>
  <c r="Y447" i="19"/>
  <c r="AA447" i="19"/>
  <c r="AN448" i="19"/>
  <c r="T446" i="19"/>
  <c r="AG447" i="19"/>
  <c r="AM447" i="19"/>
  <c r="Z446" i="19"/>
  <c r="S447" i="19"/>
  <c r="AF448" i="19"/>
  <c r="AK448" i="19"/>
  <c r="X447" i="19"/>
  <c r="V446" i="19"/>
  <c r="AI447" i="19"/>
  <c r="W446" i="19"/>
  <c r="AJ447" i="19"/>
  <c r="AP447" i="19"/>
  <c r="AC446" i="19"/>
  <c r="AD446" i="19"/>
  <c r="AQ447" i="19"/>
  <c r="AB446" i="19"/>
  <c r="AO447" i="19"/>
  <c r="AG446" i="19" l="1"/>
  <c r="T445" i="19"/>
  <c r="AK447" i="19"/>
  <c r="X446" i="19"/>
  <c r="AA446" i="19"/>
  <c r="AN447" i="19"/>
  <c r="AB445" i="19"/>
  <c r="AO446" i="19"/>
  <c r="AD445" i="19"/>
  <c r="AQ446" i="19"/>
  <c r="AP446" i="19"/>
  <c r="AC445" i="19"/>
  <c r="S446" i="19"/>
  <c r="AF447" i="19"/>
  <c r="AM446" i="19"/>
  <c r="Z445" i="19"/>
  <c r="U445" i="19"/>
  <c r="AH446" i="19"/>
  <c r="V445" i="19"/>
  <c r="AI446" i="19"/>
  <c r="Y446" i="19"/>
  <c r="AL447" i="19"/>
  <c r="AJ446" i="19"/>
  <c r="W445" i="19"/>
  <c r="AJ445" i="19" l="1"/>
  <c r="W444" i="19"/>
  <c r="S445" i="19"/>
  <c r="AF446" i="19"/>
  <c r="AM445" i="19"/>
  <c r="Z444" i="19"/>
  <c r="AC444" i="19"/>
  <c r="AP445" i="19"/>
  <c r="AO445" i="19"/>
  <c r="AB444" i="19"/>
  <c r="AA445" i="19"/>
  <c r="AN446" i="19"/>
  <c r="Y445" i="19"/>
  <c r="AL446" i="19"/>
  <c r="V444" i="19"/>
  <c r="AI445" i="19"/>
  <c r="T444" i="19"/>
  <c r="AG445" i="19"/>
  <c r="X445" i="19"/>
  <c r="AK446" i="19"/>
  <c r="AH445" i="19"/>
  <c r="U444" i="19"/>
  <c r="AD444" i="19"/>
  <c r="AQ445" i="19"/>
  <c r="V443" i="19" l="1"/>
  <c r="AI444" i="19"/>
  <c r="Y444" i="19"/>
  <c r="AL445" i="19"/>
  <c r="U443" i="19"/>
  <c r="AH444" i="19"/>
  <c r="AA444" i="19"/>
  <c r="AN445" i="19"/>
  <c r="AC443" i="19"/>
  <c r="AP444" i="19"/>
  <c r="AK445" i="19"/>
  <c r="X444" i="19"/>
  <c r="AO444" i="19"/>
  <c r="AB443" i="19"/>
  <c r="AJ444" i="19"/>
  <c r="W443" i="19"/>
  <c r="AD443" i="19"/>
  <c r="AQ444" i="19"/>
  <c r="AM444" i="19"/>
  <c r="Z443" i="19"/>
  <c r="S444" i="19"/>
  <c r="AF445" i="19"/>
  <c r="AG444" i="19"/>
  <c r="T443" i="19"/>
  <c r="AJ443" i="19" l="1"/>
  <c r="W442" i="19"/>
  <c r="AO443" i="19"/>
  <c r="AB442" i="19"/>
  <c r="AM443" i="19"/>
  <c r="Z442" i="19"/>
  <c r="U442" i="19"/>
  <c r="AH443" i="19"/>
  <c r="T442" i="19"/>
  <c r="AG443" i="19"/>
  <c r="S443" i="19"/>
  <c r="AF444" i="19"/>
  <c r="AK444" i="19"/>
  <c r="X443" i="19"/>
  <c r="AL444" i="19"/>
  <c r="Y443" i="19"/>
  <c r="AA443" i="19"/>
  <c r="AN444" i="19"/>
  <c r="AD442" i="19"/>
  <c r="AQ443" i="19"/>
  <c r="AC442" i="19"/>
  <c r="AP443" i="19"/>
  <c r="V442" i="19"/>
  <c r="AI443" i="19"/>
  <c r="Y442" i="19" l="1"/>
  <c r="AL443" i="19"/>
  <c r="AK443" i="19"/>
  <c r="X442" i="19"/>
  <c r="U441" i="19"/>
  <c r="AH442" i="19"/>
  <c r="AC441" i="19"/>
  <c r="AP442" i="19"/>
  <c r="S442" i="19"/>
  <c r="AF443" i="19"/>
  <c r="AJ442" i="19"/>
  <c r="W441" i="19"/>
  <c r="V441" i="19"/>
  <c r="AI442" i="19"/>
  <c r="AM442" i="19"/>
  <c r="Z441" i="19"/>
  <c r="AB441" i="19"/>
  <c r="AO442" i="19"/>
  <c r="AD441" i="19"/>
  <c r="AQ442" i="19"/>
  <c r="AA442" i="19"/>
  <c r="AN443" i="19"/>
  <c r="AG442" i="19"/>
  <c r="T441" i="19"/>
  <c r="T440" i="19" l="1"/>
  <c r="AG441" i="19"/>
  <c r="AH441" i="19"/>
  <c r="U440" i="19"/>
  <c r="AM441" i="19"/>
  <c r="Z440" i="19"/>
  <c r="AA441" i="19"/>
  <c r="AN442" i="19"/>
  <c r="X441" i="19"/>
  <c r="AK442" i="19"/>
  <c r="AP441" i="19"/>
  <c r="AC440" i="19"/>
  <c r="V440" i="19"/>
  <c r="AI441" i="19"/>
  <c r="AJ441" i="19"/>
  <c r="W440" i="19"/>
  <c r="AD440" i="19"/>
  <c r="AQ441" i="19"/>
  <c r="AO441" i="19"/>
  <c r="AB440" i="19"/>
  <c r="S441" i="19"/>
  <c r="AF442" i="19"/>
  <c r="AL442" i="19"/>
  <c r="Y441" i="19"/>
  <c r="Y440" i="19" l="1"/>
  <c r="AL441" i="19"/>
  <c r="AM440" i="19"/>
  <c r="Z439" i="19"/>
  <c r="AC439" i="19"/>
  <c r="AP440" i="19"/>
  <c r="AJ440" i="19"/>
  <c r="W439" i="19"/>
  <c r="AO440" i="19"/>
  <c r="AB439" i="19"/>
  <c r="AA440" i="19"/>
  <c r="AN441" i="19"/>
  <c r="V439" i="19"/>
  <c r="AI440" i="19"/>
  <c r="S440" i="19"/>
  <c r="AF441" i="19"/>
  <c r="U439" i="19"/>
  <c r="AH440" i="19"/>
  <c r="AD439" i="19"/>
  <c r="AQ440" i="19"/>
  <c r="AK441" i="19"/>
  <c r="X440" i="19"/>
  <c r="AG440" i="19"/>
  <c r="T439" i="19"/>
  <c r="AG439" i="19" l="1"/>
  <c r="T438" i="19"/>
  <c r="AP439" i="19"/>
  <c r="AC438" i="19"/>
  <c r="AJ439" i="19"/>
  <c r="W438" i="19"/>
  <c r="AK440" i="19"/>
  <c r="X439" i="19"/>
  <c r="AM439" i="19"/>
  <c r="Z438" i="19"/>
  <c r="V438" i="19"/>
  <c r="AI439" i="19"/>
  <c r="AA439" i="19"/>
  <c r="AN440" i="19"/>
  <c r="AO439" i="19"/>
  <c r="AB438" i="19"/>
  <c r="S439" i="19"/>
  <c r="AF440" i="19"/>
  <c r="AD438" i="19"/>
  <c r="AQ439" i="19"/>
  <c r="U438" i="19"/>
  <c r="AH439" i="19"/>
  <c r="AL440" i="19"/>
  <c r="Y439" i="19"/>
  <c r="AK439" i="19" l="1"/>
  <c r="X438" i="19"/>
  <c r="AA438" i="19"/>
  <c r="AN439" i="19"/>
  <c r="AB437" i="19"/>
  <c r="AO438" i="19"/>
  <c r="Y438" i="19"/>
  <c r="AL439" i="19"/>
  <c r="V437" i="19"/>
  <c r="AI438" i="19"/>
  <c r="AJ438" i="19"/>
  <c r="W437" i="19"/>
  <c r="AD437" i="19"/>
  <c r="AQ438" i="19"/>
  <c r="AM438" i="19"/>
  <c r="Z437" i="19"/>
  <c r="AG438" i="19"/>
  <c r="T437" i="19"/>
  <c r="U437" i="19"/>
  <c r="AH438" i="19"/>
  <c r="AP438" i="19"/>
  <c r="AC437" i="19"/>
  <c r="S438" i="19"/>
  <c r="AF439" i="19"/>
  <c r="AM437" i="19" l="1"/>
  <c r="Z436" i="19"/>
  <c r="AL438" i="19"/>
  <c r="Y437" i="19"/>
  <c r="S437" i="19"/>
  <c r="AF438" i="19"/>
  <c r="AP437" i="19"/>
  <c r="AC436" i="19"/>
  <c r="AB436" i="19"/>
  <c r="AO437" i="19"/>
  <c r="AA437" i="19"/>
  <c r="AN438" i="19"/>
  <c r="X437" i="19"/>
  <c r="AK438" i="19"/>
  <c r="AD436" i="19"/>
  <c r="AQ437" i="19"/>
  <c r="AJ437" i="19"/>
  <c r="W436" i="19"/>
  <c r="U436" i="19"/>
  <c r="AH437" i="19"/>
  <c r="T436" i="19"/>
  <c r="AG437" i="19"/>
  <c r="V436" i="19"/>
  <c r="AI437" i="19"/>
  <c r="AG436" i="19" l="1"/>
  <c r="T435" i="19"/>
  <c r="V435" i="19"/>
  <c r="AI436" i="19"/>
  <c r="X436" i="19"/>
  <c r="AK437" i="19"/>
  <c r="AA436" i="19"/>
  <c r="AN437" i="19"/>
  <c r="AD435" i="19"/>
  <c r="AQ436" i="19"/>
  <c r="AM436" i="19"/>
  <c r="Z435" i="19"/>
  <c r="AC435" i="19"/>
  <c r="AP436" i="19"/>
  <c r="S436" i="19"/>
  <c r="AF437" i="19"/>
  <c r="AL437" i="19"/>
  <c r="Y436" i="19"/>
  <c r="AH436" i="19"/>
  <c r="U435" i="19"/>
  <c r="AJ436" i="19"/>
  <c r="W435" i="19"/>
  <c r="AB435" i="19"/>
  <c r="AO436" i="19"/>
  <c r="AC434" i="19" l="1"/>
  <c r="AP435" i="19"/>
  <c r="AO435" i="19"/>
  <c r="AB434" i="19"/>
  <c r="AJ435" i="19"/>
  <c r="W434" i="19"/>
  <c r="U434" i="19"/>
  <c r="AH435" i="19"/>
  <c r="AA435" i="19"/>
  <c r="AN436" i="19"/>
  <c r="AM435" i="19"/>
  <c r="Z434" i="19"/>
  <c r="AG435" i="19"/>
  <c r="T434" i="19"/>
  <c r="S435" i="19"/>
  <c r="AF436" i="19"/>
  <c r="X435" i="19"/>
  <c r="AK436" i="19"/>
  <c r="V434" i="19"/>
  <c r="AI435" i="19"/>
  <c r="AL436" i="19"/>
  <c r="Y435" i="19"/>
  <c r="AD434" i="19"/>
  <c r="AQ435" i="19"/>
  <c r="AD433" i="19" l="1"/>
  <c r="AQ434" i="19"/>
  <c r="AL435" i="19"/>
  <c r="Y434" i="19"/>
  <c r="AO434" i="19"/>
  <c r="AB433" i="19"/>
  <c r="U433" i="19"/>
  <c r="AH434" i="19"/>
  <c r="AG434" i="19"/>
  <c r="T433" i="19"/>
  <c r="V433" i="19"/>
  <c r="AI434" i="19"/>
  <c r="S434" i="19"/>
  <c r="AF435" i="19"/>
  <c r="AJ434" i="19"/>
  <c r="W433" i="19"/>
  <c r="AM434" i="19"/>
  <c r="Z433" i="19"/>
  <c r="X434" i="19"/>
  <c r="AK435" i="19"/>
  <c r="AA434" i="19"/>
  <c r="AN435" i="19"/>
  <c r="AP434" i="19"/>
  <c r="AC433" i="19"/>
  <c r="AA433" i="19" l="1"/>
  <c r="AN434" i="19"/>
  <c r="AP433" i="19"/>
  <c r="AC432" i="19"/>
  <c r="AB432" i="19"/>
  <c r="AO433" i="19"/>
  <c r="V432" i="19"/>
  <c r="AI433" i="19"/>
  <c r="AG433" i="19"/>
  <c r="T432" i="19"/>
  <c r="AJ433" i="19"/>
  <c r="W432" i="19"/>
  <c r="U432" i="19"/>
  <c r="AH433" i="19"/>
  <c r="S433" i="19"/>
  <c r="AF434" i="19"/>
  <c r="Y433" i="19"/>
  <c r="AL434" i="19"/>
  <c r="X433" i="19"/>
  <c r="AK434" i="19"/>
  <c r="AM433" i="19"/>
  <c r="Z432" i="19"/>
  <c r="AD432" i="19"/>
  <c r="AQ433" i="19"/>
  <c r="U431" i="19" l="1"/>
  <c r="AH432" i="19"/>
  <c r="AD431" i="19"/>
  <c r="AQ432" i="19"/>
  <c r="AJ432" i="19"/>
  <c r="W431" i="19"/>
  <c r="AM432" i="19"/>
  <c r="Z431" i="19"/>
  <c r="S432" i="19"/>
  <c r="AF433" i="19"/>
  <c r="AB431" i="19"/>
  <c r="AO432" i="19"/>
  <c r="X432" i="19"/>
  <c r="AK433" i="19"/>
  <c r="V431" i="19"/>
  <c r="AI432" i="19"/>
  <c r="AC431" i="19"/>
  <c r="AP432" i="19"/>
  <c r="AG432" i="19"/>
  <c r="T431" i="19"/>
  <c r="AL433" i="19"/>
  <c r="Y432" i="19"/>
  <c r="AA432" i="19"/>
  <c r="AN433" i="19"/>
  <c r="X431" i="19" l="1"/>
  <c r="AK432" i="19"/>
  <c r="AA431" i="19"/>
  <c r="AN432" i="19"/>
  <c r="AO431" i="19"/>
  <c r="AB430" i="19"/>
  <c r="V430" i="19"/>
  <c r="AI431" i="19"/>
  <c r="AJ431" i="19"/>
  <c r="W430" i="19"/>
  <c r="T430" i="19"/>
  <c r="AG431" i="19"/>
  <c r="AD430" i="19"/>
  <c r="AQ431" i="19"/>
  <c r="AM431" i="19"/>
  <c r="Z430" i="19"/>
  <c r="AL432" i="19"/>
  <c r="Y431" i="19"/>
  <c r="AC430" i="19"/>
  <c r="AP431" i="19"/>
  <c r="S431" i="19"/>
  <c r="AF432" i="19"/>
  <c r="U430" i="19"/>
  <c r="AH431" i="19"/>
  <c r="S430" i="19" l="1"/>
  <c r="AF431" i="19"/>
  <c r="AM430" i="19"/>
  <c r="Z429" i="19"/>
  <c r="AD429" i="19"/>
  <c r="AQ430" i="19"/>
  <c r="AG430" i="19"/>
  <c r="T429" i="19"/>
  <c r="AO430" i="19"/>
  <c r="AB429" i="19"/>
  <c r="AP430" i="19"/>
  <c r="AC429" i="19"/>
  <c r="AJ430" i="19"/>
  <c r="W429" i="19"/>
  <c r="U429" i="19"/>
  <c r="AH430" i="19"/>
  <c r="V429" i="19"/>
  <c r="AI430" i="19"/>
  <c r="AA430" i="19"/>
  <c r="AN431" i="19"/>
  <c r="AL431" i="19"/>
  <c r="Y430" i="19"/>
  <c r="X430" i="19"/>
  <c r="AK431" i="19"/>
  <c r="U428" i="19" l="1"/>
  <c r="AH429" i="19"/>
  <c r="AD428" i="19"/>
  <c r="AQ429" i="19"/>
  <c r="AP429" i="19"/>
  <c r="AC428" i="19"/>
  <c r="AG429" i="19"/>
  <c r="T428" i="19"/>
  <c r="Y429" i="19"/>
  <c r="AL430" i="19"/>
  <c r="AB428" i="19"/>
  <c r="AO429" i="19"/>
  <c r="X429" i="19"/>
  <c r="AK430" i="19"/>
  <c r="AJ429" i="19"/>
  <c r="W428" i="19"/>
  <c r="AM429" i="19"/>
  <c r="Z428" i="19"/>
  <c r="AA429" i="19"/>
  <c r="AN430" i="19"/>
  <c r="V428" i="19"/>
  <c r="AI429" i="19"/>
  <c r="S429" i="19"/>
  <c r="AF430" i="19"/>
  <c r="AJ428" i="19" l="1"/>
  <c r="W427" i="19"/>
  <c r="V427" i="19"/>
  <c r="AI428" i="19"/>
  <c r="AG428" i="19"/>
  <c r="T427" i="19"/>
  <c r="AB427" i="19"/>
  <c r="AO428" i="19"/>
  <c r="AC427" i="19"/>
  <c r="AP428" i="19"/>
  <c r="AD427" i="19"/>
  <c r="AQ428" i="19"/>
  <c r="S428" i="19"/>
  <c r="AF429" i="19"/>
  <c r="X428" i="19"/>
  <c r="AK429" i="19"/>
  <c r="AA428" i="19"/>
  <c r="AN429" i="19"/>
  <c r="AM428" i="19"/>
  <c r="Z427" i="19"/>
  <c r="Y428" i="19"/>
  <c r="AL429" i="19"/>
  <c r="U427" i="19"/>
  <c r="AH428" i="19"/>
  <c r="U426" i="19" l="1"/>
  <c r="AH427" i="19"/>
  <c r="S427" i="19"/>
  <c r="AF428" i="19"/>
  <c r="V426" i="19"/>
  <c r="AI427" i="19"/>
  <c r="AK428" i="19"/>
  <c r="X427" i="19"/>
  <c r="AG427" i="19"/>
  <c r="T426" i="19"/>
  <c r="AD426" i="19"/>
  <c r="AQ427" i="19"/>
  <c r="AJ427" i="19"/>
  <c r="W426" i="19"/>
  <c r="AO427" i="19"/>
  <c r="AB426" i="19"/>
  <c r="AL428" i="19"/>
  <c r="Y427" i="19"/>
  <c r="AM427" i="19"/>
  <c r="Z426" i="19"/>
  <c r="AA427" i="19"/>
  <c r="AN428" i="19"/>
  <c r="AC426" i="19"/>
  <c r="AP427" i="19"/>
  <c r="AK427" i="19" l="1"/>
  <c r="X426" i="19"/>
  <c r="AM426" i="19"/>
  <c r="Z425" i="19"/>
  <c r="S426" i="19"/>
  <c r="AF427" i="19"/>
  <c r="AC425" i="19"/>
  <c r="AP426" i="19"/>
  <c r="AJ426" i="19"/>
  <c r="W425" i="19"/>
  <c r="AA426" i="19"/>
  <c r="AN427" i="19"/>
  <c r="AD425" i="19"/>
  <c r="AQ426" i="19"/>
  <c r="AG426" i="19"/>
  <c r="T425" i="19"/>
  <c r="AO426" i="19"/>
  <c r="AB425" i="19"/>
  <c r="V425" i="19"/>
  <c r="AI426" i="19"/>
  <c r="AL427" i="19"/>
  <c r="Y426" i="19"/>
  <c r="U425" i="19"/>
  <c r="AH426" i="19"/>
  <c r="AH425" i="19" l="1"/>
  <c r="U424" i="19"/>
  <c r="AD424" i="19"/>
  <c r="AQ425" i="19"/>
  <c r="AP425" i="19"/>
  <c r="AC424" i="19"/>
  <c r="AA425" i="19"/>
  <c r="AN426" i="19"/>
  <c r="AJ425" i="19"/>
  <c r="W424" i="19"/>
  <c r="X425" i="19"/>
  <c r="AK426" i="19"/>
  <c r="AG425" i="19"/>
  <c r="T424" i="19"/>
  <c r="Y425" i="19"/>
  <c r="AL426" i="19"/>
  <c r="S425" i="19"/>
  <c r="AF426" i="19"/>
  <c r="AM425" i="19"/>
  <c r="Z424" i="19"/>
  <c r="V424" i="19"/>
  <c r="AI425" i="19"/>
  <c r="AB424" i="19"/>
  <c r="AO425" i="19"/>
  <c r="AG424" i="19" l="1"/>
  <c r="T423" i="19"/>
  <c r="V423" i="19"/>
  <c r="AI424" i="19"/>
  <c r="X424" i="19"/>
  <c r="AK425" i="19"/>
  <c r="AB423" i="19"/>
  <c r="AO424" i="19"/>
  <c r="AA424" i="19"/>
  <c r="AN425" i="19"/>
  <c r="AM424" i="19"/>
  <c r="Z423" i="19"/>
  <c r="AD423" i="19"/>
  <c r="AQ424" i="19"/>
  <c r="AJ424" i="19"/>
  <c r="W423" i="19"/>
  <c r="U423" i="19"/>
  <c r="AH424" i="19"/>
  <c r="Y424" i="19"/>
  <c r="AL425" i="19"/>
  <c r="AC423" i="19"/>
  <c r="AP424" i="19"/>
  <c r="S424" i="19"/>
  <c r="AF425" i="19"/>
  <c r="S423" i="19" l="1"/>
  <c r="AF424" i="19"/>
  <c r="AD422" i="19"/>
  <c r="AQ423" i="19"/>
  <c r="AO423" i="19"/>
  <c r="AB422" i="19"/>
  <c r="AC422" i="19"/>
  <c r="AP423" i="19"/>
  <c r="AL424" i="19"/>
  <c r="Y423" i="19"/>
  <c r="AK424" i="19"/>
  <c r="X423" i="19"/>
  <c r="AG423" i="19"/>
  <c r="T422" i="19"/>
  <c r="AJ423" i="19"/>
  <c r="W422" i="19"/>
  <c r="AM423" i="19"/>
  <c r="Z422" i="19"/>
  <c r="V422" i="19"/>
  <c r="AI423" i="19"/>
  <c r="U422" i="19"/>
  <c r="AH423" i="19"/>
  <c r="AA423" i="19"/>
  <c r="AN424" i="19"/>
  <c r="U421" i="19" l="1"/>
  <c r="AH422" i="19"/>
  <c r="AO422" i="19"/>
  <c r="AB421" i="19"/>
  <c r="X422" i="19"/>
  <c r="AK423" i="19"/>
  <c r="AJ422" i="19"/>
  <c r="W421" i="19"/>
  <c r="AC421" i="19"/>
  <c r="AP422" i="19"/>
  <c r="V421" i="19"/>
  <c r="AI422" i="19"/>
  <c r="AD421" i="19"/>
  <c r="AQ422" i="19"/>
  <c r="AL423" i="19"/>
  <c r="Y422" i="19"/>
  <c r="AA422" i="19"/>
  <c r="AN423" i="19"/>
  <c r="AG422" i="19"/>
  <c r="T421" i="19"/>
  <c r="AM422" i="19"/>
  <c r="Z421" i="19"/>
  <c r="S422" i="19"/>
  <c r="AF423" i="19"/>
  <c r="Y421" i="19" l="1"/>
  <c r="AL422" i="19"/>
  <c r="X421" i="19"/>
  <c r="AK422" i="19"/>
  <c r="AD420" i="19"/>
  <c r="AQ421" i="19"/>
  <c r="V420" i="19"/>
  <c r="AI421" i="19"/>
  <c r="S421" i="19"/>
  <c r="AF422" i="19"/>
  <c r="AG421" i="19"/>
  <c r="T420" i="19"/>
  <c r="AJ421" i="19"/>
  <c r="W420" i="19"/>
  <c r="AM421" i="19"/>
  <c r="Z420" i="19"/>
  <c r="AO421" i="19"/>
  <c r="AB420" i="19"/>
  <c r="AA421" i="19"/>
  <c r="AN422" i="19"/>
  <c r="AC420" i="19"/>
  <c r="AP421" i="19"/>
  <c r="U420" i="19"/>
  <c r="AH421" i="19"/>
  <c r="AH420" i="19" l="1"/>
  <c r="U419" i="19"/>
  <c r="AC419" i="19"/>
  <c r="AP420" i="19"/>
  <c r="V419" i="19"/>
  <c r="AI420" i="19"/>
  <c r="T419" i="19"/>
  <c r="AG420" i="19"/>
  <c r="AA420" i="19"/>
  <c r="AN421" i="19"/>
  <c r="AM420" i="19"/>
  <c r="Z419" i="19"/>
  <c r="AJ420" i="19"/>
  <c r="W419" i="19"/>
  <c r="AD419" i="19"/>
  <c r="AQ420" i="19"/>
  <c r="X420" i="19"/>
  <c r="AK421" i="19"/>
  <c r="AO420" i="19"/>
  <c r="AB419" i="19"/>
  <c r="S420" i="19"/>
  <c r="AF421" i="19"/>
  <c r="Y420" i="19"/>
  <c r="AL421" i="19"/>
  <c r="AJ419" i="19" l="1"/>
  <c r="W418" i="19"/>
  <c r="AM419" i="19"/>
  <c r="Z418" i="19"/>
  <c r="AL420" i="19"/>
  <c r="Y419" i="19"/>
  <c r="V418" i="19"/>
  <c r="AI419" i="19"/>
  <c r="AC418" i="19"/>
  <c r="AP419" i="19"/>
  <c r="AD418" i="19"/>
  <c r="AQ419" i="19"/>
  <c r="AO419" i="19"/>
  <c r="AB418" i="19"/>
  <c r="U418" i="19"/>
  <c r="AH419" i="19"/>
  <c r="AG419" i="19"/>
  <c r="T418" i="19"/>
  <c r="S419" i="19"/>
  <c r="AF420" i="19"/>
  <c r="AK420" i="19"/>
  <c r="X419" i="19"/>
  <c r="AA419" i="19"/>
  <c r="AN420" i="19"/>
  <c r="U417" i="19" l="1"/>
  <c r="AH418" i="19"/>
  <c r="AA418" i="19"/>
  <c r="AN419" i="19"/>
  <c r="AL419" i="19"/>
  <c r="Y418" i="19"/>
  <c r="V417" i="19"/>
  <c r="AI418" i="19"/>
  <c r="AD417" i="19"/>
  <c r="AQ418" i="19"/>
  <c r="AO418" i="19"/>
  <c r="AB417" i="19"/>
  <c r="AJ418" i="19"/>
  <c r="W417" i="19"/>
  <c r="AK419" i="19"/>
  <c r="X418" i="19"/>
  <c r="AM418" i="19"/>
  <c r="Z417" i="19"/>
  <c r="S418" i="19"/>
  <c r="AF419" i="19"/>
  <c r="AG418" i="19"/>
  <c r="T417" i="19"/>
  <c r="AC417" i="19"/>
  <c r="AP418" i="19"/>
  <c r="AC416" i="19" l="1"/>
  <c r="AP417" i="19"/>
  <c r="AJ417" i="19"/>
  <c r="W416" i="19"/>
  <c r="X417" i="19"/>
  <c r="AK418" i="19"/>
  <c r="V416" i="19"/>
  <c r="AI417" i="19"/>
  <c r="AG417" i="19"/>
  <c r="T416" i="19"/>
  <c r="AL418" i="19"/>
  <c r="Y417" i="19"/>
  <c r="AO417" i="19"/>
  <c r="AB416" i="19"/>
  <c r="S417" i="19"/>
  <c r="AF418" i="19"/>
  <c r="AM417" i="19"/>
  <c r="Z416" i="19"/>
  <c r="AA417" i="19"/>
  <c r="AN418" i="19"/>
  <c r="AD416" i="19"/>
  <c r="AQ417" i="19"/>
  <c r="AH417" i="19"/>
  <c r="U416" i="19"/>
  <c r="AH416" i="19" l="1"/>
  <c r="U415" i="19"/>
  <c r="AD415" i="19"/>
  <c r="AQ416" i="19"/>
  <c r="AJ416" i="19"/>
  <c r="W415" i="19"/>
  <c r="S416" i="19"/>
  <c r="AF417" i="19"/>
  <c r="AO416" i="19"/>
  <c r="AB415" i="19"/>
  <c r="X416" i="19"/>
  <c r="AK417" i="19"/>
  <c r="T415" i="19"/>
  <c r="AG416" i="19"/>
  <c r="V415" i="19"/>
  <c r="AI416" i="19"/>
  <c r="AL417" i="19"/>
  <c r="Y416" i="19"/>
  <c r="AA416" i="19"/>
  <c r="AN417" i="19"/>
  <c r="AM416" i="19"/>
  <c r="Z415" i="19"/>
  <c r="AC415" i="19"/>
  <c r="AP416" i="19"/>
  <c r="T414" i="19" l="1"/>
  <c r="AG415" i="19"/>
  <c r="AC414" i="19"/>
  <c r="AP415" i="19"/>
  <c r="AM415" i="19"/>
  <c r="Z414" i="19"/>
  <c r="V414" i="19"/>
  <c r="AI415" i="19"/>
  <c r="AK416" i="19"/>
  <c r="X415" i="19"/>
  <c r="AJ415" i="19"/>
  <c r="W414" i="19"/>
  <c r="AA415" i="19"/>
  <c r="AN416" i="19"/>
  <c r="AD414" i="19"/>
  <c r="AQ415" i="19"/>
  <c r="AO415" i="19"/>
  <c r="AB414" i="19"/>
  <c r="U414" i="19"/>
  <c r="AH415" i="19"/>
  <c r="S415" i="19"/>
  <c r="AF416" i="19"/>
  <c r="AL416" i="19"/>
  <c r="Y415" i="19"/>
  <c r="AL415" i="19" l="1"/>
  <c r="Y414" i="19"/>
  <c r="AD413" i="19"/>
  <c r="AQ414" i="19"/>
  <c r="AM414" i="19"/>
  <c r="Z413" i="19"/>
  <c r="U413" i="19"/>
  <c r="AH414" i="19"/>
  <c r="S414" i="19"/>
  <c r="AF415" i="19"/>
  <c r="AO414" i="19"/>
  <c r="AB413" i="19"/>
  <c r="AK415" i="19"/>
  <c r="X414" i="19"/>
  <c r="V413" i="19"/>
  <c r="AI414" i="19"/>
  <c r="AA414" i="19"/>
  <c r="AN415" i="19"/>
  <c r="AJ414" i="19"/>
  <c r="W413" i="19"/>
  <c r="AC413" i="19"/>
  <c r="AP414" i="19"/>
  <c r="AG414" i="19"/>
  <c r="T413" i="19"/>
  <c r="AG413" i="19" l="1"/>
  <c r="T412" i="19"/>
  <c r="AC412" i="19"/>
  <c r="AP413" i="19"/>
  <c r="AH413" i="19"/>
  <c r="U412" i="19"/>
  <c r="AJ413" i="19"/>
  <c r="W412" i="19"/>
  <c r="X413" i="19"/>
  <c r="AK414" i="19"/>
  <c r="AL414" i="19"/>
  <c r="Y413" i="19"/>
  <c r="V412" i="19"/>
  <c r="AI413" i="19"/>
  <c r="AM413" i="19"/>
  <c r="Z412" i="19"/>
  <c r="AO413" i="19"/>
  <c r="AB412" i="19"/>
  <c r="AD412" i="19"/>
  <c r="AQ413" i="19"/>
  <c r="AA413" i="19"/>
  <c r="AN414" i="19"/>
  <c r="S413" i="19"/>
  <c r="AF414" i="19"/>
  <c r="AJ412" i="19" l="1"/>
  <c r="W411" i="19"/>
  <c r="AM412" i="19"/>
  <c r="Z411" i="19"/>
  <c r="V411" i="19"/>
  <c r="AI412" i="19"/>
  <c r="AA412" i="19"/>
  <c r="AN413" i="19"/>
  <c r="AC411" i="19"/>
  <c r="AP412" i="19"/>
  <c r="AH412" i="19"/>
  <c r="U411" i="19"/>
  <c r="AL413" i="19"/>
  <c r="Y412" i="19"/>
  <c r="AO412" i="19"/>
  <c r="AB411" i="19"/>
  <c r="T411" i="19"/>
  <c r="AG412" i="19"/>
  <c r="S412" i="19"/>
  <c r="AF413" i="19"/>
  <c r="AD411" i="19"/>
  <c r="AQ412" i="19"/>
  <c r="X412" i="19"/>
  <c r="AK413" i="19"/>
  <c r="V410" i="19" l="1"/>
  <c r="AI411" i="19"/>
  <c r="AA411" i="19"/>
  <c r="AN412" i="19"/>
  <c r="U410" i="19"/>
  <c r="AH411" i="19"/>
  <c r="AD410" i="19"/>
  <c r="AQ411" i="19"/>
  <c r="AO411" i="19"/>
  <c r="AB410" i="19"/>
  <c r="AJ411" i="19"/>
  <c r="W410" i="19"/>
  <c r="X411" i="19"/>
  <c r="AK412" i="19"/>
  <c r="AL412" i="19"/>
  <c r="Y411" i="19"/>
  <c r="AM411" i="19"/>
  <c r="Z410" i="19"/>
  <c r="S411" i="19"/>
  <c r="AF412" i="19"/>
  <c r="T410" i="19"/>
  <c r="AG411" i="19"/>
  <c r="AC410" i="19"/>
  <c r="AP411" i="19"/>
  <c r="AH410" i="19" l="1"/>
  <c r="U409" i="19"/>
  <c r="AC409" i="19"/>
  <c r="AP410" i="19"/>
  <c r="AK411" i="19"/>
  <c r="X410" i="19"/>
  <c r="AA410" i="19"/>
  <c r="AN411" i="19"/>
  <c r="AL411" i="19"/>
  <c r="Y410" i="19"/>
  <c r="Z409" i="19"/>
  <c r="AM410" i="19"/>
  <c r="AB409" i="19"/>
  <c r="AO410" i="19"/>
  <c r="AD409" i="19"/>
  <c r="AQ410" i="19"/>
  <c r="AG410" i="19"/>
  <c r="T409" i="19"/>
  <c r="W409" i="19"/>
  <c r="AJ410" i="19"/>
  <c r="S410" i="19"/>
  <c r="AF411" i="19"/>
  <c r="V409" i="19"/>
  <c r="AI410" i="19"/>
  <c r="Z408" i="19" l="1"/>
  <c r="AM409" i="19"/>
  <c r="Y409" i="19"/>
  <c r="AL410" i="19"/>
  <c r="W408" i="19"/>
  <c r="AJ409" i="19"/>
  <c r="AP409" i="19"/>
  <c r="AC408" i="19"/>
  <c r="T408" i="19"/>
  <c r="AG409" i="19"/>
  <c r="U408" i="19"/>
  <c r="AH409" i="19"/>
  <c r="AI409" i="19"/>
  <c r="V408" i="19"/>
  <c r="AD408" i="19"/>
  <c r="AQ409" i="19"/>
  <c r="AA409" i="19"/>
  <c r="AN410" i="19"/>
  <c r="X409" i="19"/>
  <c r="AK410" i="19"/>
  <c r="AF410" i="19"/>
  <c r="S409" i="19"/>
  <c r="AB408" i="19"/>
  <c r="AO409" i="19"/>
  <c r="W407" i="19" l="1"/>
  <c r="AJ408" i="19"/>
  <c r="AC407" i="19"/>
  <c r="AP408" i="19"/>
  <c r="AF409" i="19"/>
  <c r="S408" i="19"/>
  <c r="AQ408" i="19"/>
  <c r="AD407" i="19"/>
  <c r="AK409" i="19"/>
  <c r="X408" i="19"/>
  <c r="Y408" i="19"/>
  <c r="AL409" i="19"/>
  <c r="AI408" i="19"/>
  <c r="V407" i="19"/>
  <c r="AH408" i="19"/>
  <c r="U407" i="19"/>
  <c r="AB407" i="19"/>
  <c r="AO408" i="19"/>
  <c r="AA408" i="19"/>
  <c r="AN409" i="19"/>
  <c r="T407" i="19"/>
  <c r="AG408" i="19"/>
  <c r="Z407" i="19"/>
  <c r="AM408" i="19"/>
  <c r="Z406" i="19" l="1"/>
  <c r="AM407" i="19"/>
  <c r="AI407" i="19"/>
  <c r="V406" i="19"/>
  <c r="AG407" i="19"/>
  <c r="T406" i="19"/>
  <c r="AN408" i="19"/>
  <c r="AA407" i="19"/>
  <c r="U406" i="19"/>
  <c r="AH407" i="19"/>
  <c r="AL408" i="19"/>
  <c r="Y407" i="19"/>
  <c r="X407" i="19"/>
  <c r="AK408" i="19"/>
  <c r="AQ407" i="19"/>
  <c r="AD406" i="19"/>
  <c r="AF408" i="19"/>
  <c r="S407" i="19"/>
  <c r="AP407" i="19"/>
  <c r="AC406" i="19"/>
  <c r="AO407" i="19"/>
  <c r="AB406" i="19"/>
  <c r="W406" i="19"/>
  <c r="AJ407" i="19"/>
  <c r="AN407" i="19" l="1"/>
  <c r="AA406" i="19"/>
  <c r="Y406" i="19"/>
  <c r="AL407" i="19"/>
  <c r="W405" i="19"/>
  <c r="AJ406" i="19"/>
  <c r="AG406" i="19"/>
  <c r="T405" i="19"/>
  <c r="AC405" i="19"/>
  <c r="AP406" i="19"/>
  <c r="AF407" i="19"/>
  <c r="S406" i="19"/>
  <c r="AQ406" i="19"/>
  <c r="AD405" i="19"/>
  <c r="AB405" i="19"/>
  <c r="AO406" i="19"/>
  <c r="X406" i="19"/>
  <c r="AK407" i="19"/>
  <c r="AI406" i="19"/>
  <c r="V405" i="19"/>
  <c r="AH406" i="19"/>
  <c r="U405" i="19"/>
  <c r="Z405" i="19"/>
  <c r="AM406" i="19"/>
  <c r="Z404" i="19" l="1"/>
  <c r="AM405" i="19"/>
  <c r="W404" i="19"/>
  <c r="AJ405" i="19"/>
  <c r="T404" i="19"/>
  <c r="AG405" i="19"/>
  <c r="AQ405" i="19"/>
  <c r="AD404" i="19"/>
  <c r="AB404" i="19"/>
  <c r="AO405" i="19"/>
  <c r="AN406" i="19"/>
  <c r="AA405" i="19"/>
  <c r="U404" i="19"/>
  <c r="AH405" i="19"/>
  <c r="AI405" i="19"/>
  <c r="V404" i="19"/>
  <c r="AF406" i="19"/>
  <c r="S405" i="19"/>
  <c r="Y405" i="19"/>
  <c r="AL406" i="19"/>
  <c r="X405" i="19"/>
  <c r="AK406" i="19"/>
  <c r="AP405" i="19"/>
  <c r="AC404" i="19"/>
  <c r="AC403" i="19" l="1"/>
  <c r="AP404" i="19"/>
  <c r="U403" i="19"/>
  <c r="AH404" i="19"/>
  <c r="AI404" i="19"/>
  <c r="V403" i="19"/>
  <c r="AK405" i="19"/>
  <c r="X404" i="19"/>
  <c r="AN405" i="19"/>
  <c r="AA404" i="19"/>
  <c r="Y404" i="19"/>
  <c r="AL405" i="19"/>
  <c r="AQ404" i="19"/>
  <c r="AD403" i="19"/>
  <c r="T403" i="19"/>
  <c r="AG404" i="19"/>
  <c r="W403" i="19"/>
  <c r="AJ404" i="19"/>
  <c r="AF405" i="19"/>
  <c r="S404" i="19"/>
  <c r="AO404" i="19"/>
  <c r="AB403" i="19"/>
  <c r="Z403" i="19"/>
  <c r="AM404" i="19"/>
  <c r="Z402" i="19" l="1"/>
  <c r="AM403" i="19"/>
  <c r="T402" i="19"/>
  <c r="AG403" i="19"/>
  <c r="AQ403" i="19"/>
  <c r="AD402" i="19"/>
  <c r="AK404" i="19"/>
  <c r="X403" i="19"/>
  <c r="AO403" i="19"/>
  <c r="AB402" i="19"/>
  <c r="AI403" i="19"/>
  <c r="V402" i="19"/>
  <c r="U402" i="19"/>
  <c r="AH403" i="19"/>
  <c r="AN404" i="19"/>
  <c r="AA403" i="19"/>
  <c r="AF404" i="19"/>
  <c r="S403" i="19"/>
  <c r="AL404" i="19"/>
  <c r="Y403" i="19"/>
  <c r="W402" i="19"/>
  <c r="AJ403" i="19"/>
  <c r="AP403" i="19"/>
  <c r="AC402" i="19"/>
  <c r="AC401" i="19" l="1"/>
  <c r="AP402" i="19"/>
  <c r="X402" i="19"/>
  <c r="AK403" i="19"/>
  <c r="AI402" i="19"/>
  <c r="V401" i="19"/>
  <c r="AN403" i="19"/>
  <c r="AA402" i="19"/>
  <c r="AQ402" i="19"/>
  <c r="AD401" i="19"/>
  <c r="U401" i="19"/>
  <c r="AH402" i="19"/>
  <c r="Y402" i="19"/>
  <c r="AL403" i="19"/>
  <c r="AG402" i="19"/>
  <c r="T401" i="19"/>
  <c r="AB401" i="19"/>
  <c r="AO402" i="19"/>
  <c r="W401" i="19"/>
  <c r="AJ402" i="19"/>
  <c r="AF403" i="19"/>
  <c r="S402" i="19"/>
  <c r="Z401" i="19"/>
  <c r="AM402" i="19"/>
  <c r="Z400" i="19" l="1"/>
  <c r="AM401" i="19"/>
  <c r="Y401" i="19"/>
  <c r="AL402" i="19"/>
  <c r="AN402" i="19"/>
  <c r="AA401" i="19"/>
  <c r="AF402" i="19"/>
  <c r="S401" i="19"/>
  <c r="U400" i="19"/>
  <c r="AH401" i="19"/>
  <c r="T400" i="19"/>
  <c r="AG401" i="19"/>
  <c r="AI401" i="19"/>
  <c r="V400" i="19"/>
  <c r="W400" i="19"/>
  <c r="AJ401" i="19"/>
  <c r="X401" i="19"/>
  <c r="AK402" i="19"/>
  <c r="AQ401" i="19"/>
  <c r="AD400" i="19"/>
  <c r="AO401" i="19"/>
  <c r="AB400" i="19"/>
  <c r="AC400" i="19"/>
  <c r="AP401" i="19"/>
  <c r="AF401" i="19" l="1"/>
  <c r="S400" i="19"/>
  <c r="AP400" i="19"/>
  <c r="AC399" i="19"/>
  <c r="AN401" i="19"/>
  <c r="AA400" i="19"/>
  <c r="AI400" i="19"/>
  <c r="V399" i="19"/>
  <c r="AL401" i="19"/>
  <c r="Y400" i="19"/>
  <c r="T399" i="19"/>
  <c r="AG400" i="19"/>
  <c r="W399" i="19"/>
  <c r="AJ400" i="19"/>
  <c r="AB399" i="19"/>
  <c r="AO400" i="19"/>
  <c r="AD399" i="19"/>
  <c r="AQ400" i="19"/>
  <c r="AK401" i="19"/>
  <c r="X400" i="19"/>
  <c r="AH400" i="19"/>
  <c r="U399" i="19"/>
  <c r="AM400" i="19"/>
  <c r="Z399" i="19"/>
  <c r="Z398" i="19" l="1"/>
  <c r="AM399" i="19"/>
  <c r="AA399" i="19"/>
  <c r="AN400" i="19"/>
  <c r="AG399" i="19"/>
  <c r="T398" i="19"/>
  <c r="V398" i="19"/>
  <c r="AI399" i="19"/>
  <c r="U398" i="19"/>
  <c r="AH399" i="19"/>
  <c r="W398" i="19"/>
  <c r="AJ399" i="19"/>
  <c r="AL400" i="19"/>
  <c r="Y399" i="19"/>
  <c r="S399" i="19"/>
  <c r="AF400" i="19"/>
  <c r="AB398" i="19"/>
  <c r="AO399" i="19"/>
  <c r="X399" i="19"/>
  <c r="AK400" i="19"/>
  <c r="AC398" i="19"/>
  <c r="AP399" i="19"/>
  <c r="AD398" i="19"/>
  <c r="AQ399" i="19"/>
  <c r="S398" i="19" l="1"/>
  <c r="AF399" i="19"/>
  <c r="AG398" i="19"/>
  <c r="T397" i="19"/>
  <c r="AJ398" i="19"/>
  <c r="W397" i="19"/>
  <c r="AL399" i="19"/>
  <c r="Y398" i="19"/>
  <c r="AP398" i="19"/>
  <c r="AC397" i="19"/>
  <c r="AA398" i="19"/>
  <c r="AN399" i="19"/>
  <c r="AD397" i="19"/>
  <c r="AQ398" i="19"/>
  <c r="V397" i="19"/>
  <c r="AI398" i="19"/>
  <c r="X398" i="19"/>
  <c r="AK399" i="19"/>
  <c r="AO398" i="19"/>
  <c r="AB397" i="19"/>
  <c r="AH398" i="19"/>
  <c r="U397" i="19"/>
  <c r="AM398" i="19"/>
  <c r="Z397" i="19"/>
  <c r="Y397" i="19" l="1"/>
  <c r="AL398" i="19"/>
  <c r="AO397" i="19"/>
  <c r="AB396" i="19"/>
  <c r="V396" i="19"/>
  <c r="AI397" i="19"/>
  <c r="AQ397" i="19"/>
  <c r="AD396" i="19"/>
  <c r="AJ397" i="19"/>
  <c r="W396" i="19"/>
  <c r="AG397" i="19"/>
  <c r="T396" i="19"/>
  <c r="AA397" i="19"/>
  <c r="AN398" i="19"/>
  <c r="AP397" i="19"/>
  <c r="AC396" i="19"/>
  <c r="Z396" i="19"/>
  <c r="AM397" i="19"/>
  <c r="AH397" i="19"/>
  <c r="U396" i="19"/>
  <c r="X397" i="19"/>
  <c r="AK398" i="19"/>
  <c r="S397" i="19"/>
  <c r="AF398" i="19"/>
  <c r="AC395" i="19" l="1"/>
  <c r="AP396" i="19"/>
  <c r="AD395" i="19"/>
  <c r="AQ396" i="19"/>
  <c r="AI396" i="19"/>
  <c r="V395" i="19"/>
  <c r="AH396" i="19"/>
  <c r="U395" i="19"/>
  <c r="X396" i="19"/>
  <c r="AK397" i="19"/>
  <c r="S396" i="19"/>
  <c r="AF397" i="19"/>
  <c r="AO396" i="19"/>
  <c r="AB395" i="19"/>
  <c r="AJ396" i="19"/>
  <c r="W395" i="19"/>
  <c r="AA396" i="19"/>
  <c r="AN397" i="19"/>
  <c r="AG396" i="19"/>
  <c r="T395" i="19"/>
  <c r="AM396" i="19"/>
  <c r="Z395" i="19"/>
  <c r="Y396" i="19"/>
  <c r="AL397" i="19"/>
  <c r="AJ395" i="19" l="1"/>
  <c r="W394" i="19"/>
  <c r="Y395" i="19"/>
  <c r="AL396" i="19"/>
  <c r="AO395" i="19"/>
  <c r="AB394" i="19"/>
  <c r="U394" i="19"/>
  <c r="AH395" i="19"/>
  <c r="AM395" i="19"/>
  <c r="Z394" i="19"/>
  <c r="V394" i="19"/>
  <c r="AI395" i="19"/>
  <c r="AG395" i="19"/>
  <c r="T394" i="19"/>
  <c r="S395" i="19"/>
  <c r="AF396" i="19"/>
  <c r="AD394" i="19"/>
  <c r="AQ395" i="19"/>
  <c r="AA395" i="19"/>
  <c r="AN396" i="19"/>
  <c r="X395" i="19"/>
  <c r="AK396" i="19"/>
  <c r="AC394" i="19"/>
  <c r="AP395" i="19"/>
  <c r="X394" i="19" l="1"/>
  <c r="AK395" i="19"/>
  <c r="AG394" i="19"/>
  <c r="T393" i="19"/>
  <c r="AP394" i="19"/>
  <c r="AC393" i="19"/>
  <c r="Y394" i="19"/>
  <c r="AL395" i="19"/>
  <c r="S394" i="19"/>
  <c r="AF395" i="19"/>
  <c r="AO394" i="19"/>
  <c r="AB393" i="19"/>
  <c r="V393" i="19"/>
  <c r="AI394" i="19"/>
  <c r="AJ394" i="19"/>
  <c r="W393" i="19"/>
  <c r="AH394" i="19"/>
  <c r="U393" i="19"/>
  <c r="AA394" i="19"/>
  <c r="AN395" i="19"/>
  <c r="AM394" i="19"/>
  <c r="Z393" i="19"/>
  <c r="AD393" i="19"/>
  <c r="AQ394" i="19"/>
  <c r="AD392" i="19" l="1"/>
  <c r="AQ393" i="19"/>
  <c r="V392" i="19"/>
  <c r="AI393" i="19"/>
  <c r="AJ393" i="19"/>
  <c r="W392" i="19"/>
  <c r="AM393" i="19"/>
  <c r="Z392" i="19"/>
  <c r="AO393" i="19"/>
  <c r="AB392" i="19"/>
  <c r="AL394" i="19"/>
  <c r="Y393" i="19"/>
  <c r="AA393" i="19"/>
  <c r="AN394" i="19"/>
  <c r="AP393" i="19"/>
  <c r="AC392" i="19"/>
  <c r="AG393" i="19"/>
  <c r="T392" i="19"/>
  <c r="U392" i="19"/>
  <c r="AH393" i="19"/>
  <c r="S393" i="19"/>
  <c r="AF394" i="19"/>
  <c r="X393" i="19"/>
  <c r="AK394" i="19"/>
  <c r="AM392" i="19" l="1"/>
  <c r="Z391" i="19"/>
  <c r="S392" i="19"/>
  <c r="AF393" i="19"/>
  <c r="AJ392" i="19"/>
  <c r="W391" i="19"/>
  <c r="AP392" i="19"/>
  <c r="AC391" i="19"/>
  <c r="V391" i="19"/>
  <c r="AI392" i="19"/>
  <c r="AO392" i="19"/>
  <c r="AB391" i="19"/>
  <c r="X392" i="19"/>
  <c r="AK393" i="19"/>
  <c r="AA392" i="19"/>
  <c r="AN393" i="19"/>
  <c r="AL393" i="19"/>
  <c r="Y392" i="19"/>
  <c r="U391" i="19"/>
  <c r="AH392" i="19"/>
  <c r="AG392" i="19"/>
  <c r="T391" i="19"/>
  <c r="AD391" i="19"/>
  <c r="AQ392" i="19"/>
  <c r="AD390" i="19" l="1"/>
  <c r="AQ391" i="19"/>
  <c r="AB390" i="19"/>
  <c r="AO391" i="19"/>
  <c r="AP391" i="19"/>
  <c r="AC390" i="19"/>
  <c r="AJ391" i="19"/>
  <c r="W390" i="19"/>
  <c r="AA391" i="19"/>
  <c r="AN392" i="19"/>
  <c r="AG391" i="19"/>
  <c r="T390" i="19"/>
  <c r="X391" i="19"/>
  <c r="AK392" i="19"/>
  <c r="U390" i="19"/>
  <c r="AH391" i="19"/>
  <c r="S391" i="19"/>
  <c r="AF392" i="19"/>
  <c r="AM391" i="19"/>
  <c r="Z390" i="19"/>
  <c r="Y391" i="19"/>
  <c r="AL392" i="19"/>
  <c r="V390" i="19"/>
  <c r="AI391" i="19"/>
  <c r="AJ390" i="19" l="1"/>
  <c r="W389" i="19"/>
  <c r="X390" i="19"/>
  <c r="AK391" i="19"/>
  <c r="U389" i="19"/>
  <c r="AH390" i="19"/>
  <c r="AI390" i="19"/>
  <c r="V389" i="19"/>
  <c r="AC389" i="19"/>
  <c r="AP390" i="19"/>
  <c r="Z389" i="19"/>
  <c r="AM390" i="19"/>
  <c r="AL391" i="19"/>
  <c r="Y390" i="19"/>
  <c r="AG390" i="19"/>
  <c r="T389" i="19"/>
  <c r="AB389" i="19"/>
  <c r="AO390" i="19"/>
  <c r="S390" i="19"/>
  <c r="AF391" i="19"/>
  <c r="AA390" i="19"/>
  <c r="AN391" i="19"/>
  <c r="AD389" i="19"/>
  <c r="AQ390" i="19"/>
  <c r="AG389" i="19" l="1"/>
  <c r="T388" i="19"/>
  <c r="AA389" i="19"/>
  <c r="AN390" i="19"/>
  <c r="V388" i="19"/>
  <c r="AI389" i="19"/>
  <c r="S389" i="19"/>
  <c r="AF390" i="19"/>
  <c r="AD388" i="19"/>
  <c r="AQ389" i="19"/>
  <c r="AL390" i="19"/>
  <c r="Y389" i="19"/>
  <c r="U388" i="19"/>
  <c r="AH389" i="19"/>
  <c r="Z388" i="19"/>
  <c r="AM389" i="19"/>
  <c r="X389" i="19"/>
  <c r="AK390" i="19"/>
  <c r="AJ389" i="19"/>
  <c r="W388" i="19"/>
  <c r="AB388" i="19"/>
  <c r="AO389" i="19"/>
  <c r="AC388" i="19"/>
  <c r="AP389" i="19"/>
  <c r="AC387" i="19" l="1"/>
  <c r="AP388" i="19"/>
  <c r="V387" i="19"/>
  <c r="AI388" i="19"/>
  <c r="Z387" i="19"/>
  <c r="AM388" i="19"/>
  <c r="Y388" i="19"/>
  <c r="AL389" i="19"/>
  <c r="S388" i="19"/>
  <c r="AF389" i="19"/>
  <c r="AB387" i="19"/>
  <c r="AO388" i="19"/>
  <c r="AJ388" i="19"/>
  <c r="W387" i="19"/>
  <c r="AA388" i="19"/>
  <c r="AN389" i="19"/>
  <c r="AH388" i="19"/>
  <c r="U387" i="19"/>
  <c r="T387" i="19"/>
  <c r="AG388" i="19"/>
  <c r="AK389" i="19"/>
  <c r="X388" i="19"/>
  <c r="AQ388" i="19"/>
  <c r="AD387" i="19"/>
  <c r="AJ387" i="19" l="1"/>
  <c r="W386" i="19"/>
  <c r="AQ387" i="19"/>
  <c r="AD386" i="19"/>
  <c r="Y387" i="19"/>
  <c r="AL388" i="19"/>
  <c r="AM387" i="19"/>
  <c r="Z386" i="19"/>
  <c r="AK388" i="19"/>
  <c r="X387" i="19"/>
  <c r="AG387" i="19"/>
  <c r="T386" i="19"/>
  <c r="V386" i="19"/>
  <c r="AI387" i="19"/>
  <c r="AA387" i="19"/>
  <c r="AN388" i="19"/>
  <c r="AB386" i="19"/>
  <c r="AO387" i="19"/>
  <c r="AH387" i="19"/>
  <c r="U386" i="19"/>
  <c r="S387" i="19"/>
  <c r="AF388" i="19"/>
  <c r="AC386" i="19"/>
  <c r="AP387" i="19"/>
  <c r="AM386" i="19" l="1"/>
  <c r="Z385" i="19"/>
  <c r="S386" i="19"/>
  <c r="AF387" i="19"/>
  <c r="AP386" i="19"/>
  <c r="AC385" i="19"/>
  <c r="AI386" i="19"/>
  <c r="V385" i="19"/>
  <c r="AA386" i="19"/>
  <c r="AN387" i="19"/>
  <c r="U385" i="19"/>
  <c r="AH386" i="19"/>
  <c r="AQ386" i="19"/>
  <c r="AD385" i="19"/>
  <c r="X386" i="19"/>
  <c r="AK387" i="19"/>
  <c r="AJ386" i="19"/>
  <c r="W385" i="19"/>
  <c r="Y386" i="19"/>
  <c r="AL387" i="19"/>
  <c r="AG386" i="19"/>
  <c r="T385" i="19"/>
  <c r="AB385" i="19"/>
  <c r="AO386" i="19"/>
  <c r="AO385" i="19" l="1"/>
  <c r="AB384" i="19"/>
  <c r="AD384" i="19"/>
  <c r="AQ385" i="19"/>
  <c r="U384" i="19"/>
  <c r="AH385" i="19"/>
  <c r="X385" i="19"/>
  <c r="AK386" i="19"/>
  <c r="AC384" i="19"/>
  <c r="AP385" i="19"/>
  <c r="S385" i="19"/>
  <c r="AF386" i="19"/>
  <c r="AM385" i="19"/>
  <c r="Z384" i="19"/>
  <c r="AI385" i="19"/>
  <c r="V384" i="19"/>
  <c r="AG385" i="19"/>
  <c r="T384" i="19"/>
  <c r="Y385" i="19"/>
  <c r="AL386" i="19"/>
  <c r="AJ385" i="19"/>
  <c r="W384" i="19"/>
  <c r="AA385" i="19"/>
  <c r="AN386" i="19"/>
  <c r="U383" i="19" l="1"/>
  <c r="AH384" i="19"/>
  <c r="AJ384" i="19"/>
  <c r="W383" i="19"/>
  <c r="AM384" i="19"/>
  <c r="Z383" i="19"/>
  <c r="S384" i="19"/>
  <c r="AF385" i="19"/>
  <c r="AA384" i="19"/>
  <c r="AN385" i="19"/>
  <c r="Y384" i="19"/>
  <c r="AL385" i="19"/>
  <c r="AG384" i="19"/>
  <c r="T383" i="19"/>
  <c r="AO384" i="19"/>
  <c r="AB383" i="19"/>
  <c r="V383" i="19"/>
  <c r="AI384" i="19"/>
  <c r="X384" i="19"/>
  <c r="AK385" i="19"/>
  <c r="AD383" i="19"/>
  <c r="AQ384" i="19"/>
  <c r="AP384" i="19"/>
  <c r="AC383" i="19"/>
  <c r="AO383" i="19" l="1"/>
  <c r="AB382" i="19"/>
  <c r="AG383" i="19"/>
  <c r="T382" i="19"/>
  <c r="Y383" i="19"/>
  <c r="AL384" i="19"/>
  <c r="S383" i="19"/>
  <c r="AF384" i="19"/>
  <c r="AQ383" i="19"/>
  <c r="AD382" i="19"/>
  <c r="AJ383" i="19"/>
  <c r="W382" i="19"/>
  <c r="AP383" i="19"/>
  <c r="AC382" i="19"/>
  <c r="Z382" i="19"/>
  <c r="AM383" i="19"/>
  <c r="X383" i="19"/>
  <c r="AK384" i="19"/>
  <c r="V382" i="19"/>
  <c r="AI383" i="19"/>
  <c r="AA383" i="19"/>
  <c r="AN384" i="19"/>
  <c r="AH383" i="19"/>
  <c r="U382" i="19"/>
  <c r="Y382" i="19" l="1"/>
  <c r="AL383" i="19"/>
  <c r="AC381" i="19"/>
  <c r="AP382" i="19"/>
  <c r="AG382" i="19"/>
  <c r="T381" i="19"/>
  <c r="AM382" i="19"/>
  <c r="Z381" i="19"/>
  <c r="V381" i="19"/>
  <c r="AI382" i="19"/>
  <c r="AJ382" i="19"/>
  <c r="W381" i="19"/>
  <c r="AQ382" i="19"/>
  <c r="AD381" i="19"/>
  <c r="AO382" i="19"/>
  <c r="AB381" i="19"/>
  <c r="AH382" i="19"/>
  <c r="U381" i="19"/>
  <c r="S382" i="19"/>
  <c r="AF383" i="19"/>
  <c r="AA382" i="19"/>
  <c r="AN383" i="19"/>
  <c r="X382" i="19"/>
  <c r="AK383" i="19"/>
  <c r="AO381" i="19" l="1"/>
  <c r="AB380" i="19"/>
  <c r="AA381" i="19"/>
  <c r="AN382" i="19"/>
  <c r="X381" i="19"/>
  <c r="AK382" i="19"/>
  <c r="AG381" i="19"/>
  <c r="T380" i="19"/>
  <c r="S381" i="19"/>
  <c r="AF382" i="19"/>
  <c r="AC380" i="19"/>
  <c r="AP381" i="19"/>
  <c r="AM381" i="19"/>
  <c r="Z380" i="19"/>
  <c r="AD380" i="19"/>
  <c r="AQ381" i="19"/>
  <c r="AJ381" i="19"/>
  <c r="W380" i="19"/>
  <c r="AH381" i="19"/>
  <c r="U380" i="19"/>
  <c r="V380" i="19"/>
  <c r="AI381" i="19"/>
  <c r="Y381" i="19"/>
  <c r="AL382" i="19"/>
  <c r="AG380" i="19" l="1"/>
  <c r="T379" i="19"/>
  <c r="V379" i="19"/>
  <c r="AI380" i="19"/>
  <c r="AH380" i="19"/>
  <c r="U379" i="19"/>
  <c r="AP380" i="19"/>
  <c r="AC379" i="19"/>
  <c r="AD379" i="19"/>
  <c r="AQ380" i="19"/>
  <c r="AJ380" i="19"/>
  <c r="W379" i="19"/>
  <c r="AO380" i="19"/>
  <c r="AB379" i="19"/>
  <c r="AL381" i="19"/>
  <c r="Y380" i="19"/>
  <c r="AM380" i="19"/>
  <c r="Z379" i="19"/>
  <c r="X380" i="19"/>
  <c r="AK381" i="19"/>
  <c r="AA380" i="19"/>
  <c r="AN381" i="19"/>
  <c r="S380" i="19"/>
  <c r="AF381" i="19"/>
  <c r="AP379" i="19" l="1"/>
  <c r="AC378" i="19"/>
  <c r="U378" i="19"/>
  <c r="AH379" i="19"/>
  <c r="S379" i="19"/>
  <c r="AF380" i="19"/>
  <c r="AJ379" i="19"/>
  <c r="W378" i="19"/>
  <c r="V378" i="19"/>
  <c r="AI379" i="19"/>
  <c r="Z378" i="19"/>
  <c r="AM379" i="19"/>
  <c r="T378" i="19"/>
  <c r="AG379" i="19"/>
  <c r="Y379" i="19"/>
  <c r="AL380" i="19"/>
  <c r="AB378" i="19"/>
  <c r="AO379" i="19"/>
  <c r="AA379" i="19"/>
  <c r="AN380" i="19"/>
  <c r="X379" i="19"/>
  <c r="AK380" i="19"/>
  <c r="AQ379" i="19"/>
  <c r="AD378" i="19"/>
  <c r="T377" i="19" l="1"/>
  <c r="AG378" i="19"/>
  <c r="AQ378" i="19"/>
  <c r="AD377" i="19"/>
  <c r="AL379" i="19"/>
  <c r="Y378" i="19"/>
  <c r="Z377" i="19"/>
  <c r="AM378" i="19"/>
  <c r="AJ378" i="19"/>
  <c r="W377" i="19"/>
  <c r="X378" i="19"/>
  <c r="AK379" i="19"/>
  <c r="AA378" i="19"/>
  <c r="AN379" i="19"/>
  <c r="AC377" i="19"/>
  <c r="AP378" i="19"/>
  <c r="S378" i="19"/>
  <c r="AF379" i="19"/>
  <c r="AH378" i="19"/>
  <c r="U377" i="19"/>
  <c r="AB377" i="19"/>
  <c r="AO378" i="19"/>
  <c r="V377" i="19"/>
  <c r="AI378" i="19"/>
  <c r="AP377" i="19" l="1"/>
  <c r="AC376" i="19"/>
  <c r="Z376" i="19"/>
  <c r="AM377" i="19"/>
  <c r="AA377" i="19"/>
  <c r="AN378" i="19"/>
  <c r="AB376" i="19"/>
  <c r="AO377" i="19"/>
  <c r="X377" i="19"/>
  <c r="AK378" i="19"/>
  <c r="AI377" i="19"/>
  <c r="V376" i="19"/>
  <c r="AL378" i="19"/>
  <c r="Y377" i="19"/>
  <c r="U376" i="19"/>
  <c r="AH377" i="19"/>
  <c r="AD376" i="19"/>
  <c r="AQ377" i="19"/>
  <c r="AJ377" i="19"/>
  <c r="W376" i="19"/>
  <c r="S377" i="19"/>
  <c r="AF378" i="19"/>
  <c r="T376" i="19"/>
  <c r="AG377" i="19"/>
  <c r="AB375" i="19" l="1"/>
  <c r="AO376" i="19"/>
  <c r="S376" i="19"/>
  <c r="AF377" i="19"/>
  <c r="AH376" i="19"/>
  <c r="U375" i="19"/>
  <c r="AJ376" i="19"/>
  <c r="W375" i="19"/>
  <c r="AM376" i="19"/>
  <c r="Z375" i="19"/>
  <c r="AC375" i="19"/>
  <c r="AP376" i="19"/>
  <c r="T375" i="19"/>
  <c r="AG376" i="19"/>
  <c r="Y376" i="19"/>
  <c r="AL377" i="19"/>
  <c r="AA376" i="19"/>
  <c r="AN377" i="19"/>
  <c r="V375" i="19"/>
  <c r="AI376" i="19"/>
  <c r="AQ376" i="19"/>
  <c r="AD375" i="19"/>
  <c r="AK377" i="19"/>
  <c r="X376" i="19"/>
  <c r="AK376" i="19" l="1"/>
  <c r="X375" i="19"/>
  <c r="AJ375" i="19"/>
  <c r="W374" i="19"/>
  <c r="AD374" i="19"/>
  <c r="AQ375" i="19"/>
  <c r="AP375" i="19"/>
  <c r="AC374" i="19"/>
  <c r="T374" i="19"/>
  <c r="AG375" i="19"/>
  <c r="S375" i="19"/>
  <c r="AF376" i="19"/>
  <c r="Z374" i="19"/>
  <c r="AM375" i="19"/>
  <c r="AL376" i="19"/>
  <c r="Y375" i="19"/>
  <c r="U374" i="19"/>
  <c r="AH375" i="19"/>
  <c r="V374" i="19"/>
  <c r="AI375" i="19"/>
  <c r="AA375" i="19"/>
  <c r="AN376" i="19"/>
  <c r="AB374" i="19"/>
  <c r="AO375" i="19"/>
  <c r="AA374" i="19" l="1"/>
  <c r="AN375" i="19"/>
  <c r="AL375" i="19"/>
  <c r="Y374" i="19"/>
  <c r="AQ374" i="19"/>
  <c r="AD373" i="19"/>
  <c r="S374" i="19"/>
  <c r="AF375" i="19"/>
  <c r="AC373" i="19"/>
  <c r="AP374" i="19"/>
  <c r="AM374" i="19"/>
  <c r="Z373" i="19"/>
  <c r="AI374" i="19"/>
  <c r="V373" i="19"/>
  <c r="AK375" i="19"/>
  <c r="X374" i="19"/>
  <c r="AB373" i="19"/>
  <c r="AO374" i="19"/>
  <c r="AJ374" i="19"/>
  <c r="W373" i="19"/>
  <c r="U373" i="19"/>
  <c r="AH374" i="19"/>
  <c r="T373" i="19"/>
  <c r="AG374" i="19"/>
  <c r="AM373" i="19" l="1"/>
  <c r="Z372" i="19"/>
  <c r="AK374" i="19"/>
  <c r="X373" i="19"/>
  <c r="S373" i="19"/>
  <c r="AF374" i="19"/>
  <c r="T372" i="19"/>
  <c r="AG373" i="19"/>
  <c r="AQ373" i="19"/>
  <c r="AD372" i="19"/>
  <c r="AJ373" i="19"/>
  <c r="W372" i="19"/>
  <c r="AI373" i="19"/>
  <c r="V372" i="19"/>
  <c r="AH373" i="19"/>
  <c r="U372" i="19"/>
  <c r="Y373" i="19"/>
  <c r="AL374" i="19"/>
  <c r="AB372" i="19"/>
  <c r="AO373" i="19"/>
  <c r="AP373" i="19"/>
  <c r="AC372" i="19"/>
  <c r="AA373" i="19"/>
  <c r="AN374" i="19"/>
  <c r="AH372" i="19" l="1"/>
  <c r="U371" i="19"/>
  <c r="AA372" i="19"/>
  <c r="AN373" i="19"/>
  <c r="AB371" i="19"/>
  <c r="AO372" i="19"/>
  <c r="T371" i="19"/>
  <c r="AG372" i="19"/>
  <c r="V371" i="19"/>
  <c r="AI372" i="19"/>
  <c r="AK373" i="19"/>
  <c r="X372" i="19"/>
  <c r="AD371" i="19"/>
  <c r="AQ372" i="19"/>
  <c r="AM372" i="19"/>
  <c r="Z371" i="19"/>
  <c r="AC371" i="19"/>
  <c r="AP372" i="19"/>
  <c r="S372" i="19"/>
  <c r="AF373" i="19"/>
  <c r="AJ372" i="19"/>
  <c r="W371" i="19"/>
  <c r="Y372" i="19"/>
  <c r="AL373" i="19"/>
  <c r="AQ371" i="19" l="1"/>
  <c r="AD370" i="19"/>
  <c r="AJ371" i="19"/>
  <c r="W370" i="19"/>
  <c r="AM371" i="19"/>
  <c r="Z370" i="19"/>
  <c r="T370" i="19"/>
  <c r="AG371" i="19"/>
  <c r="AB370" i="19"/>
  <c r="AO371" i="19"/>
  <c r="AL372" i="19"/>
  <c r="Y371" i="19"/>
  <c r="AK372" i="19"/>
  <c r="X371" i="19"/>
  <c r="S371" i="19"/>
  <c r="AF372" i="19"/>
  <c r="U370" i="19"/>
  <c r="AH371" i="19"/>
  <c r="AA371" i="19"/>
  <c r="AN372" i="19"/>
  <c r="AC370" i="19"/>
  <c r="AP371" i="19"/>
  <c r="AI371" i="19"/>
  <c r="V370" i="19"/>
  <c r="T369" i="19" l="1"/>
  <c r="AG370" i="19"/>
  <c r="AK371" i="19"/>
  <c r="X370" i="19"/>
  <c r="V369" i="19"/>
  <c r="AI370" i="19"/>
  <c r="S370" i="19"/>
  <c r="AF371" i="19"/>
  <c r="Z369" i="19"/>
  <c r="AM370" i="19"/>
  <c r="AP370" i="19"/>
  <c r="AC369" i="19"/>
  <c r="AJ370" i="19"/>
  <c r="W369" i="19"/>
  <c r="AA370" i="19"/>
  <c r="AN371" i="19"/>
  <c r="AD369" i="19"/>
  <c r="AQ370" i="19"/>
  <c r="AL371" i="19"/>
  <c r="Y370" i="19"/>
  <c r="AH370" i="19"/>
  <c r="U369" i="19"/>
  <c r="AB369" i="19"/>
  <c r="AO370" i="19"/>
  <c r="AB368" i="19" l="1"/>
  <c r="AO369" i="19"/>
  <c r="U368" i="19"/>
  <c r="AH369" i="19"/>
  <c r="AL370" i="19"/>
  <c r="Y369" i="19"/>
  <c r="AA369" i="19"/>
  <c r="AN370" i="19"/>
  <c r="S369" i="19"/>
  <c r="AF370" i="19"/>
  <c r="AI369" i="19"/>
  <c r="V368" i="19"/>
  <c r="AK370" i="19"/>
  <c r="X369" i="19"/>
  <c r="AJ369" i="19"/>
  <c r="W368" i="19"/>
  <c r="AP369" i="19"/>
  <c r="AC368" i="19"/>
  <c r="AD368" i="19"/>
  <c r="AQ369" i="19"/>
  <c r="Z368" i="19"/>
  <c r="AM369" i="19"/>
  <c r="T368" i="19"/>
  <c r="AG369" i="19"/>
  <c r="AJ368" i="19" l="1"/>
  <c r="W367" i="19"/>
  <c r="T367" i="19"/>
  <c r="AG368" i="19"/>
  <c r="AM368" i="19"/>
  <c r="Z367" i="19"/>
  <c r="AH368" i="19"/>
  <c r="U367" i="19"/>
  <c r="Y368" i="19"/>
  <c r="AL369" i="19"/>
  <c r="AQ368" i="19"/>
  <c r="AD367" i="19"/>
  <c r="AC367" i="19"/>
  <c r="AP368" i="19"/>
  <c r="AA368" i="19"/>
  <c r="AN369" i="19"/>
  <c r="AK369" i="19"/>
  <c r="X368" i="19"/>
  <c r="V367" i="19"/>
  <c r="AI368" i="19"/>
  <c r="S368" i="19"/>
  <c r="AF369" i="19"/>
  <c r="AB367" i="19"/>
  <c r="AO368" i="19"/>
  <c r="AA367" i="19" l="1"/>
  <c r="AN368" i="19"/>
  <c r="U366" i="19"/>
  <c r="AH367" i="19"/>
  <c r="S367" i="19"/>
  <c r="AF368" i="19"/>
  <c r="AK368" i="19"/>
  <c r="X367" i="19"/>
  <c r="AJ367" i="19"/>
  <c r="W366" i="19"/>
  <c r="AB366" i="19"/>
  <c r="AO367" i="19"/>
  <c r="Z366" i="19"/>
  <c r="AM367" i="19"/>
  <c r="AP367" i="19"/>
  <c r="AC366" i="19"/>
  <c r="AD366" i="19"/>
  <c r="AQ367" i="19"/>
  <c r="V366" i="19"/>
  <c r="AI367" i="19"/>
  <c r="T366" i="19"/>
  <c r="AG367" i="19"/>
  <c r="Y367" i="19"/>
  <c r="AL368" i="19"/>
  <c r="AC365" i="19" l="1"/>
  <c r="AP366" i="19"/>
  <c r="AL367" i="19"/>
  <c r="Y366" i="19"/>
  <c r="AM366" i="19"/>
  <c r="Z365" i="19"/>
  <c r="AK367" i="19"/>
  <c r="X366" i="19"/>
  <c r="T365" i="19"/>
  <c r="AG366" i="19"/>
  <c r="AB365" i="19"/>
  <c r="AO366" i="19"/>
  <c r="S366" i="19"/>
  <c r="AF367" i="19"/>
  <c r="AI366" i="19"/>
  <c r="V365" i="19"/>
  <c r="U365" i="19"/>
  <c r="AH366" i="19"/>
  <c r="AJ366" i="19"/>
  <c r="W365" i="19"/>
  <c r="AQ366" i="19"/>
  <c r="AD365" i="19"/>
  <c r="AA366" i="19"/>
  <c r="AN367" i="19"/>
  <c r="S365" i="19" l="1"/>
  <c r="AF366" i="19"/>
  <c r="AK366" i="19"/>
  <c r="X365" i="19"/>
  <c r="AQ365" i="19"/>
  <c r="AD364" i="19"/>
  <c r="AA365" i="19"/>
  <c r="AN366" i="19"/>
  <c r="AM365" i="19"/>
  <c r="Z364" i="19"/>
  <c r="AJ365" i="19"/>
  <c r="W364" i="19"/>
  <c r="AB364" i="19"/>
  <c r="AO365" i="19"/>
  <c r="V364" i="19"/>
  <c r="AI365" i="19"/>
  <c r="Y365" i="19"/>
  <c r="AL366" i="19"/>
  <c r="AH365" i="19"/>
  <c r="U364" i="19"/>
  <c r="T364" i="19"/>
  <c r="AG365" i="19"/>
  <c r="AP365" i="19"/>
  <c r="AC364" i="19"/>
  <c r="V363" i="19" l="1"/>
  <c r="AI364" i="19"/>
  <c r="AB363" i="19"/>
  <c r="AO364" i="19"/>
  <c r="AP364" i="19"/>
  <c r="AC363" i="19"/>
  <c r="AA364" i="19"/>
  <c r="AN365" i="19"/>
  <c r="T363" i="19"/>
  <c r="AG364" i="19"/>
  <c r="AD363" i="19"/>
  <c r="AQ364" i="19"/>
  <c r="AH364" i="19"/>
  <c r="U363" i="19"/>
  <c r="Z363" i="19"/>
  <c r="AM364" i="19"/>
  <c r="AJ364" i="19"/>
  <c r="W363" i="19"/>
  <c r="AK365" i="19"/>
  <c r="X364" i="19"/>
  <c r="AL365" i="19"/>
  <c r="Y364" i="19"/>
  <c r="S364" i="19"/>
  <c r="AF365" i="19"/>
  <c r="AH363" i="19" l="1"/>
  <c r="U362" i="19"/>
  <c r="AM363" i="19"/>
  <c r="Z362" i="19"/>
  <c r="AP363" i="19"/>
  <c r="AC362" i="19"/>
  <c r="AA363" i="19"/>
  <c r="AN364" i="19"/>
  <c r="AK364" i="19"/>
  <c r="X363" i="19"/>
  <c r="AO363" i="19"/>
  <c r="AB362" i="19"/>
  <c r="S363" i="19"/>
  <c r="AF364" i="19"/>
  <c r="AL364" i="19"/>
  <c r="Y363" i="19"/>
  <c r="AQ363" i="19"/>
  <c r="AD362" i="19"/>
  <c r="AJ363" i="19"/>
  <c r="W362" i="19"/>
  <c r="AG363" i="19"/>
  <c r="T362" i="19"/>
  <c r="AI363" i="19"/>
  <c r="V362" i="19"/>
  <c r="AL363" i="19" l="1"/>
  <c r="Y362" i="19"/>
  <c r="AM362" i="19"/>
  <c r="Z361" i="19"/>
  <c r="AN363" i="19"/>
  <c r="AA362" i="19"/>
  <c r="AF363" i="19"/>
  <c r="S362" i="19"/>
  <c r="V361" i="19"/>
  <c r="AI362" i="19"/>
  <c r="T361" i="19"/>
  <c r="AG362" i="19"/>
  <c r="AJ362" i="19"/>
  <c r="W361" i="19"/>
  <c r="AQ362" i="19"/>
  <c r="AD361" i="19"/>
  <c r="U361" i="19"/>
  <c r="AH362" i="19"/>
  <c r="AP362" i="19"/>
  <c r="AC361" i="19"/>
  <c r="AO362" i="19"/>
  <c r="AB361" i="19"/>
  <c r="AK363" i="19"/>
  <c r="X362" i="19"/>
  <c r="AD360" i="19" l="1"/>
  <c r="AQ361" i="19"/>
  <c r="X361" i="19"/>
  <c r="AK362" i="19"/>
  <c r="W360" i="19"/>
  <c r="AJ361" i="19"/>
  <c r="Z360" i="19"/>
  <c r="AM361" i="19"/>
  <c r="AF362" i="19"/>
  <c r="S361" i="19"/>
  <c r="AB360" i="19"/>
  <c r="AO361" i="19"/>
  <c r="AN362" i="19"/>
  <c r="AA361" i="19"/>
  <c r="Y361" i="19"/>
  <c r="AL362" i="19"/>
  <c r="AC360" i="19"/>
  <c r="AP361" i="19"/>
  <c r="T360" i="19"/>
  <c r="AG361" i="19"/>
  <c r="U360" i="19"/>
  <c r="AH361" i="19"/>
  <c r="V360" i="19"/>
  <c r="AI361" i="19"/>
  <c r="Y360" i="19" l="1"/>
  <c r="AL361" i="19"/>
  <c r="AN361" i="19"/>
  <c r="AA360" i="19"/>
  <c r="W359" i="19"/>
  <c r="AJ360" i="19"/>
  <c r="AB359" i="19"/>
  <c r="AO360" i="19"/>
  <c r="Z359" i="19"/>
  <c r="AM360" i="19"/>
  <c r="X360" i="19"/>
  <c r="AK361" i="19"/>
  <c r="S360" i="19"/>
  <c r="AF361" i="19"/>
  <c r="V359" i="19"/>
  <c r="AI360" i="19"/>
  <c r="U359" i="19"/>
  <c r="AH360" i="19"/>
  <c r="T359" i="19"/>
  <c r="AG360" i="19"/>
  <c r="AC359" i="19"/>
  <c r="AP360" i="19"/>
  <c r="AD359" i="19"/>
  <c r="AQ360" i="19"/>
  <c r="AC358" i="19" l="1"/>
  <c r="AP359" i="19"/>
  <c r="AD358" i="19"/>
  <c r="AQ359" i="19"/>
  <c r="W358" i="19"/>
  <c r="AJ359" i="19"/>
  <c r="X359" i="19"/>
  <c r="AK360" i="19"/>
  <c r="V358" i="19"/>
  <c r="AI359" i="19"/>
  <c r="AA359" i="19"/>
  <c r="AN360" i="19"/>
  <c r="T358" i="19"/>
  <c r="AG359" i="19"/>
  <c r="AB358" i="19"/>
  <c r="AO359" i="19"/>
  <c r="S359" i="19"/>
  <c r="AF360" i="19"/>
  <c r="U358" i="19"/>
  <c r="AH359" i="19"/>
  <c r="Z358" i="19"/>
  <c r="AM359" i="19"/>
  <c r="Y359" i="19"/>
  <c r="AL360" i="19"/>
  <c r="X358" i="19" l="1"/>
  <c r="AK359" i="19"/>
  <c r="T357" i="19"/>
  <c r="AG358" i="19"/>
  <c r="AA358" i="19"/>
  <c r="AN359" i="19"/>
  <c r="Y358" i="19"/>
  <c r="AL359" i="19"/>
  <c r="AO358" i="19"/>
  <c r="AB357" i="19"/>
  <c r="Z357" i="19"/>
  <c r="AM358" i="19"/>
  <c r="AD357" i="19"/>
  <c r="AQ358" i="19"/>
  <c r="W357" i="19"/>
  <c r="AJ358" i="19"/>
  <c r="U357" i="19"/>
  <c r="AH358" i="19"/>
  <c r="S358" i="19"/>
  <c r="AF359" i="19"/>
  <c r="V357" i="19"/>
  <c r="AI358" i="19"/>
  <c r="AC357" i="19"/>
  <c r="AP358" i="19"/>
  <c r="V356" i="19" l="1"/>
  <c r="AI357" i="19"/>
  <c r="Y357" i="19"/>
  <c r="AL358" i="19"/>
  <c r="AD356" i="19"/>
  <c r="AQ357" i="19"/>
  <c r="S357" i="19"/>
  <c r="AF358" i="19"/>
  <c r="AC356" i="19"/>
  <c r="AP357" i="19"/>
  <c r="Z356" i="19"/>
  <c r="AM357" i="19"/>
  <c r="AB356" i="19"/>
  <c r="AO357" i="19"/>
  <c r="W356" i="19"/>
  <c r="AJ357" i="19"/>
  <c r="AN358" i="19"/>
  <c r="AA357" i="19"/>
  <c r="AG357" i="19"/>
  <c r="T356" i="19"/>
  <c r="U356" i="19"/>
  <c r="AH357" i="19"/>
  <c r="X357" i="19"/>
  <c r="AK358" i="19"/>
  <c r="AD355" i="19" l="1"/>
  <c r="AQ356" i="19"/>
  <c r="S356" i="19"/>
  <c r="AF357" i="19"/>
  <c r="T355" i="19"/>
  <c r="AG356" i="19"/>
  <c r="X356" i="19"/>
  <c r="AK357" i="19"/>
  <c r="U355" i="19"/>
  <c r="AH356" i="19"/>
  <c r="Z355" i="19"/>
  <c r="AM356" i="19"/>
  <c r="AN357" i="19"/>
  <c r="AA356" i="19"/>
  <c r="W355" i="19"/>
  <c r="AJ356" i="19"/>
  <c r="AB355" i="19"/>
  <c r="AO356" i="19"/>
  <c r="Y356" i="19"/>
  <c r="AL357" i="19"/>
  <c r="AC355" i="19"/>
  <c r="AP356" i="19"/>
  <c r="V355" i="19"/>
  <c r="AI356" i="19"/>
  <c r="AC354" i="19" l="1"/>
  <c r="AP355" i="19"/>
  <c r="V354" i="19"/>
  <c r="AI355" i="19"/>
  <c r="X355" i="19"/>
  <c r="AK356" i="19"/>
  <c r="Z354" i="19"/>
  <c r="AM355" i="19"/>
  <c r="W354" i="19"/>
  <c r="AJ355" i="19"/>
  <c r="S355" i="19"/>
  <c r="AF356" i="19"/>
  <c r="AA355" i="19"/>
  <c r="AN356" i="19"/>
  <c r="T354" i="19"/>
  <c r="AG355" i="19"/>
  <c r="Y355" i="19"/>
  <c r="AL356" i="19"/>
  <c r="AB354" i="19"/>
  <c r="AO355" i="19"/>
  <c r="U354" i="19"/>
  <c r="AH355" i="19"/>
  <c r="AD354" i="19"/>
  <c r="AQ355" i="19"/>
  <c r="AD353" i="19" l="1"/>
  <c r="AQ354" i="19"/>
  <c r="Z353" i="19"/>
  <c r="AM354" i="19"/>
  <c r="AA354" i="19"/>
  <c r="AN355" i="19"/>
  <c r="U353" i="19"/>
  <c r="AH354" i="19"/>
  <c r="AB353" i="19"/>
  <c r="AO354" i="19"/>
  <c r="T353" i="19"/>
  <c r="AG354" i="19"/>
  <c r="X354" i="19"/>
  <c r="AK355" i="19"/>
  <c r="S354" i="19"/>
  <c r="AF355" i="19"/>
  <c r="V353" i="19"/>
  <c r="AI354" i="19"/>
  <c r="Y354" i="19"/>
  <c r="AL355" i="19"/>
  <c r="W353" i="19"/>
  <c r="AJ354" i="19"/>
  <c r="AC353" i="19"/>
  <c r="AP354" i="19"/>
  <c r="AA353" i="19" l="1"/>
  <c r="AN354" i="19"/>
  <c r="S353" i="19"/>
  <c r="AF354" i="19"/>
  <c r="X353" i="19"/>
  <c r="AK354" i="19"/>
  <c r="U352" i="19"/>
  <c r="AH353" i="19"/>
  <c r="Y353" i="19"/>
  <c r="AL354" i="19"/>
  <c r="AC352" i="19"/>
  <c r="AP353" i="19"/>
  <c r="T352" i="19"/>
  <c r="AG353" i="19"/>
  <c r="W352" i="19"/>
  <c r="AJ353" i="19"/>
  <c r="Z352" i="19"/>
  <c r="AM353" i="19"/>
  <c r="V352" i="19"/>
  <c r="AI353" i="19"/>
  <c r="AB352" i="19"/>
  <c r="AO353" i="19"/>
  <c r="AD352" i="19"/>
  <c r="AQ353" i="19"/>
  <c r="AD351" i="19" l="1"/>
  <c r="AQ352" i="19"/>
  <c r="X352" i="19"/>
  <c r="AK353" i="19"/>
  <c r="W351" i="19"/>
  <c r="AJ352" i="19"/>
  <c r="AC351" i="19"/>
  <c r="AP352" i="19"/>
  <c r="U351" i="19"/>
  <c r="AH352" i="19"/>
  <c r="T351" i="19"/>
  <c r="AG352" i="19"/>
  <c r="S352" i="19"/>
  <c r="AF353" i="19"/>
  <c r="AB351" i="19"/>
  <c r="AO352" i="19"/>
  <c r="V351" i="19"/>
  <c r="AI352" i="19"/>
  <c r="Z351" i="19"/>
  <c r="AM352" i="19"/>
  <c r="Y352" i="19"/>
  <c r="AL353" i="19"/>
  <c r="AN353" i="19"/>
  <c r="AA352" i="19"/>
  <c r="AB350" i="19" l="1"/>
  <c r="AO351" i="19"/>
  <c r="AC350" i="19"/>
  <c r="AP351" i="19"/>
  <c r="Y351" i="19"/>
  <c r="AL352" i="19"/>
  <c r="T350" i="19"/>
  <c r="AG351" i="19"/>
  <c r="AN352" i="19"/>
  <c r="AA351" i="19"/>
  <c r="W350" i="19"/>
  <c r="AJ351" i="19"/>
  <c r="X351" i="19"/>
  <c r="AK352" i="19"/>
  <c r="S351" i="19"/>
  <c r="AF352" i="19"/>
  <c r="Z350" i="19"/>
  <c r="AM351" i="19"/>
  <c r="V350" i="19"/>
  <c r="AI351" i="19"/>
  <c r="U350" i="19"/>
  <c r="AH351" i="19"/>
  <c r="AD350" i="19"/>
  <c r="AQ351" i="19"/>
  <c r="S350" i="19" l="1"/>
  <c r="AF351" i="19"/>
  <c r="T349" i="19"/>
  <c r="AG350" i="19"/>
  <c r="X350" i="19"/>
  <c r="AK351" i="19"/>
  <c r="Y350" i="19"/>
  <c r="AL351" i="19"/>
  <c r="AC349" i="19"/>
  <c r="AP350" i="19"/>
  <c r="AD349" i="19"/>
  <c r="AQ350" i="19"/>
  <c r="AJ350" i="19"/>
  <c r="W349" i="19"/>
  <c r="AA350" i="19"/>
  <c r="AN351" i="19"/>
  <c r="U349" i="19"/>
  <c r="AH350" i="19"/>
  <c r="V349" i="19"/>
  <c r="AI350" i="19"/>
  <c r="Z349" i="19"/>
  <c r="AM350" i="19"/>
  <c r="AB349" i="19"/>
  <c r="AO350" i="19"/>
  <c r="AB348" i="19" l="1"/>
  <c r="AO349" i="19"/>
  <c r="X349" i="19"/>
  <c r="AK350" i="19"/>
  <c r="AJ349" i="19"/>
  <c r="W348" i="19"/>
  <c r="V348" i="19"/>
  <c r="AI349" i="19"/>
  <c r="AA349" i="19"/>
  <c r="AN350" i="19"/>
  <c r="AD348" i="19"/>
  <c r="AQ349" i="19"/>
  <c r="Y349" i="19"/>
  <c r="AL350" i="19"/>
  <c r="Z348" i="19"/>
  <c r="AM349" i="19"/>
  <c r="T348" i="19"/>
  <c r="AG349" i="19"/>
  <c r="U348" i="19"/>
  <c r="AH349" i="19"/>
  <c r="AC348" i="19"/>
  <c r="AP349" i="19"/>
  <c r="AF350" i="19"/>
  <c r="S349" i="19"/>
  <c r="AC347" i="19" l="1"/>
  <c r="AP348" i="19"/>
  <c r="AD347" i="19"/>
  <c r="AQ348" i="19"/>
  <c r="S348" i="19"/>
  <c r="AF349" i="19"/>
  <c r="V347" i="19"/>
  <c r="AI348" i="19"/>
  <c r="W347" i="19"/>
  <c r="AJ348" i="19"/>
  <c r="AH348" i="19"/>
  <c r="U347" i="19"/>
  <c r="Z347" i="19"/>
  <c r="AM348" i="19"/>
  <c r="Y348" i="19"/>
  <c r="AL349" i="19"/>
  <c r="AK349" i="19"/>
  <c r="X348" i="19"/>
  <c r="T347" i="19"/>
  <c r="AG348" i="19"/>
  <c r="AN349" i="19"/>
  <c r="AA348" i="19"/>
  <c r="AB347" i="19"/>
  <c r="AO348" i="19"/>
  <c r="AA347" i="19" l="1"/>
  <c r="AN348" i="19"/>
  <c r="V346" i="19"/>
  <c r="AI347" i="19"/>
  <c r="Y347" i="19"/>
  <c r="AL348" i="19"/>
  <c r="S347" i="19"/>
  <c r="AF348" i="19"/>
  <c r="AD346" i="19"/>
  <c r="AQ347" i="19"/>
  <c r="X347" i="19"/>
  <c r="AK348" i="19"/>
  <c r="AB346" i="19"/>
  <c r="AO347" i="19"/>
  <c r="Z346" i="19"/>
  <c r="AM347" i="19"/>
  <c r="U346" i="19"/>
  <c r="AH347" i="19"/>
  <c r="T346" i="19"/>
  <c r="AG347" i="19"/>
  <c r="W346" i="19"/>
  <c r="AJ347" i="19"/>
  <c r="AC346" i="19"/>
  <c r="AP347" i="19"/>
  <c r="W345" i="19" l="1"/>
  <c r="AJ346" i="19"/>
  <c r="Z345" i="19"/>
  <c r="AM346" i="19"/>
  <c r="T345" i="19"/>
  <c r="AG346" i="19"/>
  <c r="S346" i="19"/>
  <c r="AF347" i="19"/>
  <c r="AB345" i="19"/>
  <c r="AO346" i="19"/>
  <c r="V345" i="19"/>
  <c r="AI346" i="19"/>
  <c r="AC345" i="19"/>
  <c r="AP346" i="19"/>
  <c r="Y346" i="19"/>
  <c r="AL347" i="19"/>
  <c r="X346" i="19"/>
  <c r="AK347" i="19"/>
  <c r="U345" i="19"/>
  <c r="AH346" i="19"/>
  <c r="AD345" i="19"/>
  <c r="AQ346" i="19"/>
  <c r="AA346" i="19"/>
  <c r="AN347" i="19"/>
  <c r="T344" i="19" l="1"/>
  <c r="AG345" i="19"/>
  <c r="AN346" i="19"/>
  <c r="AA345" i="19"/>
  <c r="AD344" i="19"/>
  <c r="AQ345" i="19"/>
  <c r="Y345" i="19"/>
  <c r="AL346" i="19"/>
  <c r="V344" i="19"/>
  <c r="AI345" i="19"/>
  <c r="S345" i="19"/>
  <c r="AF346" i="19"/>
  <c r="Z344" i="19"/>
  <c r="AM345" i="19"/>
  <c r="AC344" i="19"/>
  <c r="AP345" i="19"/>
  <c r="U344" i="19"/>
  <c r="AH345" i="19"/>
  <c r="X345" i="19"/>
  <c r="AK346" i="19"/>
  <c r="AB344" i="19"/>
  <c r="AO345" i="19"/>
  <c r="W344" i="19"/>
  <c r="AJ345" i="19"/>
  <c r="AB343" i="19" l="1"/>
  <c r="AO344" i="19"/>
  <c r="W343" i="19"/>
  <c r="AJ344" i="19"/>
  <c r="AD343" i="19"/>
  <c r="AQ344" i="19"/>
  <c r="S344" i="19"/>
  <c r="AF345" i="19"/>
  <c r="Y344" i="19"/>
  <c r="AL345" i="19"/>
  <c r="X344" i="19"/>
  <c r="AK345" i="19"/>
  <c r="AP344" i="19"/>
  <c r="AC343" i="19"/>
  <c r="Z343" i="19"/>
  <c r="AM344" i="19"/>
  <c r="AA344" i="19"/>
  <c r="AN345" i="19"/>
  <c r="U343" i="19"/>
  <c r="AH344" i="19"/>
  <c r="V343" i="19"/>
  <c r="AI344" i="19"/>
  <c r="T343" i="19"/>
  <c r="AG344" i="19"/>
  <c r="T342" i="19" l="1"/>
  <c r="AG343" i="19"/>
  <c r="AD342" i="19"/>
  <c r="AQ343" i="19"/>
  <c r="X343" i="19"/>
  <c r="AK344" i="19"/>
  <c r="Z342" i="19"/>
  <c r="AM343" i="19"/>
  <c r="AC342" i="19"/>
  <c r="AP343" i="19"/>
  <c r="AJ343" i="19"/>
  <c r="W342" i="19"/>
  <c r="S343" i="19"/>
  <c r="AF344" i="19"/>
  <c r="V342" i="19"/>
  <c r="AI343" i="19"/>
  <c r="U342" i="19"/>
  <c r="AH343" i="19"/>
  <c r="AN344" i="19"/>
  <c r="AA343" i="19"/>
  <c r="Y343" i="19"/>
  <c r="AL344" i="19"/>
  <c r="AB342" i="19"/>
  <c r="AO343" i="19"/>
  <c r="Y342" i="19" l="1"/>
  <c r="AL343" i="19"/>
  <c r="Z341" i="19"/>
  <c r="AM342" i="19"/>
  <c r="X342" i="19"/>
  <c r="AK343" i="19"/>
  <c r="AB341" i="19"/>
  <c r="AO342" i="19"/>
  <c r="V341" i="19"/>
  <c r="AI342" i="19"/>
  <c r="S342" i="19"/>
  <c r="AF343" i="19"/>
  <c r="AN343" i="19"/>
  <c r="AA342" i="19"/>
  <c r="W341" i="19"/>
  <c r="AJ342" i="19"/>
  <c r="AD341" i="19"/>
  <c r="AQ342" i="19"/>
  <c r="U341" i="19"/>
  <c r="AH342" i="19"/>
  <c r="AP342" i="19"/>
  <c r="AC341" i="19"/>
  <c r="T341" i="19"/>
  <c r="AG342" i="19"/>
  <c r="AJ341" i="19" l="1"/>
  <c r="W340" i="19"/>
  <c r="AK342" i="19"/>
  <c r="X341" i="19"/>
  <c r="T340" i="19"/>
  <c r="AG341" i="19"/>
  <c r="AN342" i="19"/>
  <c r="AA341" i="19"/>
  <c r="U340" i="19"/>
  <c r="AH341" i="19"/>
  <c r="AC340" i="19"/>
  <c r="AP341" i="19"/>
  <c r="S341" i="19"/>
  <c r="AF342" i="19"/>
  <c r="AB340" i="19"/>
  <c r="AO341" i="19"/>
  <c r="Z340" i="19"/>
  <c r="AM341" i="19"/>
  <c r="AD340" i="19"/>
  <c r="AQ341" i="19"/>
  <c r="V340" i="19"/>
  <c r="AI341" i="19"/>
  <c r="Y341" i="19"/>
  <c r="AL342" i="19"/>
  <c r="V339" i="19" l="1"/>
  <c r="AI340" i="19"/>
  <c r="AA340" i="19"/>
  <c r="AN341" i="19"/>
  <c r="Y340" i="19"/>
  <c r="AL341" i="19"/>
  <c r="S340" i="19"/>
  <c r="AF341" i="19"/>
  <c r="AC339" i="19"/>
  <c r="AP340" i="19"/>
  <c r="T339" i="19"/>
  <c r="AG340" i="19"/>
  <c r="AD339" i="19"/>
  <c r="AQ340" i="19"/>
  <c r="W339" i="19"/>
  <c r="AJ340" i="19"/>
  <c r="AB339" i="19"/>
  <c r="AO340" i="19"/>
  <c r="X340" i="19"/>
  <c r="AK341" i="19"/>
  <c r="Z339" i="19"/>
  <c r="AM340" i="19"/>
  <c r="U339" i="19"/>
  <c r="AH340" i="19"/>
  <c r="W338" i="19" l="1"/>
  <c r="AJ339" i="19"/>
  <c r="Y339" i="19"/>
  <c r="AL340" i="19"/>
  <c r="AD338" i="19"/>
  <c r="AQ339" i="19"/>
  <c r="T338" i="19"/>
  <c r="AG339" i="19"/>
  <c r="S339" i="19"/>
  <c r="AF340" i="19"/>
  <c r="Z338" i="19"/>
  <c r="AM339" i="19"/>
  <c r="AN340" i="19"/>
  <c r="AA339" i="19"/>
  <c r="U338" i="19"/>
  <c r="AH339" i="19"/>
  <c r="X339" i="19"/>
  <c r="AK340" i="19"/>
  <c r="AB338" i="19"/>
  <c r="AO339" i="19"/>
  <c r="AC338" i="19"/>
  <c r="AP339" i="19"/>
  <c r="V338" i="19"/>
  <c r="AI339" i="19"/>
  <c r="AP338" i="19" l="1"/>
  <c r="AC337" i="19"/>
  <c r="V337" i="19"/>
  <c r="AI338" i="19"/>
  <c r="AN339" i="19"/>
  <c r="AA338" i="19"/>
  <c r="AB337" i="19"/>
  <c r="AO338" i="19"/>
  <c r="U337" i="19"/>
  <c r="AH338" i="19"/>
  <c r="Y338" i="19"/>
  <c r="AL339" i="19"/>
  <c r="T337" i="19"/>
  <c r="AG338" i="19"/>
  <c r="AD337" i="19"/>
  <c r="AQ338" i="19"/>
  <c r="Z337" i="19"/>
  <c r="AM338" i="19"/>
  <c r="X338" i="19"/>
  <c r="AK339" i="19"/>
  <c r="S338" i="19"/>
  <c r="AF339" i="19"/>
  <c r="W337" i="19"/>
  <c r="AJ338" i="19"/>
  <c r="S337" i="19" l="1"/>
  <c r="AF338" i="19"/>
  <c r="AJ337" i="19"/>
  <c r="W336" i="19"/>
  <c r="T336" i="19"/>
  <c r="AG337" i="19"/>
  <c r="AB336" i="19"/>
  <c r="AO337" i="19"/>
  <c r="AA337" i="19"/>
  <c r="AN338" i="19"/>
  <c r="X337" i="19"/>
  <c r="AK338" i="19"/>
  <c r="Y337" i="19"/>
  <c r="AL338" i="19"/>
  <c r="AP337" i="19"/>
  <c r="AC336" i="19"/>
  <c r="AD336" i="19"/>
  <c r="AQ337" i="19"/>
  <c r="V336" i="19"/>
  <c r="AI337" i="19"/>
  <c r="Z336" i="19"/>
  <c r="AM337" i="19"/>
  <c r="U336" i="19"/>
  <c r="AH337" i="19"/>
  <c r="AB335" i="19" l="1"/>
  <c r="AO336" i="19"/>
  <c r="U335" i="19"/>
  <c r="AH336" i="19"/>
  <c r="T335" i="19"/>
  <c r="AG336" i="19"/>
  <c r="AC335" i="19"/>
  <c r="AP336" i="19"/>
  <c r="Z335" i="19"/>
  <c r="AM336" i="19"/>
  <c r="W335" i="19"/>
  <c r="AJ336" i="19"/>
  <c r="X336" i="19"/>
  <c r="AK337" i="19"/>
  <c r="Y336" i="19"/>
  <c r="AL337" i="19"/>
  <c r="V335" i="19"/>
  <c r="AI336" i="19"/>
  <c r="AD335" i="19"/>
  <c r="AQ336" i="19"/>
  <c r="AN337" i="19"/>
  <c r="AA336" i="19"/>
  <c r="S336" i="19"/>
  <c r="AF337" i="19"/>
  <c r="S335" i="19" l="1"/>
  <c r="AF336" i="19"/>
  <c r="AL336" i="19"/>
  <c r="Y335" i="19"/>
  <c r="AA335" i="19"/>
  <c r="AN336" i="19"/>
  <c r="X335" i="19"/>
  <c r="AK336" i="19"/>
  <c r="AD334" i="19"/>
  <c r="AQ335" i="19"/>
  <c r="AC334" i="19"/>
  <c r="AP335" i="19"/>
  <c r="AJ335" i="19"/>
  <c r="W334" i="19"/>
  <c r="T334" i="19"/>
  <c r="AG335" i="19"/>
  <c r="U334" i="19"/>
  <c r="AH335" i="19"/>
  <c r="V334" i="19"/>
  <c r="AI335" i="19"/>
  <c r="Z334" i="19"/>
  <c r="AM335" i="19"/>
  <c r="AB334" i="19"/>
  <c r="AO335" i="19"/>
  <c r="T333" i="19" l="1"/>
  <c r="AG334" i="19"/>
  <c r="Z333" i="19"/>
  <c r="AM334" i="19"/>
  <c r="AB333" i="19"/>
  <c r="AO334" i="19"/>
  <c r="W333" i="19"/>
  <c r="AJ334" i="19"/>
  <c r="AC333" i="19"/>
  <c r="AP334" i="19"/>
  <c r="X334" i="19"/>
  <c r="AK335" i="19"/>
  <c r="AA334" i="19"/>
  <c r="AN335" i="19"/>
  <c r="AL335" i="19"/>
  <c r="Y334" i="19"/>
  <c r="V333" i="19"/>
  <c r="AI334" i="19"/>
  <c r="U333" i="19"/>
  <c r="AH334" i="19"/>
  <c r="AD333" i="19"/>
  <c r="AQ334" i="19"/>
  <c r="S334" i="19"/>
  <c r="AF335" i="19"/>
  <c r="S333" i="19" l="1"/>
  <c r="AF334" i="19"/>
  <c r="AA333" i="19"/>
  <c r="AN334" i="19"/>
  <c r="W332" i="19"/>
  <c r="AJ333" i="19"/>
  <c r="AD332" i="19"/>
  <c r="AQ333" i="19"/>
  <c r="U332" i="19"/>
  <c r="AH333" i="19"/>
  <c r="AK334" i="19"/>
  <c r="X333" i="19"/>
  <c r="Y333" i="19"/>
  <c r="AL334" i="19"/>
  <c r="AB332" i="19"/>
  <c r="AO333" i="19"/>
  <c r="Z332" i="19"/>
  <c r="AM333" i="19"/>
  <c r="V332" i="19"/>
  <c r="AI333" i="19"/>
  <c r="AP333" i="19"/>
  <c r="AC332" i="19"/>
  <c r="T332" i="19"/>
  <c r="AG333" i="19"/>
  <c r="AB331" i="19" l="1"/>
  <c r="AO332" i="19"/>
  <c r="AD331" i="19"/>
  <c r="AQ332" i="19"/>
  <c r="Y332" i="19"/>
  <c r="AL333" i="19"/>
  <c r="AP332" i="19"/>
  <c r="AC331" i="19"/>
  <c r="V331" i="19"/>
  <c r="AI332" i="19"/>
  <c r="T331" i="19"/>
  <c r="AG332" i="19"/>
  <c r="W331" i="19"/>
  <c r="AJ332" i="19"/>
  <c r="X332" i="19"/>
  <c r="AK333" i="19"/>
  <c r="AN333" i="19"/>
  <c r="AA332" i="19"/>
  <c r="Z331" i="19"/>
  <c r="AM332" i="19"/>
  <c r="U331" i="19"/>
  <c r="AH332" i="19"/>
  <c r="S332" i="19"/>
  <c r="AF333" i="19"/>
  <c r="U330" i="19" l="1"/>
  <c r="AH331" i="19"/>
  <c r="S331" i="19"/>
  <c r="AF332" i="19"/>
  <c r="W330" i="19"/>
  <c r="AJ331" i="19"/>
  <c r="T330" i="19"/>
  <c r="AG331" i="19"/>
  <c r="AK332" i="19"/>
  <c r="X331" i="19"/>
  <c r="AL332" i="19"/>
  <c r="Y331" i="19"/>
  <c r="Z330" i="19"/>
  <c r="AM331" i="19"/>
  <c r="AD330" i="19"/>
  <c r="AQ331" i="19"/>
  <c r="AC330" i="19"/>
  <c r="AP331" i="19"/>
  <c r="AA331" i="19"/>
  <c r="AN332" i="19"/>
  <c r="V330" i="19"/>
  <c r="AI331" i="19"/>
  <c r="AB330" i="19"/>
  <c r="AO331" i="19"/>
  <c r="Z329" i="19" l="1"/>
  <c r="AM330" i="19"/>
  <c r="AJ330" i="19"/>
  <c r="W329" i="19"/>
  <c r="AB329" i="19"/>
  <c r="AO330" i="19"/>
  <c r="AN331" i="19"/>
  <c r="AA330" i="19"/>
  <c r="T329" i="19"/>
  <c r="AG330" i="19"/>
  <c r="V329" i="19"/>
  <c r="AI330" i="19"/>
  <c r="AL331" i="19"/>
  <c r="Y330" i="19"/>
  <c r="AF331" i="19"/>
  <c r="S330" i="19"/>
  <c r="X330" i="19"/>
  <c r="AK331" i="19"/>
  <c r="AD329" i="19"/>
  <c r="AQ330" i="19"/>
  <c r="AC329" i="19"/>
  <c r="AP330" i="19"/>
  <c r="U329" i="19"/>
  <c r="AH330" i="19"/>
  <c r="S329" i="19" l="1"/>
  <c r="AF330" i="19"/>
  <c r="AC328" i="19"/>
  <c r="AP329" i="19"/>
  <c r="U328" i="19"/>
  <c r="AH329" i="19"/>
  <c r="Y329" i="19"/>
  <c r="AL330" i="19"/>
  <c r="AB328" i="19"/>
  <c r="AO329" i="19"/>
  <c r="V328" i="19"/>
  <c r="AI329" i="19"/>
  <c r="AA329" i="19"/>
  <c r="AN330" i="19"/>
  <c r="W328" i="19"/>
  <c r="AJ329" i="19"/>
  <c r="AD328" i="19"/>
  <c r="AQ329" i="19"/>
  <c r="X329" i="19"/>
  <c r="AK330" i="19"/>
  <c r="AG329" i="19"/>
  <c r="T328" i="19"/>
  <c r="Z328" i="19"/>
  <c r="AM329" i="19"/>
  <c r="Z327" i="19" l="1"/>
  <c r="AM328" i="19"/>
  <c r="AL329" i="19"/>
  <c r="Y328" i="19"/>
  <c r="AN329" i="19"/>
  <c r="AA328" i="19"/>
  <c r="V327" i="19"/>
  <c r="AI328" i="19"/>
  <c r="W327" i="19"/>
  <c r="AJ328" i="19"/>
  <c r="X328" i="19"/>
  <c r="AK329" i="19"/>
  <c r="AG328" i="19"/>
  <c r="T327" i="19"/>
  <c r="AH328" i="19"/>
  <c r="U327" i="19"/>
  <c r="AC327" i="19"/>
  <c r="AP328" i="19"/>
  <c r="AD327" i="19"/>
  <c r="AQ328" i="19"/>
  <c r="AB327" i="19"/>
  <c r="AO328" i="19"/>
  <c r="S328" i="19"/>
  <c r="AF329" i="19"/>
  <c r="AG327" i="19" l="1"/>
  <c r="T326" i="19"/>
  <c r="AB326" i="19"/>
  <c r="AO327" i="19"/>
  <c r="AD326" i="19"/>
  <c r="AQ327" i="19"/>
  <c r="AH327" i="19"/>
  <c r="U326" i="19"/>
  <c r="S327" i="19"/>
  <c r="AF328" i="19"/>
  <c r="AA327" i="19"/>
  <c r="AN328" i="19"/>
  <c r="Y327" i="19"/>
  <c r="AL328" i="19"/>
  <c r="AK328" i="19"/>
  <c r="X327" i="19"/>
  <c r="V326" i="19"/>
  <c r="AI327" i="19"/>
  <c r="AC326" i="19"/>
  <c r="AP327" i="19"/>
  <c r="AJ327" i="19"/>
  <c r="W326" i="19"/>
  <c r="Z326" i="19"/>
  <c r="AM327" i="19"/>
  <c r="X326" i="19" l="1"/>
  <c r="AK327" i="19"/>
  <c r="AJ326" i="19"/>
  <c r="W325" i="19"/>
  <c r="AD325" i="19"/>
  <c r="AQ326" i="19"/>
  <c r="AB325" i="19"/>
  <c r="AO326" i="19"/>
  <c r="Z325" i="19"/>
  <c r="AM326" i="19"/>
  <c r="AC325" i="19"/>
  <c r="AP326" i="19"/>
  <c r="AG326" i="19"/>
  <c r="T325" i="19"/>
  <c r="U325" i="19"/>
  <c r="AH326" i="19"/>
  <c r="Y326" i="19"/>
  <c r="AL327" i="19"/>
  <c r="AN327" i="19"/>
  <c r="AA326" i="19"/>
  <c r="V325" i="19"/>
  <c r="AI326" i="19"/>
  <c r="S326" i="19"/>
  <c r="AF327" i="19"/>
  <c r="V324" i="19" l="1"/>
  <c r="AI325" i="19"/>
  <c r="AB324" i="19"/>
  <c r="AO325" i="19"/>
  <c r="AF326" i="19"/>
  <c r="S325" i="19"/>
  <c r="AG325" i="19"/>
  <c r="T324" i="19"/>
  <c r="AH325" i="19"/>
  <c r="U324" i="19"/>
  <c r="AD324" i="19"/>
  <c r="AQ325" i="19"/>
  <c r="W324" i="19"/>
  <c r="AJ325" i="19"/>
  <c r="AC324" i="19"/>
  <c r="AP325" i="19"/>
  <c r="AN326" i="19"/>
  <c r="AA325" i="19"/>
  <c r="AL326" i="19"/>
  <c r="Y325" i="19"/>
  <c r="Z324" i="19"/>
  <c r="AM325" i="19"/>
  <c r="AK326" i="19"/>
  <c r="X325" i="19"/>
  <c r="Z323" i="19" l="1"/>
  <c r="AM324" i="19"/>
  <c r="AG324" i="19"/>
  <c r="T323" i="19"/>
  <c r="W323" i="19"/>
  <c r="AJ324" i="19"/>
  <c r="AD323" i="19"/>
  <c r="AQ324" i="19"/>
  <c r="AK325" i="19"/>
  <c r="X324" i="19"/>
  <c r="AP324" i="19"/>
  <c r="AC323" i="19"/>
  <c r="AB323" i="19"/>
  <c r="AO324" i="19"/>
  <c r="AH324" i="19"/>
  <c r="U323" i="19"/>
  <c r="S324" i="19"/>
  <c r="AF325" i="19"/>
  <c r="Y324" i="19"/>
  <c r="AL325" i="19"/>
  <c r="AN325" i="19"/>
  <c r="AA324" i="19"/>
  <c r="V323" i="19"/>
  <c r="AI324" i="19"/>
  <c r="U322" i="19" l="1"/>
  <c r="AH323" i="19"/>
  <c r="AN324" i="19"/>
  <c r="AA323" i="19"/>
  <c r="AB322" i="19"/>
  <c r="AO323" i="19"/>
  <c r="AL324" i="19"/>
  <c r="Y323" i="19"/>
  <c r="AD322" i="19"/>
  <c r="AQ323" i="19"/>
  <c r="AG323" i="19"/>
  <c r="T322" i="19"/>
  <c r="V322" i="19"/>
  <c r="AI323" i="19"/>
  <c r="W322" i="19"/>
  <c r="AJ323" i="19"/>
  <c r="AC322" i="19"/>
  <c r="AP323" i="19"/>
  <c r="X323" i="19"/>
  <c r="AK324" i="19"/>
  <c r="S323" i="19"/>
  <c r="AF324" i="19"/>
  <c r="Z322" i="19"/>
  <c r="AM323" i="19"/>
  <c r="V321" i="19" l="1"/>
  <c r="AI322" i="19"/>
  <c r="S322" i="19"/>
  <c r="AF323" i="19"/>
  <c r="Z321" i="19"/>
  <c r="AM322" i="19"/>
  <c r="X322" i="19"/>
  <c r="AK323" i="19"/>
  <c r="Y322" i="19"/>
  <c r="AL323" i="19"/>
  <c r="AG322" i="19"/>
  <c r="T321" i="19"/>
  <c r="AA322" i="19"/>
  <c r="AN323" i="19"/>
  <c r="AJ322" i="19"/>
  <c r="W321" i="19"/>
  <c r="AB321" i="19"/>
  <c r="AO322" i="19"/>
  <c r="AC321" i="19"/>
  <c r="AP322" i="19"/>
  <c r="AD321" i="19"/>
  <c r="AQ322" i="19"/>
  <c r="U321" i="19"/>
  <c r="AH322" i="19"/>
  <c r="X321" i="19" l="1"/>
  <c r="AK322" i="19"/>
  <c r="U320" i="19"/>
  <c r="AH321" i="19"/>
  <c r="AD320" i="19"/>
  <c r="AQ321" i="19"/>
  <c r="AC320" i="19"/>
  <c r="AP321" i="19"/>
  <c r="W320" i="19"/>
  <c r="AJ321" i="19"/>
  <c r="AN322" i="19"/>
  <c r="AA321" i="19"/>
  <c r="S321" i="19"/>
  <c r="AF322" i="19"/>
  <c r="Z320" i="19"/>
  <c r="AM321" i="19"/>
  <c r="AG321" i="19"/>
  <c r="T320" i="19"/>
  <c r="AB320" i="19"/>
  <c r="AO321" i="19"/>
  <c r="Y321" i="19"/>
  <c r="AL322" i="19"/>
  <c r="V320" i="19"/>
  <c r="AI321" i="19"/>
  <c r="Y320" i="19" l="1"/>
  <c r="AL321" i="19"/>
  <c r="V319" i="19"/>
  <c r="AI320" i="19"/>
  <c r="AD319" i="19"/>
  <c r="AQ320" i="19"/>
  <c r="Z319" i="19"/>
  <c r="AM320" i="19"/>
  <c r="AA320" i="19"/>
  <c r="AN321" i="19"/>
  <c r="AB319" i="19"/>
  <c r="AO320" i="19"/>
  <c r="T319" i="19"/>
  <c r="AG320" i="19"/>
  <c r="AC319" i="19"/>
  <c r="AP320" i="19"/>
  <c r="S320" i="19"/>
  <c r="AF321" i="19"/>
  <c r="U319" i="19"/>
  <c r="AH320" i="19"/>
  <c r="W319" i="19"/>
  <c r="AJ320" i="19"/>
  <c r="AK321" i="19"/>
  <c r="X320" i="19"/>
  <c r="AG319" i="19" l="1"/>
  <c r="T318" i="19"/>
  <c r="AC318" i="19"/>
  <c r="AP319" i="19"/>
  <c r="X319" i="19"/>
  <c r="AK320" i="19"/>
  <c r="Z318" i="19"/>
  <c r="AM319" i="19"/>
  <c r="AD318" i="19"/>
  <c r="AQ319" i="19"/>
  <c r="AB318" i="19"/>
  <c r="AO319" i="19"/>
  <c r="W318" i="19"/>
  <c r="AJ319" i="19"/>
  <c r="V318" i="19"/>
  <c r="AI319" i="19"/>
  <c r="U318" i="19"/>
  <c r="AH319" i="19"/>
  <c r="S319" i="19"/>
  <c r="AF320" i="19"/>
  <c r="AA319" i="19"/>
  <c r="AN320" i="19"/>
  <c r="Y319" i="19"/>
  <c r="AL320" i="19"/>
  <c r="V317" i="19" l="1"/>
  <c r="AI318" i="19"/>
  <c r="X318" i="19"/>
  <c r="AK319" i="19"/>
  <c r="Y318" i="19"/>
  <c r="AL319" i="19"/>
  <c r="AA318" i="19"/>
  <c r="AN319" i="19"/>
  <c r="AB317" i="19"/>
  <c r="AO318" i="19"/>
  <c r="W317" i="19"/>
  <c r="AJ318" i="19"/>
  <c r="S318" i="19"/>
  <c r="AF319" i="19"/>
  <c r="T317" i="19"/>
  <c r="AG318" i="19"/>
  <c r="Z317" i="19"/>
  <c r="AM318" i="19"/>
  <c r="AP318" i="19"/>
  <c r="AC317" i="19"/>
  <c r="U317" i="19"/>
  <c r="AH318" i="19"/>
  <c r="AD317" i="19"/>
  <c r="AQ318" i="19"/>
  <c r="AG317" i="19" l="1"/>
  <c r="T316" i="19"/>
  <c r="U316" i="19"/>
  <c r="AH317" i="19"/>
  <c r="AD316" i="19"/>
  <c r="AQ317" i="19"/>
  <c r="S317" i="19"/>
  <c r="AF318" i="19"/>
  <c r="AK318" i="19"/>
  <c r="X317" i="19"/>
  <c r="AN318" i="19"/>
  <c r="AA317" i="19"/>
  <c r="Y317" i="19"/>
  <c r="AL318" i="19"/>
  <c r="AC316" i="19"/>
  <c r="AP317" i="19"/>
  <c r="AJ317" i="19"/>
  <c r="W316" i="19"/>
  <c r="Z316" i="19"/>
  <c r="AM317" i="19"/>
  <c r="AB316" i="19"/>
  <c r="AO317" i="19"/>
  <c r="V316" i="19"/>
  <c r="AI317" i="19"/>
  <c r="AD315" i="19" l="1"/>
  <c r="AQ316" i="19"/>
  <c r="AF317" i="19"/>
  <c r="S316" i="19"/>
  <c r="Y316" i="19"/>
  <c r="AL317" i="19"/>
  <c r="AC315" i="19"/>
  <c r="AP316" i="19"/>
  <c r="U315" i="19"/>
  <c r="AH316" i="19"/>
  <c r="AG316" i="19"/>
  <c r="T315" i="19"/>
  <c r="V315" i="19"/>
  <c r="AI316" i="19"/>
  <c r="AB315" i="19"/>
  <c r="AO316" i="19"/>
  <c r="AN317" i="19"/>
  <c r="AA316" i="19"/>
  <c r="Z315" i="19"/>
  <c r="AM316" i="19"/>
  <c r="W315" i="19"/>
  <c r="AJ316" i="19"/>
  <c r="AK317" i="19"/>
  <c r="X316" i="19"/>
  <c r="AL316" i="19" l="1"/>
  <c r="Y315" i="19"/>
  <c r="AG315" i="19"/>
  <c r="T314" i="19"/>
  <c r="AB314" i="19"/>
  <c r="AO315" i="19"/>
  <c r="V314" i="19"/>
  <c r="AI315" i="19"/>
  <c r="S315" i="19"/>
  <c r="AF316" i="19"/>
  <c r="AK316" i="19"/>
  <c r="X315" i="19"/>
  <c r="AC314" i="19"/>
  <c r="AP315" i="19"/>
  <c r="W314" i="19"/>
  <c r="AJ315" i="19"/>
  <c r="Z314" i="19"/>
  <c r="AM315" i="19"/>
  <c r="AN316" i="19"/>
  <c r="AA315" i="19"/>
  <c r="AH315" i="19"/>
  <c r="U314" i="19"/>
  <c r="AD314" i="19"/>
  <c r="AQ315" i="19"/>
  <c r="AH314" i="19" l="1"/>
  <c r="U313" i="19"/>
  <c r="AD313" i="19"/>
  <c r="AQ314" i="19"/>
  <c r="AA314" i="19"/>
  <c r="AN315" i="19"/>
  <c r="V313" i="19"/>
  <c r="AI314" i="19"/>
  <c r="AB313" i="19"/>
  <c r="AO314" i="19"/>
  <c r="Y314" i="19"/>
  <c r="AL315" i="19"/>
  <c r="W313" i="19"/>
  <c r="AJ314" i="19"/>
  <c r="AC313" i="19"/>
  <c r="AP314" i="19"/>
  <c r="X314" i="19"/>
  <c r="AK315" i="19"/>
  <c r="T313" i="19"/>
  <c r="AG314" i="19"/>
  <c r="Z313" i="19"/>
  <c r="AM314" i="19"/>
  <c r="S314" i="19"/>
  <c r="AF315" i="19"/>
  <c r="AJ313" i="19" l="1"/>
  <c r="W312" i="19"/>
  <c r="S313" i="19"/>
  <c r="AF314" i="19"/>
  <c r="AN314" i="19"/>
  <c r="AA313" i="19"/>
  <c r="AD312" i="19"/>
  <c r="AQ313" i="19"/>
  <c r="V312" i="19"/>
  <c r="AI313" i="19"/>
  <c r="Y313" i="19"/>
  <c r="AL314" i="19"/>
  <c r="U312" i="19"/>
  <c r="AH313" i="19"/>
  <c r="AC312" i="19"/>
  <c r="AP313" i="19"/>
  <c r="Z312" i="19"/>
  <c r="AM313" i="19"/>
  <c r="T312" i="19"/>
  <c r="AG313" i="19"/>
  <c r="X313" i="19"/>
  <c r="AK314" i="19"/>
  <c r="AB312" i="19"/>
  <c r="AO313" i="19"/>
  <c r="AH312" i="19" l="1"/>
  <c r="U311" i="19"/>
  <c r="AB311" i="19"/>
  <c r="AO312" i="19"/>
  <c r="S312" i="19"/>
  <c r="AF313" i="19"/>
  <c r="AC311" i="19"/>
  <c r="AP312" i="19"/>
  <c r="AN313" i="19"/>
  <c r="AA312" i="19"/>
  <c r="T311" i="19"/>
  <c r="AG312" i="19"/>
  <c r="AJ312" i="19"/>
  <c r="W311" i="19"/>
  <c r="AD311" i="19"/>
  <c r="AQ312" i="19"/>
  <c r="X312" i="19"/>
  <c r="AK313" i="19"/>
  <c r="AL313" i="19"/>
  <c r="Y312" i="19"/>
  <c r="Z311" i="19"/>
  <c r="AM312" i="19"/>
  <c r="V311" i="19"/>
  <c r="AI312" i="19"/>
  <c r="Z310" i="19" l="1"/>
  <c r="AM311" i="19"/>
  <c r="V310" i="19"/>
  <c r="AI311" i="19"/>
  <c r="AP311" i="19"/>
  <c r="AC310" i="19"/>
  <c r="Y311" i="19"/>
  <c r="AL312" i="19"/>
  <c r="S311" i="19"/>
  <c r="AF312" i="19"/>
  <c r="AB310" i="19"/>
  <c r="AO311" i="19"/>
  <c r="AJ311" i="19"/>
  <c r="W310" i="19"/>
  <c r="U310" i="19"/>
  <c r="AH311" i="19"/>
  <c r="AD310" i="19"/>
  <c r="AQ311" i="19"/>
  <c r="T310" i="19"/>
  <c r="AG311" i="19"/>
  <c r="AN312" i="19"/>
  <c r="AA311" i="19"/>
  <c r="AK312" i="19"/>
  <c r="X311" i="19"/>
  <c r="AA310" i="19" l="1"/>
  <c r="AN311" i="19"/>
  <c r="U309" i="19"/>
  <c r="AH310" i="19"/>
  <c r="W309" i="19"/>
  <c r="AJ310" i="19"/>
  <c r="AB309" i="19"/>
  <c r="AO310" i="19"/>
  <c r="X310" i="19"/>
  <c r="AK311" i="19"/>
  <c r="Y310" i="19"/>
  <c r="AL311" i="19"/>
  <c r="AG310" i="19"/>
  <c r="T309" i="19"/>
  <c r="AC309" i="19"/>
  <c r="AP310" i="19"/>
  <c r="V309" i="19"/>
  <c r="AI310" i="19"/>
  <c r="AD309" i="19"/>
  <c r="AQ310" i="19"/>
  <c r="S310" i="19"/>
  <c r="AF311" i="19"/>
  <c r="Z309" i="19"/>
  <c r="AM310" i="19"/>
  <c r="S309" i="19" l="1"/>
  <c r="AF310" i="19"/>
  <c r="Z308" i="19"/>
  <c r="AM309" i="19"/>
  <c r="AB308" i="19"/>
  <c r="AO309" i="19"/>
  <c r="W308" i="19"/>
  <c r="AJ309" i="19"/>
  <c r="Y309" i="19"/>
  <c r="AL310" i="19"/>
  <c r="AC308" i="19"/>
  <c r="AP309" i="19"/>
  <c r="AH309" i="19"/>
  <c r="U308" i="19"/>
  <c r="AG309" i="19"/>
  <c r="T308" i="19"/>
  <c r="AD308" i="19"/>
  <c r="AQ309" i="19"/>
  <c r="V308" i="19"/>
  <c r="AI309" i="19"/>
  <c r="AK310" i="19"/>
  <c r="X309" i="19"/>
  <c r="AA309" i="19"/>
  <c r="AN310" i="19"/>
  <c r="AG308" i="19" l="1"/>
  <c r="T307" i="19"/>
  <c r="AB307" i="19"/>
  <c r="AO308" i="19"/>
  <c r="AJ308" i="19"/>
  <c r="W307" i="19"/>
  <c r="AA308" i="19"/>
  <c r="AN309" i="19"/>
  <c r="AH308" i="19"/>
  <c r="U307" i="19"/>
  <c r="V307" i="19"/>
  <c r="AI308" i="19"/>
  <c r="Z307" i="19"/>
  <c r="AM308" i="19"/>
  <c r="X308" i="19"/>
  <c r="AK309" i="19"/>
  <c r="AC307" i="19"/>
  <c r="AP308" i="19"/>
  <c r="AD307" i="19"/>
  <c r="AQ308" i="19"/>
  <c r="AL309" i="19"/>
  <c r="Y308" i="19"/>
  <c r="AF309" i="19"/>
  <c r="S308" i="19"/>
  <c r="Z306" i="19" l="1"/>
  <c r="AM307" i="19"/>
  <c r="X307" i="19"/>
  <c r="AK308" i="19"/>
  <c r="W306" i="19"/>
  <c r="AJ307" i="19"/>
  <c r="V306" i="19"/>
  <c r="AI307" i="19"/>
  <c r="AF308" i="19"/>
  <c r="S307" i="19"/>
  <c r="AA307" i="19"/>
  <c r="AN308" i="19"/>
  <c r="AB306" i="19"/>
  <c r="AO307" i="19"/>
  <c r="AG307" i="19"/>
  <c r="T306" i="19"/>
  <c r="Y307" i="19"/>
  <c r="AL308" i="19"/>
  <c r="AD306" i="19"/>
  <c r="AQ307" i="19"/>
  <c r="U306" i="19"/>
  <c r="AH307" i="19"/>
  <c r="AP307" i="19"/>
  <c r="AC306" i="19"/>
  <c r="AP306" i="19" l="1"/>
  <c r="AC305" i="19"/>
  <c r="W305" i="19"/>
  <c r="AJ306" i="19"/>
  <c r="V305" i="19"/>
  <c r="AI306" i="19"/>
  <c r="AO306" i="19"/>
  <c r="AB305" i="19"/>
  <c r="AA306" i="19"/>
  <c r="AN307" i="19"/>
  <c r="AD305" i="19"/>
  <c r="AQ306" i="19"/>
  <c r="AK307" i="19"/>
  <c r="X306" i="19"/>
  <c r="S306" i="19"/>
  <c r="AF307" i="19"/>
  <c r="T305" i="19"/>
  <c r="AG306" i="19"/>
  <c r="U305" i="19"/>
  <c r="AH306" i="19"/>
  <c r="Y306" i="19"/>
  <c r="AL307" i="19"/>
  <c r="Z305" i="19"/>
  <c r="AM306" i="19"/>
  <c r="V304" i="19" l="1"/>
  <c r="AI305" i="19"/>
  <c r="AB304" i="19"/>
  <c r="AO305" i="19"/>
  <c r="X305" i="19"/>
  <c r="AK306" i="19"/>
  <c r="AL306" i="19"/>
  <c r="Y305" i="19"/>
  <c r="AD304" i="19"/>
  <c r="AQ305" i="19"/>
  <c r="S305" i="19"/>
  <c r="AF306" i="19"/>
  <c r="U304" i="19"/>
  <c r="AH305" i="19"/>
  <c r="AC304" i="19"/>
  <c r="AP305" i="19"/>
  <c r="Z304" i="19"/>
  <c r="AM305" i="19"/>
  <c r="W304" i="19"/>
  <c r="AJ305" i="19"/>
  <c r="T304" i="19"/>
  <c r="AG305" i="19"/>
  <c r="AA305" i="19"/>
  <c r="AN306" i="19"/>
  <c r="U303" i="19" l="1"/>
  <c r="AH304" i="19"/>
  <c r="AC303" i="19"/>
  <c r="AP304" i="19"/>
  <c r="W303" i="19"/>
  <c r="AJ304" i="19"/>
  <c r="AA304" i="19"/>
  <c r="AN305" i="19"/>
  <c r="T303" i="19"/>
  <c r="AG304" i="19"/>
  <c r="S304" i="19"/>
  <c r="AF305" i="19"/>
  <c r="AL305" i="19"/>
  <c r="Y304" i="19"/>
  <c r="AK305" i="19"/>
  <c r="X304" i="19"/>
  <c r="AB303" i="19"/>
  <c r="AO304" i="19"/>
  <c r="Z303" i="19"/>
  <c r="AM304" i="19"/>
  <c r="AD303" i="19"/>
  <c r="AQ304" i="19"/>
  <c r="V303" i="19"/>
  <c r="AI304" i="19"/>
  <c r="Y303" i="19" l="1"/>
  <c r="AL304" i="19"/>
  <c r="AK304" i="19"/>
  <c r="X303" i="19"/>
  <c r="AB302" i="19"/>
  <c r="AO303" i="19"/>
  <c r="V302" i="19"/>
  <c r="AI303" i="19"/>
  <c r="AN304" i="19"/>
  <c r="AA303" i="19"/>
  <c r="AD302" i="19"/>
  <c r="AQ303" i="19"/>
  <c r="W302" i="19"/>
  <c r="AJ303" i="19"/>
  <c r="S303" i="19"/>
  <c r="AF304" i="19"/>
  <c r="AC302" i="19"/>
  <c r="AP303" i="19"/>
  <c r="Z302" i="19"/>
  <c r="AM303" i="19"/>
  <c r="AG303" i="19"/>
  <c r="T302" i="19"/>
  <c r="AH303" i="19"/>
  <c r="U302" i="19"/>
  <c r="U301" i="19" l="1"/>
  <c r="AH302" i="19"/>
  <c r="AI302" i="19"/>
  <c r="V301" i="19"/>
  <c r="S302" i="19"/>
  <c r="AF303" i="19"/>
  <c r="AO302" i="19"/>
  <c r="AB301" i="19"/>
  <c r="AG302" i="19"/>
  <c r="T301" i="19"/>
  <c r="AJ302" i="19"/>
  <c r="W301" i="19"/>
  <c r="X302" i="19"/>
  <c r="AK303" i="19"/>
  <c r="Z301" i="19"/>
  <c r="AM302" i="19"/>
  <c r="AD301" i="19"/>
  <c r="AQ302" i="19"/>
  <c r="AN303" i="19"/>
  <c r="AA302" i="19"/>
  <c r="AC301" i="19"/>
  <c r="AP302" i="19"/>
  <c r="AL303" i="19"/>
  <c r="Y302" i="19"/>
  <c r="AO301" i="19" l="1"/>
  <c r="AB300" i="19"/>
  <c r="Z300" i="19"/>
  <c r="AM301" i="19"/>
  <c r="AF302" i="19"/>
  <c r="S301" i="19"/>
  <c r="Y301" i="19"/>
  <c r="AL302" i="19"/>
  <c r="AI301" i="19"/>
  <c r="V300" i="19"/>
  <c r="AJ301" i="19"/>
  <c r="W300" i="19"/>
  <c r="AP301" i="19"/>
  <c r="AC300" i="19"/>
  <c r="AA301" i="19"/>
  <c r="AN302" i="19"/>
  <c r="AG301" i="19"/>
  <c r="T300" i="19"/>
  <c r="AK302" i="19"/>
  <c r="X301" i="19"/>
  <c r="AD300" i="19"/>
  <c r="AQ301" i="19"/>
  <c r="U300" i="19"/>
  <c r="AH301" i="19"/>
  <c r="AL301" i="19" l="1"/>
  <c r="Y300" i="19"/>
  <c r="AA300" i="19"/>
  <c r="AN301" i="19"/>
  <c r="S300" i="19"/>
  <c r="AF301" i="19"/>
  <c r="AD299" i="19"/>
  <c r="AQ300" i="19"/>
  <c r="AC299" i="19"/>
  <c r="AP300" i="19"/>
  <c r="X300" i="19"/>
  <c r="AK301" i="19"/>
  <c r="W299" i="19"/>
  <c r="AJ300" i="19"/>
  <c r="U299" i="19"/>
  <c r="AH300" i="19"/>
  <c r="Z299" i="19"/>
  <c r="AM300" i="19"/>
  <c r="AO300" i="19"/>
  <c r="AB299" i="19"/>
  <c r="AG300" i="19"/>
  <c r="T299" i="19"/>
  <c r="V299" i="19"/>
  <c r="AI300" i="19"/>
  <c r="AD298" i="19" l="1"/>
  <c r="AQ299" i="19"/>
  <c r="U298" i="19"/>
  <c r="AH299" i="19"/>
  <c r="S299" i="19"/>
  <c r="AF300" i="19"/>
  <c r="V298" i="19"/>
  <c r="AI299" i="19"/>
  <c r="AB298" i="19"/>
  <c r="AO299" i="19"/>
  <c r="AJ299" i="19"/>
  <c r="W298" i="19"/>
  <c r="X299" i="19"/>
  <c r="AK300" i="19"/>
  <c r="AA299" i="19"/>
  <c r="AN300" i="19"/>
  <c r="AG299" i="19"/>
  <c r="T298" i="19"/>
  <c r="Y299" i="19"/>
  <c r="AL300" i="19"/>
  <c r="Z298" i="19"/>
  <c r="AM299" i="19"/>
  <c r="AP299" i="19"/>
  <c r="AC298" i="19"/>
  <c r="AP298" i="19" l="1"/>
  <c r="AC297" i="19"/>
  <c r="V297" i="19"/>
  <c r="AI298" i="19"/>
  <c r="S298" i="19"/>
  <c r="AF299" i="19"/>
  <c r="Z297" i="19"/>
  <c r="AM298" i="19"/>
  <c r="W297" i="19"/>
  <c r="AJ298" i="19"/>
  <c r="X298" i="19"/>
  <c r="AK299" i="19"/>
  <c r="U297" i="19"/>
  <c r="AH298" i="19"/>
  <c r="Y298" i="19"/>
  <c r="AL299" i="19"/>
  <c r="AG298" i="19"/>
  <c r="T297" i="19"/>
  <c r="AN299" i="19"/>
  <c r="AA298" i="19"/>
  <c r="AO298" i="19"/>
  <c r="AB297" i="19"/>
  <c r="AD297" i="19"/>
  <c r="AQ298" i="19"/>
  <c r="S297" i="19" l="1"/>
  <c r="AF298" i="19"/>
  <c r="AB296" i="19"/>
  <c r="AO297" i="19"/>
  <c r="AD296" i="19"/>
  <c r="AQ297" i="19"/>
  <c r="X297" i="19"/>
  <c r="AK298" i="19"/>
  <c r="V296" i="19"/>
  <c r="AI297" i="19"/>
  <c r="Z296" i="19"/>
  <c r="AM297" i="19"/>
  <c r="U296" i="19"/>
  <c r="AH297" i="19"/>
  <c r="AG297" i="19"/>
  <c r="T296" i="19"/>
  <c r="AC296" i="19"/>
  <c r="AP297" i="19"/>
  <c r="Y297" i="19"/>
  <c r="AL298" i="19"/>
  <c r="AA297" i="19"/>
  <c r="AN298" i="19"/>
  <c r="W296" i="19"/>
  <c r="AJ297" i="19"/>
  <c r="AD295" i="19" l="1"/>
  <c r="AQ296" i="19"/>
  <c r="T295" i="19"/>
  <c r="AG296" i="19"/>
  <c r="AJ296" i="19"/>
  <c r="W295" i="19"/>
  <c r="Y296" i="19"/>
  <c r="AL297" i="19"/>
  <c r="U295" i="19"/>
  <c r="AH296" i="19"/>
  <c r="Z295" i="19"/>
  <c r="AM296" i="19"/>
  <c r="AB295" i="19"/>
  <c r="AO296" i="19"/>
  <c r="X296" i="19"/>
  <c r="AK297" i="19"/>
  <c r="AN297" i="19"/>
  <c r="AA296" i="19"/>
  <c r="AC295" i="19"/>
  <c r="AP296" i="19"/>
  <c r="AI296" i="19"/>
  <c r="V295" i="19"/>
  <c r="S296" i="19"/>
  <c r="AF297" i="19"/>
  <c r="AK296" i="19" l="1"/>
  <c r="X295" i="19"/>
  <c r="AF296" i="19"/>
  <c r="S295" i="19"/>
  <c r="AO295" i="19"/>
  <c r="AB294" i="19"/>
  <c r="W294" i="19"/>
  <c r="AJ295" i="19"/>
  <c r="AC294" i="19"/>
  <c r="AP295" i="19"/>
  <c r="Z294" i="19"/>
  <c r="AM295" i="19"/>
  <c r="V294" i="19"/>
  <c r="AI295" i="19"/>
  <c r="AG295" i="19"/>
  <c r="T294" i="19"/>
  <c r="AN296" i="19"/>
  <c r="AA295" i="19"/>
  <c r="Y295" i="19"/>
  <c r="AL296" i="19"/>
  <c r="AH295" i="19"/>
  <c r="U294" i="19"/>
  <c r="AD294" i="19"/>
  <c r="AQ295" i="19"/>
  <c r="W293" i="19" l="1"/>
  <c r="AJ294" i="19"/>
  <c r="AG294" i="19"/>
  <c r="T293" i="19"/>
  <c r="AB293" i="19"/>
  <c r="AO294" i="19"/>
  <c r="AF295" i="19"/>
  <c r="S294" i="19"/>
  <c r="Y294" i="19"/>
  <c r="AL295" i="19"/>
  <c r="AD293" i="19"/>
  <c r="AQ294" i="19"/>
  <c r="U293" i="19"/>
  <c r="AH294" i="19"/>
  <c r="V293" i="19"/>
  <c r="AI294" i="19"/>
  <c r="Z293" i="19"/>
  <c r="AM294" i="19"/>
  <c r="AA294" i="19"/>
  <c r="AN295" i="19"/>
  <c r="AK295" i="19"/>
  <c r="X294" i="19"/>
  <c r="AC293" i="19"/>
  <c r="AP294" i="19"/>
  <c r="S293" i="19" l="1"/>
  <c r="AF294" i="19"/>
  <c r="AC292" i="19"/>
  <c r="AP293" i="19"/>
  <c r="T292" i="19"/>
  <c r="AG293" i="19"/>
  <c r="AI293" i="19"/>
  <c r="V292" i="19"/>
  <c r="AO293" i="19"/>
  <c r="AB292" i="19"/>
  <c r="AD292" i="19"/>
  <c r="AQ293" i="19"/>
  <c r="AK294" i="19"/>
  <c r="X293" i="19"/>
  <c r="U292" i="19"/>
  <c r="AH293" i="19"/>
  <c r="AN294" i="19"/>
  <c r="AA293" i="19"/>
  <c r="Z292" i="19"/>
  <c r="AM293" i="19"/>
  <c r="Y293" i="19"/>
  <c r="AL294" i="19"/>
  <c r="W292" i="19"/>
  <c r="AJ293" i="19"/>
  <c r="AI292" i="19" l="1"/>
  <c r="V291" i="19"/>
  <c r="U291" i="19"/>
  <c r="AH292" i="19"/>
  <c r="T291" i="19"/>
  <c r="AG292" i="19"/>
  <c r="W291" i="19"/>
  <c r="AJ292" i="19"/>
  <c r="X292" i="19"/>
  <c r="AK293" i="19"/>
  <c r="AP292" i="19"/>
  <c r="AC291" i="19"/>
  <c r="Z291" i="19"/>
  <c r="AM292" i="19"/>
  <c r="AD291" i="19"/>
  <c r="AQ292" i="19"/>
  <c r="AA292" i="19"/>
  <c r="AN293" i="19"/>
  <c r="AB291" i="19"/>
  <c r="AO292" i="19"/>
  <c r="Y292" i="19"/>
  <c r="AL293" i="19"/>
  <c r="AF293" i="19"/>
  <c r="S292" i="19"/>
  <c r="S291" i="19" l="1"/>
  <c r="AF292" i="19"/>
  <c r="AG291" i="19"/>
  <c r="T290" i="19"/>
  <c r="AD290" i="19"/>
  <c r="AQ291" i="19"/>
  <c r="Z290" i="19"/>
  <c r="AM291" i="19"/>
  <c r="W290" i="19"/>
  <c r="AJ291" i="19"/>
  <c r="U290" i="19"/>
  <c r="AH291" i="19"/>
  <c r="AB290" i="19"/>
  <c r="AO291" i="19"/>
  <c r="V290" i="19"/>
  <c r="AI291" i="19"/>
  <c r="Y291" i="19"/>
  <c r="AL292" i="19"/>
  <c r="AC290" i="19"/>
  <c r="AP291" i="19"/>
  <c r="AN292" i="19"/>
  <c r="AA291" i="19"/>
  <c r="AK292" i="19"/>
  <c r="X291" i="19"/>
  <c r="V289" i="19" l="1"/>
  <c r="AI290" i="19"/>
  <c r="AD289" i="19"/>
  <c r="AQ290" i="19"/>
  <c r="AH290" i="19"/>
  <c r="U289" i="19"/>
  <c r="Z289" i="19"/>
  <c r="AM290" i="19"/>
  <c r="AK291" i="19"/>
  <c r="X290" i="19"/>
  <c r="AA290" i="19"/>
  <c r="AN291" i="19"/>
  <c r="AB289" i="19"/>
  <c r="AO290" i="19"/>
  <c r="T289" i="19"/>
  <c r="AG290" i="19"/>
  <c r="AC289" i="19"/>
  <c r="AP290" i="19"/>
  <c r="AL291" i="19"/>
  <c r="Y290" i="19"/>
  <c r="W289" i="19"/>
  <c r="AJ290" i="19"/>
  <c r="AF291" i="19"/>
  <c r="S290" i="19"/>
  <c r="S289" i="19" l="1"/>
  <c r="AF290" i="19"/>
  <c r="W288" i="19"/>
  <c r="AJ289" i="19"/>
  <c r="AG289" i="19"/>
  <c r="T288" i="19"/>
  <c r="Y289" i="19"/>
  <c r="AL290" i="19"/>
  <c r="Z288" i="19"/>
  <c r="AM289" i="19"/>
  <c r="AB288" i="19"/>
  <c r="AO289" i="19"/>
  <c r="AD288" i="19"/>
  <c r="AQ289" i="19"/>
  <c r="AK290" i="19"/>
  <c r="X289" i="19"/>
  <c r="U288" i="19"/>
  <c r="AH289" i="19"/>
  <c r="AA289" i="19"/>
  <c r="AN290" i="19"/>
  <c r="AC288" i="19"/>
  <c r="AP289" i="19"/>
  <c r="V288" i="19"/>
  <c r="AI289" i="19"/>
  <c r="X288" i="19" l="1"/>
  <c r="AK289" i="19"/>
  <c r="AP288" i="19"/>
  <c r="AC287" i="19"/>
  <c r="Y288" i="19"/>
  <c r="AL289" i="19"/>
  <c r="AD287" i="19"/>
  <c r="AQ288" i="19"/>
  <c r="AO288" i="19"/>
  <c r="AB287" i="19"/>
  <c r="V287" i="19"/>
  <c r="AI288" i="19"/>
  <c r="AG288" i="19"/>
  <c r="T287" i="19"/>
  <c r="AJ288" i="19"/>
  <c r="W287" i="19"/>
  <c r="AA288" i="19"/>
  <c r="AN289" i="19"/>
  <c r="AH288" i="19"/>
  <c r="U287" i="19"/>
  <c r="Z287" i="19"/>
  <c r="AM288" i="19"/>
  <c r="AF289" i="19"/>
  <c r="S288" i="19"/>
  <c r="S287" i="19" l="1"/>
  <c r="AF288" i="19"/>
  <c r="W286" i="19"/>
  <c r="AJ287" i="19"/>
  <c r="Z286" i="19"/>
  <c r="AM287" i="19"/>
  <c r="AG287" i="19"/>
  <c r="T286" i="19"/>
  <c r="AQ287" i="19"/>
  <c r="AD286" i="19"/>
  <c r="V286" i="19"/>
  <c r="AI287" i="19"/>
  <c r="Y287" i="19"/>
  <c r="AL288" i="19"/>
  <c r="AB286" i="19"/>
  <c r="AO287" i="19"/>
  <c r="U286" i="19"/>
  <c r="AH287" i="19"/>
  <c r="AC286" i="19"/>
  <c r="AP287" i="19"/>
  <c r="AA287" i="19"/>
  <c r="AN288" i="19"/>
  <c r="X287" i="19"/>
  <c r="AK288" i="19"/>
  <c r="AG286" i="19" l="1"/>
  <c r="T284" i="19"/>
  <c r="AM286" i="19"/>
  <c r="Z284" i="19"/>
  <c r="AO286" i="19"/>
  <c r="AB284" i="19"/>
  <c r="AA286" i="19"/>
  <c r="AN287" i="19"/>
  <c r="AP286" i="19"/>
  <c r="AC284" i="19"/>
  <c r="AJ286" i="19"/>
  <c r="W284" i="19"/>
  <c r="Y286" i="19"/>
  <c r="AL287" i="19"/>
  <c r="AQ286" i="19"/>
  <c r="AD284" i="19"/>
  <c r="X286" i="19"/>
  <c r="AK287" i="19"/>
  <c r="AI286" i="19"/>
  <c r="V284" i="19"/>
  <c r="AH286" i="19"/>
  <c r="U284" i="19"/>
  <c r="S286" i="19"/>
  <c r="AF287" i="19"/>
  <c r="AD283" i="19" l="1"/>
  <c r="AQ284" i="19"/>
  <c r="AF286" i="19"/>
  <c r="S284" i="19"/>
  <c r="AH284" i="19"/>
  <c r="U283" i="19"/>
  <c r="Z283" i="19"/>
  <c r="AM284" i="19"/>
  <c r="W283" i="19"/>
  <c r="AJ284" i="19"/>
  <c r="AN286" i="19"/>
  <c r="AA284" i="19"/>
  <c r="V283" i="19"/>
  <c r="AI284" i="19"/>
  <c r="AP284" i="19"/>
  <c r="AC283" i="19"/>
  <c r="T283" i="19"/>
  <c r="AG284" i="19"/>
  <c r="AO284" i="19"/>
  <c r="AB283" i="19"/>
  <c r="AL286" i="19"/>
  <c r="Y284" i="19"/>
  <c r="AK286" i="19"/>
  <c r="X284" i="19"/>
  <c r="AP283" i="19" l="1"/>
  <c r="AC282" i="19"/>
  <c r="Z282" i="19"/>
  <c r="AM283" i="19"/>
  <c r="AI283" i="19"/>
  <c r="V282" i="19"/>
  <c r="S283" i="19"/>
  <c r="AF284" i="19"/>
  <c r="AK284" i="19"/>
  <c r="X283" i="19"/>
  <c r="U282" i="19"/>
  <c r="AH283" i="19"/>
  <c r="AB282" i="19"/>
  <c r="AO283" i="19"/>
  <c r="AA283" i="19"/>
  <c r="AN284" i="19"/>
  <c r="Y283" i="19"/>
  <c r="AL284" i="19"/>
  <c r="T282" i="19"/>
  <c r="AG283" i="19"/>
  <c r="AJ283" i="19"/>
  <c r="W282" i="19"/>
  <c r="AD282" i="19"/>
  <c r="AQ283" i="19"/>
  <c r="AO282" i="19" l="1"/>
  <c r="AB281" i="19"/>
  <c r="AJ282" i="19"/>
  <c r="W281" i="19"/>
  <c r="AA282" i="19"/>
  <c r="AN283" i="19"/>
  <c r="V281" i="19"/>
  <c r="AI282" i="19"/>
  <c r="T281" i="19"/>
  <c r="AG282" i="19"/>
  <c r="Z281" i="19"/>
  <c r="AM282" i="19"/>
  <c r="S282" i="19"/>
  <c r="AF283" i="19"/>
  <c r="X282" i="19"/>
  <c r="AK283" i="19"/>
  <c r="AC281" i="19"/>
  <c r="AP282" i="19"/>
  <c r="AQ282" i="19"/>
  <c r="AD281" i="19"/>
  <c r="U281" i="19"/>
  <c r="AH282" i="19"/>
  <c r="AL283" i="19"/>
  <c r="Y282" i="19"/>
  <c r="X281" i="19" l="1"/>
  <c r="AK282" i="19"/>
  <c r="V280" i="19"/>
  <c r="AI281" i="19"/>
  <c r="U280" i="19"/>
  <c r="AH281" i="19"/>
  <c r="S281" i="19"/>
  <c r="AF282" i="19"/>
  <c r="AN282" i="19"/>
  <c r="AA281" i="19"/>
  <c r="AD280" i="19"/>
  <c r="AQ281" i="19"/>
  <c r="W280" i="19"/>
  <c r="AJ281" i="19"/>
  <c r="AM281" i="19"/>
  <c r="Z280" i="19"/>
  <c r="Y281" i="19"/>
  <c r="AL282" i="19"/>
  <c r="AO281" i="19"/>
  <c r="AB280" i="19"/>
  <c r="AC280" i="19"/>
  <c r="AP281" i="19"/>
  <c r="AG281" i="19"/>
  <c r="T280" i="19"/>
  <c r="AG280" i="19" l="1"/>
  <c r="T279" i="19"/>
  <c r="AP280" i="19"/>
  <c r="AC279" i="19"/>
  <c r="U279" i="19"/>
  <c r="AH280" i="19"/>
  <c r="S280" i="19"/>
  <c r="AF281" i="19"/>
  <c r="Z279" i="19"/>
  <c r="AM280" i="19"/>
  <c r="AI280" i="19"/>
  <c r="V279" i="19"/>
  <c r="W279" i="19"/>
  <c r="AJ280" i="19"/>
  <c r="AD279" i="19"/>
  <c r="AQ280" i="19"/>
  <c r="AN281" i="19"/>
  <c r="AA280" i="19"/>
  <c r="AB279" i="19"/>
  <c r="AO280" i="19"/>
  <c r="Y280" i="19"/>
  <c r="AL281" i="19"/>
  <c r="X280" i="19"/>
  <c r="AK281" i="19"/>
  <c r="X279" i="19" l="1"/>
  <c r="AK280" i="19"/>
  <c r="S279" i="19"/>
  <c r="AF280" i="19"/>
  <c r="W278" i="19"/>
  <c r="AJ279" i="19"/>
  <c r="V278" i="19"/>
  <c r="AI279" i="19"/>
  <c r="AC278" i="19"/>
  <c r="AP279" i="19"/>
  <c r="Y279" i="19"/>
  <c r="AL280" i="19"/>
  <c r="AO279" i="19"/>
  <c r="AB278" i="19"/>
  <c r="AN280" i="19"/>
  <c r="AA279" i="19"/>
  <c r="T278" i="19"/>
  <c r="AG279" i="19"/>
  <c r="AD278" i="19"/>
  <c r="AQ279" i="19"/>
  <c r="U278" i="19"/>
  <c r="AH279" i="19"/>
  <c r="AM279" i="19"/>
  <c r="Z278" i="19"/>
  <c r="V277" i="19" l="1"/>
  <c r="AI278" i="19"/>
  <c r="U277" i="19"/>
  <c r="AH278" i="19"/>
  <c r="AN279" i="19"/>
  <c r="AA278" i="19"/>
  <c r="W277" i="19"/>
  <c r="AJ278" i="19"/>
  <c r="S278" i="19"/>
  <c r="AF279" i="19"/>
  <c r="AM278" i="19"/>
  <c r="Z277" i="19"/>
  <c r="AB277" i="19"/>
  <c r="AO278" i="19"/>
  <c r="AD277" i="19"/>
  <c r="AQ278" i="19"/>
  <c r="Y278" i="19"/>
  <c r="AL279" i="19"/>
  <c r="AG278" i="19"/>
  <c r="T277" i="19"/>
  <c r="AC277" i="19"/>
  <c r="AP278" i="19"/>
  <c r="X278" i="19"/>
  <c r="AK279" i="19"/>
  <c r="W276" i="19" l="1"/>
  <c r="AJ277" i="19"/>
  <c r="AD276" i="19"/>
  <c r="AQ277" i="19"/>
  <c r="AG277" i="19"/>
  <c r="T276" i="19"/>
  <c r="AB276" i="19"/>
  <c r="AO277" i="19"/>
  <c r="AM277" i="19"/>
  <c r="Z276" i="19"/>
  <c r="U276" i="19"/>
  <c r="AH277" i="19"/>
  <c r="X277" i="19"/>
  <c r="AK278" i="19"/>
  <c r="AN278" i="19"/>
  <c r="AA277" i="19"/>
  <c r="AP277" i="19"/>
  <c r="AC276" i="19"/>
  <c r="Y277" i="19"/>
  <c r="AL278" i="19"/>
  <c r="S277" i="19"/>
  <c r="AF278" i="19"/>
  <c r="AI277" i="19"/>
  <c r="V276" i="19"/>
  <c r="AI276" i="19" l="1"/>
  <c r="V275" i="19"/>
  <c r="AN277" i="19"/>
  <c r="AA276" i="19"/>
  <c r="AB275" i="19"/>
  <c r="AO276" i="19"/>
  <c r="AF277" i="19"/>
  <c r="S276" i="19"/>
  <c r="U275" i="19"/>
  <c r="AH276" i="19"/>
  <c r="AQ276" i="19"/>
  <c r="AD275" i="19"/>
  <c r="Z275" i="19"/>
  <c r="AM276" i="19"/>
  <c r="T275" i="19"/>
  <c r="AG276" i="19"/>
  <c r="X276" i="19"/>
  <c r="AK277" i="19"/>
  <c r="Y276" i="19"/>
  <c r="AL277" i="19"/>
  <c r="AP276" i="19"/>
  <c r="AC275" i="19"/>
  <c r="W275" i="19"/>
  <c r="AJ276" i="19"/>
  <c r="AF276" i="19" l="1"/>
  <c r="S275" i="19"/>
  <c r="AB274" i="19"/>
  <c r="AO275" i="19"/>
  <c r="AD274" i="19"/>
  <c r="AQ275" i="19"/>
  <c r="Z274" i="19"/>
  <c r="AM275" i="19"/>
  <c r="W274" i="19"/>
  <c r="AJ275" i="19"/>
  <c r="AC274" i="19"/>
  <c r="AP275" i="19"/>
  <c r="V274" i="19"/>
  <c r="AI275" i="19"/>
  <c r="AG275" i="19"/>
  <c r="T274" i="19"/>
  <c r="AA275" i="19"/>
  <c r="AN276" i="19"/>
  <c r="Y275" i="19"/>
  <c r="AL276" i="19"/>
  <c r="X275" i="19"/>
  <c r="AK276" i="19"/>
  <c r="U274" i="19"/>
  <c r="AH275" i="19"/>
  <c r="AG274" i="19" l="1"/>
  <c r="T273" i="19"/>
  <c r="U273" i="19"/>
  <c r="AH274" i="19"/>
  <c r="V273" i="19"/>
  <c r="AI274" i="19"/>
  <c r="Z273" i="19"/>
  <c r="AM274" i="19"/>
  <c r="X274" i="19"/>
  <c r="AK275" i="19"/>
  <c r="AC273" i="19"/>
  <c r="AP274" i="19"/>
  <c r="AQ274" i="19"/>
  <c r="AD273" i="19"/>
  <c r="AB273" i="19"/>
  <c r="AO274" i="19"/>
  <c r="AF275" i="19"/>
  <c r="S274" i="19"/>
  <c r="Y274" i="19"/>
  <c r="AL275" i="19"/>
  <c r="AA274" i="19"/>
  <c r="AN275" i="19"/>
  <c r="AJ274" i="19"/>
  <c r="W273" i="19"/>
  <c r="W272" i="19" l="1"/>
  <c r="AJ273" i="19"/>
  <c r="V272" i="19"/>
  <c r="AI273" i="19"/>
  <c r="AB272" i="19"/>
  <c r="AO273" i="19"/>
  <c r="Y273" i="19"/>
  <c r="AL274" i="19"/>
  <c r="AH273" i="19"/>
  <c r="U272" i="19"/>
  <c r="AD272" i="19"/>
  <c r="AQ273" i="19"/>
  <c r="AF274" i="19"/>
  <c r="S273" i="19"/>
  <c r="T272" i="19"/>
  <c r="AG273" i="19"/>
  <c r="Z272" i="19"/>
  <c r="AM273" i="19"/>
  <c r="AN274" i="19"/>
  <c r="AA273" i="19"/>
  <c r="AP273" i="19"/>
  <c r="AC272" i="19"/>
  <c r="X273" i="19"/>
  <c r="AK274" i="19"/>
  <c r="Y272" i="19" l="1"/>
  <c r="AL273" i="19"/>
  <c r="AB271" i="19"/>
  <c r="AO272" i="19"/>
  <c r="AC271" i="19"/>
  <c r="AP272" i="19"/>
  <c r="AQ272" i="19"/>
  <c r="AD271" i="19"/>
  <c r="V271" i="19"/>
  <c r="AI272" i="19"/>
  <c r="X272" i="19"/>
  <c r="AK273" i="19"/>
  <c r="AN273" i="19"/>
  <c r="AA272" i="19"/>
  <c r="AH272" i="19"/>
  <c r="U271" i="19"/>
  <c r="AG272" i="19"/>
  <c r="T271" i="19"/>
  <c r="AF273" i="19"/>
  <c r="S272" i="19"/>
  <c r="AM272" i="19"/>
  <c r="Z271" i="19"/>
  <c r="AJ272" i="19"/>
  <c r="W271" i="19"/>
  <c r="AQ271" i="19" l="1"/>
  <c r="AD270" i="19"/>
  <c r="AM271" i="19"/>
  <c r="Z270" i="19"/>
  <c r="S271" i="19"/>
  <c r="AF272" i="19"/>
  <c r="U270" i="19"/>
  <c r="AH271" i="19"/>
  <c r="AA271" i="19"/>
  <c r="AN272" i="19"/>
  <c r="AP271" i="19"/>
  <c r="AC270" i="19"/>
  <c r="AK272" i="19"/>
  <c r="X271" i="19"/>
  <c r="W270" i="19"/>
  <c r="AJ271" i="19"/>
  <c r="AG271" i="19"/>
  <c r="T270" i="19"/>
  <c r="AB270" i="19"/>
  <c r="AO271" i="19"/>
  <c r="V270" i="19"/>
  <c r="AI271" i="19"/>
  <c r="AL272" i="19"/>
  <c r="Y271" i="19"/>
  <c r="Y270" i="19" l="1"/>
  <c r="AL271" i="19"/>
  <c r="AH270" i="19"/>
  <c r="U269" i="19"/>
  <c r="AK271" i="19"/>
  <c r="X270" i="19"/>
  <c r="V269" i="19"/>
  <c r="AI270" i="19"/>
  <c r="AF271" i="19"/>
  <c r="S270" i="19"/>
  <c r="Z269" i="19"/>
  <c r="AM270" i="19"/>
  <c r="AO270" i="19"/>
  <c r="AB269" i="19"/>
  <c r="AJ270" i="19"/>
  <c r="W269" i="19"/>
  <c r="AC269" i="19"/>
  <c r="AP270" i="19"/>
  <c r="T269" i="19"/>
  <c r="AG270" i="19"/>
  <c r="AD269" i="19"/>
  <c r="AQ270" i="19"/>
  <c r="AA270" i="19"/>
  <c r="AN271" i="19"/>
  <c r="X269" i="19" l="1"/>
  <c r="AK270" i="19"/>
  <c r="AN270" i="19"/>
  <c r="AA269" i="19"/>
  <c r="AB268" i="19"/>
  <c r="AO269" i="19"/>
  <c r="AJ269" i="19"/>
  <c r="W268" i="19"/>
  <c r="AQ269" i="19"/>
  <c r="AD268" i="19"/>
  <c r="T268" i="19"/>
  <c r="AG269" i="19"/>
  <c r="AM269" i="19"/>
  <c r="Z268" i="19"/>
  <c r="AF270" i="19"/>
  <c r="S269" i="19"/>
  <c r="V268" i="19"/>
  <c r="AI269" i="19"/>
  <c r="AH269" i="19"/>
  <c r="U268" i="19"/>
  <c r="AC268" i="19"/>
  <c r="AP269" i="19"/>
  <c r="AL270" i="19"/>
  <c r="Y269" i="19"/>
  <c r="W267" i="19" l="1"/>
  <c r="AJ268" i="19"/>
  <c r="AB267" i="19"/>
  <c r="AO268" i="19"/>
  <c r="AN269" i="19"/>
  <c r="AA268" i="19"/>
  <c r="AL269" i="19"/>
  <c r="Y268" i="19"/>
  <c r="Z267" i="19"/>
  <c r="AM268" i="19"/>
  <c r="AC267" i="19"/>
  <c r="AP268" i="19"/>
  <c r="AQ268" i="19"/>
  <c r="AD267" i="19"/>
  <c r="S268" i="19"/>
  <c r="AF269" i="19"/>
  <c r="AH268" i="19"/>
  <c r="U267" i="19"/>
  <c r="T267" i="19"/>
  <c r="AG268" i="19"/>
  <c r="AI268" i="19"/>
  <c r="V267" i="19"/>
  <c r="AK269" i="19"/>
  <c r="X268" i="19"/>
  <c r="Y267" i="19" l="1"/>
  <c r="AL268" i="19"/>
  <c r="AN268" i="19"/>
  <c r="AA267" i="19"/>
  <c r="X267" i="19"/>
  <c r="AK268" i="19"/>
  <c r="AD266" i="19"/>
  <c r="AQ267" i="19"/>
  <c r="T266" i="19"/>
  <c r="AG267" i="19"/>
  <c r="S267" i="19"/>
  <c r="AF268" i="19"/>
  <c r="AI267" i="19"/>
  <c r="V266" i="19"/>
  <c r="AO267" i="19"/>
  <c r="AB266" i="19"/>
  <c r="AH267" i="19"/>
  <c r="U266" i="19"/>
  <c r="AP267" i="19"/>
  <c r="AC266" i="19"/>
  <c r="AM267" i="19"/>
  <c r="Z266" i="19"/>
  <c r="W266" i="19"/>
  <c r="AJ267" i="19"/>
  <c r="AJ266" i="19" l="1"/>
  <c r="W265" i="19"/>
  <c r="V265" i="19"/>
  <c r="AI266" i="19"/>
  <c r="AQ266" i="19"/>
  <c r="AD265" i="19"/>
  <c r="AF267" i="19"/>
  <c r="S266" i="19"/>
  <c r="Z265" i="19"/>
  <c r="AM266" i="19"/>
  <c r="AC265" i="19"/>
  <c r="AP266" i="19"/>
  <c r="U265" i="19"/>
  <c r="AH266" i="19"/>
  <c r="AB265" i="19"/>
  <c r="AO266" i="19"/>
  <c r="AK267" i="19"/>
  <c r="X266" i="19"/>
  <c r="AA266" i="19"/>
  <c r="AN267" i="19"/>
  <c r="AG266" i="19"/>
  <c r="T265" i="19"/>
  <c r="Y266" i="19"/>
  <c r="AL267" i="19"/>
  <c r="AF266" i="19" l="1"/>
  <c r="S265" i="19"/>
  <c r="AG265" i="19"/>
  <c r="T264" i="19"/>
  <c r="AO265" i="19"/>
  <c r="AB264" i="19"/>
  <c r="AP265" i="19"/>
  <c r="AC264" i="19"/>
  <c r="AL266" i="19"/>
  <c r="Y265" i="19"/>
  <c r="AQ265" i="19"/>
  <c r="AD264" i="19"/>
  <c r="V264" i="19"/>
  <c r="AI265" i="19"/>
  <c r="AK266" i="19"/>
  <c r="X265" i="19"/>
  <c r="W264" i="19"/>
  <c r="AJ265" i="19"/>
  <c r="AH265" i="19"/>
  <c r="U264" i="19"/>
  <c r="AA265" i="19"/>
  <c r="AN266" i="19"/>
  <c r="Z264" i="19"/>
  <c r="AM265" i="19"/>
  <c r="AC263" i="19" l="1"/>
  <c r="AP264" i="19"/>
  <c r="X264" i="19"/>
  <c r="AK265" i="19"/>
  <c r="AB263" i="19"/>
  <c r="AO264" i="19"/>
  <c r="AH264" i="19"/>
  <c r="U263" i="19"/>
  <c r="Z263" i="19"/>
  <c r="AM264" i="19"/>
  <c r="AA264" i="19"/>
  <c r="AN265" i="19"/>
  <c r="AD263" i="19"/>
  <c r="AQ264" i="19"/>
  <c r="Y264" i="19"/>
  <c r="AL265" i="19"/>
  <c r="S264" i="19"/>
  <c r="AF265" i="19"/>
  <c r="V263" i="19"/>
  <c r="AI264" i="19"/>
  <c r="AG264" i="19"/>
  <c r="T263" i="19"/>
  <c r="W263" i="19"/>
  <c r="AJ264" i="19"/>
  <c r="AQ263" i="19" l="1"/>
  <c r="AD262" i="19"/>
  <c r="AL264" i="19"/>
  <c r="Y263" i="19"/>
  <c r="V262" i="19"/>
  <c r="AI263" i="19"/>
  <c r="U262" i="19"/>
  <c r="AH263" i="19"/>
  <c r="T262" i="19"/>
  <c r="AG263" i="19"/>
  <c r="X263" i="19"/>
  <c r="AK264" i="19"/>
  <c r="W262" i="19"/>
  <c r="AJ263" i="19"/>
  <c r="AB262" i="19"/>
  <c r="AO263" i="19"/>
  <c r="AA263" i="19"/>
  <c r="AN264" i="19"/>
  <c r="S263" i="19"/>
  <c r="AF264" i="19"/>
  <c r="Z262" i="19"/>
  <c r="AM263" i="19"/>
  <c r="AC262" i="19"/>
  <c r="AP263" i="19"/>
  <c r="W261" i="19" l="1"/>
  <c r="AJ262" i="19"/>
  <c r="AC261" i="19"/>
  <c r="AP262" i="19"/>
  <c r="AB261" i="19"/>
  <c r="AO262" i="19"/>
  <c r="AH262" i="19"/>
  <c r="U261" i="19"/>
  <c r="V261" i="19"/>
  <c r="AI262" i="19"/>
  <c r="AK263" i="19"/>
  <c r="X262" i="19"/>
  <c r="AQ262" i="19"/>
  <c r="AD261" i="19"/>
  <c r="Z261" i="19"/>
  <c r="AM262" i="19"/>
  <c r="AL263" i="19"/>
  <c r="Y262" i="19"/>
  <c r="AF263" i="19"/>
  <c r="S262" i="19"/>
  <c r="AN263" i="19"/>
  <c r="AA262" i="19"/>
  <c r="AG262" i="19"/>
  <c r="T261" i="19"/>
  <c r="Z260" i="19" l="1"/>
  <c r="AM261" i="19"/>
  <c r="AD260" i="19"/>
  <c r="AQ261" i="19"/>
  <c r="S261" i="19"/>
  <c r="AF262" i="19"/>
  <c r="U260" i="19"/>
  <c r="AH261" i="19"/>
  <c r="AA261" i="19"/>
  <c r="AN262" i="19"/>
  <c r="AB260" i="19"/>
  <c r="AO261" i="19"/>
  <c r="AC260" i="19"/>
  <c r="AP261" i="19"/>
  <c r="T260" i="19"/>
  <c r="AG261" i="19"/>
  <c r="X261" i="19"/>
  <c r="AK262" i="19"/>
  <c r="AL262" i="19"/>
  <c r="Y261" i="19"/>
  <c r="AI261" i="19"/>
  <c r="V260" i="19"/>
  <c r="W260" i="19"/>
  <c r="AJ261" i="19"/>
  <c r="AP260" i="19" l="1"/>
  <c r="AC259" i="19"/>
  <c r="AI260" i="19"/>
  <c r="V259" i="19"/>
  <c r="T259" i="19"/>
  <c r="AG260" i="19"/>
  <c r="AF261" i="19"/>
  <c r="S260" i="19"/>
  <c r="AQ260" i="19"/>
  <c r="AD259" i="19"/>
  <c r="W259" i="19"/>
  <c r="AJ260" i="19"/>
  <c r="Y260" i="19"/>
  <c r="AL261" i="19"/>
  <c r="AO260" i="19"/>
  <c r="AB259" i="19"/>
  <c r="U259" i="19"/>
  <c r="AH260" i="19"/>
  <c r="AK261" i="19"/>
  <c r="X260" i="19"/>
  <c r="AA260" i="19"/>
  <c r="AN261" i="19"/>
  <c r="AM260" i="19"/>
  <c r="Z259" i="19"/>
  <c r="S259" i="19" l="1"/>
  <c r="AF260" i="19"/>
  <c r="AB258" i="19"/>
  <c r="AO259" i="19"/>
  <c r="AA259" i="19"/>
  <c r="AN260" i="19"/>
  <c r="T258" i="19"/>
  <c r="AG259" i="19"/>
  <c r="AM259" i="19"/>
  <c r="Z258" i="19"/>
  <c r="AL260" i="19"/>
  <c r="Y259" i="19"/>
  <c r="AJ259" i="19"/>
  <c r="W258" i="19"/>
  <c r="AD258" i="19"/>
  <c r="AQ259" i="19"/>
  <c r="AC258" i="19"/>
  <c r="AP259" i="19"/>
  <c r="X259" i="19"/>
  <c r="AK260" i="19"/>
  <c r="V258" i="19"/>
  <c r="AI259" i="19"/>
  <c r="U258" i="19"/>
  <c r="AH259" i="19"/>
  <c r="AG258" i="19" l="1"/>
  <c r="T257" i="19"/>
  <c r="U257" i="19"/>
  <c r="AH258" i="19"/>
  <c r="Y258" i="19"/>
  <c r="AL259" i="19"/>
  <c r="AQ258" i="19"/>
  <c r="AD257" i="19"/>
  <c r="V257" i="19"/>
  <c r="AI258" i="19"/>
  <c r="AB257" i="19"/>
  <c r="AO258" i="19"/>
  <c r="AJ258" i="19"/>
  <c r="W257" i="19"/>
  <c r="AA258" i="19"/>
  <c r="AN259" i="19"/>
  <c r="Z257" i="19"/>
  <c r="AM258" i="19"/>
  <c r="AK259" i="19"/>
  <c r="X258" i="19"/>
  <c r="AC257" i="19"/>
  <c r="AP258" i="19"/>
  <c r="S258" i="19"/>
  <c r="AF259" i="19"/>
  <c r="S257" i="19" l="1"/>
  <c r="AF258" i="19"/>
  <c r="X257" i="19"/>
  <c r="AK258" i="19"/>
  <c r="AA257" i="19"/>
  <c r="AN258" i="19"/>
  <c r="AL258" i="19"/>
  <c r="Y257" i="19"/>
  <c r="AD256" i="19"/>
  <c r="AQ257" i="19"/>
  <c r="AC256" i="19"/>
  <c r="AP257" i="19"/>
  <c r="AH257" i="19"/>
  <c r="U256" i="19"/>
  <c r="AG257" i="19"/>
  <c r="T256" i="19"/>
  <c r="W256" i="19"/>
  <c r="AJ257" i="19"/>
  <c r="AB256" i="19"/>
  <c r="AO257" i="19"/>
  <c r="AM257" i="19"/>
  <c r="Z256" i="19"/>
  <c r="V256" i="19"/>
  <c r="AI257" i="19"/>
  <c r="AL257" i="19" l="1"/>
  <c r="Y256" i="19"/>
  <c r="V255" i="19"/>
  <c r="AI256" i="19"/>
  <c r="T255" i="19"/>
  <c r="AG256" i="19"/>
  <c r="Z255" i="19"/>
  <c r="AM256" i="19"/>
  <c r="AA256" i="19"/>
  <c r="AN257" i="19"/>
  <c r="AC255" i="19"/>
  <c r="AP256" i="19"/>
  <c r="AK257" i="19"/>
  <c r="X256" i="19"/>
  <c r="U255" i="19"/>
  <c r="AH256" i="19"/>
  <c r="AB255" i="19"/>
  <c r="AO256" i="19"/>
  <c r="W255" i="19"/>
  <c r="AJ256" i="19"/>
  <c r="AQ256" i="19"/>
  <c r="AD255" i="19"/>
  <c r="S256" i="19"/>
  <c r="AF257" i="19"/>
  <c r="X255" i="19" l="1"/>
  <c r="AK256" i="19"/>
  <c r="AM255" i="19"/>
  <c r="Z254" i="19"/>
  <c r="T254" i="19"/>
  <c r="AG255" i="19"/>
  <c r="V254" i="19"/>
  <c r="AI255" i="19"/>
  <c r="S255" i="19"/>
  <c r="AF256" i="19"/>
  <c r="AQ255" i="19"/>
  <c r="AD254" i="19"/>
  <c r="AP255" i="19"/>
  <c r="AC254" i="19"/>
  <c r="Y255" i="19"/>
  <c r="AL256" i="19"/>
  <c r="U254" i="19"/>
  <c r="AH255" i="19"/>
  <c r="W254" i="19"/>
  <c r="AJ255" i="19"/>
  <c r="AB254" i="19"/>
  <c r="AO255" i="19"/>
  <c r="AN256" i="19"/>
  <c r="AA255" i="19"/>
  <c r="AI254" i="19" l="1"/>
  <c r="V253" i="19"/>
  <c r="AQ254" i="19"/>
  <c r="AD253" i="19"/>
  <c r="AC253" i="19"/>
  <c r="AP254" i="19"/>
  <c r="AN255" i="19"/>
  <c r="AA254" i="19"/>
  <c r="T253" i="19"/>
  <c r="AG254" i="19"/>
  <c r="AJ254" i="19"/>
  <c r="W253" i="19"/>
  <c r="AL255" i="19"/>
  <c r="Y254" i="19"/>
  <c r="AB253" i="19"/>
  <c r="AO254" i="19"/>
  <c r="AM254" i="19"/>
  <c r="Z253" i="19"/>
  <c r="U253" i="19"/>
  <c r="AH254" i="19"/>
  <c r="S254" i="19"/>
  <c r="AF255" i="19"/>
  <c r="AK255" i="19"/>
  <c r="X254" i="19"/>
  <c r="AK254" i="19" l="1"/>
  <c r="X253" i="19"/>
  <c r="AA253" i="19"/>
  <c r="AN254" i="19"/>
  <c r="AL254" i="19"/>
  <c r="Y253" i="19"/>
  <c r="AQ253" i="19"/>
  <c r="AD252" i="19"/>
  <c r="AP253" i="19"/>
  <c r="AC252" i="19"/>
  <c r="AB252" i="19"/>
  <c r="AO253" i="19"/>
  <c r="Z252" i="19"/>
  <c r="AM253" i="19"/>
  <c r="V252" i="19"/>
  <c r="AI253" i="19"/>
  <c r="S253" i="19"/>
  <c r="AF254" i="19"/>
  <c r="W252" i="19"/>
  <c r="AJ253" i="19"/>
  <c r="U252" i="19"/>
  <c r="AH253" i="19"/>
  <c r="AG253" i="19"/>
  <c r="T252" i="19"/>
  <c r="AG252" i="19" l="1"/>
  <c r="T251" i="19"/>
  <c r="AH252" i="19"/>
  <c r="U251" i="19"/>
  <c r="AD251" i="19"/>
  <c r="AQ252" i="19"/>
  <c r="AM252" i="19"/>
  <c r="Z251" i="19"/>
  <c r="AO252" i="19"/>
  <c r="AB251" i="19"/>
  <c r="W251" i="19"/>
  <c r="AJ252" i="19"/>
  <c r="AC251" i="19"/>
  <c r="AP252" i="19"/>
  <c r="X252" i="19"/>
  <c r="AK253" i="19"/>
  <c r="V251" i="19"/>
  <c r="AI252" i="19"/>
  <c r="AL253" i="19"/>
  <c r="Y252" i="19"/>
  <c r="AA252" i="19"/>
  <c r="AN253" i="19"/>
  <c r="S252" i="19"/>
  <c r="AF253" i="19"/>
  <c r="AM251" i="19" l="1"/>
  <c r="Z250" i="19"/>
  <c r="AN252" i="19"/>
  <c r="AA251" i="19"/>
  <c r="S251" i="19"/>
  <c r="AF252" i="19"/>
  <c r="AC250" i="19"/>
  <c r="AP251" i="19"/>
  <c r="W250" i="19"/>
  <c r="AJ251" i="19"/>
  <c r="AQ251" i="19"/>
  <c r="AD250" i="19"/>
  <c r="AO251" i="19"/>
  <c r="AB250" i="19"/>
  <c r="T250" i="19"/>
  <c r="AG251" i="19"/>
  <c r="X251" i="19"/>
  <c r="AK252" i="19"/>
  <c r="Y251" i="19"/>
  <c r="AL252" i="19"/>
  <c r="AH251" i="19"/>
  <c r="U250" i="19"/>
  <c r="V250" i="19"/>
  <c r="AI251" i="19"/>
  <c r="AC248" i="19" l="1"/>
  <c r="AP250" i="19"/>
  <c r="AG250" i="19"/>
  <c r="T248" i="19"/>
  <c r="S250" i="19"/>
  <c r="AF251" i="19"/>
  <c r="V248" i="19"/>
  <c r="AI250" i="19"/>
  <c r="AL251" i="19"/>
  <c r="Y250" i="19"/>
  <c r="AH250" i="19"/>
  <c r="U248" i="19"/>
  <c r="AQ250" i="19"/>
  <c r="AD248" i="19"/>
  <c r="AM250" i="19"/>
  <c r="Z248" i="19"/>
  <c r="AB248" i="19"/>
  <c r="AO250" i="19"/>
  <c r="AA250" i="19"/>
  <c r="AN251" i="19"/>
  <c r="AK251" i="19"/>
  <c r="X250" i="19"/>
  <c r="AJ250" i="19"/>
  <c r="W248" i="19"/>
  <c r="AM248" i="19" l="1"/>
  <c r="Z247" i="19"/>
  <c r="X248" i="19"/>
  <c r="AK250" i="19"/>
  <c r="S248" i="19"/>
  <c r="AF250" i="19"/>
  <c r="AA248" i="19"/>
  <c r="AN250" i="19"/>
  <c r="W247" i="19"/>
  <c r="AJ248" i="19"/>
  <c r="V247" i="19"/>
  <c r="AI248" i="19"/>
  <c r="U247" i="19"/>
  <c r="AH248" i="19"/>
  <c r="Y248" i="19"/>
  <c r="AL250" i="19"/>
  <c r="AD247" i="19"/>
  <c r="AQ248" i="19"/>
  <c r="T247" i="19"/>
  <c r="AG248" i="19"/>
  <c r="AO248" i="19"/>
  <c r="AB247" i="19"/>
  <c r="AC247" i="19"/>
  <c r="AP248" i="19"/>
  <c r="AA247" i="19" l="1"/>
  <c r="AN248" i="19"/>
  <c r="AO247" i="19"/>
  <c r="AB246" i="19"/>
  <c r="AF248" i="19"/>
  <c r="S247" i="19"/>
  <c r="X247" i="19"/>
  <c r="AK248" i="19"/>
  <c r="Y247" i="19"/>
  <c r="AL248" i="19"/>
  <c r="V246" i="19"/>
  <c r="AI247" i="19"/>
  <c r="AM247" i="19"/>
  <c r="Z246" i="19"/>
  <c r="AC246" i="19"/>
  <c r="AP247" i="19"/>
  <c r="AH247" i="19"/>
  <c r="U246" i="19"/>
  <c r="T246" i="19"/>
  <c r="AG247" i="19"/>
  <c r="AD246" i="19"/>
  <c r="AQ247" i="19"/>
  <c r="W246" i="19"/>
  <c r="AJ247" i="19"/>
  <c r="W245" i="19" l="1"/>
  <c r="AJ246" i="19"/>
  <c r="S246" i="19"/>
  <c r="AF247" i="19"/>
  <c r="Z245" i="19"/>
  <c r="AM246" i="19"/>
  <c r="V245" i="19"/>
  <c r="AI246" i="19"/>
  <c r="AK247" i="19"/>
  <c r="X246" i="19"/>
  <c r="AD245" i="19"/>
  <c r="AQ246" i="19"/>
  <c r="AO246" i="19"/>
  <c r="AB245" i="19"/>
  <c r="U245" i="19"/>
  <c r="AH246" i="19"/>
  <c r="AC245" i="19"/>
  <c r="AP246" i="19"/>
  <c r="T245" i="19"/>
  <c r="AG246" i="19"/>
  <c r="AL247" i="19"/>
  <c r="Y246" i="19"/>
  <c r="AN247" i="19"/>
  <c r="AA246" i="19"/>
  <c r="AA245" i="19" l="1"/>
  <c r="AN246" i="19"/>
  <c r="U244" i="19"/>
  <c r="AH245" i="19"/>
  <c r="AL246" i="19"/>
  <c r="Y245" i="19"/>
  <c r="T244" i="19"/>
  <c r="AG245" i="19"/>
  <c r="AI245" i="19"/>
  <c r="V244" i="19"/>
  <c r="Z244" i="19"/>
  <c r="AM245" i="19"/>
  <c r="AD244" i="19"/>
  <c r="AQ245" i="19"/>
  <c r="S245" i="19"/>
  <c r="AF246" i="19"/>
  <c r="AK246" i="19"/>
  <c r="X245" i="19"/>
  <c r="AB244" i="19"/>
  <c r="AO245" i="19"/>
  <c r="AC244" i="19"/>
  <c r="AP245" i="19"/>
  <c r="AJ245" i="19"/>
  <c r="W244" i="19"/>
  <c r="AJ244" i="19" l="1"/>
  <c r="W243" i="19"/>
  <c r="AC243" i="19"/>
  <c r="AP244" i="19"/>
  <c r="Y244" i="19"/>
  <c r="AL245" i="19"/>
  <c r="U243" i="19"/>
  <c r="AH244" i="19"/>
  <c r="AF245" i="19"/>
  <c r="S244" i="19"/>
  <c r="AM244" i="19"/>
  <c r="Z243" i="19"/>
  <c r="AI244" i="19"/>
  <c r="V243" i="19"/>
  <c r="T243" i="19"/>
  <c r="AG244" i="19"/>
  <c r="AQ244" i="19"/>
  <c r="AD243" i="19"/>
  <c r="AB243" i="19"/>
  <c r="AO244" i="19"/>
  <c r="AK245" i="19"/>
  <c r="X244" i="19"/>
  <c r="AA244" i="19"/>
  <c r="AN245" i="19"/>
  <c r="AA243" i="19" l="1"/>
  <c r="AN244" i="19"/>
  <c r="T242" i="19"/>
  <c r="AG243" i="19"/>
  <c r="Z242" i="19"/>
  <c r="AM243" i="19"/>
  <c r="AH243" i="19"/>
  <c r="U242" i="19"/>
  <c r="X243" i="19"/>
  <c r="AK244" i="19"/>
  <c r="AL244" i="19"/>
  <c r="Y243" i="19"/>
  <c r="AB242" i="19"/>
  <c r="AO243" i="19"/>
  <c r="AQ243" i="19"/>
  <c r="AD242" i="19"/>
  <c r="AF244" i="19"/>
  <c r="S243" i="19"/>
  <c r="AJ243" i="19"/>
  <c r="W242" i="19"/>
  <c r="V242" i="19"/>
  <c r="AI243" i="19"/>
  <c r="AC242" i="19"/>
  <c r="AP243" i="19"/>
  <c r="AQ242" i="19" l="1"/>
  <c r="AD241" i="19"/>
  <c r="V241" i="19"/>
  <c r="AI242" i="19"/>
  <c r="AB241" i="19"/>
  <c r="AO242" i="19"/>
  <c r="U241" i="19"/>
  <c r="AH242" i="19"/>
  <c r="AM242" i="19"/>
  <c r="Z241" i="19"/>
  <c r="AC241" i="19"/>
  <c r="AP242" i="19"/>
  <c r="Y242" i="19"/>
  <c r="AL243" i="19"/>
  <c r="S242" i="19"/>
  <c r="AF243" i="19"/>
  <c r="W241" i="19"/>
  <c r="AJ242" i="19"/>
  <c r="AG242" i="19"/>
  <c r="T241" i="19"/>
  <c r="AK243" i="19"/>
  <c r="X242" i="19"/>
  <c r="AN243" i="19"/>
  <c r="AA242" i="19"/>
  <c r="AF242" i="19" l="1"/>
  <c r="S241" i="19"/>
  <c r="AG241" i="19"/>
  <c r="T240" i="19"/>
  <c r="AK242" i="19"/>
  <c r="X241" i="19"/>
  <c r="Y241" i="19"/>
  <c r="AL242" i="19"/>
  <c r="AC240" i="19"/>
  <c r="AP241" i="19"/>
  <c r="Z240" i="19"/>
  <c r="AM241" i="19"/>
  <c r="AD240" i="19"/>
  <c r="AQ241" i="19"/>
  <c r="AA241" i="19"/>
  <c r="AN242" i="19"/>
  <c r="U240" i="19"/>
  <c r="AH241" i="19"/>
  <c r="AB240" i="19"/>
  <c r="AO241" i="19"/>
  <c r="AI241" i="19"/>
  <c r="V240" i="19"/>
  <c r="W240" i="19"/>
  <c r="AJ241" i="19"/>
  <c r="Y240" i="19" l="1"/>
  <c r="AL241" i="19"/>
  <c r="W239" i="19"/>
  <c r="AJ240" i="19"/>
  <c r="X240" i="19"/>
  <c r="AK241" i="19"/>
  <c r="AA240" i="19"/>
  <c r="AN241" i="19"/>
  <c r="AQ240" i="19"/>
  <c r="AD239" i="19"/>
  <c r="Z239" i="19"/>
  <c r="AM240" i="19"/>
  <c r="S240" i="19"/>
  <c r="AF241" i="19"/>
  <c r="V239" i="19"/>
  <c r="AI240" i="19"/>
  <c r="T239" i="19"/>
  <c r="AG240" i="19"/>
  <c r="AB239" i="19"/>
  <c r="AO240" i="19"/>
  <c r="U239" i="19"/>
  <c r="AH240" i="19"/>
  <c r="AC239" i="19"/>
  <c r="AP240" i="19"/>
  <c r="X239" i="19" l="1"/>
  <c r="AK240" i="19"/>
  <c r="AN240" i="19"/>
  <c r="AA239" i="19"/>
  <c r="U238" i="19"/>
  <c r="AH239" i="19"/>
  <c r="W238" i="19"/>
  <c r="AJ239" i="19"/>
  <c r="V238" i="19"/>
  <c r="AI239" i="19"/>
  <c r="S239" i="19"/>
  <c r="AF240" i="19"/>
  <c r="Z238" i="19"/>
  <c r="AM239" i="19"/>
  <c r="AD238" i="19"/>
  <c r="AQ239" i="19"/>
  <c r="AP239" i="19"/>
  <c r="AC238" i="19"/>
  <c r="AB238" i="19"/>
  <c r="AO239" i="19"/>
  <c r="AG239" i="19"/>
  <c r="T238" i="19"/>
  <c r="Y239" i="19"/>
  <c r="AL240" i="19"/>
  <c r="Z237" i="19" l="1"/>
  <c r="AM238" i="19"/>
  <c r="W237" i="19"/>
  <c r="AJ238" i="19"/>
  <c r="Y238" i="19"/>
  <c r="AL239" i="19"/>
  <c r="AF239" i="19"/>
  <c r="S238" i="19"/>
  <c r="AQ238" i="19"/>
  <c r="AD237" i="19"/>
  <c r="U237" i="19"/>
  <c r="AH238" i="19"/>
  <c r="AP238" i="19"/>
  <c r="AC237" i="19"/>
  <c r="T237" i="19"/>
  <c r="AG238" i="19"/>
  <c r="AA238" i="19"/>
  <c r="AN239" i="19"/>
  <c r="AO238" i="19"/>
  <c r="AB237" i="19"/>
  <c r="V237" i="19"/>
  <c r="AI238" i="19"/>
  <c r="AK239" i="19"/>
  <c r="X238" i="19"/>
  <c r="X237" i="19" l="1"/>
  <c r="AK238" i="19"/>
  <c r="V236" i="19"/>
  <c r="AI237" i="19"/>
  <c r="AG237" i="19"/>
  <c r="T236" i="19"/>
  <c r="AF238" i="19"/>
  <c r="S237" i="19"/>
  <c r="AP237" i="19"/>
  <c r="AC236" i="19"/>
  <c r="AB236" i="19"/>
  <c r="AO237" i="19"/>
  <c r="AJ237" i="19"/>
  <c r="W236" i="19"/>
  <c r="AQ237" i="19"/>
  <c r="AD236" i="19"/>
  <c r="AL238" i="19"/>
  <c r="Y237" i="19"/>
  <c r="U236" i="19"/>
  <c r="AH237" i="19"/>
  <c r="AA237" i="19"/>
  <c r="AN238" i="19"/>
  <c r="AM237" i="19"/>
  <c r="Z236" i="19"/>
  <c r="AF237" i="19" l="1"/>
  <c r="S236" i="19"/>
  <c r="W235" i="19"/>
  <c r="AJ236" i="19"/>
  <c r="Z235" i="19"/>
  <c r="AM236" i="19"/>
  <c r="AG236" i="19"/>
  <c r="T235" i="19"/>
  <c r="V235" i="19"/>
  <c r="AI236" i="19"/>
  <c r="AQ236" i="19"/>
  <c r="AD235" i="19"/>
  <c r="AB235" i="19"/>
  <c r="AO236" i="19"/>
  <c r="AC235" i="19"/>
  <c r="AP236" i="19"/>
  <c r="AA236" i="19"/>
  <c r="AN237" i="19"/>
  <c r="AH236" i="19"/>
  <c r="U235" i="19"/>
  <c r="AL237" i="19"/>
  <c r="Y236" i="19"/>
  <c r="X236" i="19"/>
  <c r="AK237" i="19"/>
  <c r="AC234" i="19" l="1"/>
  <c r="AP235" i="19"/>
  <c r="AM235" i="19"/>
  <c r="Z234" i="19"/>
  <c r="T234" i="19"/>
  <c r="AG235" i="19"/>
  <c r="Y235" i="19"/>
  <c r="AL236" i="19"/>
  <c r="AB234" i="19"/>
  <c r="AO235" i="19"/>
  <c r="W234" i="19"/>
  <c r="AJ235" i="19"/>
  <c r="AH235" i="19"/>
  <c r="U234" i="19"/>
  <c r="AF236" i="19"/>
  <c r="S235" i="19"/>
  <c r="AK236" i="19"/>
  <c r="X235" i="19"/>
  <c r="AQ235" i="19"/>
  <c r="AD234" i="19"/>
  <c r="AA235" i="19"/>
  <c r="AN236" i="19"/>
  <c r="V234" i="19"/>
  <c r="AI235" i="19"/>
  <c r="Y234" i="19" l="1"/>
  <c r="AL235" i="19"/>
  <c r="AD233" i="19"/>
  <c r="AQ234" i="19"/>
  <c r="V233" i="19"/>
  <c r="AI234" i="19"/>
  <c r="AN235" i="19"/>
  <c r="AA234" i="19"/>
  <c r="W233" i="19"/>
  <c r="AJ234" i="19"/>
  <c r="S234" i="19"/>
  <c r="AF235" i="19"/>
  <c r="T233" i="19"/>
  <c r="AG234" i="19"/>
  <c r="AK235" i="19"/>
  <c r="X234" i="19"/>
  <c r="AH234" i="19"/>
  <c r="U233" i="19"/>
  <c r="Z233" i="19"/>
  <c r="AM234" i="19"/>
  <c r="AB233" i="19"/>
  <c r="AO234" i="19"/>
  <c r="AP234" i="19"/>
  <c r="AC233" i="19"/>
  <c r="AC232" i="19" l="1"/>
  <c r="AP233" i="19"/>
  <c r="AA233" i="19"/>
  <c r="AN234" i="19"/>
  <c r="X233" i="19"/>
  <c r="AK234" i="19"/>
  <c r="AI233" i="19"/>
  <c r="V232" i="19"/>
  <c r="S233" i="19"/>
  <c r="AF234" i="19"/>
  <c r="T232" i="19"/>
  <c r="AG233" i="19"/>
  <c r="AD232" i="19"/>
  <c r="AQ233" i="19"/>
  <c r="U232" i="19"/>
  <c r="AH233" i="19"/>
  <c r="AB232" i="19"/>
  <c r="AO233" i="19"/>
  <c r="AM233" i="19"/>
  <c r="Z232" i="19"/>
  <c r="AJ233" i="19"/>
  <c r="W232" i="19"/>
  <c r="AL234" i="19"/>
  <c r="Y233" i="19"/>
  <c r="AI232" i="19" l="1"/>
  <c r="V231" i="19"/>
  <c r="AM232" i="19"/>
  <c r="Z231" i="19"/>
  <c r="Y232" i="19"/>
  <c r="AL233" i="19"/>
  <c r="AH232" i="19"/>
  <c r="U231" i="19"/>
  <c r="T231" i="19"/>
  <c r="AG232" i="19"/>
  <c r="AJ232" i="19"/>
  <c r="W231" i="19"/>
  <c r="AD231" i="19"/>
  <c r="AQ232" i="19"/>
  <c r="AN233" i="19"/>
  <c r="AA232" i="19"/>
  <c r="X232" i="19"/>
  <c r="AK233" i="19"/>
  <c r="AB231" i="19"/>
  <c r="AO232" i="19"/>
  <c r="AF233" i="19"/>
  <c r="S232" i="19"/>
  <c r="AC231" i="19"/>
  <c r="AP232" i="19"/>
  <c r="AH231" i="19" l="1"/>
  <c r="U230" i="19"/>
  <c r="AN232" i="19"/>
  <c r="AA231" i="19"/>
  <c r="S231" i="19"/>
  <c r="AF232" i="19"/>
  <c r="W230" i="19"/>
  <c r="AJ231" i="19"/>
  <c r="AC230" i="19"/>
  <c r="AP231" i="19"/>
  <c r="Y231" i="19"/>
  <c r="AL232" i="19"/>
  <c r="AD230" i="19"/>
  <c r="AQ231" i="19"/>
  <c r="V230" i="19"/>
  <c r="AI231" i="19"/>
  <c r="AM231" i="19"/>
  <c r="Z230" i="19"/>
  <c r="AB230" i="19"/>
  <c r="AO231" i="19"/>
  <c r="AK232" i="19"/>
  <c r="X231" i="19"/>
  <c r="T230" i="19"/>
  <c r="AG231" i="19"/>
  <c r="AI230" i="19" l="1"/>
  <c r="V229" i="19"/>
  <c r="W229" i="19"/>
  <c r="AJ230" i="19"/>
  <c r="AF231" i="19"/>
  <c r="S230" i="19"/>
  <c r="AG230" i="19"/>
  <c r="T229" i="19"/>
  <c r="AO230" i="19"/>
  <c r="AB229" i="19"/>
  <c r="AM230" i="19"/>
  <c r="Z229" i="19"/>
  <c r="U229" i="19"/>
  <c r="AH230" i="19"/>
  <c r="X230" i="19"/>
  <c r="AK231" i="19"/>
  <c r="AQ230" i="19"/>
  <c r="AD229" i="19"/>
  <c r="AA230" i="19"/>
  <c r="AN231" i="19"/>
  <c r="Y230" i="19"/>
  <c r="AL231" i="19"/>
  <c r="AP230" i="19"/>
  <c r="AC229" i="19"/>
  <c r="AL230" i="19" l="1"/>
  <c r="Y229" i="19"/>
  <c r="AG229" i="19"/>
  <c r="T228" i="19"/>
  <c r="U228" i="19"/>
  <c r="AH229" i="19"/>
  <c r="X229" i="19"/>
  <c r="AK230" i="19"/>
  <c r="AF230" i="19"/>
  <c r="S229" i="19"/>
  <c r="AN230" i="19"/>
  <c r="AA229" i="19"/>
  <c r="AD228" i="19"/>
  <c r="AQ229" i="19"/>
  <c r="AO229" i="19"/>
  <c r="AB228" i="19"/>
  <c r="V228" i="19"/>
  <c r="AI229" i="19"/>
  <c r="AC228" i="19"/>
  <c r="AP229" i="19"/>
  <c r="Z228" i="19"/>
  <c r="AM229" i="19"/>
  <c r="W228" i="19"/>
  <c r="AJ229" i="19"/>
  <c r="AB227" i="19" l="1"/>
  <c r="AO228" i="19"/>
  <c r="T227" i="19"/>
  <c r="AG228" i="19"/>
  <c r="Z227" i="19"/>
  <c r="AM228" i="19"/>
  <c r="AK229" i="19"/>
  <c r="X228" i="19"/>
  <c r="AD227" i="19"/>
  <c r="AQ228" i="19"/>
  <c r="AF229" i="19"/>
  <c r="S228" i="19"/>
  <c r="Y228" i="19"/>
  <c r="AL229" i="19"/>
  <c r="W227" i="19"/>
  <c r="AJ228" i="19"/>
  <c r="U227" i="19"/>
  <c r="AH228" i="19"/>
  <c r="AN229" i="19"/>
  <c r="AA228" i="19"/>
  <c r="AP228" i="19"/>
  <c r="AC227" i="19"/>
  <c r="V227" i="19"/>
  <c r="AI228" i="19"/>
  <c r="W226" i="19" l="1"/>
  <c r="AJ227" i="19"/>
  <c r="V226" i="19"/>
  <c r="AI227" i="19"/>
  <c r="Z226" i="19"/>
  <c r="AM227" i="19"/>
  <c r="T226" i="19"/>
  <c r="AG227" i="19"/>
  <c r="AL228" i="19"/>
  <c r="Y227" i="19"/>
  <c r="AN228" i="19"/>
  <c r="AA227" i="19"/>
  <c r="AK228" i="19"/>
  <c r="X227" i="19"/>
  <c r="AP227" i="19"/>
  <c r="AC226" i="19"/>
  <c r="S227" i="19"/>
  <c r="AF228" i="19"/>
  <c r="U226" i="19"/>
  <c r="AH227" i="19"/>
  <c r="AQ227" i="19"/>
  <c r="AD226" i="19"/>
  <c r="AB226" i="19"/>
  <c r="AO227" i="19"/>
  <c r="AM226" i="19" l="1"/>
  <c r="Z225" i="19"/>
  <c r="AK227" i="19"/>
  <c r="X226" i="19"/>
  <c r="AA226" i="19"/>
  <c r="AN227" i="19"/>
  <c r="AG226" i="19"/>
  <c r="T225" i="19"/>
  <c r="AO226" i="19"/>
  <c r="AB225" i="19"/>
  <c r="AD225" i="19"/>
  <c r="AQ226" i="19"/>
  <c r="V225" i="19"/>
  <c r="AI226" i="19"/>
  <c r="Y226" i="19"/>
  <c r="AL227" i="19"/>
  <c r="AP226" i="19"/>
  <c r="AC225" i="19"/>
  <c r="AH226" i="19"/>
  <c r="U225" i="19"/>
  <c r="S226" i="19"/>
  <c r="AF227" i="19"/>
  <c r="W225" i="19"/>
  <c r="AJ226" i="19"/>
  <c r="Y225" i="19" l="1"/>
  <c r="AL226" i="19"/>
  <c r="AG225" i="19"/>
  <c r="T224" i="19"/>
  <c r="AN226" i="19"/>
  <c r="AA225" i="19"/>
  <c r="W224" i="19"/>
  <c r="AJ225" i="19"/>
  <c r="V224" i="19"/>
  <c r="AI225" i="19"/>
  <c r="AD224" i="19"/>
  <c r="AQ225" i="19"/>
  <c r="AC224" i="19"/>
  <c r="AP225" i="19"/>
  <c r="Z224" i="19"/>
  <c r="AM225" i="19"/>
  <c r="S225" i="19"/>
  <c r="AF226" i="19"/>
  <c r="U224" i="19"/>
  <c r="AH225" i="19"/>
  <c r="AK226" i="19"/>
  <c r="X225" i="19"/>
  <c r="AO225" i="19"/>
  <c r="AB224" i="19"/>
  <c r="AB223" i="19" l="1"/>
  <c r="AO224" i="19"/>
  <c r="W223" i="19"/>
  <c r="AJ224" i="19"/>
  <c r="AM224" i="19"/>
  <c r="Z223" i="19"/>
  <c r="AA224" i="19"/>
  <c r="AN225" i="19"/>
  <c r="AD223" i="19"/>
  <c r="AQ224" i="19"/>
  <c r="AC223" i="19"/>
  <c r="AP224" i="19"/>
  <c r="T223" i="19"/>
  <c r="AG224" i="19"/>
  <c r="X224" i="19"/>
  <c r="AK225" i="19"/>
  <c r="U223" i="19"/>
  <c r="AH224" i="19"/>
  <c r="S224" i="19"/>
  <c r="AF225" i="19"/>
  <c r="V223" i="19"/>
  <c r="AI224" i="19"/>
  <c r="Y224" i="19"/>
  <c r="AL225" i="19"/>
  <c r="V222" i="19" l="1"/>
  <c r="AI223" i="19"/>
  <c r="AL224" i="19"/>
  <c r="Y223" i="19"/>
  <c r="AA223" i="19"/>
  <c r="AN224" i="19"/>
  <c r="T222" i="19"/>
  <c r="AG223" i="19"/>
  <c r="W222" i="19"/>
  <c r="AJ223" i="19"/>
  <c r="Z222" i="19"/>
  <c r="AM223" i="19"/>
  <c r="AC222" i="19"/>
  <c r="AP223" i="19"/>
  <c r="X223" i="19"/>
  <c r="AK224" i="19"/>
  <c r="AF224" i="19"/>
  <c r="S223" i="19"/>
  <c r="U222" i="19"/>
  <c r="AH223" i="19"/>
  <c r="AD222" i="19"/>
  <c r="AQ223" i="19"/>
  <c r="AO223" i="19"/>
  <c r="AB222" i="19"/>
  <c r="AB221" i="19" l="1"/>
  <c r="AO222" i="19"/>
  <c r="AD221" i="19"/>
  <c r="AQ222" i="19"/>
  <c r="X222" i="19"/>
  <c r="AK223" i="19"/>
  <c r="T221" i="19"/>
  <c r="AG222" i="19"/>
  <c r="AC221" i="19"/>
  <c r="AP222" i="19"/>
  <c r="U221" i="19"/>
  <c r="AH222" i="19"/>
  <c r="AF223" i="19"/>
  <c r="S222" i="19"/>
  <c r="AA222" i="19"/>
  <c r="AN223" i="19"/>
  <c r="Y222" i="19"/>
  <c r="AL223" i="19"/>
  <c r="AM222" i="19"/>
  <c r="Z221" i="19"/>
  <c r="AJ222" i="19"/>
  <c r="W221" i="19"/>
  <c r="V221" i="19"/>
  <c r="AI222" i="19"/>
  <c r="V220" i="19" l="1"/>
  <c r="AI221" i="19"/>
  <c r="T220" i="19"/>
  <c r="AG221" i="19"/>
  <c r="W220" i="19"/>
  <c r="AJ221" i="19"/>
  <c r="U220" i="19"/>
  <c r="AH221" i="19"/>
  <c r="AN222" i="19"/>
  <c r="AA221" i="19"/>
  <c r="X221" i="19"/>
  <c r="AK222" i="19"/>
  <c r="AQ221" i="19"/>
  <c r="AD220" i="19"/>
  <c r="AF222" i="19"/>
  <c r="S221" i="19"/>
  <c r="Z220" i="19"/>
  <c r="AM221" i="19"/>
  <c r="Y221" i="19"/>
  <c r="AL222" i="19"/>
  <c r="AP221" i="19"/>
  <c r="AC220" i="19"/>
  <c r="AB220" i="19"/>
  <c r="AO221" i="19"/>
  <c r="AH220" i="19" l="1"/>
  <c r="U219" i="19"/>
  <c r="AP220" i="19"/>
  <c r="AC219" i="19"/>
  <c r="AQ220" i="19"/>
  <c r="AD219" i="19"/>
  <c r="W219" i="19"/>
  <c r="AJ220" i="19"/>
  <c r="X220" i="19"/>
  <c r="AK221" i="19"/>
  <c r="AB219" i="19"/>
  <c r="AO220" i="19"/>
  <c r="T219" i="19"/>
  <c r="AG220" i="19"/>
  <c r="AN221" i="19"/>
  <c r="AA220" i="19"/>
  <c r="AF221" i="19"/>
  <c r="S220" i="19"/>
  <c r="AL221" i="19"/>
  <c r="Y220" i="19"/>
  <c r="Z219" i="19"/>
  <c r="AM220" i="19"/>
  <c r="V219" i="19"/>
  <c r="AI220" i="19"/>
  <c r="AA219" i="19" l="1"/>
  <c r="AN220" i="19"/>
  <c r="T218" i="19"/>
  <c r="AG219" i="19"/>
  <c r="V218" i="19"/>
  <c r="AI219" i="19"/>
  <c r="AJ219" i="19"/>
  <c r="W218" i="19"/>
  <c r="Y219" i="19"/>
  <c r="AL220" i="19"/>
  <c r="AD218" i="19"/>
  <c r="AQ219" i="19"/>
  <c r="AB218" i="19"/>
  <c r="AO219" i="19"/>
  <c r="AM219" i="19"/>
  <c r="Z218" i="19"/>
  <c r="S219" i="19"/>
  <c r="AF220" i="19"/>
  <c r="U218" i="19"/>
  <c r="AH219" i="19"/>
  <c r="AC218" i="19"/>
  <c r="AP219" i="19"/>
  <c r="AK220" i="19"/>
  <c r="X219" i="19"/>
  <c r="W217" i="19" l="1"/>
  <c r="AJ218" i="19"/>
  <c r="Z217" i="19"/>
  <c r="AM218" i="19"/>
  <c r="V217" i="19"/>
  <c r="AI218" i="19"/>
  <c r="AQ218" i="19"/>
  <c r="AD217" i="19"/>
  <c r="AK219" i="19"/>
  <c r="X218" i="19"/>
  <c r="AC217" i="19"/>
  <c r="AP218" i="19"/>
  <c r="T217" i="19"/>
  <c r="AG218" i="19"/>
  <c r="AB217" i="19"/>
  <c r="AO218" i="19"/>
  <c r="U217" i="19"/>
  <c r="AH218" i="19"/>
  <c r="AF219" i="19"/>
  <c r="S218" i="19"/>
  <c r="Y218" i="19"/>
  <c r="AL219" i="19"/>
  <c r="AA218" i="19"/>
  <c r="AN219" i="19"/>
  <c r="AN218" i="19" l="1"/>
  <c r="AA217" i="19"/>
  <c r="AO217" i="19"/>
  <c r="AB213" i="19"/>
  <c r="V213" i="19"/>
  <c r="AI217" i="19"/>
  <c r="Y217" i="19"/>
  <c r="AL218" i="19"/>
  <c r="AC213" i="19"/>
  <c r="AP217" i="19"/>
  <c r="AD213" i="19"/>
  <c r="AQ217" i="19"/>
  <c r="AG217" i="19"/>
  <c r="T213" i="19"/>
  <c r="Z213" i="19"/>
  <c r="AM217" i="19"/>
  <c r="AK218" i="19"/>
  <c r="X217" i="19"/>
  <c r="AF218" i="19"/>
  <c r="S217" i="19"/>
  <c r="U213" i="19"/>
  <c r="AH217" i="19"/>
  <c r="W213" i="19"/>
  <c r="AJ217" i="19"/>
  <c r="AL217" i="19" l="1"/>
  <c r="Y213" i="19"/>
  <c r="AH213" i="19"/>
  <c r="U212" i="19"/>
  <c r="AQ213" i="19"/>
  <c r="AD212" i="19"/>
  <c r="Z212" i="19"/>
  <c r="AM213" i="19"/>
  <c r="AI213" i="19"/>
  <c r="V212" i="19"/>
  <c r="S213" i="19"/>
  <c r="AF217" i="19"/>
  <c r="X213" i="19"/>
  <c r="AK217" i="19"/>
  <c r="AA213" i="19"/>
  <c r="AN217" i="19"/>
  <c r="W212" i="19"/>
  <c r="AJ213" i="19"/>
  <c r="T212" i="19"/>
  <c r="AG213" i="19"/>
  <c r="AO213" i="19"/>
  <c r="AB212" i="19"/>
  <c r="AC212" i="19"/>
  <c r="AP213" i="19"/>
  <c r="AP212" i="19" l="1"/>
  <c r="AC211" i="19"/>
  <c r="AD211" i="19"/>
  <c r="AQ212" i="19"/>
  <c r="U211" i="19"/>
  <c r="AH212" i="19"/>
  <c r="AM212" i="19"/>
  <c r="Z211" i="19"/>
  <c r="X212" i="19"/>
  <c r="AK213" i="19"/>
  <c r="AB211" i="19"/>
  <c r="AO212" i="19"/>
  <c r="S212" i="19"/>
  <c r="AF213" i="19"/>
  <c r="V211" i="19"/>
  <c r="AI212" i="19"/>
  <c r="Y212" i="19"/>
  <c r="AL213" i="19"/>
  <c r="AN213" i="19"/>
  <c r="AA212" i="19"/>
  <c r="T211" i="19"/>
  <c r="AG212" i="19"/>
  <c r="W211" i="19"/>
  <c r="AJ212" i="19"/>
  <c r="AM211" i="19" l="1"/>
  <c r="Z210" i="19"/>
  <c r="V210" i="19"/>
  <c r="AI211" i="19"/>
  <c r="AG211" i="19"/>
  <c r="T210" i="19"/>
  <c r="S211" i="19"/>
  <c r="AF212" i="19"/>
  <c r="AA211" i="19"/>
  <c r="AN212" i="19"/>
  <c r="AO211" i="19"/>
  <c r="AB210" i="19"/>
  <c r="AC210" i="19"/>
  <c r="AP211" i="19"/>
  <c r="W210" i="19"/>
  <c r="AJ211" i="19"/>
  <c r="AH211" i="19"/>
  <c r="U210" i="19"/>
  <c r="AQ211" i="19"/>
  <c r="AD210" i="19"/>
  <c r="AL212" i="19"/>
  <c r="Y211" i="19"/>
  <c r="X211" i="19"/>
  <c r="AK212" i="19"/>
  <c r="AF211" i="19" l="1"/>
  <c r="S210" i="19"/>
  <c r="AG210" i="19"/>
  <c r="T209" i="19"/>
  <c r="AD209" i="19"/>
  <c r="AQ210" i="19"/>
  <c r="W209" i="19"/>
  <c r="AJ210" i="19"/>
  <c r="AP210" i="19"/>
  <c r="AC209" i="19"/>
  <c r="Y210" i="19"/>
  <c r="AL211" i="19"/>
  <c r="AB209" i="19"/>
  <c r="AO210" i="19"/>
  <c r="U209" i="19"/>
  <c r="AH210" i="19"/>
  <c r="Z209" i="19"/>
  <c r="AM210" i="19"/>
  <c r="AK211" i="19"/>
  <c r="X210" i="19"/>
  <c r="V209" i="19"/>
  <c r="AI210" i="19"/>
  <c r="AA210" i="19"/>
  <c r="AN211" i="19"/>
  <c r="AN210" i="19" l="1"/>
  <c r="AA209" i="19"/>
  <c r="AB208" i="19"/>
  <c r="AO209" i="19"/>
  <c r="W208" i="19"/>
  <c r="AJ209" i="19"/>
  <c r="AD208" i="19"/>
  <c r="AQ209" i="19"/>
  <c r="AH209" i="19"/>
  <c r="U208" i="19"/>
  <c r="AK210" i="19"/>
  <c r="X209" i="19"/>
  <c r="AC208" i="19"/>
  <c r="AP209" i="19"/>
  <c r="S209" i="19"/>
  <c r="AF210" i="19"/>
  <c r="V208" i="19"/>
  <c r="AI209" i="19"/>
  <c r="AG209" i="19"/>
  <c r="T208" i="19"/>
  <c r="Y209" i="19"/>
  <c r="AL210" i="19"/>
  <c r="Z208" i="19"/>
  <c r="AM209" i="19"/>
  <c r="AC207" i="19" l="1"/>
  <c r="AP208" i="19"/>
  <c r="Z207" i="19"/>
  <c r="AM208" i="19"/>
  <c r="AG208" i="19"/>
  <c r="T207" i="19"/>
  <c r="AB207" i="19"/>
  <c r="AO208" i="19"/>
  <c r="AF209" i="19"/>
  <c r="S208" i="19"/>
  <c r="W207" i="19"/>
  <c r="AJ208" i="19"/>
  <c r="U207" i="19"/>
  <c r="AH208" i="19"/>
  <c r="AN209" i="19"/>
  <c r="AA208" i="19"/>
  <c r="AQ208" i="19"/>
  <c r="AD207" i="19"/>
  <c r="Y208" i="19"/>
  <c r="AL209" i="19"/>
  <c r="X208" i="19"/>
  <c r="AK209" i="19"/>
  <c r="AI208" i="19"/>
  <c r="V207" i="19"/>
  <c r="AI207" i="19" l="1"/>
  <c r="V206" i="19"/>
  <c r="X207" i="19"/>
  <c r="AK208" i="19"/>
  <c r="AG207" i="19"/>
  <c r="T206" i="19"/>
  <c r="AA207" i="19"/>
  <c r="AN208" i="19"/>
  <c r="AB206" i="19"/>
  <c r="AO207" i="19"/>
  <c r="U206" i="19"/>
  <c r="AH207" i="19"/>
  <c r="Z206" i="19"/>
  <c r="AM207" i="19"/>
  <c r="W206" i="19"/>
  <c r="AJ207" i="19"/>
  <c r="AQ207" i="19"/>
  <c r="AD206" i="19"/>
  <c r="S207" i="19"/>
  <c r="AF208" i="19"/>
  <c r="Y207" i="19"/>
  <c r="AL208" i="19"/>
  <c r="AC206" i="19"/>
  <c r="AP207" i="19"/>
  <c r="AN207" i="19" l="1"/>
  <c r="AA206" i="19"/>
  <c r="AG206" i="19"/>
  <c r="T205" i="19"/>
  <c r="AJ206" i="19"/>
  <c r="W205" i="19"/>
  <c r="AM206" i="19"/>
  <c r="Z205" i="19"/>
  <c r="X206" i="19"/>
  <c r="AK207" i="19"/>
  <c r="AC205" i="19"/>
  <c r="AP206" i="19"/>
  <c r="AL207" i="19"/>
  <c r="Y206" i="19"/>
  <c r="U205" i="19"/>
  <c r="AH206" i="19"/>
  <c r="AQ206" i="19"/>
  <c r="AD205" i="19"/>
  <c r="V205" i="19"/>
  <c r="AI206" i="19"/>
  <c r="S206" i="19"/>
  <c r="AF207" i="19"/>
  <c r="AB205" i="19"/>
  <c r="AO206" i="19"/>
  <c r="U204" i="19" l="1"/>
  <c r="AH205" i="19"/>
  <c r="W204" i="19"/>
  <c r="AJ205" i="19"/>
  <c r="Z204" i="19"/>
  <c r="AM205" i="19"/>
  <c r="Y205" i="19"/>
  <c r="AL206" i="19"/>
  <c r="V204" i="19"/>
  <c r="AI205" i="19"/>
  <c r="S205" i="19"/>
  <c r="AF206" i="19"/>
  <c r="T204" i="19"/>
  <c r="AG205" i="19"/>
  <c r="AC204" i="19"/>
  <c r="AP205" i="19"/>
  <c r="AQ205" i="19"/>
  <c r="AD204" i="19"/>
  <c r="AA205" i="19"/>
  <c r="AN206" i="19"/>
  <c r="AB204" i="19"/>
  <c r="AO205" i="19"/>
  <c r="AK206" i="19"/>
  <c r="X205" i="19"/>
  <c r="AK205" i="19" l="1"/>
  <c r="X204" i="19"/>
  <c r="AP204" i="19"/>
  <c r="AC203" i="19"/>
  <c r="Y204" i="19"/>
  <c r="AL205" i="19"/>
  <c r="AO204" i="19"/>
  <c r="AB203" i="19"/>
  <c r="AA204" i="19"/>
  <c r="AN205" i="19"/>
  <c r="T203" i="19"/>
  <c r="AG204" i="19"/>
  <c r="S204" i="19"/>
  <c r="AF205" i="19"/>
  <c r="AQ204" i="19"/>
  <c r="AD203" i="19"/>
  <c r="AM204" i="19"/>
  <c r="Z203" i="19"/>
  <c r="W203" i="19"/>
  <c r="AJ204" i="19"/>
  <c r="AI204" i="19"/>
  <c r="V203" i="19"/>
  <c r="U203" i="19"/>
  <c r="AH204" i="19"/>
  <c r="AD202" i="19" l="1"/>
  <c r="AQ203" i="19"/>
  <c r="AF204" i="19"/>
  <c r="S203" i="19"/>
  <c r="AJ203" i="19"/>
  <c r="W202" i="19"/>
  <c r="U202" i="19"/>
  <c r="AH203" i="19"/>
  <c r="T202" i="19"/>
  <c r="AG203" i="19"/>
  <c r="X203" i="19"/>
  <c r="AK204" i="19"/>
  <c r="AB202" i="19"/>
  <c r="AO203" i="19"/>
  <c r="V202" i="19"/>
  <c r="AI203" i="19"/>
  <c r="Y203" i="19"/>
  <c r="AL204" i="19"/>
  <c r="AP203" i="19"/>
  <c r="AC202" i="19"/>
  <c r="AM203" i="19"/>
  <c r="Z202" i="19"/>
  <c r="AN204" i="19"/>
  <c r="AA203" i="19"/>
  <c r="V201" i="19" l="1"/>
  <c r="AI202" i="19"/>
  <c r="U201" i="19"/>
  <c r="AH202" i="19"/>
  <c r="AC201" i="19"/>
  <c r="AP202" i="19"/>
  <c r="AB201" i="19"/>
  <c r="AO202" i="19"/>
  <c r="AK203" i="19"/>
  <c r="X202" i="19"/>
  <c r="AA202" i="19"/>
  <c r="AN203" i="19"/>
  <c r="AM202" i="19"/>
  <c r="Z201" i="19"/>
  <c r="S202" i="19"/>
  <c r="AF203" i="19"/>
  <c r="W201" i="19"/>
  <c r="AJ202" i="19"/>
  <c r="AL203" i="19"/>
  <c r="Y202" i="19"/>
  <c r="AG202" i="19"/>
  <c r="T201" i="19"/>
  <c r="AD201" i="19"/>
  <c r="AQ202" i="19"/>
  <c r="AG201" i="19" l="1"/>
  <c r="T200" i="19"/>
  <c r="AB200" i="19"/>
  <c r="AO201" i="19"/>
  <c r="Y201" i="19"/>
  <c r="AL202" i="19"/>
  <c r="AF202" i="19"/>
  <c r="S201" i="19"/>
  <c r="AN202" i="19"/>
  <c r="AA201" i="19"/>
  <c r="AD200" i="19"/>
  <c r="AQ201" i="19"/>
  <c r="U200" i="19"/>
  <c r="AH201" i="19"/>
  <c r="AK202" i="19"/>
  <c r="X201" i="19"/>
  <c r="Z200" i="19"/>
  <c r="AM201" i="19"/>
  <c r="AC200" i="19"/>
  <c r="AP201" i="19"/>
  <c r="W200" i="19"/>
  <c r="AJ201" i="19"/>
  <c r="V200" i="19"/>
  <c r="AI201" i="19"/>
  <c r="W199" i="19" l="1"/>
  <c r="AJ200" i="19"/>
  <c r="V199" i="19"/>
  <c r="AI200" i="19"/>
  <c r="AB199" i="19"/>
  <c r="AO200" i="19"/>
  <c r="X200" i="19"/>
  <c r="AK201" i="19"/>
  <c r="AH200" i="19"/>
  <c r="U199" i="19"/>
  <c r="AQ200" i="19"/>
  <c r="AD199" i="19"/>
  <c r="AN201" i="19"/>
  <c r="AA200" i="19"/>
  <c r="AG200" i="19"/>
  <c r="T199" i="19"/>
  <c r="AF201" i="19"/>
  <c r="S200" i="19"/>
  <c r="Y200" i="19"/>
  <c r="AL201" i="19"/>
  <c r="AC199" i="19"/>
  <c r="AP200" i="19"/>
  <c r="AM200" i="19"/>
  <c r="Z199" i="19"/>
  <c r="X199" i="19" l="1"/>
  <c r="AK200" i="19"/>
  <c r="Z198" i="19"/>
  <c r="AM199" i="19"/>
  <c r="AD198" i="19"/>
  <c r="AQ199" i="19"/>
  <c r="AB198" i="19"/>
  <c r="AO199" i="19"/>
  <c r="V198" i="19"/>
  <c r="AI199" i="19"/>
  <c r="S199" i="19"/>
  <c r="AF200" i="19"/>
  <c r="AH199" i="19"/>
  <c r="U198" i="19"/>
  <c r="AG199" i="19"/>
  <c r="T198" i="19"/>
  <c r="AA199" i="19"/>
  <c r="AN200" i="19"/>
  <c r="AC198" i="19"/>
  <c r="AP199" i="19"/>
  <c r="Y199" i="19"/>
  <c r="AL200" i="19"/>
  <c r="W198" i="19"/>
  <c r="AJ199" i="19"/>
  <c r="Y198" i="19" l="1"/>
  <c r="AL199" i="19"/>
  <c r="T197" i="19"/>
  <c r="AG198" i="19"/>
  <c r="AO198" i="19"/>
  <c r="AB197" i="19"/>
  <c r="AM198" i="19"/>
  <c r="Z197" i="19"/>
  <c r="AH198" i="19"/>
  <c r="U197" i="19"/>
  <c r="AP198" i="19"/>
  <c r="AC197" i="19"/>
  <c r="W197" i="19"/>
  <c r="AJ198" i="19"/>
  <c r="AQ198" i="19"/>
  <c r="AD197" i="19"/>
  <c r="AF199" i="19"/>
  <c r="S198" i="19"/>
  <c r="AN199" i="19"/>
  <c r="AA198" i="19"/>
  <c r="AI198" i="19"/>
  <c r="V197" i="19"/>
  <c r="AK199" i="19"/>
  <c r="X198" i="19"/>
  <c r="AQ197" i="19" l="1"/>
  <c r="AD196" i="19"/>
  <c r="X197" i="19"/>
  <c r="AK198" i="19"/>
  <c r="AI197" i="19"/>
  <c r="V196" i="19"/>
  <c r="AN198" i="19"/>
  <c r="AA197" i="19"/>
  <c r="Z196" i="19"/>
  <c r="AM197" i="19"/>
  <c r="AO197" i="19"/>
  <c r="AB196" i="19"/>
  <c r="U196" i="19"/>
  <c r="AH197" i="19"/>
  <c r="AJ197" i="19"/>
  <c r="W196" i="19"/>
  <c r="AC196" i="19"/>
  <c r="AP197" i="19"/>
  <c r="T196" i="19"/>
  <c r="AG197" i="19"/>
  <c r="S197" i="19"/>
  <c r="AF198" i="19"/>
  <c r="Y197" i="19"/>
  <c r="AL198" i="19"/>
  <c r="AJ196" i="19" l="1"/>
  <c r="W195" i="19"/>
  <c r="AF197" i="19"/>
  <c r="S196" i="19"/>
  <c r="AN197" i="19"/>
  <c r="AA196" i="19"/>
  <c r="V195" i="19"/>
  <c r="AI196" i="19"/>
  <c r="Y196" i="19"/>
  <c r="AL197" i="19"/>
  <c r="X196" i="19"/>
  <c r="AK197" i="19"/>
  <c r="AQ196" i="19"/>
  <c r="AD195" i="19"/>
  <c r="U195" i="19"/>
  <c r="AH196" i="19"/>
  <c r="AO196" i="19"/>
  <c r="AB195" i="19"/>
  <c r="AG196" i="19"/>
  <c r="T195" i="19"/>
  <c r="AC195" i="19"/>
  <c r="AP196" i="19"/>
  <c r="Z195" i="19"/>
  <c r="AM196" i="19"/>
  <c r="AH195" i="19" l="1"/>
  <c r="U194" i="19"/>
  <c r="V194" i="19"/>
  <c r="AI195" i="19"/>
  <c r="AG195" i="19"/>
  <c r="T194" i="19"/>
  <c r="AM195" i="19"/>
  <c r="Z194" i="19"/>
  <c r="AD194" i="19"/>
  <c r="AQ195" i="19"/>
  <c r="AP195" i="19"/>
  <c r="AC194" i="19"/>
  <c r="S195" i="19"/>
  <c r="AF196" i="19"/>
  <c r="AK196" i="19"/>
  <c r="X195" i="19"/>
  <c r="AJ195" i="19"/>
  <c r="W194" i="19"/>
  <c r="AA195" i="19"/>
  <c r="AN196" i="19"/>
  <c r="AO195" i="19"/>
  <c r="AB194" i="19"/>
  <c r="Y195" i="19"/>
  <c r="AL196" i="19"/>
  <c r="Z193" i="19" l="1"/>
  <c r="AM194" i="19"/>
  <c r="Y194" i="19"/>
  <c r="AL195" i="19"/>
  <c r="AB193" i="19"/>
  <c r="AO194" i="19"/>
  <c r="AC193" i="19"/>
  <c r="AP194" i="19"/>
  <c r="V193" i="19"/>
  <c r="AI194" i="19"/>
  <c r="U193" i="19"/>
  <c r="AH194" i="19"/>
  <c r="AK195" i="19"/>
  <c r="X194" i="19"/>
  <c r="T193" i="19"/>
  <c r="AG194" i="19"/>
  <c r="S194" i="19"/>
  <c r="AF195" i="19"/>
  <c r="AA194" i="19"/>
  <c r="AN195" i="19"/>
  <c r="W193" i="19"/>
  <c r="AJ194" i="19"/>
  <c r="AD193" i="19"/>
  <c r="AQ194" i="19"/>
  <c r="AQ193" i="19" l="1"/>
  <c r="AD192" i="19"/>
  <c r="AJ193" i="19"/>
  <c r="W192" i="19"/>
  <c r="AC192" i="19"/>
  <c r="AP193" i="19"/>
  <c r="AL194" i="19"/>
  <c r="Y193" i="19"/>
  <c r="X193" i="19"/>
  <c r="AK194" i="19"/>
  <c r="AB192" i="19"/>
  <c r="AO193" i="19"/>
  <c r="AH193" i="19"/>
  <c r="U192" i="19"/>
  <c r="AG193" i="19"/>
  <c r="T192" i="19"/>
  <c r="AN194" i="19"/>
  <c r="AA193" i="19"/>
  <c r="AF194" i="19"/>
  <c r="S193" i="19"/>
  <c r="V192" i="19"/>
  <c r="AI193" i="19"/>
  <c r="AM193" i="19"/>
  <c r="Z192" i="19"/>
  <c r="AL193" i="19" l="1"/>
  <c r="Y192" i="19"/>
  <c r="T191" i="19"/>
  <c r="AG192" i="19"/>
  <c r="W191" i="19"/>
  <c r="AJ192" i="19"/>
  <c r="Z191" i="19"/>
  <c r="AM192" i="19"/>
  <c r="AH192" i="19"/>
  <c r="U191" i="19"/>
  <c r="AF193" i="19"/>
  <c r="S192" i="19"/>
  <c r="AC191" i="19"/>
  <c r="AP192" i="19"/>
  <c r="AB191" i="19"/>
  <c r="AO192" i="19"/>
  <c r="AN193" i="19"/>
  <c r="AA192" i="19"/>
  <c r="AQ192" i="19"/>
  <c r="AD191" i="19"/>
  <c r="AI192" i="19"/>
  <c r="V191" i="19"/>
  <c r="AK193" i="19"/>
  <c r="X192" i="19"/>
  <c r="S191" i="19" l="1"/>
  <c r="AF192" i="19"/>
  <c r="T190" i="19"/>
  <c r="AG191" i="19"/>
  <c r="AN192" i="19"/>
  <c r="AA191" i="19"/>
  <c r="Y191" i="19"/>
  <c r="AL192" i="19"/>
  <c r="AQ191" i="19"/>
  <c r="AD190" i="19"/>
  <c r="U190" i="19"/>
  <c r="AH191" i="19"/>
  <c r="X191" i="19"/>
  <c r="AK192" i="19"/>
  <c r="AB190" i="19"/>
  <c r="AO191" i="19"/>
  <c r="Z190" i="19"/>
  <c r="AM191" i="19"/>
  <c r="V190" i="19"/>
  <c r="AI191" i="19"/>
  <c r="AP191" i="19"/>
  <c r="AC190" i="19"/>
  <c r="W190" i="19"/>
  <c r="AJ191" i="19"/>
  <c r="AB189" i="19" l="1"/>
  <c r="AO190" i="19"/>
  <c r="W189" i="19"/>
  <c r="AJ190" i="19"/>
  <c r="AL191" i="19"/>
  <c r="Y190" i="19"/>
  <c r="AP190" i="19"/>
  <c r="AC189" i="19"/>
  <c r="AA190" i="19"/>
  <c r="AN191" i="19"/>
  <c r="X190" i="19"/>
  <c r="AK191" i="19"/>
  <c r="V189" i="19"/>
  <c r="AI190" i="19"/>
  <c r="U189" i="19"/>
  <c r="AH190" i="19"/>
  <c r="AG190" i="19"/>
  <c r="T189" i="19"/>
  <c r="AD189" i="19"/>
  <c r="AQ190" i="19"/>
  <c r="AM190" i="19"/>
  <c r="Z189" i="19"/>
  <c r="AF191" i="19"/>
  <c r="S190" i="19"/>
  <c r="AI189" i="19" l="1"/>
  <c r="V188" i="19"/>
  <c r="AC188" i="19"/>
  <c r="AP189" i="19"/>
  <c r="Z188" i="19"/>
  <c r="AM189" i="19"/>
  <c r="AQ189" i="19"/>
  <c r="AD188" i="19"/>
  <c r="AJ189" i="19"/>
  <c r="W188" i="19"/>
  <c r="S189" i="19"/>
  <c r="AF190" i="19"/>
  <c r="Y189" i="19"/>
  <c r="AL190" i="19"/>
  <c r="X189" i="19"/>
  <c r="AK190" i="19"/>
  <c r="U188" i="19"/>
  <c r="AH189" i="19"/>
  <c r="AG189" i="19"/>
  <c r="T188" i="19"/>
  <c r="AN190" i="19"/>
  <c r="AA189" i="19"/>
  <c r="AB188" i="19"/>
  <c r="AO189" i="19"/>
  <c r="AD187" i="19" l="1"/>
  <c r="AQ188" i="19"/>
  <c r="Z187" i="19"/>
  <c r="AM188" i="19"/>
  <c r="AK189" i="19"/>
  <c r="X188" i="19"/>
  <c r="AG188" i="19"/>
  <c r="T187" i="19"/>
  <c r="S188" i="19"/>
  <c r="AF189" i="19"/>
  <c r="AO188" i="19"/>
  <c r="AB187" i="19"/>
  <c r="AJ188" i="19"/>
  <c r="W187" i="19"/>
  <c r="AI188" i="19"/>
  <c r="V187" i="19"/>
  <c r="AN189" i="19"/>
  <c r="AA188" i="19"/>
  <c r="AL189" i="19"/>
  <c r="Y188" i="19"/>
  <c r="AC187" i="19"/>
  <c r="AP188" i="19"/>
  <c r="AH188" i="19"/>
  <c r="U187" i="19"/>
  <c r="U186" i="19" l="1"/>
  <c r="AH187" i="19"/>
  <c r="Y187" i="19"/>
  <c r="AL188" i="19"/>
  <c r="V186" i="19"/>
  <c r="AI187" i="19"/>
  <c r="AK188" i="19"/>
  <c r="X187" i="19"/>
  <c r="AC186" i="19"/>
  <c r="AP187" i="19"/>
  <c r="AA187" i="19"/>
  <c r="AN188" i="19"/>
  <c r="T186" i="19"/>
  <c r="AG187" i="19"/>
  <c r="W186" i="19"/>
  <c r="AJ187" i="19"/>
  <c r="AB186" i="19"/>
  <c r="AO187" i="19"/>
  <c r="Z186" i="19"/>
  <c r="AM187" i="19"/>
  <c r="S187" i="19"/>
  <c r="AF188" i="19"/>
  <c r="AQ187" i="19"/>
  <c r="AD186" i="19"/>
  <c r="W185" i="19" l="1"/>
  <c r="AJ186" i="19"/>
  <c r="AK187" i="19"/>
  <c r="X186" i="19"/>
  <c r="AI186" i="19"/>
  <c r="V185" i="19"/>
  <c r="AA186" i="19"/>
  <c r="AN187" i="19"/>
  <c r="T185" i="19"/>
  <c r="AG186" i="19"/>
  <c r="AM186" i="19"/>
  <c r="Z185" i="19"/>
  <c r="Y186" i="19"/>
  <c r="AL187" i="19"/>
  <c r="AD185" i="19"/>
  <c r="AQ186" i="19"/>
  <c r="S186" i="19"/>
  <c r="AF187" i="19"/>
  <c r="AB185" i="19"/>
  <c r="AO186" i="19"/>
  <c r="AC185" i="19"/>
  <c r="AP186" i="19"/>
  <c r="U185" i="19"/>
  <c r="AH186" i="19"/>
  <c r="AA185" i="19" l="1"/>
  <c r="AN186" i="19"/>
  <c r="AH185" i="19"/>
  <c r="U184" i="19"/>
  <c r="AC184" i="19"/>
  <c r="AP185" i="19"/>
  <c r="AQ185" i="19"/>
  <c r="AD184" i="19"/>
  <c r="V184" i="19"/>
  <c r="AI185" i="19"/>
  <c r="AB184" i="19"/>
  <c r="AO185" i="19"/>
  <c r="Y185" i="19"/>
  <c r="AL186" i="19"/>
  <c r="X185" i="19"/>
  <c r="AK186" i="19"/>
  <c r="AM185" i="19"/>
  <c r="Z184" i="19"/>
  <c r="AF186" i="19"/>
  <c r="S185" i="19"/>
  <c r="AG185" i="19"/>
  <c r="T184" i="19"/>
  <c r="W184" i="19"/>
  <c r="AJ185" i="19"/>
  <c r="AD183" i="19" l="1"/>
  <c r="AQ184" i="19"/>
  <c r="S184" i="19"/>
  <c r="AF185" i="19"/>
  <c r="T183" i="19"/>
  <c r="AG184" i="19"/>
  <c r="AL185" i="19"/>
  <c r="Y184" i="19"/>
  <c r="AB183" i="19"/>
  <c r="AO184" i="19"/>
  <c r="AJ184" i="19"/>
  <c r="W183" i="19"/>
  <c r="U183" i="19"/>
  <c r="AH184" i="19"/>
  <c r="AK185" i="19"/>
  <c r="X184" i="19"/>
  <c r="AC183" i="19"/>
  <c r="AP184" i="19"/>
  <c r="Z183" i="19"/>
  <c r="AM184" i="19"/>
  <c r="V183" i="19"/>
  <c r="AI184" i="19"/>
  <c r="AN185" i="19"/>
  <c r="AA184" i="19"/>
  <c r="AN184" i="19" l="1"/>
  <c r="AA183" i="19"/>
  <c r="AK184" i="19"/>
  <c r="X183" i="19"/>
  <c r="AH183" i="19"/>
  <c r="U182" i="19"/>
  <c r="V182" i="19"/>
  <c r="AI183" i="19"/>
  <c r="AM183" i="19"/>
  <c r="Z182" i="19"/>
  <c r="AL184" i="19"/>
  <c r="Y183" i="19"/>
  <c r="AJ183" i="19"/>
  <c r="W182" i="19"/>
  <c r="AG183" i="19"/>
  <c r="T182" i="19"/>
  <c r="AF184" i="19"/>
  <c r="S183" i="19"/>
  <c r="AC182" i="19"/>
  <c r="AP183" i="19"/>
  <c r="AB182" i="19"/>
  <c r="AO183" i="19"/>
  <c r="AQ183" i="19"/>
  <c r="AD182" i="19"/>
  <c r="AJ182" i="19" l="1"/>
  <c r="W181" i="19"/>
  <c r="AD181" i="19"/>
  <c r="AQ182" i="19"/>
  <c r="AI182" i="19"/>
  <c r="V181" i="19"/>
  <c r="AB181" i="19"/>
  <c r="AO182" i="19"/>
  <c r="U181" i="19"/>
  <c r="AH182" i="19"/>
  <c r="AK183" i="19"/>
  <c r="X182" i="19"/>
  <c r="AF183" i="19"/>
  <c r="S182" i="19"/>
  <c r="AA182" i="19"/>
  <c r="AN183" i="19"/>
  <c r="T181" i="19"/>
  <c r="AG182" i="19"/>
  <c r="Y182" i="19"/>
  <c r="AL183" i="19"/>
  <c r="AC181" i="19"/>
  <c r="AP182" i="19"/>
  <c r="AM182" i="19"/>
  <c r="Z181" i="19"/>
  <c r="AA181" i="19" l="1"/>
  <c r="AN182" i="19"/>
  <c r="V180" i="19"/>
  <c r="AI181" i="19"/>
  <c r="Y181" i="19"/>
  <c r="AL182" i="19"/>
  <c r="AM181" i="19"/>
  <c r="Z180" i="19"/>
  <c r="AB180" i="19"/>
  <c r="AO181" i="19"/>
  <c r="AP181" i="19"/>
  <c r="AC180" i="19"/>
  <c r="W180" i="19"/>
  <c r="AJ181" i="19"/>
  <c r="AF182" i="19"/>
  <c r="S181" i="19"/>
  <c r="AK182" i="19"/>
  <c r="X181" i="19"/>
  <c r="AD180" i="19"/>
  <c r="AQ181" i="19"/>
  <c r="T180" i="19"/>
  <c r="AG181" i="19"/>
  <c r="U180" i="19"/>
  <c r="AH181" i="19"/>
  <c r="Z179" i="19" l="1"/>
  <c r="AM180" i="19"/>
  <c r="AJ180" i="19"/>
  <c r="W179" i="19"/>
  <c r="AF181" i="19"/>
  <c r="S180" i="19"/>
  <c r="AD179" i="19"/>
  <c r="AQ180" i="19"/>
  <c r="AG180" i="19"/>
  <c r="T179" i="19"/>
  <c r="U179" i="19"/>
  <c r="AH180" i="19"/>
  <c r="Y180" i="19"/>
  <c r="AL181" i="19"/>
  <c r="AP180" i="19"/>
  <c r="AC179" i="19"/>
  <c r="V179" i="19"/>
  <c r="AI180" i="19"/>
  <c r="X180" i="19"/>
  <c r="AK181" i="19"/>
  <c r="AO180" i="19"/>
  <c r="AB179" i="19"/>
  <c r="AA180" i="19"/>
  <c r="AN181" i="19"/>
  <c r="AN180" i="19" l="1"/>
  <c r="AA179" i="19"/>
  <c r="AP179" i="19"/>
  <c r="AC178" i="19"/>
  <c r="AQ179" i="19"/>
  <c r="AD178" i="19"/>
  <c r="Y179" i="19"/>
  <c r="AL180" i="19"/>
  <c r="AH179" i="19"/>
  <c r="U178" i="19"/>
  <c r="AB178" i="19"/>
  <c r="AO179" i="19"/>
  <c r="S179" i="19"/>
  <c r="AF180" i="19"/>
  <c r="W178" i="19"/>
  <c r="AJ179" i="19"/>
  <c r="AK180" i="19"/>
  <c r="X179" i="19"/>
  <c r="T178" i="19"/>
  <c r="AG179" i="19"/>
  <c r="V178" i="19"/>
  <c r="AI179" i="19"/>
  <c r="Z178" i="19"/>
  <c r="AM179" i="19"/>
  <c r="Z177" i="19" l="1"/>
  <c r="AM178" i="19"/>
  <c r="Y178" i="19"/>
  <c r="AL179" i="19"/>
  <c r="AF179" i="19"/>
  <c r="S178" i="19"/>
  <c r="AB177" i="19"/>
  <c r="AO178" i="19"/>
  <c r="AD177" i="19"/>
  <c r="AQ178" i="19"/>
  <c r="T177" i="19"/>
  <c r="AG178" i="19"/>
  <c r="X178" i="19"/>
  <c r="AK179" i="19"/>
  <c r="U177" i="19"/>
  <c r="AH178" i="19"/>
  <c r="AA178" i="19"/>
  <c r="AN179" i="19"/>
  <c r="AJ178" i="19"/>
  <c r="W177" i="19"/>
  <c r="V177" i="19"/>
  <c r="AI178" i="19"/>
  <c r="AC177" i="19"/>
  <c r="AP178" i="19"/>
  <c r="AK178" i="19" l="1"/>
  <c r="X177" i="19"/>
  <c r="AB176" i="19"/>
  <c r="AO177" i="19"/>
  <c r="W176" i="19"/>
  <c r="AJ177" i="19"/>
  <c r="AH177" i="19"/>
  <c r="U176" i="19"/>
  <c r="V176" i="19"/>
  <c r="AI177" i="19"/>
  <c r="AG177" i="19"/>
  <c r="T176" i="19"/>
  <c r="AC176" i="19"/>
  <c r="AP177" i="19"/>
  <c r="Y177" i="19"/>
  <c r="AL178" i="19"/>
  <c r="S177" i="19"/>
  <c r="AF178" i="19"/>
  <c r="AA177" i="19"/>
  <c r="AN178" i="19"/>
  <c r="AQ177" i="19"/>
  <c r="AD176" i="19"/>
  <c r="Z176" i="19"/>
  <c r="AM177" i="19"/>
  <c r="AG176" i="19" l="1"/>
  <c r="T175" i="19"/>
  <c r="U175" i="19"/>
  <c r="AH176" i="19"/>
  <c r="AQ176" i="19"/>
  <c r="AD175" i="19"/>
  <c r="AC175" i="19"/>
  <c r="AP176" i="19"/>
  <c r="AN177" i="19"/>
  <c r="AA176" i="19"/>
  <c r="Y176" i="19"/>
  <c r="AL177" i="19"/>
  <c r="AJ176" i="19"/>
  <c r="W175" i="19"/>
  <c r="X176" i="19"/>
  <c r="AK177" i="19"/>
  <c r="Z175" i="19"/>
  <c r="AM176" i="19"/>
  <c r="AO176" i="19"/>
  <c r="AB175" i="19"/>
  <c r="S176" i="19"/>
  <c r="AF177" i="19"/>
  <c r="V175" i="19"/>
  <c r="AI176" i="19"/>
  <c r="S175" i="19" l="1"/>
  <c r="AF176" i="19"/>
  <c r="V174" i="19"/>
  <c r="AI175" i="19"/>
  <c r="W174" i="19"/>
  <c r="AJ175" i="19"/>
  <c r="X175" i="19"/>
  <c r="AK176" i="19"/>
  <c r="AH175" i="19"/>
  <c r="U174" i="19"/>
  <c r="AD174" i="19"/>
  <c r="AQ175" i="19"/>
  <c r="AB174" i="19"/>
  <c r="AO175" i="19"/>
  <c r="AL176" i="19"/>
  <c r="Y175" i="19"/>
  <c r="T174" i="19"/>
  <c r="AG175" i="19"/>
  <c r="AC174" i="19"/>
  <c r="AP175" i="19"/>
  <c r="AA175" i="19"/>
  <c r="AN176" i="19"/>
  <c r="AM175" i="19"/>
  <c r="Z174" i="19"/>
  <c r="Z173" i="19" l="1"/>
  <c r="AM174" i="19"/>
  <c r="X174" i="19"/>
  <c r="AK175" i="19"/>
  <c r="AA174" i="19"/>
  <c r="AN175" i="19"/>
  <c r="AL175" i="19"/>
  <c r="Y174" i="19"/>
  <c r="AB173" i="19"/>
  <c r="AO174" i="19"/>
  <c r="AP174" i="19"/>
  <c r="AC173" i="19"/>
  <c r="AD173" i="19"/>
  <c r="AQ174" i="19"/>
  <c r="U173" i="19"/>
  <c r="AH174" i="19"/>
  <c r="W173" i="19"/>
  <c r="AJ174" i="19"/>
  <c r="V173" i="19"/>
  <c r="AI174" i="19"/>
  <c r="T173" i="19"/>
  <c r="AG174" i="19"/>
  <c r="AF175" i="19"/>
  <c r="S174" i="19"/>
  <c r="U172" i="19" l="1"/>
  <c r="AH173" i="19"/>
  <c r="S173" i="19"/>
  <c r="AF174" i="19"/>
  <c r="T172" i="19"/>
  <c r="AG173" i="19"/>
  <c r="Y173" i="19"/>
  <c r="AL174" i="19"/>
  <c r="AN174" i="19"/>
  <c r="AA173" i="19"/>
  <c r="V172" i="19"/>
  <c r="AI173" i="19"/>
  <c r="AD172" i="19"/>
  <c r="AQ173" i="19"/>
  <c r="AP173" i="19"/>
  <c r="AC172" i="19"/>
  <c r="X173" i="19"/>
  <c r="AK174" i="19"/>
  <c r="AJ173" i="19"/>
  <c r="W172" i="19"/>
  <c r="AB172" i="19"/>
  <c r="AO173" i="19"/>
  <c r="Z172" i="19"/>
  <c r="AM173" i="19"/>
  <c r="AB171" i="19" l="1"/>
  <c r="AO172" i="19"/>
  <c r="AC171" i="19"/>
  <c r="AP172" i="19"/>
  <c r="Y172" i="19"/>
  <c r="AL173" i="19"/>
  <c r="W171" i="19"/>
  <c r="AJ172" i="19"/>
  <c r="AM172" i="19"/>
  <c r="Z171" i="19"/>
  <c r="T171" i="19"/>
  <c r="AG172" i="19"/>
  <c r="AI172" i="19"/>
  <c r="V171" i="19"/>
  <c r="S172" i="19"/>
  <c r="AF173" i="19"/>
  <c r="AN173" i="19"/>
  <c r="AA172" i="19"/>
  <c r="AQ172" i="19"/>
  <c r="AD171" i="19"/>
  <c r="AK173" i="19"/>
  <c r="X172" i="19"/>
  <c r="AH172" i="19"/>
  <c r="U171" i="19"/>
  <c r="S171" i="19" l="1"/>
  <c r="AF172" i="19"/>
  <c r="V170" i="19"/>
  <c r="AI171" i="19"/>
  <c r="AK172" i="19"/>
  <c r="X171" i="19"/>
  <c r="AQ171" i="19"/>
  <c r="AD170" i="19"/>
  <c r="T170" i="19"/>
  <c r="AG171" i="19"/>
  <c r="AM171" i="19"/>
  <c r="Z170" i="19"/>
  <c r="U170" i="19"/>
  <c r="AH171" i="19"/>
  <c r="W170" i="19"/>
  <c r="AJ171" i="19"/>
  <c r="Y171" i="19"/>
  <c r="AL172" i="19"/>
  <c r="AC170" i="19"/>
  <c r="AP171" i="19"/>
  <c r="AA171" i="19"/>
  <c r="AN172" i="19"/>
  <c r="AO171" i="19"/>
  <c r="AB170" i="19"/>
  <c r="AO170" i="19" l="1"/>
  <c r="AB169" i="19"/>
  <c r="AA170" i="19"/>
  <c r="AN171" i="19"/>
  <c r="AH170" i="19"/>
  <c r="U169" i="19"/>
  <c r="AQ170" i="19"/>
  <c r="AD169" i="19"/>
  <c r="AC169" i="19"/>
  <c r="AP170" i="19"/>
  <c r="W169" i="19"/>
  <c r="AJ170" i="19"/>
  <c r="X170" i="19"/>
  <c r="AK171" i="19"/>
  <c r="AM170" i="19"/>
  <c r="Z169" i="19"/>
  <c r="V169" i="19"/>
  <c r="AI170" i="19"/>
  <c r="Y170" i="19"/>
  <c r="AL171" i="19"/>
  <c r="AG170" i="19"/>
  <c r="T169" i="19"/>
  <c r="S170" i="19"/>
  <c r="AF171" i="19"/>
  <c r="AK170" i="19" l="1"/>
  <c r="X169" i="19"/>
  <c r="AM169" i="19"/>
  <c r="Z168" i="19"/>
  <c r="AJ169" i="19"/>
  <c r="W168" i="19"/>
  <c r="S169" i="19"/>
  <c r="AF170" i="19"/>
  <c r="U168" i="19"/>
  <c r="AH169" i="19"/>
  <c r="Y169" i="19"/>
  <c r="AL170" i="19"/>
  <c r="AO169" i="19"/>
  <c r="AB168" i="19"/>
  <c r="AD168" i="19"/>
  <c r="AQ169" i="19"/>
  <c r="T168" i="19"/>
  <c r="AG169" i="19"/>
  <c r="AN170" i="19"/>
  <c r="AA169" i="19"/>
  <c r="V168" i="19"/>
  <c r="AI169" i="19"/>
  <c r="AC168" i="19"/>
  <c r="AP169" i="19"/>
  <c r="AD167" i="19" l="1"/>
  <c r="AQ168" i="19"/>
  <c r="AO168" i="19"/>
  <c r="AB167" i="19"/>
  <c r="S168" i="19"/>
  <c r="AF169" i="19"/>
  <c r="AA168" i="19"/>
  <c r="AN169" i="19"/>
  <c r="AC167" i="19"/>
  <c r="AP168" i="19"/>
  <c r="AI168" i="19"/>
  <c r="V167" i="19"/>
  <c r="X168" i="19"/>
  <c r="AK169" i="19"/>
  <c r="AJ168" i="19"/>
  <c r="W167" i="19"/>
  <c r="Z167" i="19"/>
  <c r="AM168" i="19"/>
  <c r="Y168" i="19"/>
  <c r="AL169" i="19"/>
  <c r="AG168" i="19"/>
  <c r="T167" i="19"/>
  <c r="AH168" i="19"/>
  <c r="U167" i="19"/>
  <c r="U166" i="19" l="1"/>
  <c r="AH167" i="19"/>
  <c r="AN168" i="19"/>
  <c r="AA167" i="19"/>
  <c r="X167" i="19"/>
  <c r="AK168" i="19"/>
  <c r="W166" i="19"/>
  <c r="AJ167" i="19"/>
  <c r="AG167" i="19"/>
  <c r="T166" i="19"/>
  <c r="AF168" i="19"/>
  <c r="S167" i="19"/>
  <c r="AB166" i="19"/>
  <c r="AO167" i="19"/>
  <c r="AI167" i="19"/>
  <c r="V166" i="19"/>
  <c r="AL168" i="19"/>
  <c r="Y167" i="19"/>
  <c r="AM167" i="19"/>
  <c r="Z166" i="19"/>
  <c r="AP167" i="19"/>
  <c r="AC166" i="19"/>
  <c r="AD166" i="19"/>
  <c r="AQ167" i="19"/>
  <c r="W165" i="19" l="1"/>
  <c r="AJ166" i="19"/>
  <c r="V165" i="19"/>
  <c r="AI166" i="19"/>
  <c r="AP166" i="19"/>
  <c r="AC165" i="19"/>
  <c r="Z165" i="19"/>
  <c r="AM166" i="19"/>
  <c r="X166" i="19"/>
  <c r="AK167" i="19"/>
  <c r="AD165" i="19"/>
  <c r="AQ166" i="19"/>
  <c r="AA166" i="19"/>
  <c r="AN167" i="19"/>
  <c r="AG166" i="19"/>
  <c r="T165" i="19"/>
  <c r="AO166" i="19"/>
  <c r="AB165" i="19"/>
  <c r="S166" i="19"/>
  <c r="AF167" i="19"/>
  <c r="AL167" i="19"/>
  <c r="Y166" i="19"/>
  <c r="AH166" i="19"/>
  <c r="U165" i="19"/>
  <c r="AN166" i="19" l="1"/>
  <c r="AA165" i="19"/>
  <c r="U164" i="19"/>
  <c r="AH165" i="19"/>
  <c r="AM165" i="19"/>
  <c r="Z164" i="19"/>
  <c r="AF166" i="19"/>
  <c r="S165" i="19"/>
  <c r="T164" i="19"/>
  <c r="AG165" i="19"/>
  <c r="AL166" i="19"/>
  <c r="Y165" i="19"/>
  <c r="AP165" i="19"/>
  <c r="AC164" i="19"/>
  <c r="AI165" i="19"/>
  <c r="V164" i="19"/>
  <c r="AQ165" i="19"/>
  <c r="AD164" i="19"/>
  <c r="AO165" i="19"/>
  <c r="AB164" i="19"/>
  <c r="AK166" i="19"/>
  <c r="X165" i="19"/>
  <c r="AJ165" i="19"/>
  <c r="W164" i="19"/>
  <c r="S164" i="19" l="1"/>
  <c r="AF165" i="19"/>
  <c r="V163" i="19"/>
  <c r="AI164" i="19"/>
  <c r="X164" i="19"/>
  <c r="AK165" i="19"/>
  <c r="AL165" i="19"/>
  <c r="Y164" i="19"/>
  <c r="AJ164" i="19"/>
  <c r="W163" i="19"/>
  <c r="U163" i="19"/>
  <c r="AH164" i="19"/>
  <c r="AM164" i="19"/>
  <c r="Z163" i="19"/>
  <c r="AO164" i="19"/>
  <c r="AB163" i="19"/>
  <c r="AD163" i="19"/>
  <c r="AQ164" i="19"/>
  <c r="AA164" i="19"/>
  <c r="AN165" i="19"/>
  <c r="AP164" i="19"/>
  <c r="AC163" i="19"/>
  <c r="AG164" i="19"/>
  <c r="T163" i="19"/>
  <c r="T162" i="19" l="1"/>
  <c r="AG163" i="19"/>
  <c r="Z162" i="19"/>
  <c r="AM163" i="19"/>
  <c r="AO163" i="19"/>
  <c r="AB162" i="19"/>
  <c r="AP163" i="19"/>
  <c r="AC162" i="19"/>
  <c r="AA163" i="19"/>
  <c r="AN164" i="19"/>
  <c r="AL164" i="19"/>
  <c r="Y163" i="19"/>
  <c r="AK164" i="19"/>
  <c r="X163" i="19"/>
  <c r="AH163" i="19"/>
  <c r="U162" i="19"/>
  <c r="AJ163" i="19"/>
  <c r="W162" i="19"/>
  <c r="V162" i="19"/>
  <c r="AI163" i="19"/>
  <c r="AD162" i="19"/>
  <c r="AQ163" i="19"/>
  <c r="AF164" i="19"/>
  <c r="S163" i="19"/>
  <c r="AF163" i="19" l="1"/>
  <c r="S162" i="19"/>
  <c r="AD161" i="19"/>
  <c r="AQ162" i="19"/>
  <c r="AI162" i="19"/>
  <c r="V161" i="19"/>
  <c r="U161" i="19"/>
  <c r="AH162" i="19"/>
  <c r="AB161" i="19"/>
  <c r="AO162" i="19"/>
  <c r="Y162" i="19"/>
  <c r="AL163" i="19"/>
  <c r="Z161" i="19"/>
  <c r="AM162" i="19"/>
  <c r="AP162" i="19"/>
  <c r="AC161" i="19"/>
  <c r="AK163" i="19"/>
  <c r="X162" i="19"/>
  <c r="AJ162" i="19"/>
  <c r="W161" i="19"/>
  <c r="AA162" i="19"/>
  <c r="AN163" i="19"/>
  <c r="AG162" i="19"/>
  <c r="T161" i="19"/>
  <c r="AH161" i="19" l="1"/>
  <c r="U160" i="19"/>
  <c r="AP161" i="19"/>
  <c r="AC160" i="19"/>
  <c r="W160" i="19"/>
  <c r="AJ161" i="19"/>
  <c r="T160" i="19"/>
  <c r="AG161" i="19"/>
  <c r="V160" i="19"/>
  <c r="AI161" i="19"/>
  <c r="AN162" i="19"/>
  <c r="AA161" i="19"/>
  <c r="AQ161" i="19"/>
  <c r="AD160" i="19"/>
  <c r="AF162" i="19"/>
  <c r="S161" i="19"/>
  <c r="AM161" i="19"/>
  <c r="Z160" i="19"/>
  <c r="Y161" i="19"/>
  <c r="AL162" i="19"/>
  <c r="AK162" i="19"/>
  <c r="X161" i="19"/>
  <c r="AO161" i="19"/>
  <c r="AB160" i="19"/>
  <c r="AO160" i="19" l="1"/>
  <c r="AB159" i="19"/>
  <c r="AG160" i="19"/>
  <c r="T159" i="19"/>
  <c r="AQ160" i="19"/>
  <c r="AD159" i="19"/>
  <c r="AJ160" i="19"/>
  <c r="W159" i="19"/>
  <c r="AL161" i="19"/>
  <c r="Y160" i="19"/>
  <c r="AM160" i="19"/>
  <c r="Z159" i="19"/>
  <c r="AH160" i="19"/>
  <c r="U159" i="19"/>
  <c r="AF161" i="19"/>
  <c r="S160" i="19"/>
  <c r="AK161" i="19"/>
  <c r="X160" i="19"/>
  <c r="AA160" i="19"/>
  <c r="AN161" i="19"/>
  <c r="AC159" i="19"/>
  <c r="AP160" i="19"/>
  <c r="AI160" i="19"/>
  <c r="V159" i="19"/>
  <c r="AI159" i="19" l="1"/>
  <c r="V158" i="19"/>
  <c r="S159" i="19"/>
  <c r="AF160" i="19"/>
  <c r="AH159" i="19"/>
  <c r="U158" i="19"/>
  <c r="AC158" i="19"/>
  <c r="AP159" i="19"/>
  <c r="AM159" i="19"/>
  <c r="Z158" i="19"/>
  <c r="AK160" i="19"/>
  <c r="X159" i="19"/>
  <c r="AB158" i="19"/>
  <c r="AO159" i="19"/>
  <c r="AJ159" i="19"/>
  <c r="W158" i="19"/>
  <c r="AQ159" i="19"/>
  <c r="AD158" i="19"/>
  <c r="T158" i="19"/>
  <c r="AG159" i="19"/>
  <c r="AN160" i="19"/>
  <c r="AA159" i="19"/>
  <c r="AL160" i="19"/>
  <c r="Y159" i="19"/>
  <c r="AB157" i="19" l="1"/>
  <c r="AO158" i="19"/>
  <c r="AC157" i="19"/>
  <c r="AP158" i="19"/>
  <c r="AA158" i="19"/>
  <c r="AN159" i="19"/>
  <c r="AK159" i="19"/>
  <c r="X158" i="19"/>
  <c r="W157" i="19"/>
  <c r="AJ158" i="19"/>
  <c r="AL159" i="19"/>
  <c r="Y158" i="19"/>
  <c r="AG158" i="19"/>
  <c r="T157" i="19"/>
  <c r="S158" i="19"/>
  <c r="AF159" i="19"/>
  <c r="AD157" i="19"/>
  <c r="AQ158" i="19"/>
  <c r="V157" i="19"/>
  <c r="AI158" i="19"/>
  <c r="U157" i="19"/>
  <c r="AH158" i="19"/>
  <c r="Z157" i="19"/>
  <c r="AM158" i="19"/>
  <c r="AM157" i="19" l="1"/>
  <c r="Z156" i="19"/>
  <c r="AA157" i="19"/>
  <c r="AN158" i="19"/>
  <c r="S157" i="19"/>
  <c r="AF158" i="19"/>
  <c r="T156" i="19"/>
  <c r="AG157" i="19"/>
  <c r="V156" i="19"/>
  <c r="AI157" i="19"/>
  <c r="X157" i="19"/>
  <c r="AK158" i="19"/>
  <c r="U156" i="19"/>
  <c r="AH157" i="19"/>
  <c r="AL158" i="19"/>
  <c r="Y157" i="19"/>
  <c r="AP157" i="19"/>
  <c r="AC156" i="19"/>
  <c r="AQ157" i="19"/>
  <c r="AD156" i="19"/>
  <c r="W156" i="19"/>
  <c r="AJ157" i="19"/>
  <c r="AO157" i="19"/>
  <c r="AB156" i="19"/>
  <c r="AL157" i="19" l="1"/>
  <c r="Y156" i="19"/>
  <c r="AH156" i="19"/>
  <c r="U155" i="19"/>
  <c r="AQ156" i="19"/>
  <c r="AD155" i="19"/>
  <c r="X156" i="19"/>
  <c r="AK157" i="19"/>
  <c r="AF157" i="19"/>
  <c r="S156" i="19"/>
  <c r="AN157" i="19"/>
  <c r="AA156" i="19"/>
  <c r="Z155" i="19"/>
  <c r="AM156" i="19"/>
  <c r="AO156" i="19"/>
  <c r="AB155" i="19"/>
  <c r="AG156" i="19"/>
  <c r="T155" i="19"/>
  <c r="AJ156" i="19"/>
  <c r="W155" i="19"/>
  <c r="AP156" i="19"/>
  <c r="AC155" i="19"/>
  <c r="AI156" i="19"/>
  <c r="V155" i="19"/>
  <c r="AB154" i="19" l="1"/>
  <c r="AO155" i="19"/>
  <c r="AC154" i="19"/>
  <c r="AP155" i="19"/>
  <c r="AM155" i="19"/>
  <c r="Z154" i="19"/>
  <c r="AD154" i="19"/>
  <c r="AQ155" i="19"/>
  <c r="AJ155" i="19"/>
  <c r="W154" i="19"/>
  <c r="AH155" i="19"/>
  <c r="U154" i="19"/>
  <c r="S155" i="19"/>
  <c r="AF156" i="19"/>
  <c r="AL156" i="19"/>
  <c r="Y155" i="19"/>
  <c r="V154" i="19"/>
  <c r="AI155" i="19"/>
  <c r="AK156" i="19"/>
  <c r="X155" i="19"/>
  <c r="AN156" i="19"/>
  <c r="AA155" i="19"/>
  <c r="AG155" i="19"/>
  <c r="T154" i="19"/>
  <c r="AF155" i="19" l="1"/>
  <c r="S154" i="19"/>
  <c r="T153" i="19"/>
  <c r="AG154" i="19"/>
  <c r="AD153" i="19"/>
  <c r="AQ154" i="19"/>
  <c r="AM154" i="19"/>
  <c r="Z153" i="19"/>
  <c r="X154" i="19"/>
  <c r="AK155" i="19"/>
  <c r="AP154" i="19"/>
  <c r="AC153" i="19"/>
  <c r="AJ154" i="19"/>
  <c r="W153" i="19"/>
  <c r="AL155" i="19"/>
  <c r="Y154" i="19"/>
  <c r="AN155" i="19"/>
  <c r="AA154" i="19"/>
  <c r="AH154" i="19"/>
  <c r="U153" i="19"/>
  <c r="AI154" i="19"/>
  <c r="V153" i="19"/>
  <c r="AO154" i="19"/>
  <c r="AB153" i="19"/>
  <c r="AM153" i="19" l="1"/>
  <c r="Z152" i="19"/>
  <c r="AJ153" i="19"/>
  <c r="W152" i="19"/>
  <c r="U152" i="19"/>
  <c r="AH153" i="19"/>
  <c r="AO153" i="19"/>
  <c r="AB152" i="19"/>
  <c r="Y153" i="19"/>
  <c r="AL154" i="19"/>
  <c r="AP153" i="19"/>
  <c r="AC152" i="19"/>
  <c r="T152" i="19"/>
  <c r="AG153" i="19"/>
  <c r="S153" i="19"/>
  <c r="AF154" i="19"/>
  <c r="V152" i="19"/>
  <c r="AI153" i="19"/>
  <c r="AQ153" i="19"/>
  <c r="AD152" i="19"/>
  <c r="AN154" i="19"/>
  <c r="AA153" i="19"/>
  <c r="AK154" i="19"/>
  <c r="X153" i="19"/>
  <c r="AG152" i="19" l="1"/>
  <c r="T151" i="19"/>
  <c r="AO152" i="19"/>
  <c r="AB151" i="19"/>
  <c r="AN153" i="19"/>
  <c r="AA152" i="19"/>
  <c r="U151" i="19"/>
  <c r="AH152" i="19"/>
  <c r="X152" i="19"/>
  <c r="AK153" i="19"/>
  <c r="AP152" i="19"/>
  <c r="AC151" i="19"/>
  <c r="Z151" i="19"/>
  <c r="AM152" i="19"/>
  <c r="AF153" i="19"/>
  <c r="S152" i="19"/>
  <c r="AD151" i="19"/>
  <c r="AQ152" i="19"/>
  <c r="AJ152" i="19"/>
  <c r="W151" i="19"/>
  <c r="AI152" i="19"/>
  <c r="V151" i="19"/>
  <c r="AL153" i="19"/>
  <c r="Y152" i="19"/>
  <c r="S151" i="19" l="1"/>
  <c r="AF152" i="19"/>
  <c r="AI151" i="19"/>
  <c r="V150" i="19"/>
  <c r="AJ151" i="19"/>
  <c r="W150" i="19"/>
  <c r="AL152" i="19"/>
  <c r="Y151" i="19"/>
  <c r="AA151" i="19"/>
  <c r="AN152" i="19"/>
  <c r="AO151" i="19"/>
  <c r="AB150" i="19"/>
  <c r="T150" i="19"/>
  <c r="AG151" i="19"/>
  <c r="U150" i="19"/>
  <c r="AH151" i="19"/>
  <c r="AM151" i="19"/>
  <c r="Z150" i="19"/>
  <c r="AP151" i="19"/>
  <c r="AC150" i="19"/>
  <c r="AD150" i="19"/>
  <c r="AQ151" i="19"/>
  <c r="X151" i="19"/>
  <c r="AK152" i="19"/>
  <c r="AH150" i="19" l="1"/>
  <c r="U149" i="19"/>
  <c r="W149" i="19"/>
  <c r="AJ150" i="19"/>
  <c r="Y150" i="19"/>
  <c r="AL151" i="19"/>
  <c r="AQ150" i="19"/>
  <c r="AD149" i="19"/>
  <c r="AP150" i="19"/>
  <c r="AC149" i="19"/>
  <c r="T149" i="19"/>
  <c r="AG150" i="19"/>
  <c r="AI150" i="19"/>
  <c r="V149" i="19"/>
  <c r="X150" i="19"/>
  <c r="AK151" i="19"/>
  <c r="AB149" i="19"/>
  <c r="AO150" i="19"/>
  <c r="Z149" i="19"/>
  <c r="AM150" i="19"/>
  <c r="AN151" i="19"/>
  <c r="AA150" i="19"/>
  <c r="AF151" i="19"/>
  <c r="S150" i="19"/>
  <c r="S149" i="19" l="1"/>
  <c r="AF150" i="19"/>
  <c r="AD148" i="19"/>
  <c r="AQ149" i="19"/>
  <c r="AI149" i="19"/>
  <c r="V148" i="19"/>
  <c r="AN150" i="19"/>
  <c r="AA149" i="19"/>
  <c r="AL150" i="19"/>
  <c r="Y149" i="19"/>
  <c r="W148" i="19"/>
  <c r="AJ149" i="19"/>
  <c r="AK150" i="19"/>
  <c r="X149" i="19"/>
  <c r="Z148" i="19"/>
  <c r="AM149" i="19"/>
  <c r="U148" i="19"/>
  <c r="AH149" i="19"/>
  <c r="AG149" i="19"/>
  <c r="T148" i="19"/>
  <c r="AC148" i="19"/>
  <c r="AP149" i="19"/>
  <c r="AB148" i="19"/>
  <c r="AO149" i="19"/>
  <c r="AA148" i="19" l="1"/>
  <c r="AN149" i="19"/>
  <c r="AB147" i="19"/>
  <c r="AO148" i="19"/>
  <c r="AM148" i="19"/>
  <c r="Z147" i="19"/>
  <c r="AP148" i="19"/>
  <c r="AC147" i="19"/>
  <c r="AD147" i="19"/>
  <c r="AQ148" i="19"/>
  <c r="AL149" i="19"/>
  <c r="Y148" i="19"/>
  <c r="X148" i="19"/>
  <c r="AK149" i="19"/>
  <c r="AI148" i="19"/>
  <c r="V147" i="19"/>
  <c r="T147" i="19"/>
  <c r="AG148" i="19"/>
  <c r="AJ148" i="19"/>
  <c r="W147" i="19"/>
  <c r="U147" i="19"/>
  <c r="AH148" i="19"/>
  <c r="S148" i="19"/>
  <c r="AF149" i="19"/>
  <c r="V146" i="19" l="1"/>
  <c r="AI147" i="19"/>
  <c r="AC146" i="19"/>
  <c r="AP147" i="19"/>
  <c r="AM147" i="19"/>
  <c r="Z146" i="19"/>
  <c r="W146" i="19"/>
  <c r="AJ147" i="19"/>
  <c r="AK148" i="19"/>
  <c r="X147" i="19"/>
  <c r="S147" i="19"/>
  <c r="AF148" i="19"/>
  <c r="AH147" i="19"/>
  <c r="U146" i="19"/>
  <c r="AL148" i="19"/>
  <c r="Y147" i="19"/>
  <c r="AO147" i="19"/>
  <c r="AB146" i="19"/>
  <c r="T146" i="19"/>
  <c r="AG147" i="19"/>
  <c r="AD146" i="19"/>
  <c r="AQ147" i="19"/>
  <c r="AA147" i="19"/>
  <c r="AN148" i="19"/>
  <c r="AD145" i="19" l="1"/>
  <c r="AQ146" i="19"/>
  <c r="AL147" i="19"/>
  <c r="Y146" i="19"/>
  <c r="AN147" i="19"/>
  <c r="AA146" i="19"/>
  <c r="AH146" i="19"/>
  <c r="U145" i="19"/>
  <c r="AG146" i="19"/>
  <c r="T145" i="19"/>
  <c r="Z145" i="19"/>
  <c r="AM146" i="19"/>
  <c r="AP146" i="19"/>
  <c r="AC145" i="19"/>
  <c r="AB145" i="19"/>
  <c r="AO146" i="19"/>
  <c r="W145" i="19"/>
  <c r="AJ146" i="19"/>
  <c r="AF147" i="19"/>
  <c r="S146" i="19"/>
  <c r="X146" i="19"/>
  <c r="AK147" i="19"/>
  <c r="AI146" i="19"/>
  <c r="V145" i="19"/>
  <c r="AH145" i="19" l="1"/>
  <c r="U144" i="19"/>
  <c r="AN146" i="19"/>
  <c r="AA145" i="19"/>
  <c r="AF146" i="19"/>
  <c r="S145" i="19"/>
  <c r="X145" i="19"/>
  <c r="AK146" i="19"/>
  <c r="AP145" i="19"/>
  <c r="AC144" i="19"/>
  <c r="Y145" i="19"/>
  <c r="AL146" i="19"/>
  <c r="Z144" i="19"/>
  <c r="AM145" i="19"/>
  <c r="T144" i="19"/>
  <c r="AG145" i="19"/>
  <c r="AI145" i="19"/>
  <c r="V144" i="19"/>
  <c r="AO145" i="19"/>
  <c r="AB144" i="19"/>
  <c r="W144" i="19"/>
  <c r="AJ145" i="19"/>
  <c r="AD144" i="19"/>
  <c r="AQ145" i="19"/>
  <c r="AJ144" i="19" l="1"/>
  <c r="W143" i="19"/>
  <c r="AG144" i="19"/>
  <c r="T143" i="19"/>
  <c r="AF145" i="19"/>
  <c r="S144" i="19"/>
  <c r="AD143" i="19"/>
  <c r="AQ144" i="19"/>
  <c r="AO144" i="19"/>
  <c r="AB143" i="19"/>
  <c r="AI144" i="19"/>
  <c r="V143" i="19"/>
  <c r="U143" i="19"/>
  <c r="AH144" i="19"/>
  <c r="AK145" i="19"/>
  <c r="X144" i="19"/>
  <c r="Z143" i="19"/>
  <c r="AM144" i="19"/>
  <c r="AA144" i="19"/>
  <c r="AN145" i="19"/>
  <c r="Y144" i="19"/>
  <c r="AL145" i="19"/>
  <c r="AP144" i="19"/>
  <c r="AC143" i="19"/>
  <c r="AP143" i="19" l="1"/>
  <c r="AC142" i="19"/>
  <c r="AL144" i="19"/>
  <c r="Y143" i="19"/>
  <c r="AN144" i="19"/>
  <c r="AA143" i="19"/>
  <c r="AD142" i="19"/>
  <c r="AQ143" i="19"/>
  <c r="AH143" i="19"/>
  <c r="U142" i="19"/>
  <c r="V142" i="19"/>
  <c r="AI143" i="19"/>
  <c r="W142" i="19"/>
  <c r="AJ143" i="19"/>
  <c r="X143" i="19"/>
  <c r="AK144" i="19"/>
  <c r="AF144" i="19"/>
  <c r="S143" i="19"/>
  <c r="AG143" i="19"/>
  <c r="T142" i="19"/>
  <c r="AO143" i="19"/>
  <c r="AB142" i="19"/>
  <c r="AM143" i="19"/>
  <c r="Z142" i="19"/>
  <c r="Z141" i="19" l="1"/>
  <c r="AM142" i="19"/>
  <c r="AD141" i="19"/>
  <c r="AQ142" i="19"/>
  <c r="AJ142" i="19"/>
  <c r="W141" i="19"/>
  <c r="AB141" i="19"/>
  <c r="AO142" i="19"/>
  <c r="AK143" i="19"/>
  <c r="X142" i="19"/>
  <c r="AN143" i="19"/>
  <c r="AA142" i="19"/>
  <c r="AG142" i="19"/>
  <c r="T141" i="19"/>
  <c r="AL143" i="19"/>
  <c r="Y142" i="19"/>
  <c r="AI142" i="19"/>
  <c r="V141" i="19"/>
  <c r="AH142" i="19"/>
  <c r="U141" i="19"/>
  <c r="AC141" i="19"/>
  <c r="AP142" i="19"/>
  <c r="S142" i="19"/>
  <c r="AF143" i="19"/>
  <c r="AB140" i="19" l="1"/>
  <c r="AO141" i="19"/>
  <c r="AF142" i="19"/>
  <c r="S141" i="19"/>
  <c r="AC140" i="19"/>
  <c r="AP141" i="19"/>
  <c r="AG141" i="19"/>
  <c r="T140" i="19"/>
  <c r="AH141" i="19"/>
  <c r="U140" i="19"/>
  <c r="AD140" i="19"/>
  <c r="AQ141" i="19"/>
  <c r="V140" i="19"/>
  <c r="AI141" i="19"/>
  <c r="AL142" i="19"/>
  <c r="Y141" i="19"/>
  <c r="AJ141" i="19"/>
  <c r="W140" i="19"/>
  <c r="AN142" i="19"/>
  <c r="AA141" i="19"/>
  <c r="AK142" i="19"/>
  <c r="X141" i="19"/>
  <c r="AM141" i="19"/>
  <c r="Z140" i="19"/>
  <c r="T139" i="19" l="1"/>
  <c r="AG140" i="19"/>
  <c r="Y140" i="19"/>
  <c r="AL141" i="19"/>
  <c r="V139" i="19"/>
  <c r="AI140" i="19"/>
  <c r="AN141" i="19"/>
  <c r="AA140" i="19"/>
  <c r="S140" i="19"/>
  <c r="AF141" i="19"/>
  <c r="AQ140" i="19"/>
  <c r="AD139" i="19"/>
  <c r="AJ140" i="19"/>
  <c r="W139" i="19"/>
  <c r="Z139" i="19"/>
  <c r="AM140" i="19"/>
  <c r="X140" i="19"/>
  <c r="AK141" i="19"/>
  <c r="AP140" i="19"/>
  <c r="AC139" i="19"/>
  <c r="U139" i="19"/>
  <c r="AH140" i="19"/>
  <c r="AB139" i="19"/>
  <c r="AO140" i="19"/>
  <c r="AM139" i="19" l="1"/>
  <c r="Z138" i="19"/>
  <c r="V138" i="19"/>
  <c r="AI139" i="19"/>
  <c r="AA139" i="19"/>
  <c r="AN140" i="19"/>
  <c r="AC138" i="19"/>
  <c r="AP139" i="19"/>
  <c r="AB138" i="19"/>
  <c r="AO139" i="19"/>
  <c r="AJ139" i="19"/>
  <c r="W138" i="19"/>
  <c r="U138" i="19"/>
  <c r="AH139" i="19"/>
  <c r="AQ139" i="19"/>
  <c r="AD138" i="19"/>
  <c r="AL140" i="19"/>
  <c r="Y139" i="19"/>
  <c r="AK140" i="19"/>
  <c r="X139" i="19"/>
  <c r="S139" i="19"/>
  <c r="AF140" i="19"/>
  <c r="AG139" i="19"/>
  <c r="T138" i="19"/>
  <c r="AP138" i="19" l="1"/>
  <c r="AC137" i="19"/>
  <c r="AJ138" i="19"/>
  <c r="W137" i="19"/>
  <c r="T137" i="19"/>
  <c r="AG138" i="19"/>
  <c r="AN139" i="19"/>
  <c r="AA138" i="19"/>
  <c r="AF139" i="19"/>
  <c r="S138" i="19"/>
  <c r="Y138" i="19"/>
  <c r="AL139" i="19"/>
  <c r="Z137" i="19"/>
  <c r="AM138" i="19"/>
  <c r="AQ138" i="19"/>
  <c r="AD137" i="19"/>
  <c r="AH138" i="19"/>
  <c r="U137" i="19"/>
  <c r="X138" i="19"/>
  <c r="AK139" i="19"/>
  <c r="AI138" i="19"/>
  <c r="V137" i="19"/>
  <c r="AB137" i="19"/>
  <c r="AO138" i="19"/>
  <c r="AG137" i="19" l="1"/>
  <c r="T136" i="19"/>
  <c r="AD136" i="19"/>
  <c r="AQ137" i="19"/>
  <c r="AI137" i="19"/>
  <c r="V136" i="19"/>
  <c r="AM137" i="19"/>
  <c r="Z136" i="19"/>
  <c r="AL138" i="19"/>
  <c r="Y137" i="19"/>
  <c r="AB136" i="19"/>
  <c r="AO137" i="19"/>
  <c r="AJ137" i="19"/>
  <c r="W136" i="19"/>
  <c r="AH137" i="19"/>
  <c r="U136" i="19"/>
  <c r="AC136" i="19"/>
  <c r="AP137" i="19"/>
  <c r="AN138" i="19"/>
  <c r="AA137" i="19"/>
  <c r="X137" i="19"/>
  <c r="AK138" i="19"/>
  <c r="S137" i="19"/>
  <c r="AF138" i="19"/>
  <c r="AH136" i="19" l="1"/>
  <c r="U135" i="19"/>
  <c r="X136" i="19"/>
  <c r="AK137" i="19"/>
  <c r="AM136" i="19"/>
  <c r="Z135" i="19"/>
  <c r="AJ136" i="19"/>
  <c r="W135" i="19"/>
  <c r="S136" i="19"/>
  <c r="AF137" i="19"/>
  <c r="AB135" i="19"/>
  <c r="AO136" i="19"/>
  <c r="AI136" i="19"/>
  <c r="V135" i="19"/>
  <c r="AN137" i="19"/>
  <c r="AA136" i="19"/>
  <c r="AD135" i="19"/>
  <c r="AQ136" i="19"/>
  <c r="T135" i="19"/>
  <c r="AG136" i="19"/>
  <c r="AL137" i="19"/>
  <c r="Y136" i="19"/>
  <c r="AP136" i="19"/>
  <c r="AC135" i="19"/>
  <c r="AN136" i="19" l="1"/>
  <c r="AA135" i="19"/>
  <c r="AL136" i="19"/>
  <c r="Y135" i="19"/>
  <c r="AP135" i="19"/>
  <c r="AC134" i="19"/>
  <c r="Z134" i="19"/>
  <c r="AM135" i="19"/>
  <c r="AG135" i="19"/>
  <c r="T134" i="19"/>
  <c r="X135" i="19"/>
  <c r="AK136" i="19"/>
  <c r="AH135" i="19"/>
  <c r="U134" i="19"/>
  <c r="AJ135" i="19"/>
  <c r="W134" i="19"/>
  <c r="AI135" i="19"/>
  <c r="V134" i="19"/>
  <c r="AB134" i="19"/>
  <c r="AO135" i="19"/>
  <c r="AD134" i="19"/>
  <c r="AQ135" i="19"/>
  <c r="AF136" i="19"/>
  <c r="S135" i="19"/>
  <c r="AF135" i="19" l="1"/>
  <c r="S134" i="19"/>
  <c r="AM134" i="19"/>
  <c r="Z133" i="19"/>
  <c r="AD133" i="19"/>
  <c r="AQ134" i="19"/>
  <c r="AP134" i="19"/>
  <c r="AC133" i="19"/>
  <c r="AB133" i="19"/>
  <c r="AO134" i="19"/>
  <c r="W133" i="19"/>
  <c r="AJ134" i="19"/>
  <c r="AH134" i="19"/>
  <c r="U133" i="19"/>
  <c r="AL135" i="19"/>
  <c r="Y134" i="19"/>
  <c r="T133" i="19"/>
  <c r="AG134" i="19"/>
  <c r="AA134" i="19"/>
  <c r="AN135" i="19"/>
  <c r="AK135" i="19"/>
  <c r="X134" i="19"/>
  <c r="AI134" i="19"/>
  <c r="V133" i="19"/>
  <c r="AL134" i="19" l="1"/>
  <c r="Y133" i="19"/>
  <c r="V132" i="19"/>
  <c r="AI133" i="19"/>
  <c r="X133" i="19"/>
  <c r="AK134" i="19"/>
  <c r="AQ133" i="19"/>
  <c r="AD132" i="19"/>
  <c r="AJ133" i="19"/>
  <c r="W132" i="19"/>
  <c r="AM133" i="19"/>
  <c r="Z132" i="19"/>
  <c r="AN134" i="19"/>
  <c r="AA133" i="19"/>
  <c r="AF134" i="19"/>
  <c r="S133" i="19"/>
  <c r="AC132" i="19"/>
  <c r="AP133" i="19"/>
  <c r="AH133" i="19"/>
  <c r="U132" i="19"/>
  <c r="AG133" i="19"/>
  <c r="T132" i="19"/>
  <c r="AO133" i="19"/>
  <c r="AB132" i="19"/>
  <c r="AB131" i="19" l="1"/>
  <c r="AO132" i="19"/>
  <c r="AQ132" i="19"/>
  <c r="AD131" i="19"/>
  <c r="T131" i="19"/>
  <c r="AG132" i="19"/>
  <c r="U131" i="19"/>
  <c r="AH132" i="19"/>
  <c r="AF133" i="19"/>
  <c r="S132" i="19"/>
  <c r="AI132" i="19"/>
  <c r="V131" i="19"/>
  <c r="AM132" i="19"/>
  <c r="Z131" i="19"/>
  <c r="W131" i="19"/>
  <c r="AJ132" i="19"/>
  <c r="Y132" i="19"/>
  <c r="AL133" i="19"/>
  <c r="AA132" i="19"/>
  <c r="AN133" i="19"/>
  <c r="X132" i="19"/>
  <c r="AK133" i="19"/>
  <c r="AC131" i="19"/>
  <c r="AP132" i="19"/>
  <c r="W130" i="19" l="1"/>
  <c r="AJ131" i="19"/>
  <c r="AG131" i="19"/>
  <c r="T130" i="19"/>
  <c r="Z130" i="19"/>
  <c r="AM131" i="19"/>
  <c r="V130" i="19"/>
  <c r="AI131" i="19"/>
  <c r="AP131" i="19"/>
  <c r="AC130" i="19"/>
  <c r="AN132" i="19"/>
  <c r="AA131" i="19"/>
  <c r="S131" i="19"/>
  <c r="AF132" i="19"/>
  <c r="U130" i="19"/>
  <c r="AH131" i="19"/>
  <c r="X131" i="19"/>
  <c r="AK132" i="19"/>
  <c r="AD130" i="19"/>
  <c r="AQ131" i="19"/>
  <c r="AL132" i="19"/>
  <c r="Y131" i="19"/>
  <c r="AO131" i="19"/>
  <c r="AB130" i="19"/>
  <c r="V129" i="19" l="1"/>
  <c r="AI130" i="19"/>
  <c r="AM130" i="19"/>
  <c r="Z129" i="19"/>
  <c r="AQ130" i="19"/>
  <c r="AD129" i="19"/>
  <c r="AL131" i="19"/>
  <c r="Y130" i="19"/>
  <c r="S130" i="19"/>
  <c r="AF131" i="19"/>
  <c r="AN131" i="19"/>
  <c r="AA130" i="19"/>
  <c r="AP130" i="19"/>
  <c r="AC129" i="19"/>
  <c r="AB129" i="19"/>
  <c r="AO130" i="19"/>
  <c r="AH130" i="19"/>
  <c r="U129" i="19"/>
  <c r="T129" i="19"/>
  <c r="AG130" i="19"/>
  <c r="AK131" i="19"/>
  <c r="X130" i="19"/>
  <c r="W129" i="19"/>
  <c r="AJ130" i="19"/>
  <c r="AL130" i="19" l="1"/>
  <c r="Y129" i="19"/>
  <c r="AO129" i="19"/>
  <c r="AB128" i="19"/>
  <c r="Z128" i="19"/>
  <c r="AM129" i="19"/>
  <c r="AC128" i="19"/>
  <c r="AP129" i="19"/>
  <c r="AJ129" i="19"/>
  <c r="W128" i="19"/>
  <c r="X129" i="19"/>
  <c r="AK130" i="19"/>
  <c r="AG129" i="19"/>
  <c r="T128" i="19"/>
  <c r="AH129" i="19"/>
  <c r="U128" i="19"/>
  <c r="AQ129" i="19"/>
  <c r="AD128" i="19"/>
  <c r="AA129" i="19"/>
  <c r="AN130" i="19"/>
  <c r="AF130" i="19"/>
  <c r="S129" i="19"/>
  <c r="V128" i="19"/>
  <c r="AI129" i="19"/>
  <c r="AC127" i="19" l="1"/>
  <c r="AP128" i="19"/>
  <c r="X128" i="19"/>
  <c r="AK129" i="19"/>
  <c r="AH128" i="19"/>
  <c r="U127" i="19"/>
  <c r="AF129" i="19"/>
  <c r="S128" i="19"/>
  <c r="AM128" i="19"/>
  <c r="Z127" i="19"/>
  <c r="AA128" i="19"/>
  <c r="AN129" i="19"/>
  <c r="AD127" i="19"/>
  <c r="AQ128" i="19"/>
  <c r="AL129" i="19"/>
  <c r="Y128" i="19"/>
  <c r="AI128" i="19"/>
  <c r="V127" i="19"/>
  <c r="T127" i="19"/>
  <c r="AG128" i="19"/>
  <c r="AO128" i="19"/>
  <c r="AB127" i="19"/>
  <c r="AJ128" i="19"/>
  <c r="W127" i="19"/>
  <c r="AJ127" i="19" l="1"/>
  <c r="W126" i="19"/>
  <c r="AF128" i="19"/>
  <c r="S127" i="19"/>
  <c r="AG127" i="19"/>
  <c r="T126" i="19"/>
  <c r="AH127" i="19"/>
  <c r="U126" i="19"/>
  <c r="AA127" i="19"/>
  <c r="AN128" i="19"/>
  <c r="X127" i="19"/>
  <c r="AK128" i="19"/>
  <c r="Z126" i="19"/>
  <c r="AM127" i="19"/>
  <c r="AL128" i="19"/>
  <c r="Y127" i="19"/>
  <c r="AO127" i="19"/>
  <c r="AB126" i="19"/>
  <c r="AQ127" i="19"/>
  <c r="AD126" i="19"/>
  <c r="AI127" i="19"/>
  <c r="V126" i="19"/>
  <c r="AP127" i="19"/>
  <c r="AC126" i="19"/>
  <c r="AM126" i="19" l="1"/>
  <c r="Z125" i="19"/>
  <c r="AH126" i="19"/>
  <c r="U125" i="19"/>
  <c r="AP126" i="19"/>
  <c r="AC125" i="19"/>
  <c r="AG126" i="19"/>
  <c r="T125" i="19"/>
  <c r="S126" i="19"/>
  <c r="AF127" i="19"/>
  <c r="X126" i="19"/>
  <c r="AK127" i="19"/>
  <c r="W125" i="19"/>
  <c r="AJ126" i="19"/>
  <c r="Y126" i="19"/>
  <c r="AL127" i="19"/>
  <c r="V125" i="19"/>
  <c r="AI126" i="19"/>
  <c r="AQ126" i="19"/>
  <c r="AD125" i="19"/>
  <c r="AB125" i="19"/>
  <c r="AO126" i="19"/>
  <c r="AN127" i="19"/>
  <c r="AA126" i="19"/>
  <c r="AN126" i="19" l="1"/>
  <c r="AA125" i="19"/>
  <c r="Y125" i="19"/>
  <c r="AL126" i="19"/>
  <c r="AQ125" i="19"/>
  <c r="AD124" i="19"/>
  <c r="AG125" i="19"/>
  <c r="T124" i="19"/>
  <c r="W124" i="19"/>
  <c r="AJ125" i="19"/>
  <c r="AP125" i="19"/>
  <c r="AC124" i="19"/>
  <c r="AK126" i="19"/>
  <c r="X125" i="19"/>
  <c r="AM125" i="19"/>
  <c r="Z124" i="19"/>
  <c r="AO125" i="19"/>
  <c r="AB124" i="19"/>
  <c r="U124" i="19"/>
  <c r="AH125" i="19"/>
  <c r="AI125" i="19"/>
  <c r="V124" i="19"/>
  <c r="S125" i="19"/>
  <c r="AF126" i="19"/>
  <c r="AG124" i="19" l="1"/>
  <c r="T123" i="19"/>
  <c r="AF125" i="19"/>
  <c r="S124" i="19"/>
  <c r="AK125" i="19"/>
  <c r="X124" i="19"/>
  <c r="AH124" i="19"/>
  <c r="U123" i="19"/>
  <c r="AI124" i="19"/>
  <c r="V123" i="19"/>
  <c r="AP124" i="19"/>
  <c r="AC123" i="19"/>
  <c r="Y124" i="19"/>
  <c r="AL125" i="19"/>
  <c r="AO124" i="19"/>
  <c r="AB123" i="19"/>
  <c r="AN125" i="19"/>
  <c r="AA124" i="19"/>
  <c r="AM124" i="19"/>
  <c r="Z123" i="19"/>
  <c r="AQ124" i="19"/>
  <c r="AD123" i="19"/>
  <c r="AJ124" i="19"/>
  <c r="W123" i="19"/>
  <c r="AM123" i="19" l="1"/>
  <c r="Z122" i="19"/>
  <c r="AH123" i="19"/>
  <c r="U122" i="19"/>
  <c r="AC122" i="19"/>
  <c r="AP123" i="19"/>
  <c r="AJ123" i="19"/>
  <c r="W122" i="19"/>
  <c r="AK124" i="19"/>
  <c r="X123" i="19"/>
  <c r="Y123" i="19"/>
  <c r="AL124" i="19"/>
  <c r="V122" i="19"/>
  <c r="AI123" i="19"/>
  <c r="T122" i="19"/>
  <c r="AG123" i="19"/>
  <c r="AO123" i="19"/>
  <c r="AB122" i="19"/>
  <c r="AQ123" i="19"/>
  <c r="AD122" i="19"/>
  <c r="S123" i="19"/>
  <c r="AF124" i="19"/>
  <c r="AN124" i="19"/>
  <c r="AA123" i="19"/>
  <c r="AA122" i="19" l="1"/>
  <c r="AN123" i="19"/>
  <c r="AP122" i="19"/>
  <c r="AC121" i="19"/>
  <c r="AJ122" i="19"/>
  <c r="W121" i="19"/>
  <c r="AL123" i="19"/>
  <c r="Y122" i="19"/>
  <c r="AG122" i="19"/>
  <c r="T121" i="19"/>
  <c r="S122" i="19"/>
  <c r="AF123" i="19"/>
  <c r="AH122" i="19"/>
  <c r="U121" i="19"/>
  <c r="AO122" i="19"/>
  <c r="AB121" i="19"/>
  <c r="AM122" i="19"/>
  <c r="Z121" i="19"/>
  <c r="AI122" i="19"/>
  <c r="V121" i="19"/>
  <c r="AQ122" i="19"/>
  <c r="AD121" i="19"/>
  <c r="AK123" i="19"/>
  <c r="X122" i="19"/>
  <c r="AL122" i="19" l="1"/>
  <c r="Y121" i="19"/>
  <c r="V120" i="19"/>
  <c r="AI121" i="19"/>
  <c r="AD120" i="19"/>
  <c r="AQ121" i="19"/>
  <c r="AF122" i="19"/>
  <c r="S121" i="19"/>
  <c r="X121" i="19"/>
  <c r="AK122" i="19"/>
  <c r="AJ121" i="19"/>
  <c r="W120" i="19"/>
  <c r="AC120" i="19"/>
  <c r="AP121" i="19"/>
  <c r="Z120" i="19"/>
  <c r="AM121" i="19"/>
  <c r="AB120" i="19"/>
  <c r="AO121" i="19"/>
  <c r="AH121" i="19"/>
  <c r="U120" i="19"/>
  <c r="AG121" i="19"/>
  <c r="T120" i="19"/>
  <c r="AA121" i="19"/>
  <c r="AN122" i="19"/>
  <c r="AP120" i="19" l="1"/>
  <c r="AC119" i="19"/>
  <c r="AA120" i="19"/>
  <c r="AN121" i="19"/>
  <c r="AF121" i="19"/>
  <c r="S120" i="19"/>
  <c r="T119" i="19"/>
  <c r="AG120" i="19"/>
  <c r="AI120" i="19"/>
  <c r="V119" i="19"/>
  <c r="Y120" i="19"/>
  <c r="AL121" i="19"/>
  <c r="Z119" i="19"/>
  <c r="AM120" i="19"/>
  <c r="AD119" i="19"/>
  <c r="AQ120" i="19"/>
  <c r="U119" i="19"/>
  <c r="AH120" i="19"/>
  <c r="AJ120" i="19"/>
  <c r="W119" i="19"/>
  <c r="AB119" i="19"/>
  <c r="AO120" i="19"/>
  <c r="X120" i="19"/>
  <c r="AK121" i="19"/>
  <c r="AK120" i="19" l="1"/>
  <c r="X119" i="19"/>
  <c r="AG119" i="19"/>
  <c r="T118" i="19"/>
  <c r="AB118" i="19"/>
  <c r="AO119" i="19"/>
  <c r="AM119" i="19"/>
  <c r="Z118" i="19"/>
  <c r="AL120" i="19"/>
  <c r="Y119" i="19"/>
  <c r="AC118" i="19"/>
  <c r="AP119" i="19"/>
  <c r="AQ119" i="19"/>
  <c r="AD118" i="19"/>
  <c r="AF120" i="19"/>
  <c r="S119" i="19"/>
  <c r="AJ119" i="19"/>
  <c r="W118" i="19"/>
  <c r="AA119" i="19"/>
  <c r="AN120" i="19"/>
  <c r="AI119" i="19"/>
  <c r="V118" i="19"/>
  <c r="AH119" i="19"/>
  <c r="U118" i="19"/>
  <c r="AM118" i="19" l="1"/>
  <c r="Z117" i="19"/>
  <c r="AF119" i="19"/>
  <c r="S118" i="19"/>
  <c r="AB117" i="19"/>
  <c r="AO118" i="19"/>
  <c r="U117" i="19"/>
  <c r="AH118" i="19"/>
  <c r="AQ118" i="19"/>
  <c r="AD117" i="19"/>
  <c r="AA118" i="19"/>
  <c r="AN119" i="19"/>
  <c r="AP118" i="19"/>
  <c r="AC117" i="19"/>
  <c r="X118" i="19"/>
  <c r="AK119" i="19"/>
  <c r="AI118" i="19"/>
  <c r="V117" i="19"/>
  <c r="AG118" i="19"/>
  <c r="T117" i="19"/>
  <c r="W117" i="19"/>
  <c r="AJ118" i="19"/>
  <c r="Y118" i="19"/>
  <c r="AL119" i="19"/>
  <c r="AL118" i="19" l="1"/>
  <c r="Y117" i="19"/>
  <c r="AP117" i="19"/>
  <c r="AC116" i="19"/>
  <c r="AG117" i="19"/>
  <c r="T116" i="19"/>
  <c r="X117" i="19"/>
  <c r="AK118" i="19"/>
  <c r="AJ117" i="19"/>
  <c r="W116" i="19"/>
  <c r="AN118" i="19"/>
  <c r="AA117" i="19"/>
  <c r="AQ117" i="19"/>
  <c r="AD116" i="19"/>
  <c r="AM117" i="19"/>
  <c r="Z116" i="19"/>
  <c r="AH117" i="19"/>
  <c r="U116" i="19"/>
  <c r="AO117" i="19"/>
  <c r="AB116" i="19"/>
  <c r="S117" i="19"/>
  <c r="AF118" i="19"/>
  <c r="AI117" i="19"/>
  <c r="V116" i="19"/>
  <c r="Z115" i="19" l="1"/>
  <c r="AM116" i="19"/>
  <c r="AI116" i="19"/>
  <c r="V115" i="19"/>
  <c r="AD115" i="19"/>
  <c r="AQ116" i="19"/>
  <c r="AG116" i="19"/>
  <c r="T115" i="19"/>
  <c r="AO116" i="19"/>
  <c r="AB115" i="19"/>
  <c r="W115" i="19"/>
  <c r="AJ116" i="19"/>
  <c r="Y116" i="19"/>
  <c r="AL117" i="19"/>
  <c r="X116" i="19"/>
  <c r="AK117" i="19"/>
  <c r="AF117" i="19"/>
  <c r="S116" i="19"/>
  <c r="AA116" i="19"/>
  <c r="AN117" i="19"/>
  <c r="AC115" i="19"/>
  <c r="AP116" i="19"/>
  <c r="AH116" i="19"/>
  <c r="U115" i="19"/>
  <c r="Y115" i="19" l="1"/>
  <c r="AL116" i="19"/>
  <c r="AK116" i="19"/>
  <c r="X115" i="19"/>
  <c r="AH115" i="19"/>
  <c r="U114" i="19"/>
  <c r="AP115" i="19"/>
  <c r="AC114" i="19"/>
  <c r="AJ115" i="19"/>
  <c r="W114" i="19"/>
  <c r="AG115" i="19"/>
  <c r="T114" i="19"/>
  <c r="AI115" i="19"/>
  <c r="V114" i="19"/>
  <c r="AO115" i="19"/>
  <c r="AB114" i="19"/>
  <c r="AD114" i="19"/>
  <c r="AQ115" i="19"/>
  <c r="AA115" i="19"/>
  <c r="AN116" i="19"/>
  <c r="S115" i="19"/>
  <c r="AF116" i="19"/>
  <c r="Z114" i="19"/>
  <c r="AM115" i="19"/>
  <c r="AB113" i="19" l="1"/>
  <c r="AO114" i="19"/>
  <c r="AP114" i="19"/>
  <c r="AC113" i="19"/>
  <c r="AH114" i="19"/>
  <c r="U113" i="19"/>
  <c r="AG114" i="19"/>
  <c r="T113" i="19"/>
  <c r="AA114" i="19"/>
  <c r="AN115" i="19"/>
  <c r="AJ114" i="19"/>
  <c r="W113" i="19"/>
  <c r="AM114" i="19"/>
  <c r="Z113" i="19"/>
  <c r="V113" i="19"/>
  <c r="AI114" i="19"/>
  <c r="S114" i="19"/>
  <c r="AF115" i="19"/>
  <c r="AK115" i="19"/>
  <c r="X114" i="19"/>
  <c r="AD113" i="19"/>
  <c r="AQ114" i="19"/>
  <c r="Y114" i="19"/>
  <c r="AL115" i="19"/>
  <c r="V112" i="19" l="1"/>
  <c r="AI113" i="19"/>
  <c r="AL114" i="19"/>
  <c r="Y113" i="19"/>
  <c r="AD112" i="19"/>
  <c r="AQ113" i="19"/>
  <c r="AH113" i="19"/>
  <c r="U112" i="19"/>
  <c r="X113" i="19"/>
  <c r="AK114" i="19"/>
  <c r="AC112" i="19"/>
  <c r="AP113" i="19"/>
  <c r="AG113" i="19"/>
  <c r="T112" i="19"/>
  <c r="AM113" i="19"/>
  <c r="Z112" i="19"/>
  <c r="AJ113" i="19"/>
  <c r="W112" i="19"/>
  <c r="S113" i="19"/>
  <c r="AF114" i="19"/>
  <c r="AN114" i="19"/>
  <c r="AA113" i="19"/>
  <c r="AO113" i="19"/>
  <c r="AB112" i="19"/>
  <c r="AO112" i="19" l="1"/>
  <c r="AB111" i="19"/>
  <c r="AD111" i="19"/>
  <c r="AQ112" i="19"/>
  <c r="AF113" i="19"/>
  <c r="S112" i="19"/>
  <c r="Z111" i="19"/>
  <c r="AM112" i="19"/>
  <c r="AA112" i="19"/>
  <c r="AN113" i="19"/>
  <c r="Y112" i="19"/>
  <c r="AL113" i="19"/>
  <c r="AP112" i="19"/>
  <c r="AC111" i="19"/>
  <c r="AJ112" i="19"/>
  <c r="W111" i="19"/>
  <c r="AH112" i="19"/>
  <c r="U111" i="19"/>
  <c r="T111" i="19"/>
  <c r="AG112" i="19"/>
  <c r="AK113" i="19"/>
  <c r="X112" i="19"/>
  <c r="V111" i="19"/>
  <c r="AI112" i="19"/>
  <c r="S111" i="19" l="1"/>
  <c r="AF112" i="19"/>
  <c r="AJ111" i="19"/>
  <c r="W110" i="19"/>
  <c r="X111" i="19"/>
  <c r="AK112" i="19"/>
  <c r="AQ111" i="19"/>
  <c r="AD110" i="19"/>
  <c r="AI111" i="19"/>
  <c r="V110" i="19"/>
  <c r="AC110" i="19"/>
  <c r="AP111" i="19"/>
  <c r="AG111" i="19"/>
  <c r="T110" i="19"/>
  <c r="AB110" i="19"/>
  <c r="AO111" i="19"/>
  <c r="AM111" i="19"/>
  <c r="Z110" i="19"/>
  <c r="AL112" i="19"/>
  <c r="Y111" i="19"/>
  <c r="U110" i="19"/>
  <c r="AH111" i="19"/>
  <c r="AN112" i="19"/>
  <c r="AA111" i="19"/>
  <c r="U109" i="19" l="1"/>
  <c r="AH110" i="19"/>
  <c r="AN111" i="19"/>
  <c r="AA110" i="19"/>
  <c r="AQ110" i="19"/>
  <c r="AD109" i="19"/>
  <c r="Y110" i="19"/>
  <c r="AL111" i="19"/>
  <c r="AB109" i="19"/>
  <c r="AO110" i="19"/>
  <c r="AJ110" i="19"/>
  <c r="W109" i="19"/>
  <c r="AC109" i="19"/>
  <c r="AP110" i="19"/>
  <c r="V109" i="19"/>
  <c r="AI110" i="19"/>
  <c r="T109" i="19"/>
  <c r="AG110" i="19"/>
  <c r="X110" i="19"/>
  <c r="AK111" i="19"/>
  <c r="AM110" i="19"/>
  <c r="Z109" i="19"/>
  <c r="S110" i="19"/>
  <c r="AF111" i="19"/>
  <c r="AI109" i="19" l="1"/>
  <c r="V108" i="19"/>
  <c r="S109" i="19"/>
  <c r="AF110" i="19"/>
  <c r="AD108" i="19"/>
  <c r="AQ109" i="19"/>
  <c r="Z108" i="19"/>
  <c r="AM109" i="19"/>
  <c r="AP109" i="19"/>
  <c r="AC108" i="19"/>
  <c r="AK110" i="19"/>
  <c r="X109" i="19"/>
  <c r="AL110" i="19"/>
  <c r="Y109" i="19"/>
  <c r="AN110" i="19"/>
  <c r="AA109" i="19"/>
  <c r="W108" i="19"/>
  <c r="AJ109" i="19"/>
  <c r="AG109" i="19"/>
  <c r="T108" i="19"/>
  <c r="AO109" i="19"/>
  <c r="AB108" i="19"/>
  <c r="AH109" i="19"/>
  <c r="U108" i="19"/>
  <c r="AA108" i="19" l="1"/>
  <c r="AN109" i="19"/>
  <c r="AD107" i="19"/>
  <c r="AQ108" i="19"/>
  <c r="T107" i="19"/>
  <c r="AG108" i="19"/>
  <c r="AH108" i="19"/>
  <c r="U107" i="19"/>
  <c r="AM108" i="19"/>
  <c r="Z107" i="19"/>
  <c r="AL109" i="19"/>
  <c r="Y108" i="19"/>
  <c r="X108" i="19"/>
  <c r="AK109" i="19"/>
  <c r="AF109" i="19"/>
  <c r="S108" i="19"/>
  <c r="AC107" i="19"/>
  <c r="AP108" i="19"/>
  <c r="V107" i="19"/>
  <c r="AI108" i="19"/>
  <c r="AO108" i="19"/>
  <c r="AB107" i="19"/>
  <c r="AJ108" i="19"/>
  <c r="W107" i="19"/>
  <c r="AK108" i="19" l="1"/>
  <c r="X107" i="19"/>
  <c r="AF108" i="19"/>
  <c r="S107" i="19"/>
  <c r="T106" i="19"/>
  <c r="AG107" i="19"/>
  <c r="AH107" i="19"/>
  <c r="U106" i="19"/>
  <c r="AI107" i="19"/>
  <c r="V106" i="19"/>
  <c r="AM107" i="19"/>
  <c r="Z106" i="19"/>
  <c r="W106" i="19"/>
  <c r="AJ107" i="19"/>
  <c r="AB106" i="19"/>
  <c r="AO107" i="19"/>
  <c r="AL108" i="19"/>
  <c r="Y107" i="19"/>
  <c r="AQ107" i="19"/>
  <c r="AD106" i="19"/>
  <c r="AC106" i="19"/>
  <c r="AP107" i="19"/>
  <c r="AN108" i="19"/>
  <c r="AA107" i="19"/>
  <c r="AA106" i="19" l="1"/>
  <c r="AN107" i="19"/>
  <c r="AP106" i="19"/>
  <c r="AC105" i="19"/>
  <c r="AO106" i="19"/>
  <c r="AB105" i="19"/>
  <c r="AD105" i="19"/>
  <c r="AQ106" i="19"/>
  <c r="AG106" i="19"/>
  <c r="T105" i="19"/>
  <c r="AF107" i="19"/>
  <c r="S106" i="19"/>
  <c r="Y106" i="19"/>
  <c r="AL107" i="19"/>
  <c r="AK107" i="19"/>
  <c r="X106" i="19"/>
  <c r="AH106" i="19"/>
  <c r="U105" i="19"/>
  <c r="AJ106" i="19"/>
  <c r="W105" i="19"/>
  <c r="AM106" i="19"/>
  <c r="Z105" i="19"/>
  <c r="AI106" i="19"/>
  <c r="V105" i="19"/>
  <c r="AK106" i="19" l="1"/>
  <c r="X105" i="19"/>
  <c r="AI105" i="19"/>
  <c r="V104" i="19"/>
  <c r="AL106" i="19"/>
  <c r="Y105" i="19"/>
  <c r="AD104" i="19"/>
  <c r="AQ105" i="19"/>
  <c r="AB104" i="19"/>
  <c r="AO105" i="19"/>
  <c r="AJ105" i="19"/>
  <c r="W104" i="19"/>
  <c r="Z104" i="19"/>
  <c r="AM105" i="19"/>
  <c r="AC104" i="19"/>
  <c r="AP105" i="19"/>
  <c r="U104" i="19"/>
  <c r="AH105" i="19"/>
  <c r="S105" i="19"/>
  <c r="AF106" i="19"/>
  <c r="T104" i="19"/>
  <c r="AG105" i="19"/>
  <c r="AA105" i="19"/>
  <c r="AN106" i="19"/>
  <c r="AP104" i="19" l="1"/>
  <c r="AC103" i="19"/>
  <c r="AQ104" i="19"/>
  <c r="AD103" i="19"/>
  <c r="AN105" i="19"/>
  <c r="AA104" i="19"/>
  <c r="AL105" i="19"/>
  <c r="Y104" i="19"/>
  <c r="T103" i="19"/>
  <c r="AG104" i="19"/>
  <c r="AI104" i="19"/>
  <c r="V103" i="19"/>
  <c r="X104" i="19"/>
  <c r="AK105" i="19"/>
  <c r="Z103" i="19"/>
  <c r="AM104" i="19"/>
  <c r="AJ104" i="19"/>
  <c r="W103" i="19"/>
  <c r="AF105" i="19"/>
  <c r="S104" i="19"/>
  <c r="U103" i="19"/>
  <c r="AH104" i="19"/>
  <c r="AB103" i="19"/>
  <c r="AO104" i="19"/>
  <c r="Z102" i="19" l="1"/>
  <c r="AM103" i="19"/>
  <c r="AL104" i="19"/>
  <c r="Y103" i="19"/>
  <c r="X103" i="19"/>
  <c r="AK104" i="19"/>
  <c r="AH103" i="19"/>
  <c r="U102" i="19"/>
  <c r="AO103" i="19"/>
  <c r="AB102" i="19"/>
  <c r="AA103" i="19"/>
  <c r="AN104" i="19"/>
  <c r="S103" i="19"/>
  <c r="AF104" i="19"/>
  <c r="V102" i="19"/>
  <c r="AI103" i="19"/>
  <c r="AP103" i="19"/>
  <c r="AC102" i="19"/>
  <c r="AD102" i="19"/>
  <c r="AQ103" i="19"/>
  <c r="AJ103" i="19"/>
  <c r="W102" i="19"/>
  <c r="AG103" i="19"/>
  <c r="T102" i="19"/>
  <c r="AH102" i="19" l="1"/>
  <c r="U101" i="19"/>
  <c r="AK103" i="19"/>
  <c r="X102" i="19"/>
  <c r="AJ102" i="19"/>
  <c r="W101" i="19"/>
  <c r="AD101" i="19"/>
  <c r="AQ102" i="19"/>
  <c r="T101" i="19"/>
  <c r="AG102" i="19"/>
  <c r="AF103" i="19"/>
  <c r="S102" i="19"/>
  <c r="AL103" i="19"/>
  <c r="Y102" i="19"/>
  <c r="AN103" i="19"/>
  <c r="AA102" i="19"/>
  <c r="AC101" i="19"/>
  <c r="AP102" i="19"/>
  <c r="AO102" i="19"/>
  <c r="AB101" i="19"/>
  <c r="AI102" i="19"/>
  <c r="V101" i="19"/>
  <c r="AM102" i="19"/>
  <c r="Z101" i="19"/>
  <c r="AM101" i="19" l="1"/>
  <c r="Z100" i="19"/>
  <c r="AD100" i="19"/>
  <c r="AQ101" i="19"/>
  <c r="AA101" i="19"/>
  <c r="AN102" i="19"/>
  <c r="AL102" i="19"/>
  <c r="Y101" i="19"/>
  <c r="AJ101" i="19"/>
  <c r="W100" i="19"/>
  <c r="AO101" i="19"/>
  <c r="AB100" i="19"/>
  <c r="X101" i="19"/>
  <c r="AK102" i="19"/>
  <c r="U100" i="19"/>
  <c r="AH101" i="19"/>
  <c r="V100" i="19"/>
  <c r="AI101" i="19"/>
  <c r="S101" i="19"/>
  <c r="AF102" i="19"/>
  <c r="AP101" i="19"/>
  <c r="AC100" i="19"/>
  <c r="T100" i="19"/>
  <c r="AG101" i="19"/>
  <c r="AG100" i="19" l="1"/>
  <c r="T99" i="19"/>
  <c r="AL101" i="19"/>
  <c r="Y100" i="19"/>
  <c r="AK101" i="19"/>
  <c r="X100" i="19"/>
  <c r="AP100" i="19"/>
  <c r="AC99" i="19"/>
  <c r="S100" i="19"/>
  <c r="AF101" i="19"/>
  <c r="U99" i="19"/>
  <c r="AH100" i="19"/>
  <c r="AD99" i="19"/>
  <c r="AQ100" i="19"/>
  <c r="W99" i="19"/>
  <c r="AJ100" i="19"/>
  <c r="Z99" i="19"/>
  <c r="AM100" i="19"/>
  <c r="AN101" i="19"/>
  <c r="AA100" i="19"/>
  <c r="AB99" i="19"/>
  <c r="AO100" i="19"/>
  <c r="AI100" i="19"/>
  <c r="V99" i="19"/>
  <c r="AC98" i="19" l="1"/>
  <c r="AP99" i="19"/>
  <c r="V98" i="19"/>
  <c r="AI99" i="19"/>
  <c r="AQ99" i="19"/>
  <c r="AD98" i="19"/>
  <c r="W98" i="19"/>
  <c r="AJ99" i="19"/>
  <c r="AO99" i="19"/>
  <c r="AB98" i="19"/>
  <c r="X99" i="19"/>
  <c r="AK100" i="19"/>
  <c r="AL100" i="19"/>
  <c r="Y99" i="19"/>
  <c r="T98" i="19"/>
  <c r="AG99" i="19"/>
  <c r="AN100" i="19"/>
  <c r="AA99" i="19"/>
  <c r="AH99" i="19"/>
  <c r="U98" i="19"/>
  <c r="AM99" i="19"/>
  <c r="Z98" i="19"/>
  <c r="AF100" i="19"/>
  <c r="S99" i="19"/>
  <c r="Z97" i="19" l="1"/>
  <c r="AM98" i="19"/>
  <c r="S98" i="19"/>
  <c r="AF99" i="19"/>
  <c r="AQ98" i="19"/>
  <c r="AD97" i="19"/>
  <c r="T97" i="19"/>
  <c r="AG98" i="19"/>
  <c r="Y98" i="19"/>
  <c r="AL99" i="19"/>
  <c r="AH98" i="19"/>
  <c r="U97" i="19"/>
  <c r="X98" i="19"/>
  <c r="AK99" i="19"/>
  <c r="AI98" i="19"/>
  <c r="V97" i="19"/>
  <c r="AO98" i="19"/>
  <c r="AB97" i="19"/>
  <c r="W97" i="19"/>
  <c r="AJ98" i="19"/>
  <c r="AA98" i="19"/>
  <c r="AN99" i="19"/>
  <c r="AC97" i="19"/>
  <c r="AP98" i="19"/>
  <c r="AA97" i="19" l="1"/>
  <c r="AN98" i="19"/>
  <c r="AI97" i="19"/>
  <c r="V96" i="19"/>
  <c r="AG97" i="19"/>
  <c r="T96" i="19"/>
  <c r="AH97" i="19"/>
  <c r="U96" i="19"/>
  <c r="AP97" i="19"/>
  <c r="AC96" i="19"/>
  <c r="AQ97" i="19"/>
  <c r="AD96" i="19"/>
  <c r="W96" i="19"/>
  <c r="AJ97" i="19"/>
  <c r="S97" i="19"/>
  <c r="AF98" i="19"/>
  <c r="AK98" i="19"/>
  <c r="X97" i="19"/>
  <c r="AO97" i="19"/>
  <c r="AB96" i="19"/>
  <c r="AL98" i="19"/>
  <c r="Y97" i="19"/>
  <c r="Z96" i="19"/>
  <c r="AM97" i="19"/>
  <c r="AJ96" i="19" l="1"/>
  <c r="W95" i="19"/>
  <c r="AF97" i="19"/>
  <c r="S96" i="19"/>
  <c r="Z95" i="19"/>
  <c r="AM96" i="19"/>
  <c r="AG96" i="19"/>
  <c r="T95" i="19"/>
  <c r="AQ96" i="19"/>
  <c r="AD95" i="19"/>
  <c r="AK97" i="19"/>
  <c r="X96" i="19"/>
  <c r="U95" i="19"/>
  <c r="AH96" i="19"/>
  <c r="AL97" i="19"/>
  <c r="Y96" i="19"/>
  <c r="AB95" i="19"/>
  <c r="AO96" i="19"/>
  <c r="V95" i="19"/>
  <c r="AI96" i="19"/>
  <c r="AP96" i="19"/>
  <c r="AC95" i="19"/>
  <c r="AA96" i="19"/>
  <c r="AN97" i="19"/>
  <c r="AL96" i="19" l="1"/>
  <c r="Y95" i="19"/>
  <c r="AM95" i="19"/>
  <c r="Z94" i="19"/>
  <c r="AA95" i="19"/>
  <c r="AN96" i="19"/>
  <c r="AG95" i="19"/>
  <c r="T94" i="19"/>
  <c r="AC94" i="19"/>
  <c r="AP95" i="19"/>
  <c r="AK96" i="19"/>
  <c r="X95" i="19"/>
  <c r="AI95" i="19"/>
  <c r="V94" i="19"/>
  <c r="AJ95" i="19"/>
  <c r="W94" i="19"/>
  <c r="AH95" i="19"/>
  <c r="U94" i="19"/>
  <c r="AF96" i="19"/>
  <c r="S95" i="19"/>
  <c r="AQ95" i="19"/>
  <c r="AD94" i="19"/>
  <c r="AO95" i="19"/>
  <c r="AB94" i="19"/>
  <c r="T93" i="19" l="1"/>
  <c r="AG94" i="19"/>
  <c r="AO94" i="19"/>
  <c r="AB93" i="19"/>
  <c r="AJ94" i="19"/>
  <c r="W93" i="19"/>
  <c r="AD93" i="19"/>
  <c r="AQ94" i="19"/>
  <c r="AN95" i="19"/>
  <c r="AA94" i="19"/>
  <c r="AI94" i="19"/>
  <c r="V93" i="19"/>
  <c r="AF95" i="19"/>
  <c r="S94" i="19"/>
  <c r="Y94" i="19"/>
  <c r="AL95" i="19"/>
  <c r="X94" i="19"/>
  <c r="AK95" i="19"/>
  <c r="Z93" i="19"/>
  <c r="AM94" i="19"/>
  <c r="AH94" i="19"/>
  <c r="U93" i="19"/>
  <c r="AP94" i="19"/>
  <c r="AC93" i="19"/>
  <c r="AQ93" i="19" l="1"/>
  <c r="AD92" i="19"/>
  <c r="AL94" i="19"/>
  <c r="Y93" i="19"/>
  <c r="W92" i="19"/>
  <c r="AJ93" i="19"/>
  <c r="Z92" i="19"/>
  <c r="AM93" i="19"/>
  <c r="AP93" i="19"/>
  <c r="AC92" i="19"/>
  <c r="U92" i="19"/>
  <c r="AH93" i="19"/>
  <c r="AO93" i="19"/>
  <c r="AB92" i="19"/>
  <c r="AA93" i="19"/>
  <c r="AN94" i="19"/>
  <c r="S93" i="19"/>
  <c r="AF94" i="19"/>
  <c r="AI93" i="19"/>
  <c r="V92" i="19"/>
  <c r="X93" i="19"/>
  <c r="AK94" i="19"/>
  <c r="AG93" i="19"/>
  <c r="T92" i="19"/>
  <c r="X92" i="19" l="1"/>
  <c r="AK93" i="19"/>
  <c r="AG92" i="19"/>
  <c r="T91" i="19"/>
  <c r="AM92" i="19"/>
  <c r="Z91" i="19"/>
  <c r="AJ92" i="19"/>
  <c r="W91" i="19"/>
  <c r="AO92" i="19"/>
  <c r="AB91" i="19"/>
  <c r="V91" i="19"/>
  <c r="AI92" i="19"/>
  <c r="AH92" i="19"/>
  <c r="U91" i="19"/>
  <c r="AD91" i="19"/>
  <c r="AQ92" i="19"/>
  <c r="AN93" i="19"/>
  <c r="AA92" i="19"/>
  <c r="AL93" i="19"/>
  <c r="Y92" i="19"/>
  <c r="AC91" i="19"/>
  <c r="AP92" i="19"/>
  <c r="AF93" i="19"/>
  <c r="S92" i="19"/>
  <c r="AF92" i="19" l="1"/>
  <c r="S91" i="19"/>
  <c r="W90" i="19"/>
  <c r="AJ91" i="19"/>
  <c r="AH91" i="19"/>
  <c r="U90" i="19"/>
  <c r="AL92" i="19"/>
  <c r="Y91" i="19"/>
  <c r="AQ91" i="19"/>
  <c r="AD90" i="19"/>
  <c r="AM91" i="19"/>
  <c r="Z90" i="19"/>
  <c r="T90" i="19"/>
  <c r="AG91" i="19"/>
  <c r="AB90" i="19"/>
  <c r="AO91" i="19"/>
  <c r="AC90" i="19"/>
  <c r="AP91" i="19"/>
  <c r="AI91" i="19"/>
  <c r="V90" i="19"/>
  <c r="AN92" i="19"/>
  <c r="AA91" i="19"/>
  <c r="X91" i="19"/>
  <c r="AK92" i="19"/>
  <c r="AB89" i="19" l="1"/>
  <c r="AO90" i="19"/>
  <c r="AG90" i="19"/>
  <c r="T89" i="19"/>
  <c r="AN91" i="19"/>
  <c r="AA90" i="19"/>
  <c r="AK91" i="19"/>
  <c r="X90" i="19"/>
  <c r="AI90" i="19"/>
  <c r="V89" i="19"/>
  <c r="AF91" i="19"/>
  <c r="S90" i="19"/>
  <c r="AL91" i="19"/>
  <c r="Y90" i="19"/>
  <c r="AH90" i="19"/>
  <c r="U89" i="19"/>
  <c r="Z89" i="19"/>
  <c r="AM90" i="19"/>
  <c r="W89" i="19"/>
  <c r="AJ90" i="19"/>
  <c r="AQ90" i="19"/>
  <c r="AD89" i="19"/>
  <c r="AP90" i="19"/>
  <c r="AC89" i="19"/>
  <c r="AC88" i="19" l="1"/>
  <c r="AP89" i="19"/>
  <c r="AN90" i="19"/>
  <c r="AA89" i="19"/>
  <c r="W88" i="19"/>
  <c r="AJ89" i="19"/>
  <c r="X89" i="19"/>
  <c r="AK90" i="19"/>
  <c r="AL90" i="19"/>
  <c r="Y89" i="19"/>
  <c r="AF90" i="19"/>
  <c r="S89" i="19"/>
  <c r="V88" i="19"/>
  <c r="AI89" i="19"/>
  <c r="U88" i="19"/>
  <c r="AH89" i="19"/>
  <c r="AD88" i="19"/>
  <c r="AQ89" i="19"/>
  <c r="T88" i="19"/>
  <c r="AG89" i="19"/>
  <c r="AM89" i="19"/>
  <c r="Z88" i="19"/>
  <c r="AO89" i="19"/>
  <c r="AB88" i="19"/>
  <c r="AK89" i="19" l="1"/>
  <c r="X88" i="19"/>
  <c r="V87" i="19"/>
  <c r="AI88" i="19"/>
  <c r="T87" i="19"/>
  <c r="AG88" i="19"/>
  <c r="AO88" i="19"/>
  <c r="AB87" i="19"/>
  <c r="Z87" i="19"/>
  <c r="AM88" i="19"/>
  <c r="AF89" i="19"/>
  <c r="S88" i="19"/>
  <c r="AA88" i="19"/>
  <c r="AN89" i="19"/>
  <c r="AL89" i="19"/>
  <c r="Y88" i="19"/>
  <c r="AH88" i="19"/>
  <c r="U87" i="19"/>
  <c r="AJ88" i="19"/>
  <c r="W87" i="19"/>
  <c r="AD87" i="19"/>
  <c r="AQ88" i="19"/>
  <c r="AP88" i="19"/>
  <c r="AC87" i="19"/>
  <c r="AL88" i="19" l="1"/>
  <c r="Y87" i="19"/>
  <c r="AN88" i="19"/>
  <c r="AA87" i="19"/>
  <c r="AP87" i="19"/>
  <c r="AC86" i="19"/>
  <c r="AQ87" i="19"/>
  <c r="AD86" i="19"/>
  <c r="AF88" i="19"/>
  <c r="S87" i="19"/>
  <c r="AI87" i="19"/>
  <c r="V86" i="19"/>
  <c r="U86" i="19"/>
  <c r="AH87" i="19"/>
  <c r="AK88" i="19"/>
  <c r="X87" i="19"/>
  <c r="AO87" i="19"/>
  <c r="AB86" i="19"/>
  <c r="AG87" i="19"/>
  <c r="T86" i="19"/>
  <c r="W86" i="19"/>
  <c r="AJ87" i="19"/>
  <c r="AM87" i="19"/>
  <c r="Z86" i="19"/>
  <c r="X86" i="19" l="1"/>
  <c r="AK87" i="19"/>
  <c r="AJ86" i="19"/>
  <c r="W85" i="19"/>
  <c r="AM86" i="19"/>
  <c r="Z85" i="19"/>
  <c r="AQ86" i="19"/>
  <c r="AD85" i="19"/>
  <c r="AC85" i="19"/>
  <c r="AP86" i="19"/>
  <c r="AI86" i="19"/>
  <c r="V85" i="19"/>
  <c r="AN87" i="19"/>
  <c r="AA86" i="19"/>
  <c r="AO86" i="19"/>
  <c r="AB85" i="19"/>
  <c r="AL87" i="19"/>
  <c r="Y86" i="19"/>
  <c r="AH86" i="19"/>
  <c r="U85" i="19"/>
  <c r="AG86" i="19"/>
  <c r="T85" i="19"/>
  <c r="S86" i="19"/>
  <c r="AF87" i="19"/>
  <c r="AA85" i="19" l="1"/>
  <c r="AN86" i="19"/>
  <c r="AB84" i="19"/>
  <c r="AO85" i="19"/>
  <c r="AG85" i="19"/>
  <c r="T84" i="19"/>
  <c r="V84" i="19"/>
  <c r="AI85" i="19"/>
  <c r="AJ85" i="19"/>
  <c r="W84" i="19"/>
  <c r="Z84" i="19"/>
  <c r="AM85" i="19"/>
  <c r="AQ85" i="19"/>
  <c r="AD84" i="19"/>
  <c r="S85" i="19"/>
  <c r="AF86" i="19"/>
  <c r="AH85" i="19"/>
  <c r="U84" i="19"/>
  <c r="AL86" i="19"/>
  <c r="Y85" i="19"/>
  <c r="AP85" i="19"/>
  <c r="AC84" i="19"/>
  <c r="AK86" i="19"/>
  <c r="X85" i="19"/>
  <c r="T83" i="19" l="1"/>
  <c r="AG84" i="19"/>
  <c r="AP84" i="19"/>
  <c r="AC83" i="19"/>
  <c r="X84" i="19"/>
  <c r="AK85" i="19"/>
  <c r="S84" i="19"/>
  <c r="AF85" i="19"/>
  <c r="AQ84" i="19"/>
  <c r="AD83" i="19"/>
  <c r="Y84" i="19"/>
  <c r="AL85" i="19"/>
  <c r="AI84" i="19"/>
  <c r="V83" i="19"/>
  <c r="AM84" i="19"/>
  <c r="Z83" i="19"/>
  <c r="AO84" i="19"/>
  <c r="AB83" i="19"/>
  <c r="U83" i="19"/>
  <c r="AH84" i="19"/>
  <c r="AJ84" i="19"/>
  <c r="W83" i="19"/>
  <c r="AA84" i="19"/>
  <c r="AN85" i="19"/>
  <c r="AA83" i="19" l="1"/>
  <c r="AN84" i="19"/>
  <c r="Z82" i="19"/>
  <c r="AM83" i="19"/>
  <c r="AJ83" i="19"/>
  <c r="W82" i="19"/>
  <c r="AP83" i="19"/>
  <c r="AC82" i="19"/>
  <c r="X83" i="19"/>
  <c r="AK84" i="19"/>
  <c r="U82" i="19"/>
  <c r="AH83" i="19"/>
  <c r="AF84" i="19"/>
  <c r="S83" i="19"/>
  <c r="AI83" i="19"/>
  <c r="V82" i="19"/>
  <c r="Y83" i="19"/>
  <c r="AL84" i="19"/>
  <c r="AO83" i="19"/>
  <c r="AB82" i="19"/>
  <c r="AD82" i="19"/>
  <c r="AQ83" i="19"/>
  <c r="AG83" i="19"/>
  <c r="T82" i="19"/>
  <c r="AI82" i="19" l="1"/>
  <c r="V81" i="19"/>
  <c r="AD81" i="19"/>
  <c r="AQ82" i="19"/>
  <c r="W81" i="19"/>
  <c r="AJ82" i="19"/>
  <c r="Z81" i="19"/>
  <c r="AM82" i="19"/>
  <c r="T81" i="19"/>
  <c r="AG82" i="19"/>
  <c r="AP82" i="19"/>
  <c r="AC81" i="19"/>
  <c r="AF83" i="19"/>
  <c r="S82" i="19"/>
  <c r="AO82" i="19"/>
  <c r="AB81" i="19"/>
  <c r="U81" i="19"/>
  <c r="AH82" i="19"/>
  <c r="AL83" i="19"/>
  <c r="Y82" i="19"/>
  <c r="AK83" i="19"/>
  <c r="X82" i="19"/>
  <c r="AN83" i="19"/>
  <c r="AA82" i="19"/>
  <c r="AO81" i="19" l="1"/>
  <c r="AB80" i="19"/>
  <c r="AN82" i="19"/>
  <c r="AA81" i="19"/>
  <c r="AF82" i="19"/>
  <c r="S81" i="19"/>
  <c r="W80" i="19"/>
  <c r="AJ81" i="19"/>
  <c r="AD80" i="19"/>
  <c r="AQ81" i="19"/>
  <c r="X81" i="19"/>
  <c r="AK82" i="19"/>
  <c r="Y81" i="19"/>
  <c r="AL82" i="19"/>
  <c r="AI81" i="19"/>
  <c r="V80" i="19"/>
  <c r="AM81" i="19"/>
  <c r="Z80" i="19"/>
  <c r="AP81" i="19"/>
  <c r="AC80" i="19"/>
  <c r="U80" i="19"/>
  <c r="AH81" i="19"/>
  <c r="T80" i="19"/>
  <c r="AG81" i="19"/>
  <c r="AF81" i="19" l="1"/>
  <c r="S80" i="19"/>
  <c r="AN81" i="19"/>
  <c r="AA80" i="19"/>
  <c r="AG80" i="19"/>
  <c r="T79" i="19"/>
  <c r="AL81" i="19"/>
  <c r="Y80" i="19"/>
  <c r="X80" i="19"/>
  <c r="AK81" i="19"/>
  <c r="AI80" i="19"/>
  <c r="V79" i="19"/>
  <c r="AJ80" i="19"/>
  <c r="W79" i="19"/>
  <c r="AH80" i="19"/>
  <c r="U79" i="19"/>
  <c r="AM80" i="19"/>
  <c r="Z79" i="19"/>
  <c r="AO80" i="19"/>
  <c r="AB79" i="19"/>
  <c r="AP80" i="19"/>
  <c r="AC79" i="19"/>
  <c r="AD79" i="19"/>
  <c r="AQ80" i="19"/>
  <c r="AH79" i="19" l="1"/>
  <c r="U78" i="19"/>
  <c r="AP79" i="19"/>
  <c r="AC78" i="19"/>
  <c r="AI79" i="19"/>
  <c r="V78" i="19"/>
  <c r="AQ79" i="19"/>
  <c r="AD78" i="19"/>
  <c r="AJ79" i="19"/>
  <c r="W78" i="19"/>
  <c r="AA79" i="19"/>
  <c r="AN80" i="19"/>
  <c r="AM79" i="19"/>
  <c r="Z78" i="19"/>
  <c r="AF80" i="19"/>
  <c r="S79" i="19"/>
  <c r="Y79" i="19"/>
  <c r="AL80" i="19"/>
  <c r="T78" i="19"/>
  <c r="AG79" i="19"/>
  <c r="AB78" i="19"/>
  <c r="AO79" i="19"/>
  <c r="AK80" i="19"/>
  <c r="X79" i="19"/>
  <c r="AK79" i="19" l="1"/>
  <c r="X78" i="19"/>
  <c r="AO78" i="19"/>
  <c r="AB77" i="19"/>
  <c r="AD77" i="19"/>
  <c r="AQ78" i="19"/>
  <c r="AI78" i="19"/>
  <c r="V77" i="19"/>
  <c r="AF79" i="19"/>
  <c r="S78" i="19"/>
  <c r="AM78" i="19"/>
  <c r="Z77" i="19"/>
  <c r="T77" i="19"/>
  <c r="AG78" i="19"/>
  <c r="AH78" i="19"/>
  <c r="U77" i="19"/>
  <c r="AP78" i="19"/>
  <c r="AC77" i="19"/>
  <c r="AA78" i="19"/>
  <c r="AN79" i="19"/>
  <c r="AJ78" i="19"/>
  <c r="W77" i="19"/>
  <c r="Y78" i="19"/>
  <c r="AL79" i="19"/>
  <c r="AL78" i="19" l="1"/>
  <c r="Y77" i="19"/>
  <c r="Z76" i="19"/>
  <c r="AM77" i="19"/>
  <c r="AO77" i="19"/>
  <c r="AB76" i="19"/>
  <c r="AI77" i="19"/>
  <c r="V76" i="19"/>
  <c r="AQ77" i="19"/>
  <c r="AD76" i="19"/>
  <c r="AA77" i="19"/>
  <c r="AN78" i="19"/>
  <c r="AH77" i="19"/>
  <c r="U76" i="19"/>
  <c r="AG77" i="19"/>
  <c r="T76" i="19"/>
  <c r="AC76" i="19"/>
  <c r="AP77" i="19"/>
  <c r="X77" i="19"/>
  <c r="AK78" i="19"/>
  <c r="AJ77" i="19"/>
  <c r="W76" i="19"/>
  <c r="S77" i="19"/>
  <c r="AF78" i="19"/>
  <c r="AF77" i="19" l="1"/>
  <c r="S76" i="19"/>
  <c r="T75" i="19"/>
  <c r="AG76" i="19"/>
  <c r="AH76" i="19"/>
  <c r="U75" i="19"/>
  <c r="X76" i="19"/>
  <c r="AK77" i="19"/>
  <c r="Z75" i="19"/>
  <c r="AM76" i="19"/>
  <c r="AB75" i="19"/>
  <c r="AO76" i="19"/>
  <c r="AL77" i="19"/>
  <c r="Y76" i="19"/>
  <c r="AI76" i="19"/>
  <c r="V75" i="19"/>
  <c r="AJ76" i="19"/>
  <c r="W75" i="19"/>
  <c r="AA76" i="19"/>
  <c r="AN77" i="19"/>
  <c r="AD75" i="19"/>
  <c r="AQ76" i="19"/>
  <c r="AP76" i="19"/>
  <c r="AC75" i="19"/>
  <c r="V74" i="19" l="1"/>
  <c r="AI75" i="19"/>
  <c r="X75" i="19"/>
  <c r="AK76" i="19"/>
  <c r="AQ75" i="19"/>
  <c r="AD74" i="19"/>
  <c r="AO75" i="19"/>
  <c r="AB74" i="19"/>
  <c r="AG75" i="19"/>
  <c r="T74" i="19"/>
  <c r="AP75" i="19"/>
  <c r="AC74" i="19"/>
  <c r="Y75" i="19"/>
  <c r="AL76" i="19"/>
  <c r="AA75" i="19"/>
  <c r="AN76" i="19"/>
  <c r="S75" i="19"/>
  <c r="AF76" i="19"/>
  <c r="AH75" i="19"/>
  <c r="U74" i="19"/>
  <c r="AJ75" i="19"/>
  <c r="W74" i="19"/>
  <c r="AM75" i="19"/>
  <c r="Z74" i="19"/>
  <c r="AM74" i="19" l="1"/>
  <c r="Z73" i="19"/>
  <c r="AA74" i="19"/>
  <c r="AN75" i="19"/>
  <c r="AQ74" i="19"/>
  <c r="AD73" i="19"/>
  <c r="AO74" i="19"/>
  <c r="AB73" i="19"/>
  <c r="AJ74" i="19"/>
  <c r="W73" i="19"/>
  <c r="AP74" i="19"/>
  <c r="AC73" i="19"/>
  <c r="X74" i="19"/>
  <c r="AK75" i="19"/>
  <c r="AL75" i="19"/>
  <c r="Y74" i="19"/>
  <c r="T73" i="19"/>
  <c r="AG74" i="19"/>
  <c r="AH74" i="19"/>
  <c r="U73" i="19"/>
  <c r="AF75" i="19"/>
  <c r="S74" i="19"/>
  <c r="V73" i="19"/>
  <c r="AI74" i="19"/>
  <c r="AL74" i="19" l="1"/>
  <c r="Y73" i="19"/>
  <c r="AF74" i="19"/>
  <c r="S73" i="19"/>
  <c r="AO73" i="19"/>
  <c r="AB72" i="19"/>
  <c r="AC72" i="19"/>
  <c r="AP73" i="19"/>
  <c r="AA73" i="19"/>
  <c r="AN74" i="19"/>
  <c r="AI73" i="19"/>
  <c r="V72" i="19"/>
  <c r="X73" i="19"/>
  <c r="AK74" i="19"/>
  <c r="U72" i="19"/>
  <c r="AH73" i="19"/>
  <c r="AJ73" i="19"/>
  <c r="W72" i="19"/>
  <c r="Z72" i="19"/>
  <c r="AM73" i="19"/>
  <c r="AD72" i="19"/>
  <c r="AQ73" i="19"/>
  <c r="T72" i="19"/>
  <c r="AG73" i="19"/>
  <c r="AO72" i="19" l="1"/>
  <c r="AB71" i="19"/>
  <c r="AP72" i="19"/>
  <c r="AC71" i="19"/>
  <c r="AI72" i="19"/>
  <c r="V71" i="19"/>
  <c r="X72" i="19"/>
  <c r="AK73" i="19"/>
  <c r="AM72" i="19"/>
  <c r="Z71" i="19"/>
  <c r="AH72" i="19"/>
  <c r="U71" i="19"/>
  <c r="AD71" i="19"/>
  <c r="AQ72" i="19"/>
  <c r="AL73" i="19"/>
  <c r="Y72" i="19"/>
  <c r="AG72" i="19"/>
  <c r="T71" i="19"/>
  <c r="S72" i="19"/>
  <c r="AF73" i="19"/>
  <c r="AJ72" i="19"/>
  <c r="W71" i="19"/>
  <c r="AN73" i="19"/>
  <c r="AA72" i="19"/>
  <c r="AL72" i="19" l="1"/>
  <c r="Y71" i="19"/>
  <c r="AJ71" i="19"/>
  <c r="W70" i="19"/>
  <c r="AD70" i="19"/>
  <c r="AQ71" i="19"/>
  <c r="S71" i="19"/>
  <c r="AF72" i="19"/>
  <c r="AI71" i="19"/>
  <c r="V70" i="19"/>
  <c r="AG71" i="19"/>
  <c r="T70" i="19"/>
  <c r="Z70" i="19"/>
  <c r="AM71" i="19"/>
  <c r="AO71" i="19"/>
  <c r="AB70" i="19"/>
  <c r="AN72" i="19"/>
  <c r="AA71" i="19"/>
  <c r="AK72" i="19"/>
  <c r="X71" i="19"/>
  <c r="U70" i="19"/>
  <c r="AH71" i="19"/>
  <c r="AP71" i="19"/>
  <c r="AC70" i="19"/>
  <c r="AM70" i="19" l="1"/>
  <c r="Z69" i="19"/>
  <c r="AD69" i="19"/>
  <c r="AQ70" i="19"/>
  <c r="X70" i="19"/>
  <c r="AK71" i="19"/>
  <c r="AJ70" i="19"/>
  <c r="W69" i="19"/>
  <c r="AB69" i="19"/>
  <c r="AO70" i="19"/>
  <c r="AP70" i="19"/>
  <c r="AC69" i="19"/>
  <c r="S70" i="19"/>
  <c r="AF71" i="19"/>
  <c r="AH70" i="19"/>
  <c r="U69" i="19"/>
  <c r="T69" i="19"/>
  <c r="AG70" i="19"/>
  <c r="AN71" i="19"/>
  <c r="AA70" i="19"/>
  <c r="AI70" i="19"/>
  <c r="V69" i="19"/>
  <c r="Y70" i="19"/>
  <c r="AL71" i="19"/>
  <c r="W68" i="19" l="1"/>
  <c r="AJ69" i="19"/>
  <c r="AH69" i="19"/>
  <c r="U68" i="19"/>
  <c r="S69" i="19"/>
  <c r="AF70" i="19"/>
  <c r="AI69" i="19"/>
  <c r="V68" i="19"/>
  <c r="AL70" i="19"/>
  <c r="Y69" i="19"/>
  <c r="X69" i="19"/>
  <c r="AK70" i="19"/>
  <c r="AP69" i="19"/>
  <c r="AC68" i="19"/>
  <c r="Z68" i="19"/>
  <c r="AM69" i="19"/>
  <c r="AA69" i="19"/>
  <c r="AN70" i="19"/>
  <c r="AD68" i="19"/>
  <c r="AQ69" i="19"/>
  <c r="T68" i="19"/>
  <c r="AG69" i="19"/>
  <c r="AO69" i="19"/>
  <c r="AB68" i="19"/>
  <c r="AO68" i="19" l="1"/>
  <c r="AB67" i="19"/>
  <c r="AM68" i="19"/>
  <c r="Z67" i="19"/>
  <c r="T67" i="19"/>
  <c r="AG68" i="19"/>
  <c r="AK69" i="19"/>
  <c r="X68" i="19"/>
  <c r="AH68" i="19"/>
  <c r="U67" i="19"/>
  <c r="AL69" i="19"/>
  <c r="Y68" i="19"/>
  <c r="AI68" i="19"/>
  <c r="V67" i="19"/>
  <c r="AP68" i="19"/>
  <c r="AC67" i="19"/>
  <c r="S68" i="19"/>
  <c r="AF69" i="19"/>
  <c r="AD67" i="19"/>
  <c r="AQ68" i="19"/>
  <c r="AA68" i="19"/>
  <c r="AN69" i="19"/>
  <c r="AJ68" i="19"/>
  <c r="W67" i="19"/>
  <c r="AK68" i="19" l="1"/>
  <c r="X67" i="19"/>
  <c r="AN68" i="19"/>
  <c r="AA67" i="19"/>
  <c r="AJ67" i="19"/>
  <c r="W66" i="19"/>
  <c r="AG67" i="19"/>
  <c r="T66" i="19"/>
  <c r="V66" i="19"/>
  <c r="AI67" i="19"/>
  <c r="Y67" i="19"/>
  <c r="AL68" i="19"/>
  <c r="AQ67" i="19"/>
  <c r="AD66" i="19"/>
  <c r="AO67" i="19"/>
  <c r="AB66" i="19"/>
  <c r="AP67" i="19"/>
  <c r="AC66" i="19"/>
  <c r="AM67" i="19"/>
  <c r="Z66" i="19"/>
  <c r="U66" i="19"/>
  <c r="AH67" i="19"/>
  <c r="S67" i="19"/>
  <c r="AF68" i="19"/>
  <c r="AB65" i="19" l="1"/>
  <c r="AO66" i="19"/>
  <c r="AL67" i="19"/>
  <c r="Y66" i="19"/>
  <c r="S66" i="19"/>
  <c r="AF67" i="19"/>
  <c r="AH66" i="19"/>
  <c r="U65" i="19"/>
  <c r="AK67" i="19"/>
  <c r="X66" i="19"/>
  <c r="AG66" i="19"/>
  <c r="T65" i="19"/>
  <c r="AQ66" i="19"/>
  <c r="AD65" i="19"/>
  <c r="AJ66" i="19"/>
  <c r="W65" i="19"/>
  <c r="Z65" i="19"/>
  <c r="AM66" i="19"/>
  <c r="AN67" i="19"/>
  <c r="AA66" i="19"/>
  <c r="AP66" i="19"/>
  <c r="AC65" i="19"/>
  <c r="V65" i="19"/>
  <c r="AI66" i="19"/>
  <c r="W64" i="19" l="1"/>
  <c r="AJ65" i="19"/>
  <c r="AQ65" i="19"/>
  <c r="AD64" i="19"/>
  <c r="AN66" i="19"/>
  <c r="AA65" i="19"/>
  <c r="AI65" i="19"/>
  <c r="V64" i="19"/>
  <c r="AP65" i="19"/>
  <c r="AC64" i="19"/>
  <c r="AH65" i="19"/>
  <c r="U64" i="19"/>
  <c r="AF66" i="19"/>
  <c r="S65" i="19"/>
  <c r="AK66" i="19"/>
  <c r="X65" i="19"/>
  <c r="AG65" i="19"/>
  <c r="T64" i="19"/>
  <c r="AL66" i="19"/>
  <c r="Y65" i="19"/>
  <c r="AM65" i="19"/>
  <c r="Z64" i="19"/>
  <c r="AO65" i="19"/>
  <c r="AB64" i="19"/>
  <c r="X64" i="19" l="1"/>
  <c r="AK65" i="19"/>
  <c r="AH64" i="19"/>
  <c r="U63" i="19"/>
  <c r="AB63" i="19"/>
  <c r="AO64" i="19"/>
  <c r="Z63" i="19"/>
  <c r="AM64" i="19"/>
  <c r="AI64" i="19"/>
  <c r="V63" i="19"/>
  <c r="AN65" i="19"/>
  <c r="AA64" i="19"/>
  <c r="AL65" i="19"/>
  <c r="Y64" i="19"/>
  <c r="AG64" i="19"/>
  <c r="T63" i="19"/>
  <c r="AP64" i="19"/>
  <c r="AC63" i="19"/>
  <c r="AF65" i="19"/>
  <c r="S64" i="19"/>
  <c r="AQ64" i="19"/>
  <c r="AD63" i="19"/>
  <c r="AJ64" i="19"/>
  <c r="W63" i="19"/>
  <c r="T62" i="19" l="1"/>
  <c r="AG63" i="19"/>
  <c r="AQ63" i="19"/>
  <c r="AD62" i="19"/>
  <c r="W62" i="19"/>
  <c r="AJ63" i="19"/>
  <c r="Z62" i="19"/>
  <c r="AM63" i="19"/>
  <c r="AO63" i="19"/>
  <c r="AB62" i="19"/>
  <c r="Y63" i="19"/>
  <c r="AL64" i="19"/>
  <c r="U62" i="19"/>
  <c r="AH63" i="19"/>
  <c r="AI63" i="19"/>
  <c r="V62" i="19"/>
  <c r="S63" i="19"/>
  <c r="AF64" i="19"/>
  <c r="AN64" i="19"/>
  <c r="AA63" i="19"/>
  <c r="AP63" i="19"/>
  <c r="AC62" i="19"/>
  <c r="X63" i="19"/>
  <c r="AK64" i="19"/>
  <c r="AI62" i="19" l="1"/>
  <c r="V61" i="19"/>
  <c r="U61" i="19"/>
  <c r="AH62" i="19"/>
  <c r="Z61" i="19"/>
  <c r="AM62" i="19"/>
  <c r="Y62" i="19"/>
  <c r="AL63" i="19"/>
  <c r="AC61" i="19"/>
  <c r="AP62" i="19"/>
  <c r="AD61" i="19"/>
  <c r="AQ62" i="19"/>
  <c r="AO62" i="19"/>
  <c r="AB61" i="19"/>
  <c r="AK63" i="19"/>
  <c r="X62" i="19"/>
  <c r="AJ62" i="19"/>
  <c r="W61" i="19"/>
  <c r="AN63" i="19"/>
  <c r="AA62" i="19"/>
  <c r="S62" i="19"/>
  <c r="AF63" i="19"/>
  <c r="AG62" i="19"/>
  <c r="T61" i="19"/>
  <c r="AK62" i="19" l="1"/>
  <c r="X61" i="19"/>
  <c r="S61" i="19"/>
  <c r="AF62" i="19"/>
  <c r="AO61" i="19"/>
  <c r="AB60" i="19"/>
  <c r="AQ61" i="19"/>
  <c r="AD60" i="19"/>
  <c r="T60" i="19"/>
  <c r="AG61" i="19"/>
  <c r="AH61" i="19"/>
  <c r="U60" i="19"/>
  <c r="AI61" i="19"/>
  <c r="V60" i="19"/>
  <c r="Y61" i="19"/>
  <c r="AL62" i="19"/>
  <c r="Z60" i="19"/>
  <c r="AM61" i="19"/>
  <c r="AN62" i="19"/>
  <c r="AA61" i="19"/>
  <c r="AJ61" i="19"/>
  <c r="W60" i="19"/>
  <c r="AC60" i="19"/>
  <c r="AP61" i="19"/>
  <c r="AP60" i="19" l="1"/>
  <c r="AC59" i="19"/>
  <c r="AJ60" i="19"/>
  <c r="W59" i="19"/>
  <c r="AQ60" i="19"/>
  <c r="AD59" i="19"/>
  <c r="AB59" i="19"/>
  <c r="AO60" i="19"/>
  <c r="AH60" i="19"/>
  <c r="U59" i="19"/>
  <c r="AL61" i="19"/>
  <c r="Y60" i="19"/>
  <c r="S60" i="19"/>
  <c r="AF61" i="19"/>
  <c r="AK61" i="19"/>
  <c r="X60" i="19"/>
  <c r="AI60" i="19"/>
  <c r="V59" i="19"/>
  <c r="AN61" i="19"/>
  <c r="AA60" i="19"/>
  <c r="AM60" i="19"/>
  <c r="Z59" i="19"/>
  <c r="AG60" i="19"/>
  <c r="T59" i="19"/>
  <c r="AO59" i="19" l="1"/>
  <c r="AB58" i="19"/>
  <c r="AK60" i="19"/>
  <c r="X59" i="19"/>
  <c r="AD58" i="19"/>
  <c r="AQ59" i="19"/>
  <c r="AA59" i="19"/>
  <c r="AN60" i="19"/>
  <c r="AJ59" i="19"/>
  <c r="W58" i="19"/>
  <c r="AI59" i="19"/>
  <c r="V58" i="19"/>
  <c r="AC58" i="19"/>
  <c r="AP59" i="19"/>
  <c r="AG59" i="19"/>
  <c r="T58" i="19"/>
  <c r="Z58" i="19"/>
  <c r="AM59" i="19"/>
  <c r="AF60" i="19"/>
  <c r="S59" i="19"/>
  <c r="AL60" i="19"/>
  <c r="Y59" i="19"/>
  <c r="AH59" i="19"/>
  <c r="U58" i="19"/>
  <c r="T57" i="19" l="1"/>
  <c r="AG58" i="19"/>
  <c r="AN59" i="19"/>
  <c r="AA58" i="19"/>
  <c r="AD57" i="19"/>
  <c r="AQ58" i="19"/>
  <c r="AH58" i="19"/>
  <c r="U57" i="19"/>
  <c r="AL59" i="19"/>
  <c r="Y58" i="19"/>
  <c r="S58" i="19"/>
  <c r="AF59" i="19"/>
  <c r="AK59" i="19"/>
  <c r="X58" i="19"/>
  <c r="AJ58" i="19"/>
  <c r="W57" i="19"/>
  <c r="AO58" i="19"/>
  <c r="AB57" i="19"/>
  <c r="AP58" i="19"/>
  <c r="AC57" i="19"/>
  <c r="AI58" i="19"/>
  <c r="V57" i="19"/>
  <c r="AM58" i="19"/>
  <c r="Z57" i="19"/>
  <c r="Z56" i="19" l="1"/>
  <c r="AM57" i="19"/>
  <c r="AJ57" i="19"/>
  <c r="W56" i="19"/>
  <c r="AI57" i="19"/>
  <c r="V56" i="19"/>
  <c r="S57" i="19"/>
  <c r="AF58" i="19"/>
  <c r="AH57" i="19"/>
  <c r="U56" i="19"/>
  <c r="X57" i="19"/>
  <c r="AK58" i="19"/>
  <c r="AP57" i="19"/>
  <c r="AC56" i="19"/>
  <c r="AN58" i="19"/>
  <c r="AA57" i="19"/>
  <c r="AL58" i="19"/>
  <c r="Y57" i="19"/>
  <c r="AD56" i="19"/>
  <c r="AQ57" i="19"/>
  <c r="AO57" i="19"/>
  <c r="AB56" i="19"/>
  <c r="T56" i="19"/>
  <c r="AG57" i="19"/>
  <c r="AF57" i="19" l="1"/>
  <c r="S56" i="19"/>
  <c r="AC55" i="19"/>
  <c r="AP56" i="19"/>
  <c r="AG56" i="19"/>
  <c r="T55" i="19"/>
  <c r="AI56" i="19"/>
  <c r="V55" i="19"/>
  <c r="AD55" i="19"/>
  <c r="AQ56" i="19"/>
  <c r="AH56" i="19"/>
  <c r="U55" i="19"/>
  <c r="AA56" i="19"/>
  <c r="AN57" i="19"/>
  <c r="AO56" i="19"/>
  <c r="AB55" i="19"/>
  <c r="AJ56" i="19"/>
  <c r="W55" i="19"/>
  <c r="X56" i="19"/>
  <c r="AK57" i="19"/>
  <c r="AL57" i="19"/>
  <c r="Y56" i="19"/>
  <c r="AM56" i="19"/>
  <c r="Z55" i="19"/>
  <c r="AM55" i="19" l="1"/>
  <c r="Z54" i="19"/>
  <c r="Y55" i="19"/>
  <c r="AL56" i="19"/>
  <c r="AB54" i="19"/>
  <c r="AO55" i="19"/>
  <c r="AN56" i="19"/>
  <c r="AA55" i="19"/>
  <c r="AH55" i="19"/>
  <c r="U54" i="19"/>
  <c r="T54" i="19"/>
  <c r="AG55" i="19"/>
  <c r="X55" i="19"/>
  <c r="AK56" i="19"/>
  <c r="AJ55" i="19"/>
  <c r="W54" i="19"/>
  <c r="S55" i="19"/>
  <c r="AF56" i="19"/>
  <c r="AI55" i="19"/>
  <c r="V54" i="19"/>
  <c r="AP55" i="19"/>
  <c r="AC54" i="19"/>
  <c r="AQ55" i="19"/>
  <c r="AD54" i="19"/>
  <c r="AA54" i="19" l="1"/>
  <c r="AN55" i="19"/>
  <c r="AQ54" i="19"/>
  <c r="AD53" i="19"/>
  <c r="AJ54" i="19"/>
  <c r="W53" i="19"/>
  <c r="AB53" i="19"/>
  <c r="AO54" i="19"/>
  <c r="T53" i="19"/>
  <c r="AG54" i="19"/>
  <c r="X54" i="19"/>
  <c r="AK55" i="19"/>
  <c r="AI54" i="19"/>
  <c r="V53" i="19"/>
  <c r="AL55" i="19"/>
  <c r="Y54" i="19"/>
  <c r="AM54" i="19"/>
  <c r="Z53" i="19"/>
  <c r="AP54" i="19"/>
  <c r="AC53" i="19"/>
  <c r="AH54" i="19"/>
  <c r="U53" i="19"/>
  <c r="AF55" i="19"/>
  <c r="S54" i="19"/>
  <c r="AL54" i="19" l="1"/>
  <c r="Y53" i="19"/>
  <c r="U52" i="19"/>
  <c r="AH53" i="19"/>
  <c r="AF54" i="19"/>
  <c r="S53" i="19"/>
  <c r="AP53" i="19"/>
  <c r="AC52" i="19"/>
  <c r="AI53" i="19"/>
  <c r="V52" i="19"/>
  <c r="AK54" i="19"/>
  <c r="X53" i="19"/>
  <c r="AB52" i="19"/>
  <c r="AO53" i="19"/>
  <c r="AD52" i="19"/>
  <c r="AQ53" i="19"/>
  <c r="Z52" i="19"/>
  <c r="AM53" i="19"/>
  <c r="AJ53" i="19"/>
  <c r="W52" i="19"/>
  <c r="AG53" i="19"/>
  <c r="T52" i="19"/>
  <c r="AA53" i="19"/>
  <c r="AN54" i="19"/>
  <c r="AN53" i="19" l="1"/>
  <c r="AA52" i="19"/>
  <c r="AP52" i="19"/>
  <c r="AC51" i="19"/>
  <c r="AO52" i="19"/>
  <c r="AB51" i="19"/>
  <c r="AG52" i="19"/>
  <c r="T51" i="19"/>
  <c r="AK53" i="19"/>
  <c r="X52" i="19"/>
  <c r="AI52" i="19"/>
  <c r="V51" i="19"/>
  <c r="Y52" i="19"/>
  <c r="AL53" i="19"/>
  <c r="AD51" i="19"/>
  <c r="AQ52" i="19"/>
  <c r="AF53" i="19"/>
  <c r="S52" i="19"/>
  <c r="AJ52" i="19"/>
  <c r="W51" i="19"/>
  <c r="AH52" i="19"/>
  <c r="U51" i="19"/>
  <c r="AM52" i="19"/>
  <c r="Z51" i="19"/>
  <c r="AQ51" i="19" l="1"/>
  <c r="AD50" i="19"/>
  <c r="AH51" i="19"/>
  <c r="U50" i="19"/>
  <c r="Y51" i="19"/>
  <c r="AL52" i="19"/>
  <c r="T50" i="19"/>
  <c r="AG51" i="19"/>
  <c r="AM51" i="19"/>
  <c r="Z50" i="19"/>
  <c r="AI51" i="19"/>
  <c r="V50" i="19"/>
  <c r="AF52" i="19"/>
  <c r="S51" i="19"/>
  <c r="AA51" i="19"/>
  <c r="AN52" i="19"/>
  <c r="AO51" i="19"/>
  <c r="AB50" i="19"/>
  <c r="W50" i="19"/>
  <c r="AJ51" i="19"/>
  <c r="AP51" i="19"/>
  <c r="AC50" i="19"/>
  <c r="AK52" i="19"/>
  <c r="X51" i="19"/>
  <c r="AN51" i="19" l="1"/>
  <c r="AA50" i="19"/>
  <c r="T49" i="19"/>
  <c r="AG50" i="19"/>
  <c r="AF51" i="19"/>
  <c r="S50" i="19"/>
  <c r="AI50" i="19"/>
  <c r="V49" i="19"/>
  <c r="AJ50" i="19"/>
  <c r="W49" i="19"/>
  <c r="AD49" i="19"/>
  <c r="AQ50" i="19"/>
  <c r="X50" i="19"/>
  <c r="AK51" i="19"/>
  <c r="AC49" i="19"/>
  <c r="AP50" i="19"/>
  <c r="AL51" i="19"/>
  <c r="Y50" i="19"/>
  <c r="U49" i="19"/>
  <c r="AH50" i="19"/>
  <c r="AO50" i="19"/>
  <c r="AB49" i="19"/>
  <c r="AM50" i="19"/>
  <c r="Z49" i="19"/>
  <c r="Z48" i="19" l="1"/>
  <c r="AM49" i="19"/>
  <c r="V48" i="19"/>
  <c r="AI49" i="19"/>
  <c r="AK50" i="19"/>
  <c r="X49" i="19"/>
  <c r="S49" i="19"/>
  <c r="AF50" i="19"/>
  <c r="AD48" i="19"/>
  <c r="AQ49" i="19"/>
  <c r="AC48" i="19"/>
  <c r="AP49" i="19"/>
  <c r="T48" i="19"/>
  <c r="AG49" i="19"/>
  <c r="Y49" i="19"/>
  <c r="AL50" i="19"/>
  <c r="AA49" i="19"/>
  <c r="AN50" i="19"/>
  <c r="AO49" i="19"/>
  <c r="AB48" i="19"/>
  <c r="AH49" i="19"/>
  <c r="U48" i="19"/>
  <c r="AJ49" i="19"/>
  <c r="W48" i="19"/>
  <c r="AJ48" i="19" l="1"/>
  <c r="W47" i="19"/>
  <c r="T47" i="19"/>
  <c r="AG48" i="19"/>
  <c r="AH48" i="19"/>
  <c r="U47" i="19"/>
  <c r="AK49" i="19"/>
  <c r="X48" i="19"/>
  <c r="AF49" i="19"/>
  <c r="S48" i="19"/>
  <c r="AP48" i="19"/>
  <c r="AC47" i="19"/>
  <c r="Y48" i="19"/>
  <c r="AL49" i="19"/>
  <c r="AO48" i="19"/>
  <c r="AB47" i="19"/>
  <c r="AI48" i="19"/>
  <c r="V47" i="19"/>
  <c r="AA48" i="19"/>
  <c r="AN49" i="19"/>
  <c r="AD47" i="19"/>
  <c r="AQ48" i="19"/>
  <c r="AM48" i="19"/>
  <c r="Z47" i="19"/>
  <c r="AB46" i="19" l="1"/>
  <c r="AO47" i="19"/>
  <c r="AC46" i="19"/>
  <c r="AP47" i="19"/>
  <c r="AK48" i="19"/>
  <c r="X47" i="19"/>
  <c r="U46" i="19"/>
  <c r="AH47" i="19"/>
  <c r="AD46" i="19"/>
  <c r="AQ47" i="19"/>
  <c r="AA47" i="19"/>
  <c r="AN48" i="19"/>
  <c r="V46" i="19"/>
  <c r="AI47" i="19"/>
  <c r="AJ47" i="19"/>
  <c r="W46" i="19"/>
  <c r="AM47" i="19"/>
  <c r="Z46" i="19"/>
  <c r="AL48" i="19"/>
  <c r="Y47" i="19"/>
  <c r="T46" i="19"/>
  <c r="AG47" i="19"/>
  <c r="AF48" i="19"/>
  <c r="S47" i="19"/>
  <c r="S46" i="19" l="1"/>
  <c r="AF47" i="19"/>
  <c r="AK47" i="19"/>
  <c r="X46" i="19"/>
  <c r="AL47" i="19"/>
  <c r="Y46" i="19"/>
  <c r="AN47" i="19"/>
  <c r="AA46" i="19"/>
  <c r="U45" i="19"/>
  <c r="AH46" i="19"/>
  <c r="T45" i="19"/>
  <c r="AG46" i="19"/>
  <c r="AM46" i="19"/>
  <c r="Z45" i="19"/>
  <c r="AJ46" i="19"/>
  <c r="W45" i="19"/>
  <c r="AI46" i="19"/>
  <c r="V45" i="19"/>
  <c r="AP46" i="19"/>
  <c r="AC45" i="19"/>
  <c r="AQ46" i="19"/>
  <c r="AD45" i="19"/>
  <c r="AB45" i="19"/>
  <c r="AO46" i="19"/>
  <c r="AA45" i="19" l="1"/>
  <c r="AN46" i="19"/>
  <c r="AQ45" i="19"/>
  <c r="AD44" i="19"/>
  <c r="AP45" i="19"/>
  <c r="AC44" i="19"/>
  <c r="AJ45" i="19"/>
  <c r="W44" i="19"/>
  <c r="AM45" i="19"/>
  <c r="Z44" i="19"/>
  <c r="AG45" i="19"/>
  <c r="T44" i="19"/>
  <c r="AB44" i="19"/>
  <c r="AO45" i="19"/>
  <c r="AL46" i="19"/>
  <c r="Y45" i="19"/>
  <c r="X45" i="19"/>
  <c r="AK46" i="19"/>
  <c r="V44" i="19"/>
  <c r="AI45" i="19"/>
  <c r="AH45" i="19"/>
  <c r="U44" i="19"/>
  <c r="S45" i="19"/>
  <c r="AF46" i="19"/>
  <c r="AO44" i="19" l="1"/>
  <c r="AB43" i="19"/>
  <c r="S44" i="19"/>
  <c r="AF45" i="19"/>
  <c r="AJ44" i="19"/>
  <c r="W43" i="19"/>
  <c r="AP44" i="19"/>
  <c r="AC43" i="19"/>
  <c r="AG44" i="19"/>
  <c r="T43" i="19"/>
  <c r="V43" i="19"/>
  <c r="AI44" i="19"/>
  <c r="AL45" i="19"/>
  <c r="Y44" i="19"/>
  <c r="AH44" i="19"/>
  <c r="U43" i="19"/>
  <c r="AQ44" i="19"/>
  <c r="AD43" i="19"/>
  <c r="Z43" i="19"/>
  <c r="AM44" i="19"/>
  <c r="X44" i="19"/>
  <c r="AK45" i="19"/>
  <c r="AA44" i="19"/>
  <c r="AN45" i="19"/>
  <c r="AP43" i="19" l="1"/>
  <c r="AC42" i="19"/>
  <c r="AH43" i="19"/>
  <c r="U42" i="19"/>
  <c r="AK44" i="19"/>
  <c r="X43" i="19"/>
  <c r="V42" i="19"/>
  <c r="AI43" i="19"/>
  <c r="AA43" i="19"/>
  <c r="AN44" i="19"/>
  <c r="AJ43" i="19"/>
  <c r="W42" i="19"/>
  <c r="AM43" i="19"/>
  <c r="Z42" i="19"/>
  <c r="S43" i="19"/>
  <c r="AF44" i="19"/>
  <c r="T42" i="19"/>
  <c r="AG43" i="19"/>
  <c r="AO43" i="19"/>
  <c r="AB42" i="19"/>
  <c r="Y43" i="19"/>
  <c r="AL44" i="19"/>
  <c r="AQ43" i="19"/>
  <c r="AD42" i="19"/>
  <c r="AQ42" i="19" l="1"/>
  <c r="AD41" i="19"/>
  <c r="AO42" i="19"/>
  <c r="AB41" i="19"/>
  <c r="AL43" i="19"/>
  <c r="Y42" i="19"/>
  <c r="AF43" i="19"/>
  <c r="S42" i="19"/>
  <c r="Z41" i="19"/>
  <c r="AM42" i="19"/>
  <c r="AH42" i="19"/>
  <c r="U41" i="19"/>
  <c r="AC41" i="19"/>
  <c r="AP42" i="19"/>
  <c r="AI42" i="19"/>
  <c r="V41" i="19"/>
  <c r="AK43" i="19"/>
  <c r="X42" i="19"/>
  <c r="AJ42" i="19"/>
  <c r="W41" i="19"/>
  <c r="T41" i="19"/>
  <c r="AG42" i="19"/>
  <c r="AA42" i="19"/>
  <c r="AN43" i="19"/>
  <c r="AF42" i="19" l="1"/>
  <c r="S41" i="19"/>
  <c r="AP41" i="19"/>
  <c r="AC40" i="19"/>
  <c r="AN42" i="19"/>
  <c r="AA41" i="19"/>
  <c r="Y41" i="19"/>
  <c r="AL42" i="19"/>
  <c r="W40" i="19"/>
  <c r="AJ41" i="19"/>
  <c r="AI41" i="19"/>
  <c r="V40" i="19"/>
  <c r="T40" i="19"/>
  <c r="AG41" i="19"/>
  <c r="U40" i="19"/>
  <c r="AH41" i="19"/>
  <c r="AD40" i="19"/>
  <c r="AQ41" i="19"/>
  <c r="AO41" i="19"/>
  <c r="AB40" i="19"/>
  <c r="AK42" i="19"/>
  <c r="X41" i="19"/>
  <c r="Z40" i="19"/>
  <c r="AM41" i="19"/>
  <c r="AM40" i="19" l="1"/>
  <c r="Z39" i="19"/>
  <c r="Y40" i="19"/>
  <c r="AL41" i="19"/>
  <c r="AH40" i="19"/>
  <c r="U39" i="19"/>
  <c r="AN41" i="19"/>
  <c r="AA40" i="19"/>
  <c r="AB39" i="19"/>
  <c r="AO40" i="19"/>
  <c r="AP40" i="19"/>
  <c r="AC39" i="19"/>
  <c r="S40" i="19"/>
  <c r="AF41" i="19"/>
  <c r="X40" i="19"/>
  <c r="AK41" i="19"/>
  <c r="AG40" i="19"/>
  <c r="T39" i="19"/>
  <c r="AI40" i="19"/>
  <c r="V39" i="19"/>
  <c r="AQ40" i="19"/>
  <c r="AD39" i="19"/>
  <c r="W39" i="19"/>
  <c r="AJ40" i="19"/>
  <c r="AK40" i="19" l="1"/>
  <c r="X39" i="19"/>
  <c r="AA39" i="19"/>
  <c r="AN40" i="19"/>
  <c r="AJ39" i="19"/>
  <c r="W38" i="19"/>
  <c r="AQ39" i="19"/>
  <c r="AD38" i="19"/>
  <c r="AH39" i="19"/>
  <c r="U38" i="19"/>
  <c r="AI39" i="19"/>
  <c r="V38" i="19"/>
  <c r="T38" i="19"/>
  <c r="AG39" i="19"/>
  <c r="AM39" i="19"/>
  <c r="Z38" i="19"/>
  <c r="AF40" i="19"/>
  <c r="S39" i="19"/>
  <c r="AP39" i="19"/>
  <c r="AC38" i="19"/>
  <c r="Y39" i="19"/>
  <c r="AL40" i="19"/>
  <c r="AO39" i="19"/>
  <c r="AB38" i="19"/>
  <c r="AO38" i="19" l="1"/>
  <c r="AB37" i="19"/>
  <c r="Z37" i="19"/>
  <c r="AM38" i="19"/>
  <c r="AL39" i="19"/>
  <c r="Y38" i="19"/>
  <c r="AD37" i="19"/>
  <c r="AQ38" i="19"/>
  <c r="AJ38" i="19"/>
  <c r="W37" i="19"/>
  <c r="AP38" i="19"/>
  <c r="AC37" i="19"/>
  <c r="AF39" i="19"/>
  <c r="S38" i="19"/>
  <c r="AG38" i="19"/>
  <c r="T37" i="19"/>
  <c r="AI38" i="19"/>
  <c r="V37" i="19"/>
  <c r="AN39" i="19"/>
  <c r="AA38" i="19"/>
  <c r="AH38" i="19"/>
  <c r="U37" i="19"/>
  <c r="X38" i="19"/>
  <c r="AK39" i="19"/>
  <c r="T36" i="19" l="1"/>
  <c r="AG37" i="19"/>
  <c r="AD36" i="19"/>
  <c r="AQ37" i="19"/>
  <c r="S37" i="19"/>
  <c r="AF38" i="19"/>
  <c r="AP37" i="19"/>
  <c r="AC36" i="19"/>
  <c r="AK38" i="19"/>
  <c r="X37" i="19"/>
  <c r="AH37" i="19"/>
  <c r="U36" i="19"/>
  <c r="AJ37" i="19"/>
  <c r="W36" i="19"/>
  <c r="AL38" i="19"/>
  <c r="Y37" i="19"/>
  <c r="AA37" i="19"/>
  <c r="AN38" i="19"/>
  <c r="AM37" i="19"/>
  <c r="Z36" i="19"/>
  <c r="AI37" i="19"/>
  <c r="V36" i="19"/>
  <c r="AB36" i="19"/>
  <c r="AO37" i="19"/>
  <c r="AL37" i="19" l="1"/>
  <c r="Y36" i="19"/>
  <c r="AP36" i="19"/>
  <c r="AC35" i="19"/>
  <c r="S36" i="19"/>
  <c r="AF37" i="19"/>
  <c r="AO36" i="19"/>
  <c r="AB35" i="19"/>
  <c r="AJ36" i="19"/>
  <c r="W35" i="19"/>
  <c r="AM36" i="19"/>
  <c r="Z35" i="19"/>
  <c r="AQ36" i="19"/>
  <c r="AD35" i="19"/>
  <c r="AI36" i="19"/>
  <c r="V35" i="19"/>
  <c r="AH36" i="19"/>
  <c r="U35" i="19"/>
  <c r="X36" i="19"/>
  <c r="AK37" i="19"/>
  <c r="AN37" i="19"/>
  <c r="AA36" i="19"/>
  <c r="AG36" i="19"/>
  <c r="T35" i="19"/>
  <c r="AI35" i="19" l="1"/>
  <c r="V34" i="19"/>
  <c r="S35" i="19"/>
  <c r="AF36" i="19"/>
  <c r="T34" i="19"/>
  <c r="AG35" i="19"/>
  <c r="AA35" i="19"/>
  <c r="AN36" i="19"/>
  <c r="AK36" i="19"/>
  <c r="X35" i="19"/>
  <c r="AP35" i="19"/>
  <c r="AC34" i="19"/>
  <c r="AH35" i="19"/>
  <c r="U34" i="19"/>
  <c r="AL36" i="19"/>
  <c r="Y35" i="19"/>
  <c r="AB34" i="19"/>
  <c r="AO35" i="19"/>
  <c r="AD34" i="19"/>
  <c r="AQ35" i="19"/>
  <c r="AM35" i="19"/>
  <c r="Z34" i="19"/>
  <c r="W34" i="19"/>
  <c r="AJ35" i="19"/>
  <c r="Y34" i="19" l="1"/>
  <c r="AL35" i="19"/>
  <c r="AN35" i="19"/>
  <c r="AA34" i="19"/>
  <c r="T33" i="19"/>
  <c r="AG34" i="19"/>
  <c r="AM34" i="19"/>
  <c r="Z33" i="19"/>
  <c r="AP34" i="19"/>
  <c r="AC33" i="19"/>
  <c r="AD33" i="19"/>
  <c r="AQ34" i="19"/>
  <c r="AI34" i="19"/>
  <c r="V33" i="19"/>
  <c r="AJ34" i="19"/>
  <c r="W33" i="19"/>
  <c r="AH34" i="19"/>
  <c r="U33" i="19"/>
  <c r="AF35" i="19"/>
  <c r="S34" i="19"/>
  <c r="AK35" i="19"/>
  <c r="X34" i="19"/>
  <c r="AB33" i="19"/>
  <c r="AO34" i="19"/>
  <c r="AM33" i="19" l="1"/>
  <c r="Z32" i="19"/>
  <c r="W32" i="19"/>
  <c r="AJ33" i="19"/>
  <c r="AG33" i="19"/>
  <c r="T32" i="19"/>
  <c r="AO33" i="19"/>
  <c r="AB32" i="19"/>
  <c r="AK34" i="19"/>
  <c r="X33" i="19"/>
  <c r="AA33" i="19"/>
  <c r="AN34" i="19"/>
  <c r="AP33" i="19"/>
  <c r="AC32" i="19"/>
  <c r="AI33" i="19"/>
  <c r="V32" i="19"/>
  <c r="S33" i="19"/>
  <c r="AF34" i="19"/>
  <c r="AD32" i="19"/>
  <c r="AQ33" i="19"/>
  <c r="U32" i="19"/>
  <c r="AH33" i="19"/>
  <c r="Y33" i="19"/>
  <c r="AL34" i="19"/>
  <c r="AB31" i="19" l="1"/>
  <c r="AO32" i="19"/>
  <c r="AI32" i="19"/>
  <c r="V31" i="19"/>
  <c r="AG32" i="19"/>
  <c r="T31" i="19"/>
  <c r="W31" i="19"/>
  <c r="AJ32" i="19"/>
  <c r="AC31" i="19"/>
  <c r="AP32" i="19"/>
  <c r="AQ32" i="19"/>
  <c r="AD31" i="19"/>
  <c r="AM32" i="19"/>
  <c r="Z31" i="19"/>
  <c r="AL33" i="19"/>
  <c r="Y32" i="19"/>
  <c r="U31" i="19"/>
  <c r="AH32" i="19"/>
  <c r="AN33" i="19"/>
  <c r="AA32" i="19"/>
  <c r="X32" i="19"/>
  <c r="AK33" i="19"/>
  <c r="AF33" i="19"/>
  <c r="S32" i="19"/>
  <c r="AL32" i="19" l="1"/>
  <c r="Y31" i="19"/>
  <c r="AM31" i="19"/>
  <c r="Z30" i="19"/>
  <c r="AN32" i="19"/>
  <c r="AA31" i="19"/>
  <c r="AJ31" i="19"/>
  <c r="W30" i="19"/>
  <c r="X31" i="19"/>
  <c r="AK32" i="19"/>
  <c r="S31" i="19"/>
  <c r="AF32" i="19"/>
  <c r="T30" i="19"/>
  <c r="AG31" i="19"/>
  <c r="AD30" i="19"/>
  <c r="AQ31" i="19"/>
  <c r="AI31" i="19"/>
  <c r="V30" i="19"/>
  <c r="U30" i="19"/>
  <c r="AH31" i="19"/>
  <c r="AP31" i="19"/>
  <c r="AC30" i="19"/>
  <c r="AB30" i="19"/>
  <c r="AO31" i="19"/>
  <c r="AO30" i="19" l="1"/>
  <c r="AB29" i="19"/>
  <c r="AA30" i="19"/>
  <c r="AN31" i="19"/>
  <c r="AD29" i="19"/>
  <c r="AQ30" i="19"/>
  <c r="AF31" i="19"/>
  <c r="S30" i="19"/>
  <c r="AP30" i="19"/>
  <c r="AC29" i="19"/>
  <c r="AM30" i="19"/>
  <c r="Z29" i="19"/>
  <c r="AI30" i="19"/>
  <c r="V29" i="19"/>
  <c r="AL31" i="19"/>
  <c r="Y30" i="19"/>
  <c r="AJ30" i="19"/>
  <c r="W29" i="19"/>
  <c r="T29" i="19"/>
  <c r="AG30" i="19"/>
  <c r="U29" i="19"/>
  <c r="AH30" i="19"/>
  <c r="X30" i="19"/>
  <c r="AK31" i="19"/>
  <c r="AF30" i="19" l="1"/>
  <c r="S29" i="19"/>
  <c r="AD28" i="19"/>
  <c r="AQ29" i="19"/>
  <c r="AK30" i="19"/>
  <c r="X29" i="19"/>
  <c r="AI29" i="19"/>
  <c r="V28" i="19"/>
  <c r="AN30" i="19"/>
  <c r="AA29" i="19"/>
  <c r="AL30" i="19"/>
  <c r="Y29" i="19"/>
  <c r="AG29" i="19"/>
  <c r="T28" i="19"/>
  <c r="AJ29" i="19"/>
  <c r="W28" i="19"/>
  <c r="AO29" i="19"/>
  <c r="AB28" i="19"/>
  <c r="AH29" i="19"/>
  <c r="U28" i="19"/>
  <c r="Z28" i="19"/>
  <c r="AM29" i="19"/>
  <c r="AC28" i="19"/>
  <c r="AP29" i="19"/>
  <c r="AI28" i="19" l="1"/>
  <c r="V27" i="19"/>
  <c r="AM28" i="19"/>
  <c r="Z27" i="19"/>
  <c r="AJ28" i="19"/>
  <c r="W27" i="19"/>
  <c r="AK29" i="19"/>
  <c r="X28" i="19"/>
  <c r="AP28" i="19"/>
  <c r="AC27" i="19"/>
  <c r="Y28" i="19"/>
  <c r="AL29" i="19"/>
  <c r="AO28" i="19"/>
  <c r="AB27" i="19"/>
  <c r="S28" i="19"/>
  <c r="AF29" i="19"/>
  <c r="AG28" i="19"/>
  <c r="T27" i="19"/>
  <c r="AH28" i="19"/>
  <c r="U27" i="19"/>
  <c r="AD27" i="19"/>
  <c r="AQ28" i="19"/>
  <c r="AA28" i="19"/>
  <c r="AN29" i="19"/>
  <c r="AO27" i="19" l="1"/>
  <c r="AB26" i="19"/>
  <c r="X27" i="19"/>
  <c r="AK28" i="19"/>
  <c r="W26" i="19"/>
  <c r="AJ27" i="19"/>
  <c r="AM27" i="19"/>
  <c r="Z26" i="19"/>
  <c r="AF28" i="19"/>
  <c r="S27" i="19"/>
  <c r="AD26" i="19"/>
  <c r="AQ27" i="19"/>
  <c r="Y27" i="19"/>
  <c r="AL28" i="19"/>
  <c r="U26" i="19"/>
  <c r="AH27" i="19"/>
  <c r="AG27" i="19"/>
  <c r="T26" i="19"/>
  <c r="AI27" i="19"/>
  <c r="V26" i="19"/>
  <c r="AA27" i="19"/>
  <c r="AN28" i="19"/>
  <c r="AP27" i="19"/>
  <c r="AC26" i="19"/>
  <c r="AH26" i="19" l="1"/>
  <c r="U25" i="19"/>
  <c r="Z25" i="19"/>
  <c r="AM26" i="19"/>
  <c r="AI26" i="19"/>
  <c r="V25" i="19"/>
  <c r="AL27" i="19"/>
  <c r="Y26" i="19"/>
  <c r="X26" i="19"/>
  <c r="AK27" i="19"/>
  <c r="AP26" i="19"/>
  <c r="AC25" i="19"/>
  <c r="AN27" i="19"/>
  <c r="AA26" i="19"/>
  <c r="T25" i="19"/>
  <c r="AG26" i="19"/>
  <c r="AF27" i="19"/>
  <c r="S26" i="19"/>
  <c r="AB25" i="19"/>
  <c r="AO26" i="19"/>
  <c r="W25" i="19"/>
  <c r="AJ26" i="19"/>
  <c r="AQ26" i="19"/>
  <c r="AD25" i="19"/>
  <c r="AD24" i="19" l="1"/>
  <c r="AQ25" i="19"/>
  <c r="AG25" i="19"/>
  <c r="T24" i="19"/>
  <c r="Y25" i="19"/>
  <c r="AL26" i="19"/>
  <c r="AA25" i="19"/>
  <c r="AN26" i="19"/>
  <c r="AJ25" i="19"/>
  <c r="W24" i="19"/>
  <c r="AO25" i="19"/>
  <c r="AB24" i="19"/>
  <c r="AM25" i="19"/>
  <c r="Z24" i="19"/>
  <c r="AH25" i="19"/>
  <c r="U24" i="19"/>
  <c r="V24" i="19"/>
  <c r="AI25" i="19"/>
  <c r="AC24" i="19"/>
  <c r="AP25" i="19"/>
  <c r="AF26" i="19"/>
  <c r="S25" i="19"/>
  <c r="X25" i="19"/>
  <c r="AK26" i="19"/>
  <c r="X24" i="19" l="1"/>
  <c r="AK25" i="19"/>
  <c r="S24" i="19"/>
  <c r="AF25" i="19"/>
  <c r="AH24" i="19"/>
  <c r="U23" i="19"/>
  <c r="Z23" i="19"/>
  <c r="AM24" i="19"/>
  <c r="AN25" i="19"/>
  <c r="AA24" i="19"/>
  <c r="AG24" i="19"/>
  <c r="T23" i="19"/>
  <c r="AP24" i="19"/>
  <c r="AC23" i="19"/>
  <c r="W23" i="19"/>
  <c r="AJ24" i="19"/>
  <c r="AL25" i="19"/>
  <c r="Y24" i="19"/>
  <c r="AO24" i="19"/>
  <c r="AB23" i="19"/>
  <c r="AI24" i="19"/>
  <c r="V23" i="19"/>
  <c r="AD23" i="19"/>
  <c r="AQ24" i="19"/>
  <c r="AJ23" i="19" l="1"/>
  <c r="W22" i="19"/>
  <c r="AM23" i="19"/>
  <c r="Z22" i="19"/>
  <c r="AP23" i="19"/>
  <c r="AC22" i="19"/>
  <c r="AI23" i="19"/>
  <c r="V22" i="19"/>
  <c r="AO23" i="19"/>
  <c r="AB22" i="19"/>
  <c r="AN24" i="19"/>
  <c r="AA23" i="19"/>
  <c r="AD22" i="19"/>
  <c r="AQ23" i="19"/>
  <c r="U22" i="19"/>
  <c r="AH23" i="19"/>
  <c r="AG23" i="19"/>
  <c r="T22" i="19"/>
  <c r="S23" i="19"/>
  <c r="AF24" i="19"/>
  <c r="Y23" i="19"/>
  <c r="AL24" i="19"/>
  <c r="X23" i="19"/>
  <c r="AK24" i="19"/>
  <c r="AQ22" i="19" l="1"/>
  <c r="AD21" i="19"/>
  <c r="AH22" i="19"/>
  <c r="U21" i="19"/>
  <c r="AN23" i="19"/>
  <c r="AA22" i="19"/>
  <c r="AI22" i="19"/>
  <c r="V21" i="19"/>
  <c r="AC21" i="19"/>
  <c r="AP22" i="19"/>
  <c r="X22" i="19"/>
  <c r="AK23" i="19"/>
  <c r="T21" i="19"/>
  <c r="AG22" i="19"/>
  <c r="AJ22" i="19"/>
  <c r="W21" i="19"/>
  <c r="AL23" i="19"/>
  <c r="Y22" i="19"/>
  <c r="Z21" i="19"/>
  <c r="AM22" i="19"/>
  <c r="S22" i="19"/>
  <c r="AF23" i="19"/>
  <c r="AB21" i="19"/>
  <c r="AO22" i="19"/>
  <c r="AB20" i="19" l="1"/>
  <c r="AO21" i="19"/>
  <c r="AF22" i="19"/>
  <c r="S21" i="19"/>
  <c r="AN22" i="19"/>
  <c r="AA21" i="19"/>
  <c r="AM21" i="19"/>
  <c r="Z20" i="19"/>
  <c r="W20" i="19"/>
  <c r="AJ21" i="19"/>
  <c r="AG21" i="19"/>
  <c r="T20" i="19"/>
  <c r="AH21" i="19"/>
  <c r="U20" i="19"/>
  <c r="AD20" i="19"/>
  <c r="AQ21" i="19"/>
  <c r="AI21" i="19"/>
  <c r="V20" i="19"/>
  <c r="X21" i="19"/>
  <c r="AK22" i="19"/>
  <c r="Y21" i="19"/>
  <c r="AL22" i="19"/>
  <c r="AP21" i="19"/>
  <c r="AC20" i="19"/>
  <c r="AQ20" i="19" l="1"/>
  <c r="AD19" i="19"/>
  <c r="AL21" i="19"/>
  <c r="Y20" i="19"/>
  <c r="AP20" i="19"/>
  <c r="AC19" i="19"/>
  <c r="AH20" i="19"/>
  <c r="U19" i="19"/>
  <c r="AG20" i="19"/>
  <c r="T19" i="19"/>
  <c r="Z19" i="19"/>
  <c r="AM20" i="19"/>
  <c r="AN21" i="19"/>
  <c r="AA20" i="19"/>
  <c r="AK21" i="19"/>
  <c r="X20" i="19"/>
  <c r="AI20" i="19"/>
  <c r="V19" i="19"/>
  <c r="AF21" i="19"/>
  <c r="S20" i="19"/>
  <c r="AJ20" i="19"/>
  <c r="W19" i="19"/>
  <c r="AO20" i="19"/>
  <c r="AB19" i="19"/>
  <c r="AH19" i="19" l="1"/>
  <c r="U18" i="19"/>
  <c r="AP19" i="19"/>
  <c r="AC18" i="19"/>
  <c r="AO19" i="19"/>
  <c r="AB18" i="19"/>
  <c r="AJ19" i="19"/>
  <c r="W18" i="19"/>
  <c r="AL20" i="19"/>
  <c r="Y19" i="19"/>
  <c r="AM19" i="19"/>
  <c r="Z18" i="19"/>
  <c r="AI19" i="19"/>
  <c r="V18" i="19"/>
  <c r="AQ19" i="19"/>
  <c r="AD18" i="19"/>
  <c r="AK20" i="19"/>
  <c r="X19" i="19"/>
  <c r="AA19" i="19"/>
  <c r="AN20" i="19"/>
  <c r="AF20" i="19"/>
  <c r="S19" i="19"/>
  <c r="AG19" i="19"/>
  <c r="T18" i="19"/>
  <c r="T17" i="19" l="1"/>
  <c r="AG18" i="19"/>
  <c r="AO18" i="19"/>
  <c r="AB17" i="19"/>
  <c r="AQ18" i="19"/>
  <c r="AD17" i="19"/>
  <c r="AI18" i="19"/>
  <c r="V17" i="19"/>
  <c r="AJ18" i="19"/>
  <c r="W17" i="19"/>
  <c r="AP18" i="19"/>
  <c r="AC17" i="19"/>
  <c r="AH18" i="19"/>
  <c r="U17" i="19"/>
  <c r="AF19" i="19"/>
  <c r="S18" i="19"/>
  <c r="Z17" i="19"/>
  <c r="AM18" i="19"/>
  <c r="AN19" i="19"/>
  <c r="AA18" i="19"/>
  <c r="AK19" i="19"/>
  <c r="X18" i="19"/>
  <c r="AL19" i="19"/>
  <c r="Y18" i="19"/>
  <c r="AF18" i="19" l="1"/>
  <c r="S17" i="19"/>
  <c r="AL18" i="19"/>
  <c r="Y17" i="19"/>
  <c r="AD16" i="19"/>
  <c r="AQ17" i="19"/>
  <c r="AI17" i="19"/>
  <c r="V16" i="19"/>
  <c r="AH17" i="19"/>
  <c r="U16" i="19"/>
  <c r="AP17" i="19"/>
  <c r="AC16" i="19"/>
  <c r="AK18" i="19"/>
  <c r="X17" i="19"/>
  <c r="AA17" i="19"/>
  <c r="AN18" i="19"/>
  <c r="AB16" i="19"/>
  <c r="AO17" i="19"/>
  <c r="AJ17" i="19"/>
  <c r="W16" i="19"/>
  <c r="AM17" i="19"/>
  <c r="Z16" i="19"/>
  <c r="AG17" i="19"/>
  <c r="T16" i="19"/>
  <c r="AA16" i="19" l="1"/>
  <c r="AN17" i="19"/>
  <c r="W15" i="19"/>
  <c r="AJ16" i="19"/>
  <c r="T15" i="19"/>
  <c r="AG16" i="19"/>
  <c r="AK17" i="19"/>
  <c r="X16" i="19"/>
  <c r="AI16" i="19"/>
  <c r="V15" i="19"/>
  <c r="Z15" i="19"/>
  <c r="AM16" i="19"/>
  <c r="AP16" i="19"/>
  <c r="AC15" i="19"/>
  <c r="AH16" i="19"/>
  <c r="U15" i="19"/>
  <c r="S16" i="19"/>
  <c r="AF17" i="19"/>
  <c r="AQ16" i="19"/>
  <c r="AD15" i="19"/>
  <c r="AL17" i="19"/>
  <c r="Y16" i="19"/>
  <c r="AO16" i="19"/>
  <c r="AB15" i="19"/>
  <c r="AG15" i="19" l="1"/>
  <c r="T14" i="19"/>
  <c r="AO15" i="19"/>
  <c r="AB14" i="19"/>
  <c r="AD14" i="19"/>
  <c r="AQ15" i="19"/>
  <c r="AM15" i="19"/>
  <c r="Z14" i="19"/>
  <c r="U14" i="19"/>
  <c r="AH15" i="19"/>
  <c r="AL16" i="19"/>
  <c r="Y15" i="19"/>
  <c r="AI15" i="19"/>
  <c r="V14" i="19"/>
  <c r="X15" i="19"/>
  <c r="AK16" i="19"/>
  <c r="AP15" i="19"/>
  <c r="AC14" i="19"/>
  <c r="AJ15" i="19"/>
  <c r="W14" i="19"/>
  <c r="S15" i="19"/>
  <c r="AF16" i="19"/>
  <c r="AA15" i="19"/>
  <c r="AN16" i="19"/>
  <c r="S14" i="19" l="1"/>
  <c r="AF15" i="19"/>
  <c r="AA14" i="19"/>
  <c r="AN15" i="19"/>
  <c r="AQ14" i="19"/>
  <c r="AD13" i="19"/>
  <c r="Z13" i="19"/>
  <c r="AM14" i="19"/>
  <c r="AJ14" i="19"/>
  <c r="W13" i="19"/>
  <c r="AI14" i="19"/>
  <c r="V13" i="19"/>
  <c r="AB13" i="19"/>
  <c r="AO14" i="19"/>
  <c r="AP14" i="19"/>
  <c r="AC13" i="19"/>
  <c r="AG14" i="19"/>
  <c r="T13" i="19"/>
  <c r="AK15" i="19"/>
  <c r="X14" i="19"/>
  <c r="AL15" i="19"/>
  <c r="Y14" i="19"/>
  <c r="AH14" i="19"/>
  <c r="U13" i="19"/>
  <c r="AM13" i="19" l="1"/>
  <c r="Z12" i="19"/>
  <c r="AH13" i="19"/>
  <c r="U12" i="19"/>
  <c r="AO13" i="19"/>
  <c r="AB12" i="19"/>
  <c r="AP13" i="19"/>
  <c r="AC12" i="19"/>
  <c r="AL14" i="19"/>
  <c r="Y13" i="19"/>
  <c r="AK14" i="19"/>
  <c r="X13" i="19"/>
  <c r="W12" i="19"/>
  <c r="AJ13" i="19"/>
  <c r="AD12" i="19"/>
  <c r="AQ13" i="19"/>
  <c r="AI13" i="19"/>
  <c r="V12" i="19"/>
  <c r="AN14" i="19"/>
  <c r="AA13" i="19"/>
  <c r="T12" i="19"/>
  <c r="AG13" i="19"/>
  <c r="AF14" i="19"/>
  <c r="S13" i="19"/>
  <c r="AF13" i="19" l="1"/>
  <c r="S12" i="19"/>
  <c r="AJ12" i="19"/>
  <c r="W11" i="19"/>
  <c r="AP12" i="19"/>
  <c r="AC11" i="19"/>
  <c r="AN13" i="19"/>
  <c r="AA12" i="19"/>
  <c r="AD11" i="19"/>
  <c r="AQ12" i="19"/>
  <c r="AG12" i="19"/>
  <c r="T11" i="19"/>
  <c r="U11" i="19"/>
  <c r="AH12" i="19"/>
  <c r="AM12" i="19"/>
  <c r="Z11" i="19"/>
  <c r="AO12" i="19"/>
  <c r="AB11" i="19"/>
  <c r="AK13" i="19"/>
  <c r="X12" i="19"/>
  <c r="AI12" i="19"/>
  <c r="V11" i="19"/>
  <c r="AL13" i="19"/>
  <c r="Y12" i="19"/>
  <c r="AM11" i="19" l="1"/>
  <c r="Z10" i="19"/>
  <c r="AA11" i="19"/>
  <c r="AN12" i="19"/>
  <c r="AP11" i="19"/>
  <c r="AC10" i="19"/>
  <c r="AK12" i="19"/>
  <c r="X11" i="19"/>
  <c r="AL12" i="19"/>
  <c r="Y11" i="19"/>
  <c r="AI11" i="19"/>
  <c r="V10" i="19"/>
  <c r="AJ11" i="19"/>
  <c r="W10" i="19"/>
  <c r="S11" i="19"/>
  <c r="AF12" i="19"/>
  <c r="AH11" i="19"/>
  <c r="U10" i="19"/>
  <c r="AG11" i="19"/>
  <c r="T10" i="19"/>
  <c r="AO11" i="19"/>
  <c r="AB10" i="19"/>
  <c r="AQ11" i="19"/>
  <c r="AD10" i="19"/>
  <c r="AF11" i="19" l="1"/>
  <c r="S10" i="19"/>
  <c r="AK11" i="19"/>
  <c r="X10" i="19"/>
  <c r="AQ10" i="19"/>
  <c r="AD9" i="19"/>
  <c r="AP10" i="19"/>
  <c r="AC9" i="19"/>
  <c r="T9" i="19"/>
  <c r="AG10" i="19"/>
  <c r="AB9" i="19"/>
  <c r="AO10" i="19"/>
  <c r="AH10" i="19"/>
  <c r="U9" i="19"/>
  <c r="Z9" i="19"/>
  <c r="AM10" i="19"/>
  <c r="AJ10" i="19"/>
  <c r="W9" i="19"/>
  <c r="AI10" i="19"/>
  <c r="V9" i="19"/>
  <c r="AN11" i="19"/>
  <c r="AA10" i="19"/>
  <c r="Y10" i="19"/>
  <c r="AL11" i="19"/>
  <c r="AP9" i="19" l="1"/>
  <c r="AC8" i="19"/>
  <c r="AN10" i="19"/>
  <c r="AA9" i="19"/>
  <c r="AI9" i="19"/>
  <c r="V8" i="19"/>
  <c r="AQ9" i="19"/>
  <c r="AD8" i="19"/>
  <c r="AL10" i="19"/>
  <c r="Y9" i="19"/>
  <c r="U8" i="19"/>
  <c r="AH9" i="19"/>
  <c r="AB8" i="19"/>
  <c r="AO9" i="19"/>
  <c r="AF10" i="19"/>
  <c r="S9" i="19"/>
  <c r="AM9" i="19"/>
  <c r="Z8" i="19"/>
  <c r="X9" i="19"/>
  <c r="AK10" i="19"/>
  <c r="AJ9" i="19"/>
  <c r="W8" i="19"/>
  <c r="T8" i="19"/>
  <c r="AG9" i="19"/>
  <c r="AG8" i="19" l="1"/>
  <c r="T7" i="19"/>
  <c r="AO8" i="19"/>
  <c r="AB7" i="19"/>
  <c r="S8" i="19"/>
  <c r="AF9" i="19"/>
  <c r="AJ8" i="19"/>
  <c r="W7" i="19"/>
  <c r="AI8" i="19"/>
  <c r="V7" i="19"/>
  <c r="AK9" i="19"/>
  <c r="X8" i="19"/>
  <c r="AQ8" i="19"/>
  <c r="AD7" i="19"/>
  <c r="AA8" i="19"/>
  <c r="AN9" i="19"/>
  <c r="AH8" i="19"/>
  <c r="U7" i="19"/>
  <c r="AM8" i="19"/>
  <c r="Z7" i="19"/>
  <c r="AP8" i="19"/>
  <c r="AC7" i="19"/>
  <c r="Y8" i="19"/>
  <c r="AL9" i="19"/>
  <c r="AL8" i="19" l="1"/>
  <c r="Y7" i="19"/>
  <c r="AD6" i="19"/>
  <c r="AQ7" i="19"/>
  <c r="S7" i="19"/>
  <c r="AF8" i="19"/>
  <c r="AN8" i="19"/>
  <c r="AA7" i="19"/>
  <c r="AM7" i="19"/>
  <c r="Z6" i="19"/>
  <c r="AP7" i="19"/>
  <c r="AC6" i="19"/>
  <c r="AB6" i="19"/>
  <c r="AO7" i="19"/>
  <c r="AH7" i="19"/>
  <c r="U6" i="19"/>
  <c r="T6" i="19"/>
  <c r="AG7" i="19"/>
  <c r="W6" i="19"/>
  <c r="AJ7" i="19"/>
  <c r="AK8" i="19"/>
  <c r="X7" i="19"/>
  <c r="AI7" i="19"/>
  <c r="V6" i="19"/>
  <c r="AA6" i="19" l="1"/>
  <c r="AN7" i="19"/>
  <c r="AH6" i="19"/>
  <c r="U5" i="19"/>
  <c r="AF7" i="19"/>
  <c r="S6" i="19"/>
  <c r="AI6" i="19"/>
  <c r="V5" i="19"/>
  <c r="AO6" i="19"/>
  <c r="AB5" i="19"/>
  <c r="X6" i="19"/>
  <c r="AK7" i="19"/>
  <c r="AP6" i="19"/>
  <c r="AC5" i="19"/>
  <c r="AJ6" i="19"/>
  <c r="W5" i="19"/>
  <c r="AD5" i="19"/>
  <c r="AQ6" i="19"/>
  <c r="AM6" i="19"/>
  <c r="Z5" i="19"/>
  <c r="AL7" i="19"/>
  <c r="Y6" i="19"/>
  <c r="AG6" i="19"/>
  <c r="T5" i="19"/>
  <c r="AI5" i="19" l="1"/>
  <c r="V4" i="19"/>
  <c r="T4" i="19"/>
  <c r="AG5" i="19"/>
  <c r="AL6" i="19"/>
  <c r="Y5" i="19"/>
  <c r="W4" i="19"/>
  <c r="AJ5" i="19"/>
  <c r="AF6" i="19"/>
  <c r="S5" i="19"/>
  <c r="AK6" i="19"/>
  <c r="X5" i="19"/>
  <c r="AP5" i="19"/>
  <c r="AC4" i="19"/>
  <c r="Z4" i="19"/>
  <c r="AM5" i="19"/>
  <c r="AH5" i="19"/>
  <c r="U4" i="19"/>
  <c r="AB4" i="19"/>
  <c r="AO5" i="19"/>
  <c r="AD4" i="19"/>
  <c r="AQ5" i="19"/>
  <c r="AN6" i="19"/>
  <c r="AA5" i="19"/>
  <c r="AD3" i="19" l="1"/>
  <c r="AQ4" i="19"/>
  <c r="AN5" i="19"/>
  <c r="AA4" i="19"/>
  <c r="Y4" i="19"/>
  <c r="AL5" i="19"/>
  <c r="Z3" i="19"/>
  <c r="AM4" i="19"/>
  <c r="AP4" i="19"/>
  <c r="AC3" i="19"/>
  <c r="T3" i="19"/>
  <c r="AG4" i="19"/>
  <c r="AI4" i="19"/>
  <c r="V3" i="19"/>
  <c r="W3" i="19"/>
  <c r="AJ4" i="19"/>
  <c r="AK5" i="19"/>
  <c r="X4" i="19"/>
  <c r="AO4" i="19"/>
  <c r="AB3" i="19"/>
  <c r="AH4" i="19"/>
  <c r="U3" i="19"/>
  <c r="AF5" i="19"/>
  <c r="S4" i="19"/>
  <c r="AF4" i="19" l="1"/>
  <c r="S3" i="19"/>
  <c r="AM3" i="19"/>
  <c r="Z2" i="19"/>
  <c r="AM2" i="19" s="1"/>
  <c r="AB2" i="19"/>
  <c r="AO2" i="19" s="1"/>
  <c r="AO3" i="19"/>
  <c r="W2" i="19"/>
  <c r="AJ2" i="19" s="1"/>
  <c r="AJ3" i="19"/>
  <c r="T2" i="19"/>
  <c r="AG2" i="19" s="1"/>
  <c r="AG3" i="19"/>
  <c r="AI3" i="19"/>
  <c r="V2" i="19"/>
  <c r="AI2" i="19" s="1"/>
  <c r="AN4" i="19"/>
  <c r="AA3" i="19"/>
  <c r="AC2" i="19"/>
  <c r="AP2" i="19" s="1"/>
  <c r="AP3" i="19"/>
  <c r="AH3" i="19"/>
  <c r="U2" i="19"/>
  <c r="AH2" i="19" s="1"/>
  <c r="AL4" i="19"/>
  <c r="Y3" i="19"/>
  <c r="X3" i="19"/>
  <c r="AK4" i="19"/>
  <c r="AQ3" i="19"/>
  <c r="AD2" i="19"/>
  <c r="AQ2" i="19" s="1"/>
  <c r="AQ1" i="19" l="1"/>
  <c r="O33" i="17" s="1"/>
  <c r="AH1" i="19"/>
  <c r="F33" i="17" s="1"/>
  <c r="AP1" i="19"/>
  <c r="N33" i="17" s="1"/>
  <c r="AM1" i="19"/>
  <c r="K33" i="17" s="1"/>
  <c r="AJ1" i="19"/>
  <c r="H33" i="17" s="1"/>
  <c r="AI1" i="19"/>
  <c r="G33" i="17" s="1"/>
  <c r="AO1" i="19"/>
  <c r="M33" i="17" s="1"/>
  <c r="AG1" i="19"/>
  <c r="E33" i="17" s="1"/>
  <c r="AN3" i="19"/>
  <c r="AA2" i="19"/>
  <c r="AN2" i="19" s="1"/>
  <c r="X2" i="19"/>
  <c r="AK2" i="19" s="1"/>
  <c r="AK3" i="19"/>
  <c r="AL3" i="19"/>
  <c r="Y2" i="19"/>
  <c r="AL2" i="19" s="1"/>
  <c r="AF3" i="19"/>
  <c r="AF2" i="19"/>
  <c r="AF1" i="19" s="1"/>
  <c r="D33" i="17" l="1"/>
  <c r="AK1" i="19"/>
  <c r="I33" i="17" s="1"/>
  <c r="AN1" i="19"/>
  <c r="L33" i="17" s="1"/>
  <c r="AL1" i="19"/>
  <c r="J33" i="17" s="1"/>
</calcChain>
</file>

<file path=xl/sharedStrings.xml><?xml version="1.0" encoding="utf-8"?>
<sst xmlns="http://schemas.openxmlformats.org/spreadsheetml/2006/main" count="3297" uniqueCount="563">
  <si>
    <t xml:space="preserve">STACKING DATE </t>
  </si>
  <si>
    <t xml:space="preserve">RAKE NO </t>
  </si>
  <si>
    <t>SPUR</t>
  </si>
  <si>
    <t xml:space="preserve">SUB PILE </t>
  </si>
  <si>
    <t>TOP/BOTTOM</t>
  </si>
  <si>
    <t>ST QNTY</t>
  </si>
  <si>
    <t xml:space="preserve">GCV </t>
  </si>
  <si>
    <t xml:space="preserve">RECLIAM DATE </t>
  </si>
  <si>
    <t xml:space="preserve"> RC-QNTY</t>
  </si>
  <si>
    <t xml:space="preserve">AVAILABLE QUANTITY </t>
  </si>
  <si>
    <t xml:space="preserve">AGING </t>
  </si>
  <si>
    <t xml:space="preserve">TOP GCV </t>
  </si>
  <si>
    <t xml:space="preserve">TOP QNTY </t>
  </si>
  <si>
    <t xml:space="preserve">BTM GCV </t>
  </si>
  <si>
    <t xml:space="preserve">BTM QNTY </t>
  </si>
  <si>
    <t>coal above 3200</t>
  </si>
  <si>
    <t>2900-3200</t>
  </si>
  <si>
    <t>&lt;2900</t>
  </si>
  <si>
    <t>B</t>
  </si>
  <si>
    <t>T</t>
  </si>
  <si>
    <t xml:space="preserve">AVILABLE QUANITY </t>
  </si>
  <si>
    <t xml:space="preserve">PILE WTD GCV </t>
  </si>
  <si>
    <t xml:space="preserve">BOTTOM GCV </t>
  </si>
  <si>
    <t>BOTTOM QNTY</t>
  </si>
  <si>
    <t xml:space="preserve">MAX AGING </t>
  </si>
  <si>
    <t>AVERAGE AGING</t>
  </si>
  <si>
    <t>DB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</si>
  <si>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</si>
  <si>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</si>
  <si>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</si>
  <si>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</si>
  <si>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</si>
  <si>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</si>
  <si>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</si>
  <si>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</si>
  <si>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</si>
  <si>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</si>
  <si>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</si>
  <si>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</si>
  <si>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</si>
  <si>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</si>
  <si>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</si>
  <si>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</si>
  <si>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total</t>
  </si>
  <si>
    <t xml:space="preserve">summery </t>
  </si>
  <si>
    <t>Total</t>
  </si>
  <si>
    <t xml:space="preserve">As per result </t>
  </si>
  <si>
    <t>Sl. No.</t>
  </si>
  <si>
    <t>Sample Collection Date</t>
  </si>
  <si>
    <t>Rake_No</t>
  </si>
  <si>
    <t>SIDING NO</t>
  </si>
  <si>
    <t>ARBG.C.V-k.cal/kg</t>
  </si>
  <si>
    <t>01.03.2024</t>
  </si>
  <si>
    <t>MGBK-01</t>
  </si>
  <si>
    <t>SPUR-06</t>
  </si>
  <si>
    <t>02.03.2024</t>
  </si>
  <si>
    <t>MGBK-02</t>
  </si>
  <si>
    <t>SPUR-08</t>
  </si>
  <si>
    <t>MGBK-03</t>
  </si>
  <si>
    <t>MGBK-04</t>
  </si>
  <si>
    <t>SPUR-05</t>
  </si>
  <si>
    <t>MGBK-05</t>
  </si>
  <si>
    <t>03.03.2024</t>
  </si>
  <si>
    <t>MGBK-06</t>
  </si>
  <si>
    <t>MGBK-07</t>
  </si>
  <si>
    <t>MGBK-08</t>
  </si>
  <si>
    <t>MGBK-09</t>
  </si>
  <si>
    <t>SPUR-04</t>
  </si>
  <si>
    <t>04.03.2024</t>
  </si>
  <si>
    <t>MGBK-11</t>
  </si>
  <si>
    <t>SILO</t>
  </si>
  <si>
    <t>NMGBK-10</t>
  </si>
  <si>
    <t>MGBK-13</t>
  </si>
  <si>
    <t>MGBK-12</t>
  </si>
  <si>
    <t>05.03.2024</t>
  </si>
  <si>
    <t>MGBK-15</t>
  </si>
  <si>
    <t>SPUR-01</t>
  </si>
  <si>
    <t>MGBK-17</t>
  </si>
  <si>
    <t>MGBK-16</t>
  </si>
  <si>
    <t>MGBK-14</t>
  </si>
  <si>
    <t>SPUR-03</t>
  </si>
  <si>
    <t>06.03.2024</t>
  </si>
  <si>
    <t>MGBK-18</t>
  </si>
  <si>
    <t>MGBK-20</t>
  </si>
  <si>
    <t>MGBK-19</t>
  </si>
  <si>
    <t>07.03.2024</t>
  </si>
  <si>
    <t>MGBK-21</t>
  </si>
  <si>
    <t>MGBK-23</t>
  </si>
  <si>
    <t>MGBK-24</t>
  </si>
  <si>
    <t>MGBK-22</t>
  </si>
  <si>
    <t>08.03.2024</t>
  </si>
  <si>
    <t>MGBK-25</t>
  </si>
  <si>
    <t>MGBK-26</t>
  </si>
  <si>
    <t>MGBK-27</t>
  </si>
  <si>
    <t>SPUR-07</t>
  </si>
  <si>
    <t>MGBK-28</t>
  </si>
  <si>
    <t>09.03.2024</t>
  </si>
  <si>
    <t>MGBK-29</t>
  </si>
  <si>
    <t>MGBK-30</t>
  </si>
  <si>
    <t>MGBK-31</t>
  </si>
  <si>
    <t>10.03.2024</t>
  </si>
  <si>
    <t>MGBK-32</t>
  </si>
  <si>
    <t>SPUR-10</t>
  </si>
  <si>
    <t>MGBK-34</t>
  </si>
  <si>
    <t>MGBK-35</t>
  </si>
  <si>
    <t>MGBK-33</t>
  </si>
  <si>
    <t>11.03.2024</t>
  </si>
  <si>
    <t>MGBK-36</t>
  </si>
  <si>
    <t>MGBK-37</t>
  </si>
  <si>
    <t>MGBK-38</t>
  </si>
  <si>
    <t>12.03.2024</t>
  </si>
  <si>
    <t>MGBK-39</t>
  </si>
  <si>
    <t>MGBK-41</t>
  </si>
  <si>
    <t>MGBK-40</t>
  </si>
  <si>
    <t>13.03.2024</t>
  </si>
  <si>
    <t>MGBK-42</t>
  </si>
  <si>
    <t>MGBK-44</t>
  </si>
  <si>
    <t>MGBK-43</t>
  </si>
  <si>
    <t>MGBK-45</t>
  </si>
  <si>
    <t>14.03.2024</t>
  </si>
  <si>
    <t>MGBK-47</t>
  </si>
  <si>
    <t>MGBK-46</t>
  </si>
  <si>
    <t>MGBK-48</t>
  </si>
  <si>
    <t>15.03.2024</t>
  </si>
  <si>
    <t>MGBK-49</t>
  </si>
  <si>
    <t>MGBK-50</t>
  </si>
  <si>
    <t>MGBK-51</t>
  </si>
  <si>
    <t>16.03.2024</t>
  </si>
  <si>
    <t>MGBK-52</t>
  </si>
  <si>
    <t>MGBK-54</t>
  </si>
  <si>
    <t>MGBK-53</t>
  </si>
  <si>
    <t>MGBK-55</t>
  </si>
  <si>
    <t>17.03.2024</t>
  </si>
  <si>
    <t>MGBK-56</t>
  </si>
  <si>
    <t>MGBK-57</t>
  </si>
  <si>
    <t>MGBK-58</t>
  </si>
  <si>
    <t>18.03.2024</t>
  </si>
  <si>
    <t>MGBK-59</t>
  </si>
  <si>
    <t>MGBK-60</t>
  </si>
  <si>
    <t>19.03.2024</t>
  </si>
  <si>
    <t>MGBK-61</t>
  </si>
  <si>
    <t>MGBK-62</t>
  </si>
  <si>
    <t>MGBK-63</t>
  </si>
  <si>
    <t>MGBK-64</t>
  </si>
  <si>
    <t>20.03.2024</t>
  </si>
  <si>
    <t>MGBK-65</t>
  </si>
  <si>
    <t>MGBK-66</t>
  </si>
  <si>
    <t>MGBK-67</t>
  </si>
  <si>
    <t>MGBK-68</t>
  </si>
  <si>
    <t>21.03.2024</t>
  </si>
  <si>
    <t>MGBK-69</t>
  </si>
  <si>
    <t>MGBK-70</t>
  </si>
  <si>
    <t>MGBK-71</t>
  </si>
  <si>
    <t>MGBK-73</t>
  </si>
  <si>
    <t>MGBK-72</t>
  </si>
  <si>
    <t>22.03.2024</t>
  </si>
  <si>
    <t>MGBK-74</t>
  </si>
  <si>
    <t>MGBK-76</t>
  </si>
  <si>
    <t>MGBK-75</t>
  </si>
  <si>
    <t>23.03.2024</t>
  </si>
  <si>
    <t>MGBK-78</t>
  </si>
  <si>
    <t>MGBK-80</t>
  </si>
  <si>
    <t>MGBK-79</t>
  </si>
  <si>
    <t>24.03.2024</t>
  </si>
  <si>
    <t>MGBK-81</t>
  </si>
  <si>
    <t>MGBK-83</t>
  </si>
  <si>
    <t>MGBK-82</t>
  </si>
  <si>
    <t>MGBK-84</t>
  </si>
  <si>
    <t>25.03.2024</t>
  </si>
  <si>
    <t>MGBK-86</t>
  </si>
  <si>
    <t>MGBK-85</t>
  </si>
  <si>
    <t>26.03.2024</t>
  </si>
  <si>
    <t>MGBK-87</t>
  </si>
  <si>
    <t>MGBK-89</t>
  </si>
  <si>
    <t>NMGBK-88</t>
  </si>
  <si>
    <t>MGBK-90</t>
  </si>
  <si>
    <t>SPUR-09</t>
  </si>
  <si>
    <t>MGBK-91</t>
  </si>
  <si>
    <t>MGBK-92</t>
  </si>
  <si>
    <t>27.03.2024</t>
  </si>
  <si>
    <t>MGBK-93</t>
  </si>
  <si>
    <t>MGBK-94</t>
  </si>
  <si>
    <t>28.03.2024</t>
  </si>
  <si>
    <t>MGBK-95</t>
  </si>
  <si>
    <t>MGBK-96</t>
  </si>
  <si>
    <t>29.03.2024</t>
  </si>
  <si>
    <t>MGBK-97</t>
  </si>
  <si>
    <t>MGBK-100</t>
  </si>
  <si>
    <t>MGBK-99</t>
  </si>
  <si>
    <t>MGBK-98</t>
  </si>
  <si>
    <t>30.03.2024</t>
  </si>
  <si>
    <t>MGBK-101</t>
  </si>
  <si>
    <t>MGBK-102</t>
  </si>
  <si>
    <t>MGBK-103</t>
  </si>
  <si>
    <t>MGBK-104</t>
  </si>
  <si>
    <t>31.03.2024</t>
  </si>
  <si>
    <t>MGBK-105</t>
  </si>
  <si>
    <t>MGBK-106</t>
  </si>
  <si>
    <t>MGBK-107</t>
  </si>
  <si>
    <t>MGBK-108</t>
  </si>
  <si>
    <t>MGBK-109</t>
  </si>
  <si>
    <t>MGBK-110</t>
  </si>
  <si>
    <t>MGBK-111</t>
  </si>
  <si>
    <t>01.04.2024</t>
  </si>
  <si>
    <t>MGBK-1</t>
  </si>
  <si>
    <t>02.04.2024</t>
  </si>
  <si>
    <t>MGBK-2</t>
  </si>
  <si>
    <t>MGBK-4</t>
  </si>
  <si>
    <t>MGBK-3</t>
  </si>
  <si>
    <t>NMGBK-112</t>
  </si>
  <si>
    <t>03.04.2024</t>
  </si>
  <si>
    <t>MGBK-10</t>
  </si>
  <si>
    <t>04.04.2024</t>
  </si>
  <si>
    <t>05.04.2024</t>
  </si>
  <si>
    <t>06.04.2024</t>
  </si>
  <si>
    <t>07.04.2024</t>
  </si>
  <si>
    <t>08.04.2025</t>
  </si>
  <si>
    <t>08.04.2026</t>
  </si>
  <si>
    <t>08.04.2027</t>
  </si>
  <si>
    <t>08.04.2028</t>
  </si>
  <si>
    <t>09.04.2024</t>
  </si>
  <si>
    <t>10.04.2024</t>
  </si>
  <si>
    <t>SPUR-DB</t>
  </si>
  <si>
    <t>11.04.2024</t>
  </si>
  <si>
    <t>12.04.2024</t>
  </si>
  <si>
    <t>13.04.2024</t>
  </si>
  <si>
    <t>14.04.2024</t>
  </si>
  <si>
    <t>SPUR-02</t>
  </si>
  <si>
    <t>SPUR-SILO</t>
  </si>
  <si>
    <t xml:space="preserve">SPUR </t>
  </si>
  <si>
    <t xml:space="preserve">SILO </t>
  </si>
  <si>
    <t xml:space="preserve">LAST RAKE  AVG GCV </t>
  </si>
  <si>
    <t>NO OF RAKES</t>
  </si>
  <si>
    <t>SPUR 1</t>
  </si>
  <si>
    <t>SPUR 2</t>
  </si>
  <si>
    <t>SPUR 3</t>
  </si>
  <si>
    <t>SPUR 4</t>
  </si>
  <si>
    <t>SPUR 5</t>
  </si>
  <si>
    <t>SPUR 6</t>
  </si>
  <si>
    <t>SPUR 7</t>
  </si>
  <si>
    <t>SPUR 8</t>
  </si>
  <si>
    <t>SPUR 9</t>
  </si>
  <si>
    <t>SPUR 10</t>
  </si>
  <si>
    <t xml:space="preserve">PILE </t>
  </si>
  <si>
    <t xml:space="preserve">SPUR WISE STACKING </t>
  </si>
  <si>
    <t xml:space="preserve">COAL QUANTITY AND QUALITY PILEWISE </t>
  </si>
  <si>
    <t xml:space="preserve">LAST COAL RAKE GCV </t>
  </si>
  <si>
    <t xml:space="preserve">WT </t>
  </si>
  <si>
    <t xml:space="preserve">TRUCK </t>
  </si>
  <si>
    <t>15.04.2024</t>
  </si>
  <si>
    <t>16.04.2024</t>
  </si>
  <si>
    <t>17.04.2024</t>
  </si>
  <si>
    <t>NMGBK-66</t>
  </si>
  <si>
    <t>18.04.2024</t>
  </si>
  <si>
    <t>19.04.2024</t>
  </si>
  <si>
    <t>MGBK-77</t>
  </si>
  <si>
    <t>20.04.2024</t>
  </si>
  <si>
    <t>21.04.2024</t>
  </si>
  <si>
    <t>22.04.2024</t>
  </si>
  <si>
    <t>MGBK-88</t>
  </si>
  <si>
    <t>23.04.2024</t>
  </si>
  <si>
    <t>NMGBK-89</t>
  </si>
  <si>
    <t>01.05.2024</t>
  </si>
  <si>
    <t>SPUR-5</t>
  </si>
  <si>
    <t>LSST-SILO</t>
  </si>
  <si>
    <t>SPUR-8</t>
  </si>
  <si>
    <t>02.05.2024</t>
  </si>
  <si>
    <t>NMGBK-3</t>
  </si>
  <si>
    <t>SPUR-6</t>
  </si>
  <si>
    <t>MGBK-5</t>
  </si>
  <si>
    <t>MGBK-7</t>
  </si>
  <si>
    <t>03.05.2024</t>
  </si>
  <si>
    <t>SPUR-7</t>
  </si>
  <si>
    <t>04.05.2024</t>
  </si>
  <si>
    <t>NMGBK-1</t>
  </si>
  <si>
    <t>05.05.2024</t>
  </si>
  <si>
    <t>06.05.2024</t>
  </si>
  <si>
    <t>NMGBK-2</t>
  </si>
  <si>
    <t>08.05.2024</t>
  </si>
  <si>
    <t>09.05.2024</t>
  </si>
  <si>
    <t>SPUR-SENDOZ</t>
  </si>
  <si>
    <t>10.05.2024</t>
  </si>
  <si>
    <t>11.05.2024</t>
  </si>
  <si>
    <t>NMGBK-4</t>
  </si>
  <si>
    <t>12.05.2024</t>
  </si>
  <si>
    <t>NMGBK-03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</si>
  <si>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</si>
  <si>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</si>
  <si>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</si>
  <si>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</si>
  <si>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</si>
  <si>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</si>
  <si>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</si>
  <si>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</si>
  <si>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</si>
  <si>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NMGBK-59</t>
  </si>
  <si>
    <t>22.05.2024</t>
  </si>
  <si>
    <t>23.05.2024</t>
  </si>
  <si>
    <t>24.05.2024</t>
  </si>
  <si>
    <t>25.05.2024</t>
  </si>
  <si>
    <t>NMGBK-05</t>
  </si>
  <si>
    <t>26.05.2024</t>
  </si>
  <si>
    <t>27.05.2024</t>
  </si>
  <si>
    <t>NMGBK-06</t>
  </si>
  <si>
    <t>28.05.2024</t>
  </si>
  <si>
    <t>29.05.2024</t>
  </si>
  <si>
    <t>30.05.2024</t>
  </si>
  <si>
    <t>31.05.2024</t>
  </si>
  <si>
    <t>01.06.2024</t>
  </si>
  <si>
    <t>02.06.2024</t>
  </si>
  <si>
    <t>NMGBK-01</t>
  </si>
  <si>
    <t>03.06.2024</t>
  </si>
  <si>
    <t>04.06.2024</t>
  </si>
  <si>
    <t>05.06.2024</t>
  </si>
  <si>
    <t>NMGBK-29</t>
  </si>
  <si>
    <t>06.06.2024</t>
  </si>
  <si>
    <t>07.06.2024</t>
  </si>
  <si>
    <t>08.06.2024</t>
  </si>
  <si>
    <t>NMGBK-33</t>
  </si>
  <si>
    <t>09.06.2024</t>
  </si>
  <si>
    <t>10.06.2024</t>
  </si>
  <si>
    <t>11.06.2024</t>
  </si>
  <si>
    <t>12.06.2024</t>
  </si>
  <si>
    <t>NMGBK-08</t>
  </si>
  <si>
    <t>13.06.2024</t>
  </si>
  <si>
    <t>14.06.2024</t>
  </si>
  <si>
    <t>15.06.2024</t>
  </si>
  <si>
    <t>NMGBK-09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</si>
  <si>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</si>
  <si>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</si>
  <si>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</si>
  <si>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</si>
  <si>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</si>
  <si>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</si>
  <si>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</si>
  <si>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NMGBK-63</t>
  </si>
  <si>
    <t>23.06.2024</t>
  </si>
  <si>
    <t>24.06.2023</t>
  </si>
  <si>
    <t>24.06.2024</t>
  </si>
  <si>
    <t>25.06.2024</t>
  </si>
  <si>
    <t>NMGBK-82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</si>
  <si>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</si>
  <si>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</si>
  <si>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</si>
  <si>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</si>
  <si>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</si>
  <si>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</si>
  <si>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</si>
  <si>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</si>
  <si>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</si>
  <si>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</si>
  <si>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</si>
  <si>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NMGBK-11</t>
  </si>
  <si>
    <t>08.07.2024</t>
  </si>
  <si>
    <t>09.07.2024</t>
  </si>
  <si>
    <t>07.07.2024</t>
  </si>
  <si>
    <t>11.07.2024</t>
  </si>
  <si>
    <t>10.07.2024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</si>
  <si>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</si>
  <si>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</si>
  <si>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</si>
  <si>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</si>
  <si>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</si>
  <si>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</si>
  <si>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</si>
  <si>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</si>
  <si>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</si>
  <si>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</si>
  <si>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</si>
  <si>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</si>
  <si>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SUPR-SILO</t>
  </si>
  <si>
    <t>24.07.2024</t>
  </si>
  <si>
    <t>25.07.2024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</si>
  <si>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</si>
  <si>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</si>
  <si>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</si>
  <si>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</si>
  <si>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</si>
  <si>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</si>
  <si>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</si>
  <si>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</si>
  <si>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</si>
  <si>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</si>
  <si>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</si>
  <si>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</si>
  <si>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</si>
  <si>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</si>
  <si>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</si>
  <si>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</si>
  <si>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</si>
  <si>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</si>
  <si>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</si>
  <si>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</si>
  <si>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</si>
  <si>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</si>
  <si>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</si>
  <si>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</si>
  <si>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</si>
  <si>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NMGBK-68</t>
  </si>
  <si>
    <t>28.08.2024</t>
  </si>
  <si>
    <t>29.08.2024</t>
  </si>
  <si>
    <t>30.08.2024</t>
  </si>
  <si>
    <t>NMGBK-78</t>
  </si>
  <si>
    <t>31.08.2024</t>
  </si>
  <si>
    <t>01.09.2024</t>
  </si>
  <si>
    <t>NMGBK-85</t>
  </si>
  <si>
    <t>02.09.2024</t>
  </si>
  <si>
    <t>03.09.2024</t>
  </si>
  <si>
    <t>NMGBK-93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</si>
  <si>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</si>
  <si>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</si>
  <si>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</si>
  <si>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</si>
  <si>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</si>
  <si>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</si>
  <si>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</si>
  <si>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NMGBK-16</t>
  </si>
  <si>
    <t>Spur-07</t>
  </si>
  <si>
    <t>11.09.2024</t>
  </si>
  <si>
    <t>12.09.2024</t>
  </si>
  <si>
    <t>NMGBK-24</t>
  </si>
  <si>
    <t>13.09.2024</t>
  </si>
  <si>
    <t>14.09.2024</t>
  </si>
  <si>
    <t>NMGBK-38</t>
  </si>
  <si>
    <t>15.09.2024</t>
  </si>
  <si>
    <t>16.09.2024</t>
  </si>
  <si>
    <t>17.09.2024</t>
  </si>
  <si>
    <t>18.09.2024</t>
  </si>
  <si>
    <t>NMGBK-47</t>
  </si>
  <si>
    <t>NMGBK-49</t>
  </si>
  <si>
    <t>19.09.2024</t>
  </si>
  <si>
    <t>20.09.2024</t>
  </si>
  <si>
    <t>NMGBK-56</t>
  </si>
  <si>
    <t>21.09.2024</t>
  </si>
  <si>
    <t>22.09.2024</t>
  </si>
  <si>
    <t>23.09.2024</t>
  </si>
  <si>
    <t>24.09.2024</t>
  </si>
  <si>
    <t>25.09.2024</t>
  </si>
  <si>
    <t>28.09.2024</t>
  </si>
  <si>
    <t>29.09.2024</t>
  </si>
  <si>
    <t>NMGBK-75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</si>
  <si>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</si>
  <si>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</si>
  <si>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</si>
  <si>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</si>
  <si>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</si>
  <si>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</si>
  <si>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</si>
  <si>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</si>
  <si>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09.10.2024</t>
  </si>
  <si>
    <t>10.10.2024</t>
  </si>
  <si>
    <t>11.10.2024</t>
  </si>
  <si>
    <t>12.10.2024</t>
  </si>
  <si>
    <t>14.10.2024</t>
  </si>
  <si>
    <t>15.10.2024</t>
  </si>
  <si>
    <t>Approx</t>
  </si>
  <si>
    <t>16.10.2024</t>
  </si>
  <si>
    <t>17.10.2024</t>
  </si>
  <si>
    <t>18.10.2024</t>
  </si>
  <si>
    <t>19.10.2024</t>
  </si>
  <si>
    <t>20.10.2024</t>
  </si>
  <si>
    <t>21.10.2024</t>
  </si>
  <si>
    <t>NMGBK-39</t>
  </si>
  <si>
    <t>NMGBK-43</t>
  </si>
  <si>
    <t>22.10.2024</t>
  </si>
  <si>
    <t>NMGBK-48</t>
  </si>
  <si>
    <t>23.10.2024</t>
  </si>
  <si>
    <t>24.10.2024</t>
  </si>
  <si>
    <t>NMGBK-54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</si>
  <si>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</si>
  <si>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</si>
  <si>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</si>
  <si>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</si>
  <si>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</si>
  <si>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</si>
  <si>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</si>
  <si>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NMGBK-81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</si>
  <si>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</si>
  <si>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</si>
  <si>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</si>
  <si>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</si>
  <si>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</si>
  <si>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</si>
  <si>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</si>
  <si>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</si>
  <si>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MGBK-8</t>
  </si>
  <si>
    <t>MGBK-9</t>
  </si>
  <si>
    <t>09.11.2024</t>
  </si>
  <si>
    <t>NMGBK-13</t>
  </si>
  <si>
    <t>10.11.2024</t>
  </si>
  <si>
    <t>11.11.2024</t>
  </si>
  <si>
    <t>12.11.2024</t>
  </si>
  <si>
    <t>13.11.2024</t>
  </si>
  <si>
    <t>NMGBK-19</t>
  </si>
  <si>
    <t>SPUR-2</t>
  </si>
  <si>
    <t>SPUR-1</t>
  </si>
  <si>
    <t>14.11.2024</t>
  </si>
  <si>
    <t>15.11.2024</t>
  </si>
  <si>
    <t>16.11.2024</t>
  </si>
  <si>
    <t>18.11.2024</t>
  </si>
  <si>
    <t>19.11.2024</t>
  </si>
  <si>
    <t>NMGBK-34</t>
  </si>
  <si>
    <t>NMGBK-35</t>
  </si>
  <si>
    <t>20.11.2024</t>
  </si>
  <si>
    <t>21.11.2024</t>
  </si>
  <si>
    <t>22.11.2024</t>
  </si>
  <si>
    <t>23.11.2024</t>
  </si>
  <si>
    <t>24.11.2024</t>
  </si>
  <si>
    <t>25.11.2024</t>
  </si>
  <si>
    <t>NMGBK-50</t>
  </si>
  <si>
    <t>26.11.2024</t>
  </si>
  <si>
    <t>27.11.2024</t>
  </si>
  <si>
    <t>NMGBK-58</t>
  </si>
  <si>
    <t xml:space="preserve">Incoming </t>
  </si>
  <si>
    <t xml:space="preserve">Desired </t>
  </si>
  <si>
    <t>ucl</t>
  </si>
  <si>
    <t>lcl</t>
  </si>
  <si>
    <t xml:space="preserve">Aging </t>
  </si>
  <si>
    <t xml:space="preserve">Blended GCV@20% </t>
  </si>
  <si>
    <t>Blended GCV @15%</t>
  </si>
  <si>
    <t>Blended GCV @10%</t>
  </si>
  <si>
    <t xml:space="preserve">Blending possibility @ 20%  </t>
  </si>
  <si>
    <t xml:space="preserve">Blending possibility @ 15%  </t>
  </si>
  <si>
    <t xml:space="preserve">Blending possibility @ 10%  </t>
  </si>
  <si>
    <t xml:space="preserve">Priority as per aging </t>
  </si>
  <si>
    <t xml:space="preserve">COAL RANGE </t>
  </si>
  <si>
    <t>&lt;3100</t>
  </si>
  <si>
    <t>3100-3500</t>
  </si>
  <si>
    <t>&gt;3500</t>
  </si>
  <si>
    <t xml:space="preserve">Blednding possible to get desired quality </t>
  </si>
  <si>
    <t xml:space="preserve">Direct feeding </t>
  </si>
  <si>
    <t>Direct feeding when incoming coal is within range and stock yard is healthy ( low gcv coal &lt;10%)</t>
  </si>
  <si>
    <t xml:space="preserve">Direct feeding when coal quality is good (3500-3900) and good coal quantity is high  (&gt; 80%) </t>
  </si>
  <si>
    <t xml:space="preserve">Direct feeding when coal quality is low and good coal quantity is not availble </t>
  </si>
  <si>
    <t xml:space="preserve">Blending with direct feeding </t>
  </si>
  <si>
    <t xml:space="preserve">Blending when incoming coal is within range , low GCV coal &gt;10% , blending option availble to maintain GCV range </t>
  </si>
  <si>
    <t xml:space="preserve">Blending when incoming coal is out of range , blending option availble to maintain GCV range </t>
  </si>
  <si>
    <t xml:space="preserve">Stacking </t>
  </si>
  <si>
    <t xml:space="preserve">if there no blending suggestion and direct feeding suggetion then suggestion for stalking </t>
  </si>
  <si>
    <t>WT</t>
  </si>
  <si>
    <t>coal above 3500</t>
  </si>
  <si>
    <t xml:space="preserve">Quantity  top </t>
  </si>
  <si>
    <t xml:space="preserve">GCV top </t>
  </si>
  <si>
    <t>GCV BTM</t>
  </si>
  <si>
    <t xml:space="preserve">Blending possible </t>
  </si>
  <si>
    <t xml:space="preserve">Priority to create approch to bottom coal </t>
  </si>
  <si>
    <t xml:space="preserve">PRIORITY </t>
  </si>
  <si>
    <t>PILE 1A</t>
  </si>
  <si>
    <t>PILE 1B</t>
  </si>
  <si>
    <t>PILE 1C</t>
  </si>
  <si>
    <t>PILE 1D</t>
  </si>
  <si>
    <t>PILE 2A</t>
  </si>
  <si>
    <t>PILE 2B</t>
  </si>
  <si>
    <t>PILE 2C</t>
  </si>
  <si>
    <t>PILE 2D</t>
  </si>
  <si>
    <t>PILE 3A</t>
  </si>
  <si>
    <t>PILE 3B</t>
  </si>
  <si>
    <t>PILE 3C</t>
  </si>
  <si>
    <t>PILE 3D</t>
  </si>
  <si>
    <t>PILE 4A</t>
  </si>
  <si>
    <t>PILE 4B</t>
  </si>
  <si>
    <t>PILE 4C</t>
  </si>
  <si>
    <t>PILE 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</si>
</sst>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0;[Red]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</font>
    <font>
      <sz val="11"/>
      <color rgb="FF9C0006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7">
    <xf numFmtId="0" fontId="0" fillId="0" borderId="0"/>
    <xf numFmtId="0" fontId="4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7" fillId="15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4" fillId="0" borderId="0" xfId="1"/>
    <xf numFmtId="0" fontId="5" fillId="0" borderId="0" xfId="0" applyFont="1" applyAlignment="1">
      <alignment horizontal="center"/>
    </xf>
    <xf numFmtId="0" fontId="2" fillId="10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3" fillId="0" borderId="0" xfId="0" applyFont="1"/>
    <xf numFmtId="0" fontId="0" fillId="6" borderId="1" xfId="0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6" fillId="9" borderId="0" xfId="1" applyFont="1" applyFill="1" applyBorder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7" fillId="11" borderId="0" xfId="0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2" xfId="0" applyBorder="1"/>
    <xf numFmtId="1" fontId="0" fillId="0" borderId="0" xfId="0" applyNumberFormat="1"/>
    <xf numFmtId="164" fontId="0" fillId="0" borderId="0" xfId="0" applyNumberFormat="1" applyAlignment="1">
      <alignment horizontal="center"/>
    </xf>
    <xf numFmtId="1" fontId="1" fillId="0" borderId="3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" fontId="1" fillId="1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1" fillId="0" borderId="1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10" fillId="1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1" fontId="17" fillId="15" borderId="1" xfId="44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19" fillId="15" borderId="1" xfId="44" applyNumberFormat="1" applyFont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0" fillId="16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/>
    <xf numFmtId="1" fontId="3" fillId="0" borderId="1" xfId="0" applyNumberFormat="1" applyFont="1" applyBorder="1" applyAlignment="1">
      <alignment horizont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</cellXfs>
  <cellStyles count="107">
    <cellStyle name="Bad" xfId="44" builtinId="27"/>
    <cellStyle name="Comma 2" xfId="2" xr:uid="{00000000-0005-0000-0000-000001000000}"/>
    <cellStyle name="Comma 2 10" xfId="16" xr:uid="{00000000-0005-0000-0000-000002000000}"/>
    <cellStyle name="Comma 2 11" xfId="17" xr:uid="{00000000-0005-0000-0000-000003000000}"/>
    <cellStyle name="Comma 2 12" xfId="18" xr:uid="{00000000-0005-0000-0000-000004000000}"/>
    <cellStyle name="Comma 2 13" xfId="19" xr:uid="{00000000-0005-0000-0000-000005000000}"/>
    <cellStyle name="Comma 2 14" xfId="20" xr:uid="{00000000-0005-0000-0000-000006000000}"/>
    <cellStyle name="Comma 2 15" xfId="21" xr:uid="{00000000-0005-0000-0000-000007000000}"/>
    <cellStyle name="Comma 2 16" xfId="22" xr:uid="{00000000-0005-0000-0000-000008000000}"/>
    <cellStyle name="Comma 2 17" xfId="23" xr:uid="{00000000-0005-0000-0000-000009000000}"/>
    <cellStyle name="Comma 2 18" xfId="24" xr:uid="{00000000-0005-0000-0000-00000A000000}"/>
    <cellStyle name="Comma 2 19" xfId="25" xr:uid="{00000000-0005-0000-0000-00000B000000}"/>
    <cellStyle name="Comma 2 2" xfId="3" xr:uid="{00000000-0005-0000-0000-00000C000000}"/>
    <cellStyle name="Comma 2 2 2" xfId="6" xr:uid="{00000000-0005-0000-0000-00000D000000}"/>
    <cellStyle name="Comma 2 2 3" xfId="10" xr:uid="{00000000-0005-0000-0000-00000E000000}"/>
    <cellStyle name="Comma 2 20" xfId="26" xr:uid="{00000000-0005-0000-0000-00000F000000}"/>
    <cellStyle name="Comma 2 21" xfId="27" xr:uid="{00000000-0005-0000-0000-000010000000}"/>
    <cellStyle name="Comma 2 22" xfId="28" xr:uid="{00000000-0005-0000-0000-000011000000}"/>
    <cellStyle name="Comma 2 23" xfId="29" xr:uid="{00000000-0005-0000-0000-000012000000}"/>
    <cellStyle name="Comma 2 24" xfId="30" xr:uid="{00000000-0005-0000-0000-000013000000}"/>
    <cellStyle name="Comma 2 25" xfId="31" xr:uid="{00000000-0005-0000-0000-000014000000}"/>
    <cellStyle name="Comma 2 26" xfId="32" xr:uid="{00000000-0005-0000-0000-000015000000}"/>
    <cellStyle name="Comma 2 27" xfId="33" xr:uid="{00000000-0005-0000-0000-000016000000}"/>
    <cellStyle name="Comma 2 28" xfId="34" xr:uid="{00000000-0005-0000-0000-000017000000}"/>
    <cellStyle name="Comma 2 29" xfId="35" xr:uid="{00000000-0005-0000-0000-000018000000}"/>
    <cellStyle name="Comma 2 3" xfId="4" xr:uid="{00000000-0005-0000-0000-000019000000}"/>
    <cellStyle name="Comma 2 3 2" xfId="7" xr:uid="{00000000-0005-0000-0000-00001A000000}"/>
    <cellStyle name="Comma 2 3 3" xfId="11" xr:uid="{00000000-0005-0000-0000-00001B000000}"/>
    <cellStyle name="Comma 2 30" xfId="36" xr:uid="{00000000-0005-0000-0000-00001C000000}"/>
    <cellStyle name="Comma 2 31" xfId="37" xr:uid="{00000000-0005-0000-0000-00001D000000}"/>
    <cellStyle name="Comma 2 32" xfId="38" xr:uid="{00000000-0005-0000-0000-00001E000000}"/>
    <cellStyle name="Comma 2 33" xfId="39" xr:uid="{00000000-0005-0000-0000-00001F000000}"/>
    <cellStyle name="Comma 2 34" xfId="40" xr:uid="{00000000-0005-0000-0000-000020000000}"/>
    <cellStyle name="Comma 2 35" xfId="41" xr:uid="{00000000-0005-0000-0000-000021000000}"/>
    <cellStyle name="Comma 2 36" xfId="42" xr:uid="{00000000-0005-0000-0000-000022000000}"/>
    <cellStyle name="Comma 2 37" xfId="43" xr:uid="{00000000-0005-0000-0000-000023000000}"/>
    <cellStyle name="Comma 2 38" xfId="45" xr:uid="{00000000-0005-0000-0000-000024000000}"/>
    <cellStyle name="Comma 2 39" xfId="46" xr:uid="{00000000-0005-0000-0000-000025000000}"/>
    <cellStyle name="Comma 2 4" xfId="8" xr:uid="{00000000-0005-0000-0000-000026000000}"/>
    <cellStyle name="Comma 2 4 2" xfId="12" xr:uid="{00000000-0005-0000-0000-000027000000}"/>
    <cellStyle name="Comma 2 40" xfId="47" xr:uid="{00000000-0005-0000-0000-000028000000}"/>
    <cellStyle name="Comma 2 41" xfId="48" xr:uid="{00000000-0005-0000-0000-000029000000}"/>
    <cellStyle name="Comma 2 42" xfId="49" xr:uid="{00000000-0005-0000-0000-00002A000000}"/>
    <cellStyle name="Comma 2 43" xfId="50" xr:uid="{00000000-0005-0000-0000-00002B000000}"/>
    <cellStyle name="Comma 2 44" xfId="51" xr:uid="{00000000-0005-0000-0000-00002C000000}"/>
    <cellStyle name="Comma 2 45" xfId="52" xr:uid="{00000000-0005-0000-0000-00002D000000}"/>
    <cellStyle name="Comma 2 46" xfId="53" xr:uid="{00000000-0005-0000-0000-00002E000000}"/>
    <cellStyle name="Comma 2 47" xfId="54" xr:uid="{00000000-0005-0000-0000-00002F000000}"/>
    <cellStyle name="Comma 2 48" xfId="55" xr:uid="{00000000-0005-0000-0000-000030000000}"/>
    <cellStyle name="Comma 2 49" xfId="56" xr:uid="{00000000-0005-0000-0000-000031000000}"/>
    <cellStyle name="Comma 2 5" xfId="5" xr:uid="{00000000-0005-0000-0000-000032000000}"/>
    <cellStyle name="Comma 2 50" xfId="57" xr:uid="{00000000-0005-0000-0000-000033000000}"/>
    <cellStyle name="Comma 2 51" xfId="58" xr:uid="{00000000-0005-0000-0000-000034000000}"/>
    <cellStyle name="Comma 2 52" xfId="59" xr:uid="{00000000-0005-0000-0000-000035000000}"/>
    <cellStyle name="Comma 2 53" xfId="60" xr:uid="{00000000-0005-0000-0000-000036000000}"/>
    <cellStyle name="Comma 2 54" xfId="61" xr:uid="{00000000-0005-0000-0000-000037000000}"/>
    <cellStyle name="Comma 2 55" xfId="62" xr:uid="{00000000-0005-0000-0000-000038000000}"/>
    <cellStyle name="Comma 2 56" xfId="63" xr:uid="{00000000-0005-0000-0000-000039000000}"/>
    <cellStyle name="Comma 2 57" xfId="64" xr:uid="{00000000-0005-0000-0000-00003A000000}"/>
    <cellStyle name="Comma 2 58" xfId="65" xr:uid="{00000000-0005-0000-0000-00003B000000}"/>
    <cellStyle name="Comma 2 59" xfId="66" xr:uid="{00000000-0005-0000-0000-00003C000000}"/>
    <cellStyle name="Comma 2 6" xfId="9" xr:uid="{00000000-0005-0000-0000-00003D000000}"/>
    <cellStyle name="Comma 2 60" xfId="67" xr:uid="{00000000-0005-0000-0000-00003E000000}"/>
    <cellStyle name="Comma 2 61" xfId="68" xr:uid="{00000000-0005-0000-0000-00003F000000}"/>
    <cellStyle name="Comma 2 62" xfId="69" xr:uid="{00000000-0005-0000-0000-000040000000}"/>
    <cellStyle name="Comma 2 63" xfId="70" xr:uid="{00000000-0005-0000-0000-000041000000}"/>
    <cellStyle name="Comma 2 64" xfId="71" xr:uid="{00000000-0005-0000-0000-000042000000}"/>
    <cellStyle name="Comma 2 65" xfId="72" xr:uid="{00000000-0005-0000-0000-000043000000}"/>
    <cellStyle name="Comma 2 66" xfId="73" xr:uid="{00000000-0005-0000-0000-000044000000}"/>
    <cellStyle name="Comma 2 67" xfId="74" xr:uid="{00000000-0005-0000-0000-000045000000}"/>
    <cellStyle name="Comma 2 68" xfId="75" xr:uid="{00000000-0005-0000-0000-000046000000}"/>
    <cellStyle name="Comma 2 69" xfId="76" xr:uid="{00000000-0005-0000-0000-000047000000}"/>
    <cellStyle name="Comma 2 7" xfId="13" xr:uid="{00000000-0005-0000-0000-000048000000}"/>
    <cellStyle name="Comma 2 70" xfId="77" xr:uid="{00000000-0005-0000-0000-000049000000}"/>
    <cellStyle name="Comma 2 71" xfId="78" xr:uid="{00000000-0005-0000-0000-00004A000000}"/>
    <cellStyle name="Comma 2 72" xfId="79" xr:uid="{00000000-0005-0000-0000-00004B000000}"/>
    <cellStyle name="Comma 2 73" xfId="80" xr:uid="{00000000-0005-0000-0000-00004C000000}"/>
    <cellStyle name="Comma 2 74" xfId="81" xr:uid="{00000000-0005-0000-0000-00004D000000}"/>
    <cellStyle name="Comma 2 75" xfId="82" xr:uid="{00000000-0005-0000-0000-00004E000000}"/>
    <cellStyle name="Comma 2 76" xfId="83" xr:uid="{00000000-0005-0000-0000-00004F000000}"/>
    <cellStyle name="Comma 2 77" xfId="84" xr:uid="{00000000-0005-0000-0000-000050000000}"/>
    <cellStyle name="Comma 2 78" xfId="85" xr:uid="{00000000-0005-0000-0000-000051000000}"/>
    <cellStyle name="Comma 2 79" xfId="86" xr:uid="{00000000-0005-0000-0000-000052000000}"/>
    <cellStyle name="Comma 2 8" xfId="14" xr:uid="{00000000-0005-0000-0000-000053000000}"/>
    <cellStyle name="Comma 2 80" xfId="87" xr:uid="{00000000-0005-0000-0000-000054000000}"/>
    <cellStyle name="Comma 2 81" xfId="88" xr:uid="{00000000-0005-0000-0000-000055000000}"/>
    <cellStyle name="Comma 2 82" xfId="89" xr:uid="{00000000-0005-0000-0000-000056000000}"/>
    <cellStyle name="Comma 2 83" xfId="90" xr:uid="{00000000-0005-0000-0000-000057000000}"/>
    <cellStyle name="Comma 2 84" xfId="91" xr:uid="{00000000-0005-0000-0000-000058000000}"/>
    <cellStyle name="Comma 2 85" xfId="92" xr:uid="{00000000-0005-0000-0000-000059000000}"/>
    <cellStyle name="Comma 2 86" xfId="93" xr:uid="{00000000-0005-0000-0000-00005A000000}"/>
    <cellStyle name="Comma 2 87" xfId="94" xr:uid="{00000000-0005-0000-0000-00005B000000}"/>
    <cellStyle name="Comma 2 88" xfId="95" xr:uid="{00000000-0005-0000-0000-00005C000000}"/>
    <cellStyle name="Comma 2 89" xfId="96" xr:uid="{00000000-0005-0000-0000-00005D000000}"/>
    <cellStyle name="Comma 2 9" xfId="15" xr:uid="{00000000-0005-0000-0000-00005E000000}"/>
    <cellStyle name="Comma 2 90" xfId="97" xr:uid="{00000000-0005-0000-0000-00005F000000}"/>
    <cellStyle name="Comma 2 91" xfId="98" xr:uid="{00000000-0005-0000-0000-000060000000}"/>
    <cellStyle name="Comma 2 92" xfId="99" xr:uid="{00000000-0005-0000-0000-000061000000}"/>
    <cellStyle name="Comma 2 93" xfId="100" xr:uid="{00000000-0005-0000-0000-000062000000}"/>
    <cellStyle name="Comma 2 94" xfId="101" xr:uid="{00000000-0005-0000-0000-000063000000}"/>
    <cellStyle name="Comma 2 95" xfId="102" xr:uid="{00000000-0005-0000-0000-000064000000}"/>
    <cellStyle name="Comma 2 96" xfId="103" xr:uid="{00000000-0005-0000-0000-000065000000}"/>
    <cellStyle name="Comma 2 97" xfId="104" xr:uid="{00000000-0005-0000-0000-000066000000}"/>
    <cellStyle name="Comma 2 98" xfId="105" xr:uid="{00000000-0005-0000-0000-000067000000}"/>
    <cellStyle name="Comma 2 99" xfId="106" xr:uid="{00000000-0005-0000-0000-000068000000}"/>
    <cellStyle name="Hyperlink" xfId="1" builtinId="8"/>
    <cellStyle name="Normal" xfId="0" builtinId="0"/>
  </cellStyles>
  <dxfs count="491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669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6699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-0.2499465926084170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YARD</a:t>
            </a:r>
            <a:r>
              <a:rPr lang="en-IN" baseline="0"/>
              <a:t> gcv range and quantity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C16-4F18-9087-C4640D4A69D1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C16-4F18-9087-C4640D4A69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'summery '!$B$28:$B$30</c:f>
              <c:strCache>
                <c:ptCount val="3"/>
                <c:pt idx="0">
                  <c:v>&gt;3500</c:v>
                </c:pt>
                <c:pt idx="1">
                  <c:v>3100-3500</c:v>
                </c:pt>
                <c:pt idx="2">
                  <c:v>&lt;3100</c:v>
                </c:pt>
              </c:strCache>
            </c:strRef>
          </c:cat>
          <c:val>
            <c:numRef>
              <c:f>'summery '!$C$28:$C$30</c:f>
              <c:numCache>
                <c:formatCode>0</c:formatCode>
                <c:ptCount val="3"/>
                <c:pt idx="0">
                  <c:v>89439</c:v>
                </c:pt>
                <c:pt idx="1">
                  <c:v>134412</c:v>
                </c:pt>
                <c:pt idx="2">
                  <c:v>81244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6-4F18-9087-C4640D4A69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68395791"/>
        <c:axId val="268399119"/>
      </c:barChart>
      <c:catAx>
        <c:axId val="26839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99119"/>
        <c:crosses val="autoZero"/>
        <c:auto val="1"/>
        <c:lblAlgn val="ctr"/>
        <c:lblOffset val="100"/>
        <c:noMultiLvlLbl val="0"/>
      </c:catAx>
      <c:valAx>
        <c:axId val="26839911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26839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Pile composition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87-4A78-88C2-EE1062FCA62A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87-4A78-88C2-EE1062FCA62A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87-4A78-88C2-EE1062FCA62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'blending '!$Z$6:$Z$8</c:f>
              <c:strCache>
                <c:ptCount val="3"/>
                <c:pt idx="0">
                  <c:v>&gt;3500</c:v>
                </c:pt>
                <c:pt idx="1">
                  <c:v>3100-3500</c:v>
                </c:pt>
                <c:pt idx="2">
                  <c:v>&lt;3100</c:v>
                </c:pt>
              </c:strCache>
            </c:strRef>
          </c:cat>
          <c:val>
            <c:numRef>
              <c:f>'blending '!$AA$6:$AA$8</c:f>
              <c:numCache>
                <c:formatCode>0</c:formatCode>
                <c:ptCount val="3"/>
                <c:pt idx="0">
                  <c:v>89439</c:v>
                </c:pt>
                <c:pt idx="1">
                  <c:v>134412</c:v>
                </c:pt>
                <c:pt idx="2">
                  <c:v>81244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A-4E5B-B2A9-6A95EB7EB6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Pile composition immidiate use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82545931758529E-2"/>
          <c:y val="0.12872056377484023"/>
          <c:w val="0.67234492563429571"/>
          <c:h val="0.82043528994775194"/>
        </c:manualLayout>
      </c:layout>
      <c:pieChart>
        <c:varyColors val="1"/>
        <c:ser>
          <c:idx val="0"/>
          <c:order val="0"/>
          <c:tx>
            <c:strRef>
              <c:f>'blending '!$AA$12</c:f>
              <c:strCache>
                <c:ptCount val="1"/>
                <c:pt idx="0">
                  <c:v>GCV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10-426B-AF96-FFF7F7CF51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10-426B-AF96-FFF7F7CF51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10-426B-AF96-FFF7F7CF519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'blending '!$Z$13:$Z$15</c:f>
              <c:strCache>
                <c:ptCount val="3"/>
                <c:pt idx="0">
                  <c:v>&gt;3500</c:v>
                </c:pt>
                <c:pt idx="1">
                  <c:v>3100-3500</c:v>
                </c:pt>
                <c:pt idx="2">
                  <c:v>&lt;3100</c:v>
                </c:pt>
              </c:strCache>
            </c:strRef>
          </c:cat>
          <c:val>
            <c:numRef>
              <c:f>'blending '!$AA$13:$AA$15</c:f>
              <c:numCache>
                <c:formatCode>0</c:formatCode>
                <c:ptCount val="3"/>
                <c:pt idx="0">
                  <c:v>13424.18</c:v>
                </c:pt>
                <c:pt idx="1">
                  <c:v>40272.54</c:v>
                </c:pt>
                <c:pt idx="2">
                  <c:v>68341.280000000013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7-4C46-AEF1-7059CFA1094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367315</xdr:colOff>
      <xdr:row>34</xdr:row>
      <xdr:rowOff>172696</xdr:rowOff>
    </xdr:from>
    <xdr:to>
      <xdr:col>4</xdr:col>
      <xdr:colOff>385439</xdr:colOff>
      <xdr:row>49</xdr:row>
      <xdr:rowOff>171405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296741</xdr:colOff>
      <xdr:row>4</xdr:row>
      <xdr:rowOff>99888</xdr:rowOff>
    </xdr:from>
    <xdr:to>
      <xdr:col>38</xdr:col>
      <xdr:colOff>594701</xdr:colOff>
      <xdr:row>23</xdr:row>
      <xdr:rowOff>73266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345587</xdr:colOff>
      <xdr:row>24</xdr:row>
      <xdr:rowOff>75466</xdr:rowOff>
    </xdr:from>
    <xdr:to>
      <xdr:col>39</xdr:col>
      <xdr:colOff>32971</xdr:colOff>
      <xdr:row>44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33"/>
  <sheetViews>
    <sheetView topLeftCell="A13" zoomScale="60" zoomScaleNormal="60" workbookViewId="0">
      <selection activeCell="X24" sqref="X24"/>
    </sheetView>
  </sheetViews>
  <sheetFormatPr defaultRowHeight="14.5" x14ac:dyDescent="0.35"/>
  <cols>
    <col min="2" max="2" width="25.54296875" customWidth="1"/>
    <col min="3" max="3" width="14.453125" style="7" customWidth="1"/>
    <col min="4" max="4" width="9.453125" customWidth="1"/>
    <col min="5" max="5" width="9.54296875" bestFit="1" customWidth="1"/>
    <col min="6" max="7" width="9.26953125" bestFit="1" customWidth="1"/>
    <col min="8" max="8" width="9.54296875" bestFit="1" customWidth="1"/>
    <col min="9" max="9" width="10.54296875" bestFit="1" customWidth="1"/>
    <col min="10" max="13" width="9.54296875" bestFit="1" customWidth="1"/>
    <col min="14" max="14" width="9" customWidth="1"/>
    <col min="15" max="16" width="9.54296875" bestFit="1" customWidth="1"/>
    <col min="17" max="19" width="10.54296875" bestFit="1" customWidth="1"/>
    <col min="20" max="20" width="14" customWidth="1"/>
    <col min="21" max="21" width="18.54296875" customWidth="1"/>
    <col min="22" max="43" width="8.7265625" customWidth="1"/>
  </cols>
  <sheetData>
    <row r="1" spans="2:20" ht="8.5" customHeight="1" x14ac:dyDescent="0.35"/>
    <row r="4" spans="2:20" ht="27" customHeight="1" x14ac:dyDescent="0.35">
      <c r="B4" s="89" t="s">
        <v>244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29"/>
    </row>
    <row r="5" spans="2:20" x14ac:dyDescent="0.35">
      <c r="D5" s="30">
        <f>IF(SUM(D6:D17)&gt;2,1,0)</f>
        <v>0</v>
      </c>
      <c r="E5" s="30">
        <f t="shared" ref="E5:S5" si="0">IF(SUM(E6:E17)&gt;2,1,0)</f>
        <v>1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1</v>
      </c>
      <c r="K5" s="30">
        <f t="shared" si="0"/>
        <v>0</v>
      </c>
      <c r="L5" s="30">
        <f t="shared" si="0"/>
        <v>1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1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/>
    </row>
    <row r="6" spans="2:20" x14ac:dyDescent="0.35">
      <c r="B6" s="32" t="s">
        <v>233</v>
      </c>
      <c r="D6" s="26">
        <f>'PILE-1A'!L23</f>
        <v>0</v>
      </c>
      <c r="E6" s="26">
        <f>'PILE-1B'!L23</f>
        <v>1</v>
      </c>
      <c r="F6" s="26">
        <f>'PILE-1C'!L23</f>
        <v>0</v>
      </c>
      <c r="G6" s="26">
        <f>'PILE-1D'!L19</f>
        <v>0</v>
      </c>
      <c r="H6" s="26">
        <f>'PILE-2A'!L23</f>
        <v>1</v>
      </c>
      <c r="I6" s="26">
        <f>'PILE-2B'!L23</f>
        <v>0</v>
      </c>
      <c r="J6" s="26">
        <f>'PILE-2C'!L23</f>
        <v>1</v>
      </c>
      <c r="K6" s="26">
        <f>'PILE-2D'!L23</f>
        <v>0</v>
      </c>
      <c r="L6" s="26">
        <f>'PILE-3A'!L20</f>
        <v>0</v>
      </c>
      <c r="M6" s="26">
        <f>'PILE-3B'!L23</f>
        <v>0</v>
      </c>
      <c r="N6" s="26">
        <f>'PILE-3C'!L23</f>
        <v>0</v>
      </c>
      <c r="O6" s="26">
        <f>'PILE-3D'!L21</f>
        <v>0</v>
      </c>
      <c r="P6" s="26">
        <f>'PILE-4A'!L23</f>
        <v>1</v>
      </c>
      <c r="Q6" s="26">
        <f>'PILE-4B'!L22</f>
        <v>0</v>
      </c>
      <c r="R6" s="26">
        <f>'PILE-4C'!L19</f>
        <v>1</v>
      </c>
      <c r="S6" s="26">
        <f>'PILE-4D'!L23</f>
        <v>0</v>
      </c>
      <c r="T6" s="26"/>
    </row>
    <row r="7" spans="2:20" x14ac:dyDescent="0.35">
      <c r="B7" s="32" t="s">
        <v>234</v>
      </c>
      <c r="D7" s="26">
        <f>'PILE-1A'!L24</f>
        <v>1</v>
      </c>
      <c r="E7" s="26">
        <f>'PILE-1B'!L24</f>
        <v>0</v>
      </c>
      <c r="F7" s="26">
        <f>'PILE-1C'!L24</f>
        <v>0</v>
      </c>
      <c r="G7" s="26">
        <f>'PILE-1D'!L20</f>
        <v>0</v>
      </c>
      <c r="H7" s="26">
        <f>'PILE-2A'!L24</f>
        <v>0</v>
      </c>
      <c r="I7" s="26">
        <f>'PILE-2B'!L24</f>
        <v>0</v>
      </c>
      <c r="J7" s="26">
        <f>'PILE-2C'!L24</f>
        <v>1</v>
      </c>
      <c r="K7" s="26">
        <f>'PILE-2D'!L24</f>
        <v>0</v>
      </c>
      <c r="L7" s="26">
        <f>'PILE-3A'!L21</f>
        <v>1</v>
      </c>
      <c r="M7" s="26">
        <f>'PILE-3B'!L24</f>
        <v>0</v>
      </c>
      <c r="N7" s="26">
        <f>'PILE-3C'!L24</f>
        <v>0</v>
      </c>
      <c r="O7" s="26">
        <f>'PILE-3D'!L22</f>
        <v>0</v>
      </c>
      <c r="P7" s="26">
        <f>'PILE-4A'!L24</f>
        <v>0</v>
      </c>
      <c r="Q7" s="26">
        <f>'PILE-4B'!L23</f>
        <v>0</v>
      </c>
      <c r="R7" s="26">
        <f>'PILE-4C'!L20</f>
        <v>1</v>
      </c>
      <c r="S7" s="26">
        <f>'PILE-4D'!L24</f>
        <v>0</v>
      </c>
      <c r="T7" s="26"/>
    </row>
    <row r="8" spans="2:20" x14ac:dyDescent="0.35">
      <c r="B8" s="32" t="s">
        <v>235</v>
      </c>
      <c r="D8" s="26">
        <f>'PILE-1A'!L25</f>
        <v>0</v>
      </c>
      <c r="E8" s="26">
        <f>'PILE-1B'!L25</f>
        <v>0</v>
      </c>
      <c r="F8" s="26">
        <f>'PILE-1C'!L25</f>
        <v>0</v>
      </c>
      <c r="G8" s="26">
        <f>'PILE-1D'!L21</f>
        <v>0</v>
      </c>
      <c r="H8" s="26">
        <f>'PILE-2A'!L25</f>
        <v>0</v>
      </c>
      <c r="I8" s="26">
        <f>'PILE-2B'!L25</f>
        <v>0</v>
      </c>
      <c r="J8" s="26">
        <f>'PILE-2C'!L25</f>
        <v>0</v>
      </c>
      <c r="K8" s="26">
        <f>'PILE-2D'!L25</f>
        <v>0</v>
      </c>
      <c r="L8" s="26">
        <f>'PILE-3A'!L22</f>
        <v>1</v>
      </c>
      <c r="M8" s="26">
        <f>'PILE-3B'!L25</f>
        <v>0</v>
      </c>
      <c r="N8" s="26">
        <f>'PILE-3C'!L25</f>
        <v>0</v>
      </c>
      <c r="O8" s="26">
        <f>'PILE-3D'!L23</f>
        <v>0</v>
      </c>
      <c r="P8" s="26">
        <f>'PILE-4A'!L25</f>
        <v>1</v>
      </c>
      <c r="Q8" s="26">
        <f>'PILE-4B'!L24</f>
        <v>0</v>
      </c>
      <c r="R8" s="26">
        <f>'PILE-4C'!L21</f>
        <v>0</v>
      </c>
      <c r="S8" s="26">
        <f>'PILE-4D'!L25</f>
        <v>0</v>
      </c>
      <c r="T8" s="26"/>
    </row>
    <row r="9" spans="2:20" x14ac:dyDescent="0.35">
      <c r="B9" s="32" t="s">
        <v>236</v>
      </c>
      <c r="D9" s="26">
        <f>'PILE-1A'!L26</f>
        <v>0</v>
      </c>
      <c r="E9" s="26">
        <f>'PILE-1B'!L26</f>
        <v>0</v>
      </c>
      <c r="F9" s="26">
        <f>'PILE-1C'!L26</f>
        <v>0</v>
      </c>
      <c r="G9" s="26">
        <f>'PILE-1D'!L22</f>
        <v>0</v>
      </c>
      <c r="H9" s="26">
        <f>'PILE-2A'!L26</f>
        <v>0</v>
      </c>
      <c r="I9" s="26">
        <f>'PILE-2B'!L26</f>
        <v>0</v>
      </c>
      <c r="J9" s="26">
        <f>'PILE-2C'!L26</f>
        <v>1</v>
      </c>
      <c r="K9" s="26">
        <f>'PILE-2D'!L26</f>
        <v>0</v>
      </c>
      <c r="L9" s="26">
        <f>'PILE-3A'!L23</f>
        <v>0</v>
      </c>
      <c r="M9" s="26">
        <f>'PILE-3B'!L26</f>
        <v>0</v>
      </c>
      <c r="N9" s="26">
        <f>'PILE-3C'!L26</f>
        <v>0</v>
      </c>
      <c r="O9" s="26">
        <f>'PILE-3D'!L24</f>
        <v>1</v>
      </c>
      <c r="P9" s="26">
        <f>'PILE-4A'!L26</f>
        <v>1</v>
      </c>
      <c r="Q9" s="26">
        <f>'PILE-4B'!L25</f>
        <v>0</v>
      </c>
      <c r="R9" s="26">
        <f>'PILE-4C'!L22</f>
        <v>0</v>
      </c>
      <c r="S9" s="26">
        <f>'PILE-4D'!L26</f>
        <v>0</v>
      </c>
      <c r="T9" s="26"/>
    </row>
    <row r="10" spans="2:20" x14ac:dyDescent="0.35">
      <c r="B10" s="32" t="s">
        <v>237</v>
      </c>
      <c r="D10" s="26">
        <f>'PILE-1A'!L27</f>
        <v>0</v>
      </c>
      <c r="E10" s="26">
        <f>'PILE-1B'!L27</f>
        <v>1</v>
      </c>
      <c r="F10" s="26">
        <f>'PILE-1C'!L27</f>
        <v>0</v>
      </c>
      <c r="G10" s="26">
        <f>'PILE-1D'!L23</f>
        <v>0</v>
      </c>
      <c r="H10" s="26">
        <f>'PILE-2A'!L27</f>
        <v>0</v>
      </c>
      <c r="I10" s="26">
        <f>'PILE-2B'!L27</f>
        <v>0</v>
      </c>
      <c r="J10" s="26">
        <f>'PILE-2C'!L27</f>
        <v>0</v>
      </c>
      <c r="K10" s="26">
        <f>'PILE-2D'!L27</f>
        <v>1</v>
      </c>
      <c r="L10" s="26">
        <f>'PILE-3A'!L24</f>
        <v>0</v>
      </c>
      <c r="M10" s="26">
        <f>'PILE-3B'!L27</f>
        <v>1</v>
      </c>
      <c r="N10" s="26">
        <f>'PILE-3C'!L27</f>
        <v>0</v>
      </c>
      <c r="O10" s="26">
        <f>'PILE-3D'!L25</f>
        <v>0</v>
      </c>
      <c r="P10" s="26">
        <f>'PILE-4A'!L27</f>
        <v>1</v>
      </c>
      <c r="Q10" s="26">
        <f>'PILE-4B'!L26</f>
        <v>0</v>
      </c>
      <c r="R10" s="26">
        <f>'PILE-4C'!L23</f>
        <v>0</v>
      </c>
      <c r="S10" s="26">
        <f>'PILE-4D'!L27</f>
        <v>1</v>
      </c>
      <c r="T10" s="26"/>
    </row>
    <row r="11" spans="2:20" x14ac:dyDescent="0.35">
      <c r="B11" s="32" t="s">
        <v>238</v>
      </c>
      <c r="D11" s="26">
        <f>'PILE-1A'!L28</f>
        <v>0</v>
      </c>
      <c r="E11" s="26">
        <f>'PILE-1B'!L28</f>
        <v>0</v>
      </c>
      <c r="F11" s="26">
        <f>'PILE-1C'!L28</f>
        <v>0</v>
      </c>
      <c r="G11" s="26">
        <f>'PILE-1D'!L24</f>
        <v>0</v>
      </c>
      <c r="H11" s="26">
        <f>'PILE-2A'!L28</f>
        <v>0</v>
      </c>
      <c r="I11" s="26">
        <f>'PILE-2B'!L28</f>
        <v>1</v>
      </c>
      <c r="J11" s="26">
        <f>'PILE-2C'!L28</f>
        <v>1</v>
      </c>
      <c r="K11" s="26">
        <f>'PILE-2D'!L28</f>
        <v>0</v>
      </c>
      <c r="L11" s="26">
        <f>'PILE-3A'!L25</f>
        <v>0</v>
      </c>
      <c r="M11" s="26">
        <f>'PILE-3B'!L28</f>
        <v>0</v>
      </c>
      <c r="N11" s="26">
        <f>'PILE-3C'!L28</f>
        <v>0</v>
      </c>
      <c r="O11" s="26">
        <f>'PILE-3D'!L26</f>
        <v>1</v>
      </c>
      <c r="P11" s="26">
        <f>'PILE-4A'!L28</f>
        <v>0</v>
      </c>
      <c r="Q11" s="26">
        <f>'PILE-4B'!L27</f>
        <v>1</v>
      </c>
      <c r="R11" s="26">
        <f>'PILE-4C'!L24</f>
        <v>0</v>
      </c>
      <c r="S11" s="26">
        <f>'PILE-4D'!L28</f>
        <v>0</v>
      </c>
      <c r="T11" s="26"/>
    </row>
    <row r="12" spans="2:20" x14ac:dyDescent="0.35">
      <c r="B12" s="32" t="s">
        <v>239</v>
      </c>
      <c r="D12" s="26">
        <f>'PILE-1A'!L29</f>
        <v>0</v>
      </c>
      <c r="E12" s="26">
        <f>'PILE-1B'!L29</f>
        <v>0</v>
      </c>
      <c r="F12" s="26">
        <f>'PILE-1C'!L29</f>
        <v>0</v>
      </c>
      <c r="G12" s="26">
        <f>'PILE-1D'!L25</f>
        <v>0</v>
      </c>
      <c r="H12" s="26">
        <f>'PILE-2A'!L29</f>
        <v>0</v>
      </c>
      <c r="I12" s="26">
        <f>'PILE-2B'!L29</f>
        <v>0</v>
      </c>
      <c r="J12" s="26">
        <f>'PILE-2C'!L29</f>
        <v>0</v>
      </c>
      <c r="K12" s="26">
        <f>'PILE-2D'!L29</f>
        <v>0</v>
      </c>
      <c r="L12" s="26">
        <f>'PILE-3A'!L26</f>
        <v>0</v>
      </c>
      <c r="M12" s="26">
        <f>'PILE-3B'!L29</f>
        <v>0</v>
      </c>
      <c r="N12" s="26">
        <f>'PILE-3C'!L29</f>
        <v>0</v>
      </c>
      <c r="O12" s="26">
        <f>'PILE-3D'!L27</f>
        <v>0</v>
      </c>
      <c r="P12" s="26">
        <f>'PILE-4A'!L29</f>
        <v>0</v>
      </c>
      <c r="Q12" s="26">
        <f>'PILE-4B'!L28</f>
        <v>0</v>
      </c>
      <c r="R12" s="26">
        <f>'PILE-4C'!L25</f>
        <v>0</v>
      </c>
      <c r="S12" s="26">
        <f>'PILE-4D'!L29</f>
        <v>0</v>
      </c>
      <c r="T12" s="26"/>
    </row>
    <row r="13" spans="2:20" x14ac:dyDescent="0.35">
      <c r="B13" s="32" t="s">
        <v>240</v>
      </c>
      <c r="D13" s="26">
        <f>'PILE-1A'!L30</f>
        <v>0</v>
      </c>
      <c r="E13" s="26">
        <f>'PILE-1B'!L30</f>
        <v>0</v>
      </c>
      <c r="F13" s="26">
        <f>'PILE-1C'!L30</f>
        <v>0</v>
      </c>
      <c r="G13" s="26">
        <f>'PILE-1D'!L26</f>
        <v>0</v>
      </c>
      <c r="H13" s="26">
        <f>'PILE-2A'!L30</f>
        <v>0</v>
      </c>
      <c r="I13" s="26">
        <f>'PILE-2B'!L30</f>
        <v>0</v>
      </c>
      <c r="J13" s="26">
        <f>'PILE-2C'!L30</f>
        <v>0</v>
      </c>
      <c r="K13" s="26">
        <f>'PILE-2D'!L30</f>
        <v>0</v>
      </c>
      <c r="L13" s="26">
        <f>'PILE-3A'!L27</f>
        <v>0</v>
      </c>
      <c r="M13" s="26">
        <f>'PILE-3B'!L30</f>
        <v>0</v>
      </c>
      <c r="N13" s="26">
        <f>'PILE-3C'!L30</f>
        <v>1</v>
      </c>
      <c r="O13" s="26">
        <f>'PILE-3D'!L28</f>
        <v>0</v>
      </c>
      <c r="P13" s="26">
        <f>'PILE-4A'!L30</f>
        <v>0</v>
      </c>
      <c r="Q13" s="26">
        <f>'PILE-4B'!L29</f>
        <v>0</v>
      </c>
      <c r="R13" s="26">
        <f>'PILE-4C'!L26</f>
        <v>0</v>
      </c>
      <c r="S13" s="26">
        <f>'PILE-4D'!L30</f>
        <v>1</v>
      </c>
      <c r="T13" s="26"/>
    </row>
    <row r="14" spans="2:20" x14ac:dyDescent="0.35">
      <c r="B14" s="32" t="s">
        <v>241</v>
      </c>
      <c r="D14" s="26">
        <f>'PILE-1A'!L31</f>
        <v>0</v>
      </c>
      <c r="E14" s="26">
        <f>'PILE-1B'!L31</f>
        <v>1</v>
      </c>
      <c r="F14" s="26">
        <f>'PILE-1C'!L31</f>
        <v>0</v>
      </c>
      <c r="G14" s="26">
        <f>'PILE-1D'!L27</f>
        <v>0</v>
      </c>
      <c r="H14" s="26">
        <f>'PILE-2A'!L31</f>
        <v>0</v>
      </c>
      <c r="I14" s="26">
        <f>'PILE-2B'!L31</f>
        <v>0</v>
      </c>
      <c r="J14" s="26">
        <f>'PILE-2C'!L31</f>
        <v>0</v>
      </c>
      <c r="K14" s="26">
        <f>'PILE-2D'!L31</f>
        <v>0</v>
      </c>
      <c r="L14" s="26">
        <f>'PILE-3A'!L28</f>
        <v>0</v>
      </c>
      <c r="M14" s="26">
        <f>'PILE-3B'!L31</f>
        <v>0</v>
      </c>
      <c r="N14" s="26">
        <f>'PILE-3C'!L31</f>
        <v>0</v>
      </c>
      <c r="O14" s="26">
        <f>'PILE-3D'!L29</f>
        <v>0</v>
      </c>
      <c r="P14" s="26">
        <f>'PILE-4A'!L31</f>
        <v>0</v>
      </c>
      <c r="Q14" s="26">
        <f>'PILE-4B'!L30</f>
        <v>0</v>
      </c>
      <c r="R14" s="26">
        <f>'PILE-4C'!L27</f>
        <v>0</v>
      </c>
      <c r="S14" s="26">
        <f>'PILE-4D'!L31</f>
        <v>0</v>
      </c>
      <c r="T14" s="26"/>
    </row>
    <row r="15" spans="2:20" x14ac:dyDescent="0.35">
      <c r="B15" s="32" t="s">
        <v>242</v>
      </c>
      <c r="D15" s="26">
        <f>'PILE-1A'!L32</f>
        <v>0</v>
      </c>
      <c r="E15" s="26">
        <f>'PILE-1B'!L32</f>
        <v>1</v>
      </c>
      <c r="F15" s="26">
        <f>'PILE-1C'!L32</f>
        <v>0</v>
      </c>
      <c r="G15" s="26">
        <f>'PILE-1D'!L28</f>
        <v>0</v>
      </c>
      <c r="H15" s="26">
        <f>'PILE-2A'!L32</f>
        <v>0</v>
      </c>
      <c r="I15" s="26">
        <f>'PILE-2B'!L32</f>
        <v>0</v>
      </c>
      <c r="J15" s="26">
        <f>'PILE-2C'!L32</f>
        <v>0</v>
      </c>
      <c r="K15" s="26">
        <f>'PILE-2D'!L32</f>
        <v>0</v>
      </c>
      <c r="L15" s="26">
        <f>'PILE-3A'!L29</f>
        <v>0</v>
      </c>
      <c r="M15" s="26">
        <f>'PILE-3B'!L32</f>
        <v>0</v>
      </c>
      <c r="N15" s="26">
        <f>'PILE-3C'!L32</f>
        <v>0</v>
      </c>
      <c r="O15" s="26">
        <f>'PILE-3D'!L30</f>
        <v>0</v>
      </c>
      <c r="P15" s="26">
        <f>'PILE-4A'!L32</f>
        <v>0</v>
      </c>
      <c r="Q15" s="26">
        <f>'PILE-4B'!L31</f>
        <v>0</v>
      </c>
      <c r="R15" s="26">
        <f>'PILE-4C'!L28</f>
        <v>0</v>
      </c>
      <c r="S15" s="26">
        <f>'PILE-4D'!L32</f>
        <v>0</v>
      </c>
      <c r="T15" s="26"/>
    </row>
    <row r="16" spans="2:20" x14ac:dyDescent="0.35">
      <c r="B16" s="32" t="s">
        <v>70</v>
      </c>
      <c r="D16" s="26">
        <f>'PILE-1A'!L33</f>
        <v>1</v>
      </c>
      <c r="E16" s="26">
        <f>'PILE-1B'!L33</f>
        <v>0</v>
      </c>
      <c r="F16" s="26">
        <f>'PILE-1C'!L33</f>
        <v>1</v>
      </c>
      <c r="G16" s="26">
        <f>'PILE-1D'!L29</f>
        <v>0</v>
      </c>
      <c r="H16" s="26">
        <f>'PILE-2A'!L33</f>
        <v>0</v>
      </c>
      <c r="I16" s="26">
        <f>'PILE-2B'!L33</f>
        <v>1</v>
      </c>
      <c r="J16" s="26">
        <f>'PILE-2C'!L33</f>
        <v>0</v>
      </c>
      <c r="K16" s="26">
        <f>'PILE-2D'!L33</f>
        <v>0</v>
      </c>
      <c r="L16" s="26">
        <f>'PILE-3A'!L30</f>
        <v>1</v>
      </c>
      <c r="M16" s="26">
        <f>'PILE-3B'!L33</f>
        <v>0</v>
      </c>
      <c r="N16" s="26">
        <f>'PILE-3C'!L33</f>
        <v>1</v>
      </c>
      <c r="O16" s="26">
        <f>'PILE-3D'!L31</f>
        <v>0</v>
      </c>
      <c r="P16" s="26">
        <f>'PILE-4A'!L33</f>
        <v>1</v>
      </c>
      <c r="Q16" s="26">
        <f>'PILE-4B'!L32</f>
        <v>0</v>
      </c>
      <c r="R16" s="26">
        <f>'PILE-4C'!L29</f>
        <v>0</v>
      </c>
      <c r="S16" s="26">
        <f>'PILE-4D'!L33</f>
        <v>0</v>
      </c>
      <c r="T16" s="26"/>
    </row>
    <row r="17" spans="2:23" x14ac:dyDescent="0.35">
      <c r="B17" s="32" t="s">
        <v>26</v>
      </c>
      <c r="D17" s="26">
        <f>'PILE-1A'!L34</f>
        <v>0</v>
      </c>
      <c r="E17" s="26">
        <f>'PILE-1B'!L34</f>
        <v>0</v>
      </c>
      <c r="F17" s="26">
        <f>'PILE-1C'!L34</f>
        <v>0</v>
      </c>
      <c r="G17" s="26">
        <f>'PILE-1D'!L30</f>
        <v>0</v>
      </c>
      <c r="H17" s="26">
        <f>'PILE-2A'!L34</f>
        <v>0</v>
      </c>
      <c r="I17" s="26">
        <f>'PILE-2B'!L34</f>
        <v>0</v>
      </c>
      <c r="J17" s="26">
        <f>'PILE-2C'!L34</f>
        <v>0</v>
      </c>
      <c r="K17" s="26">
        <f>'PILE-2D'!L34</f>
        <v>0</v>
      </c>
      <c r="L17" s="26">
        <f>'PILE-3A'!L31</f>
        <v>0</v>
      </c>
      <c r="M17" s="26">
        <f>'PILE-3B'!L34</f>
        <v>0</v>
      </c>
      <c r="N17" s="26">
        <f>'PILE-3C'!L34</f>
        <v>0</v>
      </c>
      <c r="O17" s="26">
        <f>'PILE-3D'!L32</f>
        <v>0</v>
      </c>
      <c r="P17" s="26">
        <f>'PILE-4A'!L34</f>
        <v>0</v>
      </c>
      <c r="Q17" s="26">
        <f>'PILE-4B'!L33</f>
        <v>0</v>
      </c>
      <c r="R17" s="26">
        <f>'PILE-4C'!L30</f>
        <v>0</v>
      </c>
      <c r="S17" s="26">
        <f>'PILE-4D'!L34</f>
        <v>0</v>
      </c>
      <c r="T17" s="26"/>
    </row>
    <row r="18" spans="2:23" ht="28" customHeight="1" x14ac:dyDescent="0.35">
      <c r="B18" s="89" t="s">
        <v>245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29"/>
    </row>
    <row r="19" spans="2:23" s="21" customFormat="1" ht="23.5" x14ac:dyDescent="0.55000000000000004">
      <c r="B19" s="33" t="s">
        <v>243</v>
      </c>
      <c r="C19" s="33" t="s">
        <v>45</v>
      </c>
      <c r="D19" s="34" t="s">
        <v>27</v>
      </c>
      <c r="E19" s="34" t="s">
        <v>28</v>
      </c>
      <c r="F19" s="34" t="s">
        <v>29</v>
      </c>
      <c r="G19" s="34" t="s">
        <v>30</v>
      </c>
      <c r="H19" s="34" t="s">
        <v>31</v>
      </c>
      <c r="I19" s="34" t="s">
        <v>32</v>
      </c>
      <c r="J19" s="34" t="s">
        <v>33</v>
      </c>
      <c r="K19" s="34" t="s">
        <v>34</v>
      </c>
      <c r="L19" s="34" t="s">
        <v>35</v>
      </c>
      <c r="M19" s="34" t="s">
        <v>36</v>
      </c>
      <c r="N19" s="34" t="s">
        <v>37</v>
      </c>
      <c r="O19" s="34" t="s">
        <v>38</v>
      </c>
      <c r="P19" s="34" t="s">
        <v>39</v>
      </c>
      <c r="Q19" s="34" t="s">
        <v>40</v>
      </c>
      <c r="R19" s="34" t="s">
        <v>41</v>
      </c>
      <c r="S19" s="34" t="s">
        <v>42</v>
      </c>
      <c r="T19" s="34" t="s">
        <v>247</v>
      </c>
      <c r="U19" s="21" t="s">
        <v>43</v>
      </c>
    </row>
    <row r="20" spans="2:23" s="24" customFormat="1" ht="25" customHeight="1" x14ac:dyDescent="0.35">
      <c r="B20" s="35" t="str">
        <f>'PILE-1A'!J23</f>
        <v xml:space="preserve">AVILABLE QUANITY </v>
      </c>
      <c r="C20" s="27">
        <f>U20</f>
        <v>283495</v>
      </c>
      <c r="D20" s="28">
        <f>IFERROR('PILE-1A'!K23,"0")</f>
        <v>21285</v>
      </c>
      <c r="E20" s="28">
        <f>IFERROR('PILE-1B'!K23,"0")</f>
        <v>29383</v>
      </c>
      <c r="F20" s="28">
        <f>IFERROR('PILE-1C'!K23,"0")</f>
        <v>17196</v>
      </c>
      <c r="G20" s="28">
        <f>IFERROR('PILE-1D'!K19,"0")</f>
        <v>25426</v>
      </c>
      <c r="H20" s="28">
        <f>IFERROR('PILE-2A'!K23,"0")</f>
        <v>7950</v>
      </c>
      <c r="I20" s="28">
        <f>IFERROR('PILE-2B'!K23,"0")</f>
        <v>8405</v>
      </c>
      <c r="J20" s="28">
        <f>IFERROR('PILE-2C'!K23,"0")</f>
        <v>25269</v>
      </c>
      <c r="K20" s="28">
        <f>IFERROR('PILE-2D'!K23,"0")</f>
        <v>7506</v>
      </c>
      <c r="L20" s="28">
        <f>IFERROR('PILE-3A'!K20,"0")</f>
        <v>10277</v>
      </c>
      <c r="M20" s="28">
        <f>IFERROR('PILE-3B'!K23,"0")</f>
        <v>10408</v>
      </c>
      <c r="N20" s="28">
        <f>IFERROR('PILE-3C'!K23,"0")</f>
        <v>12014</v>
      </c>
      <c r="O20" s="28">
        <f>IFERROR('PILE-3D'!K21,"0")</f>
        <v>21625</v>
      </c>
      <c r="P20" s="28">
        <f>IFERROR('PILE-4A'!K23,"0")</f>
        <v>21474</v>
      </c>
      <c r="Q20" s="28">
        <f>IFERROR('PILE-4B'!K22,"0")</f>
        <v>17640</v>
      </c>
      <c r="R20" s="28">
        <f>IFERROR('PILE-4C'!K19,"0")</f>
        <v>20399</v>
      </c>
      <c r="S20" s="28">
        <f>IFERROR('PILE-4D'!K23,"0")</f>
        <v>19238</v>
      </c>
      <c r="T20" s="28">
        <v>8000</v>
      </c>
      <c r="U20" s="23">
        <f>SUM(D20:T20)</f>
        <v>283495</v>
      </c>
    </row>
    <row r="21" spans="2:23" s="24" customFormat="1" ht="25" customHeight="1" x14ac:dyDescent="0.35">
      <c r="B21" s="35" t="str">
        <f>'PILE-1A'!J24</f>
        <v xml:space="preserve">PILE WTD GCV </v>
      </c>
      <c r="C21" s="27">
        <f t="shared" ref="C21:C30" si="1">U21</f>
        <v>3258.9515568096381</v>
      </c>
      <c r="D21" s="28">
        <f>IFERROR('PILE-1A'!K24,"0")</f>
        <v>3272.7150105708247</v>
      </c>
      <c r="E21" s="28">
        <f>IFERROR('PILE-1B'!K24,"0")</f>
        <v>2972.2110791757691</v>
      </c>
      <c r="F21" s="28">
        <f>IFERROR('PILE-1C'!K24,"0")</f>
        <v>3520.8359960658086</v>
      </c>
      <c r="G21" s="28">
        <f>IFERROR('PILE-1D'!K20,"0")</f>
        <v>3465.2719104485745</v>
      </c>
      <c r="H21" s="28">
        <f>IFERROR('PILE-2A'!K24,"0")</f>
        <v>2654.566540880503</v>
      </c>
      <c r="I21" s="28">
        <f>IFERROR('PILE-2B'!K24,"0")</f>
        <v>3317.6893515764427</v>
      </c>
      <c r="J21" s="28">
        <f>IFERROR('PILE-2C'!K24,"0")</f>
        <v>3196.7346385059072</v>
      </c>
      <c r="K21" s="28">
        <f>IFERROR('PILE-2D'!K24,"0")</f>
        <v>3637</v>
      </c>
      <c r="L21" s="28">
        <f>IFERROR('PILE-3A'!K21,"0")</f>
        <v>3090.8702928870293</v>
      </c>
      <c r="M21" s="28">
        <f>IFERROR('PILE-3B'!K24,"0")</f>
        <v>3066.3381425864345</v>
      </c>
      <c r="N21" s="28">
        <f>IFERROR('PILE-3C'!K24,"0")</f>
        <v>3102.4666567640165</v>
      </c>
      <c r="O21" s="28">
        <f>IFERROR('PILE-3D'!K22,"0")</f>
        <v>3249.603910631778</v>
      </c>
      <c r="P21" s="28">
        <f>IFERROR('PILE-4A'!K24,"0")</f>
        <v>3146.0396758871193</v>
      </c>
      <c r="Q21" s="28">
        <f>IFERROR('PILE-4B'!K23,"0")</f>
        <v>3439.3414743896501</v>
      </c>
      <c r="R21" s="28">
        <f>IFERROR('PILE-4C'!K20,"0")</f>
        <v>3507.6796885181379</v>
      </c>
      <c r="S21" s="28">
        <f>IFERROR('PILE-4D'!K24,"0")</f>
        <v>3356.8523001548174</v>
      </c>
      <c r="T21" s="28">
        <v>3200</v>
      </c>
      <c r="U21" s="23">
        <f>SUMPRODUCT(D20:T20,D21:T21)/U20</f>
        <v>3258.9515568096381</v>
      </c>
    </row>
    <row r="22" spans="2:23" s="24" customFormat="1" ht="25" customHeight="1" x14ac:dyDescent="0.35">
      <c r="B22" s="35" t="str">
        <f>'PILE-1A'!J25</f>
        <v xml:space="preserve">TOP GCV </v>
      </c>
      <c r="C22" s="27">
        <f t="shared" si="1"/>
        <v>3296.1906263106666</v>
      </c>
      <c r="D22" s="28">
        <f>IFERROR('PILE-1A'!K25,"0")</f>
        <v>3409.9233727810652</v>
      </c>
      <c r="E22" s="81">
        <f>IFERROR('PILE-1B'!K25,"0")</f>
        <v>3042.5865736510441</v>
      </c>
      <c r="F22" s="28">
        <f>IFERROR('PILE-1C'!K25,"0")</f>
        <v>3501.7590668307639</v>
      </c>
      <c r="G22" s="28">
        <f>IFERROR('PILE-1D'!K21,"0")</f>
        <v>3528.6695591165139</v>
      </c>
      <c r="H22" s="28" t="str">
        <f>IFERROR('PILE-2A'!K25,"0")</f>
        <v>0</v>
      </c>
      <c r="I22" s="28" t="str">
        <f>IFERROR('PILE-2B'!K25,"0")</f>
        <v>0</v>
      </c>
      <c r="J22" s="28">
        <f>IFERROR('PILE-2C'!K25,"0")</f>
        <v>3323.8238636363635</v>
      </c>
      <c r="K22" s="28" t="str">
        <f>IFERROR('PILE-2D'!K25,"0")</f>
        <v>0</v>
      </c>
      <c r="L22" s="28" t="str">
        <f>IFERROR('PILE-3A'!K22,"0")</f>
        <v>0</v>
      </c>
      <c r="M22" s="28">
        <f>IFERROR('PILE-3B'!K25,"0")</f>
        <v>3173</v>
      </c>
      <c r="N22" s="28">
        <f>IFERROR('PILE-3C'!K25,"0")</f>
        <v>3153</v>
      </c>
      <c r="O22" s="28">
        <f>IFERROR('PILE-3D'!K23,"0")</f>
        <v>3301.350191041699</v>
      </c>
      <c r="P22" s="28">
        <f>IFERROR('PILE-4A'!K25,"0")</f>
        <v>3079.3617975695292</v>
      </c>
      <c r="Q22" s="28">
        <f>IFERROR('PILE-4B'!K24,"0")</f>
        <v>3544.9722069735863</v>
      </c>
      <c r="R22" s="28">
        <f>IFERROR('PILE-4C'!K21,"0")</f>
        <v>3337.5720876585929</v>
      </c>
      <c r="S22" s="28">
        <f>IFERROR('PILE-4D'!K25,"0")</f>
        <v>3248</v>
      </c>
      <c r="T22" s="28">
        <v>3200</v>
      </c>
      <c r="U22" s="25">
        <f>SUMPRODUCT(D22:T22,D23:T23)/U23</f>
        <v>3296.1906263106666</v>
      </c>
    </row>
    <row r="23" spans="2:23" s="24" customFormat="1" ht="25" customHeight="1" x14ac:dyDescent="0.35">
      <c r="B23" s="35" t="str">
        <f>'PILE-1A'!J26</f>
        <v xml:space="preserve">TOP QNTY </v>
      </c>
      <c r="C23" s="27">
        <f t="shared" si="1"/>
        <v>115262</v>
      </c>
      <c r="D23" s="28">
        <f>IFERROR('PILE-1A'!K26,"0")</f>
        <v>10140</v>
      </c>
      <c r="E23" s="28">
        <f>IFERROR('PILE-1B'!K26,"0")</f>
        <v>21723</v>
      </c>
      <c r="F23" s="28">
        <f>IFERROR('PILE-1C'!K26,"0")</f>
        <v>10680</v>
      </c>
      <c r="G23" s="28">
        <f>IFERROR('PILE-1D'!K22,"0")</f>
        <v>14369</v>
      </c>
      <c r="H23" s="28">
        <f>IFERROR('PILE-2A'!K26,"0")</f>
        <v>0</v>
      </c>
      <c r="I23" s="28">
        <f>IFERROR('PILE-2B'!K26,"0")</f>
        <v>0</v>
      </c>
      <c r="J23" s="28">
        <f>IFERROR('PILE-2C'!K26,"0")</f>
        <v>8800</v>
      </c>
      <c r="K23" s="28">
        <f>IFERROR('PILE-2D'!K26,"0")</f>
        <v>0</v>
      </c>
      <c r="L23" s="28">
        <f>IFERROR('PILE-3A'!K23,"0")</f>
        <v>0</v>
      </c>
      <c r="M23" s="28">
        <f>IFERROR('PILE-3B'!K26,"0")</f>
        <v>3032</v>
      </c>
      <c r="N23" s="28">
        <f>IFERROR('PILE-3C'!K26,"0")</f>
        <v>3348</v>
      </c>
      <c r="O23" s="28">
        <f>IFERROR('PILE-3D'!K24,"0")</f>
        <v>10173</v>
      </c>
      <c r="P23" s="28">
        <f>IFERROR('PILE-4A'!K26,"0")</f>
        <v>12261</v>
      </c>
      <c r="Q23" s="28">
        <f>IFERROR('PILE-4B'!K25,"0")</f>
        <v>9297</v>
      </c>
      <c r="R23" s="28">
        <f>IFERROR('PILE-4C'!K22,"0")</f>
        <v>5202</v>
      </c>
      <c r="S23" s="28">
        <f>IFERROR('PILE-4D'!K26,"0")</f>
        <v>2237</v>
      </c>
      <c r="T23" s="28">
        <v>4000</v>
      </c>
      <c r="U23" s="23">
        <f>SUM(D23:T23)</f>
        <v>115262</v>
      </c>
    </row>
    <row r="24" spans="2:23" s="24" customFormat="1" ht="25" customHeight="1" x14ac:dyDescent="0.35">
      <c r="B24" s="35" t="str">
        <f>'PILE-1A'!J27</f>
        <v xml:space="preserve">BOTTOM GCV </v>
      </c>
      <c r="C24" s="27">
        <f t="shared" si="1"/>
        <v>3234.252236931241</v>
      </c>
      <c r="D24" s="28">
        <f>IFERROR('PILE-1A'!K27,"0")</f>
        <v>3147.879407806191</v>
      </c>
      <c r="E24" s="81">
        <f>IFERROR('PILE-1B'!K27,"0")</f>
        <v>2772.6331592689294</v>
      </c>
      <c r="F24" s="28">
        <f>IFERROR('PILE-1C'!K27,"0")</f>
        <v>3552.1038911287737</v>
      </c>
      <c r="G24" s="28">
        <f>IFERROR('PILE-1D'!K23,"0")</f>
        <v>3382.884209109186</v>
      </c>
      <c r="H24" s="28">
        <f>IFERROR('PILE-2A'!K27,"0")</f>
        <v>2654.566540880503</v>
      </c>
      <c r="I24" s="81">
        <f>IFERROR('PILE-2B'!K27,"0")</f>
        <v>3317.6893515764427</v>
      </c>
      <c r="J24" s="28">
        <f>IFERROR('PILE-2C'!K27,"0")</f>
        <v>3128.8261327588662</v>
      </c>
      <c r="K24" s="28">
        <f>IFERROR('PILE-2D'!K27,"0")</f>
        <v>3637</v>
      </c>
      <c r="L24" s="28">
        <f>IFERROR('PILE-3A'!K24,"0")</f>
        <v>3090.8702928870293</v>
      </c>
      <c r="M24" s="28">
        <f>IFERROR('PILE-3B'!K27,"0")</f>
        <v>3022.4934094413788</v>
      </c>
      <c r="N24" s="28">
        <f>IFERROR('PILE-3C'!K27,"0")</f>
        <v>3082.9437357907786</v>
      </c>
      <c r="O24" s="28">
        <f>IFERROR('PILE-3D'!K25,"0")</f>
        <v>3203.6368384513617</v>
      </c>
      <c r="P24" s="81">
        <f>IFERROR('PILE-4A'!K27,"0")</f>
        <v>3234.7770541625964</v>
      </c>
      <c r="Q24" s="28">
        <f>IFERROR('PILE-4B'!K26,"0")</f>
        <v>3321.6321467098164</v>
      </c>
      <c r="R24" s="28">
        <f>IFERROR('PILE-4C'!K23,"0")</f>
        <v>3565.9082691374283</v>
      </c>
      <c r="S24" s="28">
        <f>IFERROR('PILE-4D'!K27,"0")</f>
        <v>3371.1751397199209</v>
      </c>
      <c r="T24" s="28">
        <v>3200</v>
      </c>
      <c r="U24" s="25">
        <f>SUMPRODUCT(D24:S24,D25:S25)/U25</f>
        <v>3234.252236931241</v>
      </c>
    </row>
    <row r="25" spans="2:23" s="24" customFormat="1" ht="25" customHeight="1" x14ac:dyDescent="0.35">
      <c r="B25" s="35" t="str">
        <f>'PILE-1A'!J28</f>
        <v>BOTTOM QNTY</v>
      </c>
      <c r="C25" s="27">
        <f t="shared" si="1"/>
        <v>164233</v>
      </c>
      <c r="D25" s="28">
        <f>IFERROR('PILE-1A'!K28,"0")</f>
        <v>11145</v>
      </c>
      <c r="E25" s="28">
        <f>IFERROR('PILE-1B'!K28,"0")</f>
        <v>7660</v>
      </c>
      <c r="F25" s="28">
        <f>IFERROR('PILE-1C'!K28,"0")</f>
        <v>6516</v>
      </c>
      <c r="G25" s="28">
        <f>IFERROR('PILE-1D'!K24,"0")</f>
        <v>11057</v>
      </c>
      <c r="H25" s="28">
        <f>IFERROR('PILE-2A'!K28,"0")</f>
        <v>7950</v>
      </c>
      <c r="I25" s="28">
        <f>IFERROR('PILE-2B'!K28,"0")</f>
        <v>8405</v>
      </c>
      <c r="J25" s="28">
        <f>IFERROR('PILE-2C'!K28,"0")</f>
        <v>16469</v>
      </c>
      <c r="K25" s="28">
        <f>IFERROR('PILE-2D'!K28,"0")</f>
        <v>7506</v>
      </c>
      <c r="L25" s="28">
        <f>IFERROR('PILE-3A'!K25,"0")</f>
        <v>10277</v>
      </c>
      <c r="M25" s="28">
        <f>IFERROR('PILE-3B'!K28,"0")</f>
        <v>7376</v>
      </c>
      <c r="N25" s="28">
        <f>IFERROR('PILE-3C'!K28,"0")</f>
        <v>8666</v>
      </c>
      <c r="O25" s="28">
        <f>IFERROR('PILE-3D'!K26,"0")</f>
        <v>11452</v>
      </c>
      <c r="P25" s="28">
        <f>IFERROR('PILE-4A'!K28,"0")</f>
        <v>9213</v>
      </c>
      <c r="Q25" s="28">
        <f>IFERROR('PILE-4B'!K27,"0")</f>
        <v>8343</v>
      </c>
      <c r="R25" s="28">
        <f>IFERROR('PILE-4C'!K24,"0")</f>
        <v>15197</v>
      </c>
      <c r="S25" s="28">
        <f>IFERROR('PILE-4D'!K28,"0")</f>
        <v>17001</v>
      </c>
      <c r="T25" s="28">
        <v>4000</v>
      </c>
      <c r="U25" s="23">
        <f>SUM(D25:S25)</f>
        <v>164233</v>
      </c>
    </row>
    <row r="26" spans="2:23" s="24" customFormat="1" ht="19.5" customHeight="1" x14ac:dyDescent="0.35">
      <c r="B26" s="35" t="str">
        <f>'PILE-1A'!J29</f>
        <v xml:space="preserve">MAX AGING </v>
      </c>
      <c r="C26" s="27">
        <f t="shared" ca="1" si="1"/>
        <v>141</v>
      </c>
      <c r="D26" s="28">
        <f ca="1">IFERROR('PILE-1A'!K29,"0")</f>
        <v>109</v>
      </c>
      <c r="E26" s="28">
        <f ca="1">IFERROR('PILE-1B'!K29,"0")</f>
        <v>141</v>
      </c>
      <c r="F26" s="28">
        <f ca="1">IFERROR('PILE-1C'!K29,"0")</f>
        <v>105</v>
      </c>
      <c r="G26" s="28">
        <f ca="1">IFERROR('PILE-1D'!K25,"0")</f>
        <v>102</v>
      </c>
      <c r="H26" s="28">
        <f ca="1">IFERROR('PILE-2A'!K29,"0")</f>
        <v>67</v>
      </c>
      <c r="I26" s="28">
        <f ca="1">IFERROR('PILE-2B'!K29,"0")</f>
        <v>65</v>
      </c>
      <c r="J26" s="28">
        <f ca="1">IFERROR('PILE-2C'!K29,"0")</f>
        <v>114</v>
      </c>
      <c r="K26" s="28">
        <f ca="1">IFERROR('PILE-2D'!K29,"0")</f>
        <v>64</v>
      </c>
      <c r="L26" s="28">
        <f ca="1">IFERROR('PILE-3A'!K26,"0")</f>
        <v>133</v>
      </c>
      <c r="M26" s="28">
        <f ca="1">IFERROR('PILE-3B'!K29,"0")</f>
        <v>136</v>
      </c>
      <c r="N26" s="28">
        <f ca="1">IFERROR('PILE-3C'!K29,"0")</f>
        <v>69</v>
      </c>
      <c r="O26" s="28">
        <f ca="1">IFERROR('PILE-3D'!K27,"0")</f>
        <v>73</v>
      </c>
      <c r="P26" s="28">
        <f ca="1">IFERROR('PILE-4A'!K29,"0")</f>
        <v>114</v>
      </c>
      <c r="Q26" s="28">
        <f ca="1">IFERROR('PILE-4B'!K28,"0")</f>
        <v>113</v>
      </c>
      <c r="R26" s="28">
        <f ca="1">IFERROR('PILE-4C'!K25,"0")</f>
        <v>103</v>
      </c>
      <c r="S26" s="28">
        <f ca="1">IFERROR('PILE-4D'!K29,"0")</f>
        <v>100</v>
      </c>
      <c r="T26" s="28">
        <v>0</v>
      </c>
      <c r="U26" s="23">
        <f ca="1">MAX(D26:T26)</f>
        <v>141</v>
      </c>
    </row>
    <row r="27" spans="2:23" s="24" customFormat="1" ht="25" customHeight="1" x14ac:dyDescent="0.35">
      <c r="B27" s="35" t="str">
        <f>'PILE-1A'!J30</f>
        <v>AVERAGE AGING</v>
      </c>
      <c r="C27" s="27">
        <f t="shared" ca="1" si="1"/>
        <v>85.52478991596638</v>
      </c>
      <c r="D27" s="28">
        <f ca="1">IFERROR('PILE-1A'!K30,"0")</f>
        <v>98.166666666666671</v>
      </c>
      <c r="E27" s="28">
        <f ca="1">IFERROR('PILE-1B'!K30,"0")</f>
        <v>99.1</v>
      </c>
      <c r="F27" s="28">
        <f ca="1">IFERROR('PILE-1C'!K30,"0")</f>
        <v>98.333333333333329</v>
      </c>
      <c r="G27" s="28">
        <f ca="1">IFERROR('PILE-1D'!K26,"0")</f>
        <v>94</v>
      </c>
      <c r="H27" s="28">
        <f ca="1">IFERROR('PILE-2A'!K30,"0")</f>
        <v>65.5</v>
      </c>
      <c r="I27" s="28">
        <f ca="1">IFERROR('PILE-2B'!K30,"0")</f>
        <v>64.5</v>
      </c>
      <c r="J27" s="28">
        <f ca="1">IFERROR('PILE-2C'!K30,"0")</f>
        <v>95.75</v>
      </c>
      <c r="K27" s="28">
        <f ca="1">IFERROR('PILE-2D'!K30,"0")</f>
        <v>63.5</v>
      </c>
      <c r="L27" s="28">
        <f ca="1">IFERROR('PILE-3A'!K27,"0")</f>
        <v>115.33333333333333</v>
      </c>
      <c r="M27" s="28">
        <f ca="1">IFERROR('PILE-3B'!K30,"0")</f>
        <v>134.80000000000001</v>
      </c>
      <c r="N27" s="28">
        <f ca="1">IFERROR('PILE-3C'!K30,"0")</f>
        <v>68</v>
      </c>
      <c r="O27" s="28">
        <f ca="1">IFERROR('PILE-3D'!K28,"0")</f>
        <v>70.666666666666671</v>
      </c>
      <c r="P27" s="28">
        <f ca="1">IFERROR('PILE-4A'!K30,"0")</f>
        <v>86.5</v>
      </c>
      <c r="Q27" s="28">
        <f ca="1">IFERROR('PILE-4B'!K29,"0")</f>
        <v>103.6</v>
      </c>
      <c r="R27" s="28">
        <f ca="1">IFERROR('PILE-4C'!K26,"0")</f>
        <v>100.57142857142857</v>
      </c>
      <c r="S27" s="28">
        <f ca="1">IFERROR('PILE-4D'!K30,"0")</f>
        <v>95.6</v>
      </c>
      <c r="T27" s="28">
        <v>0</v>
      </c>
      <c r="U27" s="23">
        <f ca="1">AVERAGE(D27:T27)</f>
        <v>85.52478991596638</v>
      </c>
    </row>
    <row r="28" spans="2:23" s="24" customFormat="1" ht="25" customHeight="1" x14ac:dyDescent="0.35">
      <c r="B28" s="35" t="str">
        <f>'PILE-1A'!J31</f>
        <v>&gt;3500</v>
      </c>
      <c r="C28" s="27">
        <f t="shared" si="1"/>
        <v>89439</v>
      </c>
      <c r="D28" s="28">
        <f>IFERROR('PILE-1A'!K31,"0")</f>
        <v>6801</v>
      </c>
      <c r="E28" s="28">
        <f>IFERROR('PILE-1B'!K31,"0")</f>
        <v>0</v>
      </c>
      <c r="F28" s="28">
        <f>IFERROR('PILE-1C'!K31,"0")</f>
        <v>13524</v>
      </c>
      <c r="G28" s="28">
        <f>IFERROR('PILE-1D'!K27,"0")</f>
        <v>13719</v>
      </c>
      <c r="H28" s="28">
        <f>IFERROR('PILE-2A'!K31,"0")</f>
        <v>0</v>
      </c>
      <c r="I28" s="28">
        <f>IFERROR('PILE-2B'!K31,"0")</f>
        <v>0</v>
      </c>
      <c r="J28" s="28">
        <f>IFERROR('PILE-2C'!K31,"0")</f>
        <v>8469</v>
      </c>
      <c r="K28" s="28">
        <f>IFERROR('PILE-2D'!K31,"0")</f>
        <v>7506</v>
      </c>
      <c r="L28" s="28">
        <f>IFERROR('PILE-3A'!K28,"0")</f>
        <v>0</v>
      </c>
      <c r="M28" s="28">
        <f>IFERROR('PILE-3B'!K31,"0")</f>
        <v>0</v>
      </c>
      <c r="N28" s="28">
        <f>IFERROR('PILE-3C'!K31,"0")</f>
        <v>0</v>
      </c>
      <c r="O28" s="28">
        <f>IFERROR('PILE-3D'!K29,"0")</f>
        <v>6529</v>
      </c>
      <c r="P28" s="28">
        <f>IFERROR('PILE-4A'!K31,"0")</f>
        <v>2453</v>
      </c>
      <c r="Q28" s="28">
        <f>IFERROR('PILE-4B'!K30,"0")</f>
        <v>5817</v>
      </c>
      <c r="R28" s="28">
        <f>IFERROR('PILE-4C'!K27,"0")</f>
        <v>9087</v>
      </c>
      <c r="S28" s="28">
        <f>IFERROR('PILE-4D'!K31,"0")</f>
        <v>7534</v>
      </c>
      <c r="T28" s="28">
        <v>8000</v>
      </c>
      <c r="U28" s="23">
        <f>SUM(D28:T28)</f>
        <v>89439</v>
      </c>
      <c r="W28" s="24">
        <f>C28/C20</f>
        <v>0.31548704562690699</v>
      </c>
    </row>
    <row r="29" spans="2:23" s="24" customFormat="1" ht="25" customHeight="1" x14ac:dyDescent="0.35">
      <c r="B29" s="35" t="str">
        <f>'PILE-1A'!J32</f>
        <v>3100-3500</v>
      </c>
      <c r="C29" s="27">
        <f t="shared" si="1"/>
        <v>134412</v>
      </c>
      <c r="D29" s="28">
        <f>IFERROR('PILE-1A'!K32,"0")</f>
        <v>6477</v>
      </c>
      <c r="E29" s="28">
        <f>IFERROR('PILE-1B'!K32,"0")</f>
        <v>8163</v>
      </c>
      <c r="F29" s="28">
        <f>IFERROR('PILE-1C'!K32,"0")</f>
        <v>3672</v>
      </c>
      <c r="G29" s="28">
        <f>IFERROR('PILE-1D'!K28,"0")</f>
        <v>10350</v>
      </c>
      <c r="H29" s="28">
        <f>IFERROR('PILE-2A'!K32,"0")</f>
        <v>0</v>
      </c>
      <c r="I29" s="28">
        <f>IFERROR('PILE-2B'!K32,"0")</f>
        <v>8405</v>
      </c>
      <c r="J29" s="28">
        <f>IFERROR('PILE-2C'!K32,"0")</f>
        <v>3200</v>
      </c>
      <c r="K29" s="28">
        <f>IFERROR('PILE-2D'!K32,"0")</f>
        <v>0</v>
      </c>
      <c r="L29" s="28">
        <f>IFERROR('PILE-3A'!K29,"0")</f>
        <v>7144</v>
      </c>
      <c r="M29" s="28">
        <f>IFERROR('PILE-3B'!K32,"0")</f>
        <v>6868</v>
      </c>
      <c r="N29" s="28">
        <f>IFERROR('PILE-3C'!K32,"0")</f>
        <v>8364</v>
      </c>
      <c r="O29" s="28">
        <f>IFERROR('PILE-3D'!K30,"0")</f>
        <v>7110</v>
      </c>
      <c r="P29" s="28">
        <f>IFERROR('PILE-4A'!K32,"0")</f>
        <v>12620</v>
      </c>
      <c r="Q29" s="28">
        <f>IFERROR('PILE-4B'!K31,"0")</f>
        <v>11823</v>
      </c>
      <c r="R29" s="28">
        <f>IFERROR('PILE-4C'!K28,"0")</f>
        <v>11312</v>
      </c>
      <c r="S29" s="28">
        <f>IFERROR('PILE-4D'!K32,"0")</f>
        <v>7304</v>
      </c>
      <c r="T29" s="28">
        <f>WT!K46</f>
        <v>21600</v>
      </c>
      <c r="U29" s="23">
        <f>SUM(D29:T29)</f>
        <v>134412</v>
      </c>
      <c r="W29" s="24">
        <f>C29/C20</f>
        <v>0.47412476410518706</v>
      </c>
    </row>
    <row r="30" spans="2:23" s="24" customFormat="1" ht="25" customHeight="1" x14ac:dyDescent="0.35">
      <c r="B30" s="35" t="str">
        <f>'PILE-1A'!J33</f>
        <v>&lt;3100</v>
      </c>
      <c r="C30" s="27">
        <f t="shared" si="1"/>
        <v>81244</v>
      </c>
      <c r="D30" s="28">
        <f>IFERROR('PILE-1A'!K33,"0")</f>
        <v>8007</v>
      </c>
      <c r="E30" s="28">
        <f>IFERROR('PILE-1B'!K33,"0")</f>
        <v>21220</v>
      </c>
      <c r="F30" s="28">
        <f>IFERROR('PILE-1C'!K33,"0")</f>
        <v>0</v>
      </c>
      <c r="G30" s="28">
        <f>IFERROR('PILE-1D'!K29,"0")</f>
        <v>1357</v>
      </c>
      <c r="H30" s="28">
        <f>IFERROR('PILE-2A'!K33,"0")</f>
        <v>7950</v>
      </c>
      <c r="I30" s="28">
        <f>IFERROR('PILE-2B'!K33,"0")</f>
        <v>0</v>
      </c>
      <c r="J30" s="28">
        <f>IFERROR('PILE-2C'!K33,"0")</f>
        <v>13600</v>
      </c>
      <c r="K30" s="28">
        <f>IFERROR('PILE-2D'!K33,"0")</f>
        <v>0</v>
      </c>
      <c r="L30" s="28">
        <f>IFERROR('PILE-3A'!K30,"0")</f>
        <v>3133</v>
      </c>
      <c r="M30" s="28">
        <f>IFERROR('PILE-3B'!K33,"0")</f>
        <v>3540</v>
      </c>
      <c r="N30" s="28">
        <f>IFERROR('PILE-3C'!K33,"0")</f>
        <v>3650</v>
      </c>
      <c r="O30" s="28">
        <f>IFERROR('PILE-3D'!K31,"0")</f>
        <v>7986</v>
      </c>
      <c r="P30" s="28">
        <f>IFERROR('PILE-4A'!K33,"0")</f>
        <v>6401</v>
      </c>
      <c r="Q30" s="28">
        <f>IFERROR('PILE-4B'!K32,"0")</f>
        <v>0</v>
      </c>
      <c r="R30" s="28">
        <f>IFERROR('PILE-4C'!K29,"0")</f>
        <v>0</v>
      </c>
      <c r="S30" s="28">
        <f>IFERROR('PILE-4D'!K33,"0")</f>
        <v>4400</v>
      </c>
      <c r="T30" s="28">
        <f>WT!K47</f>
        <v>0</v>
      </c>
      <c r="U30" s="23">
        <f>SUM(D30:T30)</f>
        <v>81244</v>
      </c>
      <c r="W30" s="24">
        <f>C30/C20</f>
        <v>0.28658001022945728</v>
      </c>
    </row>
    <row r="31" spans="2:23" ht="25.5" customHeight="1" x14ac:dyDescent="0.6">
      <c r="B31" s="90" t="s">
        <v>246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37"/>
    </row>
    <row r="32" spans="2:23" x14ac:dyDescent="0.35">
      <c r="B32" s="36" t="s">
        <v>229</v>
      </c>
      <c r="C32" s="36" t="s">
        <v>232</v>
      </c>
      <c r="D32" s="36">
        <v>1</v>
      </c>
      <c r="E32" s="36">
        <v>2</v>
      </c>
      <c r="F32" s="36">
        <v>3</v>
      </c>
      <c r="G32" s="36">
        <v>4</v>
      </c>
      <c r="H32" s="36">
        <v>5</v>
      </c>
      <c r="I32" s="36">
        <v>6</v>
      </c>
      <c r="J32" s="36">
        <v>7</v>
      </c>
      <c r="K32" s="36">
        <v>8</v>
      </c>
      <c r="L32" s="36">
        <v>9</v>
      </c>
      <c r="M32" s="36">
        <v>10</v>
      </c>
      <c r="N32" s="36" t="s">
        <v>230</v>
      </c>
      <c r="O32" s="36" t="s">
        <v>26</v>
      </c>
    </row>
    <row r="33" spans="2:15" s="40" customFormat="1" ht="30.75" customHeight="1" x14ac:dyDescent="0.35">
      <c r="B33" s="38" t="s">
        <v>231</v>
      </c>
      <c r="C33" s="38">
        <v>10</v>
      </c>
      <c r="D33" s="39">
        <f>'RAKE GCV '!AF1</f>
        <v>3008.1974987535732</v>
      </c>
      <c r="E33" s="39">
        <f>'RAKE GCV '!AG1</f>
        <v>2907.2236174255313</v>
      </c>
      <c r="F33" s="39">
        <f>'RAKE GCV '!AH1</f>
        <v>2861.7378119607083</v>
      </c>
      <c r="G33" s="39">
        <f>'RAKE GCV '!AI1</f>
        <v>2894.5166091175606</v>
      </c>
      <c r="H33" s="39">
        <f>'RAKE GCV '!AJ1</f>
        <v>3602.6717429988412</v>
      </c>
      <c r="I33" s="39">
        <f>'RAKE GCV '!AK1</f>
        <v>3403.2739928741589</v>
      </c>
      <c r="J33" s="39">
        <f>'RAKE GCV '!AL1</f>
        <v>3117.3581135469972</v>
      </c>
      <c r="K33" s="39">
        <f>'RAKE GCV '!AM1</f>
        <v>3025.3709667613484</v>
      </c>
      <c r="L33" s="39">
        <f>'RAKE GCV '!AN1</f>
        <v>3199.2175611591147</v>
      </c>
      <c r="M33" s="39">
        <f>'RAKE GCV '!AO1</f>
        <v>3027.9355467824948</v>
      </c>
      <c r="N33" s="39">
        <f>'RAKE GCV '!AP1</f>
        <v>3189.9876764014807</v>
      </c>
      <c r="O33" s="39">
        <f>'RAKE GCV '!AQ1</f>
        <v>3111.9299974766245</v>
      </c>
    </row>
  </sheetData>
  <mergeCells count="3">
    <mergeCell ref="B4:S4"/>
    <mergeCell ref="B18:S18"/>
    <mergeCell ref="B31:S31"/>
  </mergeCells>
  <conditionalFormatting sqref="D5:T5">
    <cfRule type="cellIs" dxfId="490" priority="5" operator="equal">
      <formula>1</formula>
    </cfRule>
  </conditionalFormatting>
  <conditionalFormatting sqref="D6:T17">
    <cfRule type="cellIs" dxfId="489" priority="1" operator="equal">
      <formula>1</formula>
    </cfRule>
  </conditionalFormatting>
  <conditionalFormatting sqref="D26:T26">
    <cfRule type="cellIs" dxfId="488" priority="2" operator="greaterThan">
      <formula>20</formula>
    </cfRule>
    <cfRule type="cellIs" dxfId="487" priority="3" operator="between">
      <formula>10</formula>
      <formula>20</formula>
    </cfRule>
    <cfRule type="cellIs" dxfId="486" priority="4" operator="greaterThan">
      <formula>10</formula>
    </cfRule>
  </conditionalFormatting>
  <hyperlinks>
    <hyperlink ref="D19" location="'PILE-1A'!A1" display="1A" xr:uid="{00000000-0004-0000-0000-000000000000}"/>
    <hyperlink ref="E19" location="'PILE-1B'!A1" display="1B" xr:uid="{00000000-0004-0000-0000-000001000000}"/>
    <hyperlink ref="F19" location="'PILE-1C'!A1" display="1C" xr:uid="{00000000-0004-0000-0000-000002000000}"/>
    <hyperlink ref="G19" location="'PILE-1D'!A1" display="1D" xr:uid="{00000000-0004-0000-0000-000003000000}"/>
    <hyperlink ref="H19" location="'PILE-2A'!A1" display="2A" xr:uid="{00000000-0004-0000-0000-000004000000}"/>
    <hyperlink ref="I19" location="'PILE-2B'!A1" display="2B" xr:uid="{00000000-0004-0000-0000-000005000000}"/>
    <hyperlink ref="J19" location="'PILE-2C'!A1" display="2C" xr:uid="{00000000-0004-0000-0000-000006000000}"/>
    <hyperlink ref="K19" location="'PILE-2D'!A1" display="2D" xr:uid="{00000000-0004-0000-0000-000007000000}"/>
    <hyperlink ref="L19" location="'PILE-3A'!A1" display="3A" xr:uid="{00000000-0004-0000-0000-000008000000}"/>
    <hyperlink ref="M19" location="'PILE-3B'!A1" display="3B" xr:uid="{00000000-0004-0000-0000-000009000000}"/>
    <hyperlink ref="N19" location="'PILE-3C'!A1" display="3C" xr:uid="{00000000-0004-0000-0000-00000A000000}"/>
    <hyperlink ref="O19" location="'PILE-3D'!A1" display="3D" xr:uid="{00000000-0004-0000-0000-00000B000000}"/>
    <hyperlink ref="P19" location="'PILE-4A'!A1" display="4A" xr:uid="{00000000-0004-0000-0000-00000C000000}"/>
    <hyperlink ref="Q19" location="'PILE-4B'!A1" display="4B" xr:uid="{00000000-0004-0000-0000-00000D000000}"/>
    <hyperlink ref="R19" location="'PILE-4C'!A1" display="4C" xr:uid="{00000000-0004-0000-0000-00000E000000}"/>
    <hyperlink ref="S19" location="'PILE-4D'!A1" display="4D" xr:uid="{00000000-0004-0000-0000-00000F000000}"/>
  </hyperlinks>
  <pageMargins left="0.7" right="0.7" top="0.75" bottom="0.75" header="0.3" footer="0.3"/>
  <pageSetup scale="5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263"/>
  <sheetViews>
    <sheetView tabSelected="1" zoomScale="70" zoomScaleNormal="70" workbookViewId="0">
      <pane ySplit="1" topLeftCell="A2" activePane="bottomLeft" state="frozen"/>
      <selection pane="bottomLeft" activeCell="J13" sqref="J13"/>
    </sheetView>
  </sheetViews>
  <sheetFormatPr defaultRowHeight="18.5" x14ac:dyDescent="0.45"/>
  <cols>
    <col min="1" max="1" width="6.90625" style="73" bestFit="1" customWidth="1"/>
    <col min="2" max="2" width="22.7265625" style="64" bestFit="1" customWidth="1"/>
    <col min="3" max="3" width="14.1796875" style="59" bestFit="1" customWidth="1"/>
    <col min="4" max="4" width="13.6328125" style="52" bestFit="1" customWidth="1"/>
    <col min="5" max="5" width="17.81640625" style="68" customWidth="1"/>
    <col min="6" max="17" width="14.1796875" bestFit="1" customWidth="1"/>
    <col min="18" max="18" width="9.1796875" hidden="1" customWidth="1"/>
    <col min="19" max="22" width="3.6328125" bestFit="1" customWidth="1"/>
    <col min="23" max="24" width="4.7265625" bestFit="1" customWidth="1"/>
    <col min="25" max="26" width="3.6328125" bestFit="1" customWidth="1"/>
    <col min="27" max="28" width="2.453125" bestFit="1" customWidth="1"/>
    <col min="29" max="29" width="4.7265625" bestFit="1" customWidth="1"/>
    <col min="30" max="30" width="3.6328125" bestFit="1" customWidth="1"/>
    <col min="31" max="31" width="9.1796875" hidden="1" customWidth="1"/>
    <col min="32" max="43" width="14.1796875" bestFit="1" customWidth="1"/>
    <col min="44" max="45" width="9.1796875" hidden="1" customWidth="1"/>
    <col min="46" max="46" width="2.453125" bestFit="1" customWidth="1"/>
    <col min="47" max="47" width="90" customWidth="1"/>
    <col min="48" max="48" width="8.7265625" customWidth="1"/>
  </cols>
  <sheetData>
    <row r="1" spans="1:46" x14ac:dyDescent="0.35">
      <c r="A1" s="69" t="s">
        <v>47</v>
      </c>
      <c r="B1" s="63" t="s">
        <v>48</v>
      </c>
      <c r="C1" s="54" t="s">
        <v>49</v>
      </c>
      <c r="D1" s="72" t="s">
        <v>50</v>
      </c>
      <c r="E1" s="66" t="s">
        <v>51</v>
      </c>
      <c r="F1" s="22">
        <v>1</v>
      </c>
      <c r="G1" s="22">
        <v>2</v>
      </c>
      <c r="H1" s="22">
        <v>3</v>
      </c>
      <c r="I1" s="22">
        <v>4</v>
      </c>
      <c r="J1" s="22">
        <v>5</v>
      </c>
      <c r="K1" s="22">
        <v>6</v>
      </c>
      <c r="L1" s="22">
        <v>7</v>
      </c>
      <c r="M1" s="22">
        <v>8</v>
      </c>
      <c r="N1" s="22">
        <v>9</v>
      </c>
      <c r="O1" s="22">
        <v>10</v>
      </c>
      <c r="P1" s="22" t="s">
        <v>70</v>
      </c>
      <c r="Q1" s="22" t="s">
        <v>26</v>
      </c>
      <c r="AF1">
        <f>AVERAGEIF((AF2:AF1362),"&gt;0")</f>
        <v>3008.1974987535732</v>
      </c>
      <c r="AG1">
        <f t="shared" ref="AG1:AQ1" si="0">AVERAGEIF((AG2:AG1362),"&gt;0")</f>
        <v>2907.2236174255313</v>
      </c>
      <c r="AH1">
        <f t="shared" si="0"/>
        <v>2861.7378119607083</v>
      </c>
      <c r="AI1">
        <f t="shared" si="0"/>
        <v>2894.5166091175606</v>
      </c>
      <c r="AJ1">
        <f t="shared" si="0"/>
        <v>3602.6717429988412</v>
      </c>
      <c r="AK1">
        <f t="shared" si="0"/>
        <v>3403.2739928741589</v>
      </c>
      <c r="AL1">
        <f t="shared" si="0"/>
        <v>3117.3581135469972</v>
      </c>
      <c r="AM1">
        <f t="shared" si="0"/>
        <v>3025.3709667613484</v>
      </c>
      <c r="AN1">
        <f t="shared" si="0"/>
        <v>3199.2175611591147</v>
      </c>
      <c r="AO1">
        <f t="shared" si="0"/>
        <v>3027.9355467824948</v>
      </c>
      <c r="AP1">
        <f t="shared" si="0"/>
        <v>3189.9876764014807</v>
      </c>
      <c r="AQ1">
        <f t="shared" si="0"/>
        <v>3111.9299974766245</v>
      </c>
      <c r="AT1">
        <f>'summery '!C33</f>
        <v>10</v>
      </c>
    </row>
    <row r="2" spans="1:46" x14ac:dyDescent="0.35">
      <c r="A2" s="51">
        <v>1</v>
      </c>
      <c r="B2" s="50" t="s">
        <v>52</v>
      </c>
      <c r="C2" s="55" t="s">
        <v>53</v>
      </c>
      <c r="D2" s="51" t="s">
        <v>54</v>
      </c>
      <c r="E2" s="67">
        <v>3207.2522048365049</v>
      </c>
      <c r="F2">
        <f t="shared" ref="F2:F65" si="1">IF(D2="SPUR-01",E2,0)</f>
        <v>0</v>
      </c>
      <c r="G2">
        <f t="shared" ref="G2:G65" si="2">IF(D2="SPUR-02",E2,0)</f>
        <v>0</v>
      </c>
      <c r="H2">
        <f t="shared" ref="H2:H65" si="3">IF(D2="SPUR-03",E2,0)</f>
        <v>0</v>
      </c>
      <c r="I2">
        <f t="shared" ref="I2:I65" si="4">IF(D2="SPUR-04",E2,0)</f>
        <v>0</v>
      </c>
      <c r="J2">
        <f t="shared" ref="J2:J65" si="5">IF(D2="SPUR-05",E2,0)</f>
        <v>0</v>
      </c>
      <c r="K2">
        <f t="shared" ref="K2:K65" si="6">IF(D2="SPUR-06",E2,0)</f>
        <v>3207.2522048365049</v>
      </c>
      <c r="L2">
        <f t="shared" ref="L2:L65" si="7">IF(D2="SPUR-07",E2,0)</f>
        <v>0</v>
      </c>
      <c r="M2">
        <f t="shared" ref="M2:M65" si="8">IF(D2="SPUR-08",E2,0)</f>
        <v>0</v>
      </c>
      <c r="N2">
        <f t="shared" ref="N2:N65" si="9">IF(D2="SPUR-09",E2,0)</f>
        <v>0</v>
      </c>
      <c r="O2">
        <f t="shared" ref="O2:O65" si="10">IF(D2="SPUR-10",E2,0)</f>
        <v>0</v>
      </c>
      <c r="P2">
        <f t="shared" ref="P2:P65" si="11">IF(D2="SPUR-SILO",E2,0)</f>
        <v>0</v>
      </c>
      <c r="Q2">
        <f t="shared" ref="Q2:Q65" si="12">IF(D2="SPUR-DB",E2,0)</f>
        <v>0</v>
      </c>
      <c r="S2">
        <f>IF(F2&gt;0,1,0)+S3</f>
        <v>58</v>
      </c>
      <c r="T2">
        <f t="shared" ref="T2:T65" si="13">IF(G2&gt;0,1,0)+T3</f>
        <v>39</v>
      </c>
      <c r="U2">
        <f t="shared" ref="U2:U65" si="14">IF(H2&gt;0,1,0)+U3</f>
        <v>42</v>
      </c>
      <c r="V2">
        <f t="shared" ref="V2:V65" si="15">IF(I2&gt;0,1,0)+V3</f>
        <v>49</v>
      </c>
      <c r="W2">
        <f t="shared" ref="W2:W65" si="16">IF(J2&gt;0,1,0)+W3</f>
        <v>133</v>
      </c>
      <c r="X2">
        <f t="shared" ref="X2:X65" si="17">IF(K2&gt;0,1,0)+X3</f>
        <v>130</v>
      </c>
      <c r="Y2">
        <f t="shared" ref="Y2:Y65" si="18">IF(L2&gt;0,1,0)+Y3</f>
        <v>59</v>
      </c>
      <c r="Z2">
        <f t="shared" ref="Z2:Z65" si="19">IF(M2&gt;0,1,0)+Z3</f>
        <v>45</v>
      </c>
      <c r="AA2">
        <f t="shared" ref="AA2:AA65" si="20">IF(N2&gt;0,1,0)+AA3</f>
        <v>5</v>
      </c>
      <c r="AB2">
        <f t="shared" ref="AB2:AB65" si="21">IF(O2&gt;0,1,0)+AB3</f>
        <v>7</v>
      </c>
      <c r="AC2">
        <f t="shared" ref="AC2:AC65" si="22">IF(P2&gt;0,1,0)+AC3</f>
        <v>153</v>
      </c>
      <c r="AD2">
        <f t="shared" ref="AD2:AD65" si="23">IF(Q2&gt;0,1,0)+AD3</f>
        <v>46</v>
      </c>
      <c r="AF2">
        <f>IF(S2&lt;=$AT$1,F2,0)</f>
        <v>0</v>
      </c>
      <c r="AG2">
        <f t="shared" ref="AG2:AQ2" si="24">IF(T2&lt;=$AT$1,G2,0)</f>
        <v>0</v>
      </c>
      <c r="AH2">
        <f t="shared" si="24"/>
        <v>0</v>
      </c>
      <c r="AI2">
        <f t="shared" si="24"/>
        <v>0</v>
      </c>
      <c r="AJ2">
        <f t="shared" si="24"/>
        <v>0</v>
      </c>
      <c r="AK2">
        <f t="shared" si="24"/>
        <v>0</v>
      </c>
      <c r="AL2">
        <f t="shared" si="24"/>
        <v>0</v>
      </c>
      <c r="AM2">
        <f t="shared" si="24"/>
        <v>0</v>
      </c>
      <c r="AN2">
        <f t="shared" si="24"/>
        <v>0</v>
      </c>
      <c r="AO2">
        <f t="shared" si="24"/>
        <v>0</v>
      </c>
      <c r="AP2">
        <f t="shared" si="24"/>
        <v>0</v>
      </c>
      <c r="AQ2">
        <f t="shared" si="24"/>
        <v>0</v>
      </c>
    </row>
    <row r="3" spans="1:46" x14ac:dyDescent="0.35">
      <c r="A3" s="51">
        <v>2</v>
      </c>
      <c r="B3" s="50" t="s">
        <v>55</v>
      </c>
      <c r="C3" s="55" t="s">
        <v>56</v>
      </c>
      <c r="D3" s="51" t="s">
        <v>57</v>
      </c>
      <c r="E3" s="67">
        <v>3403.1050287236267</v>
      </c>
      <c r="F3">
        <f t="shared" si="1"/>
        <v>0</v>
      </c>
      <c r="G3">
        <f t="shared" si="2"/>
        <v>0</v>
      </c>
      <c r="H3">
        <f t="shared" si="3"/>
        <v>0</v>
      </c>
      <c r="I3">
        <f t="shared" si="4"/>
        <v>0</v>
      </c>
      <c r="J3">
        <f t="shared" si="5"/>
        <v>0</v>
      </c>
      <c r="K3">
        <f t="shared" si="6"/>
        <v>0</v>
      </c>
      <c r="L3">
        <f t="shared" si="7"/>
        <v>0</v>
      </c>
      <c r="M3">
        <f t="shared" si="8"/>
        <v>3403.1050287236267</v>
      </c>
      <c r="N3">
        <f t="shared" si="9"/>
        <v>0</v>
      </c>
      <c r="O3">
        <f t="shared" si="10"/>
        <v>0</v>
      </c>
      <c r="P3">
        <f t="shared" si="11"/>
        <v>0</v>
      </c>
      <c r="Q3">
        <f t="shared" si="12"/>
        <v>0</v>
      </c>
      <c r="S3">
        <f t="shared" ref="S3:S65" si="25">IF(F3&gt;0,1,0)+S4</f>
        <v>58</v>
      </c>
      <c r="T3">
        <f t="shared" si="13"/>
        <v>39</v>
      </c>
      <c r="U3">
        <f t="shared" si="14"/>
        <v>42</v>
      </c>
      <c r="V3">
        <f t="shared" si="15"/>
        <v>49</v>
      </c>
      <c r="W3">
        <f t="shared" si="16"/>
        <v>133</v>
      </c>
      <c r="X3">
        <f t="shared" si="17"/>
        <v>129</v>
      </c>
      <c r="Y3">
        <f t="shared" si="18"/>
        <v>59</v>
      </c>
      <c r="Z3">
        <f t="shared" si="19"/>
        <v>45</v>
      </c>
      <c r="AA3">
        <f t="shared" si="20"/>
        <v>5</v>
      </c>
      <c r="AB3">
        <f t="shared" si="21"/>
        <v>7</v>
      </c>
      <c r="AC3">
        <f t="shared" si="22"/>
        <v>153</v>
      </c>
      <c r="AD3">
        <f t="shared" si="23"/>
        <v>46</v>
      </c>
      <c r="AF3">
        <f t="shared" ref="AF3:AF66" si="26">IF(S3&lt;=$AT$1,F3,0)</f>
        <v>0</v>
      </c>
      <c r="AG3">
        <f t="shared" ref="AG3:AG66" si="27">IF(T3&lt;=$AT$1,G3,0)</f>
        <v>0</v>
      </c>
      <c r="AH3">
        <f t="shared" ref="AH3:AH66" si="28">IF(U3&lt;=$AT$1,H3,0)</f>
        <v>0</v>
      </c>
      <c r="AI3">
        <f t="shared" ref="AI3:AI66" si="29">IF(V3&lt;=$AT$1,I3,0)</f>
        <v>0</v>
      </c>
      <c r="AJ3">
        <f t="shared" ref="AJ3:AJ66" si="30">IF(W3&lt;=$AT$1,J3,0)</f>
        <v>0</v>
      </c>
      <c r="AK3">
        <f t="shared" ref="AK3:AK66" si="31">IF(X3&lt;=$AT$1,K3,0)</f>
        <v>0</v>
      </c>
      <c r="AL3">
        <f t="shared" ref="AL3:AL66" si="32">IF(Y3&lt;=$AT$1,L3,0)</f>
        <v>0</v>
      </c>
      <c r="AM3">
        <f t="shared" ref="AM3:AM66" si="33">IF(Z3&lt;=$AT$1,M3,0)</f>
        <v>0</v>
      </c>
      <c r="AN3">
        <f t="shared" ref="AN3:AN66" si="34">IF(AA3&lt;=$AT$1,N3,0)</f>
        <v>0</v>
      </c>
      <c r="AO3">
        <f t="shared" ref="AO3:AO66" si="35">IF(AB3&lt;=$AT$1,O3,0)</f>
        <v>0</v>
      </c>
      <c r="AP3">
        <f t="shared" ref="AP3:AP66" si="36">IF(AC3&lt;=$AT$1,P3,0)</f>
        <v>0</v>
      </c>
      <c r="AQ3">
        <f t="shared" ref="AQ3:AQ66" si="37">IF(AD3&lt;=$AT$1,Q3,0)</f>
        <v>0</v>
      </c>
    </row>
    <row r="4" spans="1:46" x14ac:dyDescent="0.35">
      <c r="A4" s="51">
        <v>3</v>
      </c>
      <c r="B4" s="50" t="s">
        <v>55</v>
      </c>
      <c r="C4" s="55" t="s">
        <v>58</v>
      </c>
      <c r="D4" s="51" t="s">
        <v>222</v>
      </c>
      <c r="E4" s="67">
        <v>2979.6963908191201</v>
      </c>
      <c r="F4">
        <f t="shared" si="1"/>
        <v>0</v>
      </c>
      <c r="G4">
        <f t="shared" si="2"/>
        <v>0</v>
      </c>
      <c r="H4">
        <f t="shared" si="3"/>
        <v>0</v>
      </c>
      <c r="I4">
        <f t="shared" si="4"/>
        <v>0</v>
      </c>
      <c r="J4">
        <f t="shared" si="5"/>
        <v>0</v>
      </c>
      <c r="K4">
        <f t="shared" si="6"/>
        <v>0</v>
      </c>
      <c r="L4">
        <f t="shared" si="7"/>
        <v>0</v>
      </c>
      <c r="M4">
        <f t="shared" si="8"/>
        <v>0</v>
      </c>
      <c r="N4">
        <f t="shared" si="9"/>
        <v>0</v>
      </c>
      <c r="O4">
        <f t="shared" si="10"/>
        <v>0</v>
      </c>
      <c r="P4">
        <f t="shared" si="11"/>
        <v>0</v>
      </c>
      <c r="Q4">
        <f t="shared" si="12"/>
        <v>2979.6963908191201</v>
      </c>
      <c r="S4">
        <f t="shared" si="25"/>
        <v>58</v>
      </c>
      <c r="T4">
        <f t="shared" si="13"/>
        <v>39</v>
      </c>
      <c r="U4">
        <f t="shared" si="14"/>
        <v>42</v>
      </c>
      <c r="V4">
        <f t="shared" si="15"/>
        <v>49</v>
      </c>
      <c r="W4">
        <f t="shared" si="16"/>
        <v>133</v>
      </c>
      <c r="X4">
        <f t="shared" si="17"/>
        <v>129</v>
      </c>
      <c r="Y4">
        <f t="shared" si="18"/>
        <v>59</v>
      </c>
      <c r="Z4">
        <f t="shared" si="19"/>
        <v>44</v>
      </c>
      <c r="AA4">
        <f t="shared" si="20"/>
        <v>5</v>
      </c>
      <c r="AB4">
        <f t="shared" si="21"/>
        <v>7</v>
      </c>
      <c r="AC4">
        <f t="shared" si="22"/>
        <v>153</v>
      </c>
      <c r="AD4">
        <f t="shared" si="23"/>
        <v>46</v>
      </c>
      <c r="AF4">
        <f t="shared" si="26"/>
        <v>0</v>
      </c>
      <c r="AG4">
        <f t="shared" si="27"/>
        <v>0</v>
      </c>
      <c r="AH4">
        <f t="shared" si="28"/>
        <v>0</v>
      </c>
      <c r="AI4">
        <f t="shared" si="29"/>
        <v>0</v>
      </c>
      <c r="AJ4">
        <f t="shared" si="30"/>
        <v>0</v>
      </c>
      <c r="AK4">
        <f t="shared" si="31"/>
        <v>0</v>
      </c>
      <c r="AL4">
        <f t="shared" si="32"/>
        <v>0</v>
      </c>
      <c r="AM4">
        <f t="shared" si="33"/>
        <v>0</v>
      </c>
      <c r="AN4">
        <f t="shared" si="34"/>
        <v>0</v>
      </c>
      <c r="AO4">
        <f t="shared" si="35"/>
        <v>0</v>
      </c>
      <c r="AP4">
        <f t="shared" si="36"/>
        <v>0</v>
      </c>
      <c r="AQ4">
        <f t="shared" si="37"/>
        <v>0</v>
      </c>
    </row>
    <row r="5" spans="1:46" x14ac:dyDescent="0.35">
      <c r="A5" s="51">
        <v>4</v>
      </c>
      <c r="B5" s="50" t="s">
        <v>55</v>
      </c>
      <c r="C5" s="55" t="s">
        <v>59</v>
      </c>
      <c r="D5" s="51" t="s">
        <v>60</v>
      </c>
      <c r="E5" s="67">
        <v>3309</v>
      </c>
      <c r="F5">
        <f t="shared" si="1"/>
        <v>0</v>
      </c>
      <c r="G5">
        <f t="shared" si="2"/>
        <v>0</v>
      </c>
      <c r="H5">
        <f t="shared" si="3"/>
        <v>0</v>
      </c>
      <c r="I5">
        <f t="shared" si="4"/>
        <v>0</v>
      </c>
      <c r="J5">
        <f t="shared" si="5"/>
        <v>3309</v>
      </c>
      <c r="K5">
        <f t="shared" si="6"/>
        <v>0</v>
      </c>
      <c r="L5">
        <f t="shared" si="7"/>
        <v>0</v>
      </c>
      <c r="M5">
        <f t="shared" si="8"/>
        <v>0</v>
      </c>
      <c r="N5">
        <f t="shared" si="9"/>
        <v>0</v>
      </c>
      <c r="O5">
        <f t="shared" si="10"/>
        <v>0</v>
      </c>
      <c r="P5">
        <f t="shared" si="11"/>
        <v>0</v>
      </c>
      <c r="Q5">
        <f t="shared" si="12"/>
        <v>0</v>
      </c>
      <c r="S5">
        <f t="shared" si="25"/>
        <v>58</v>
      </c>
      <c r="T5">
        <f t="shared" si="13"/>
        <v>39</v>
      </c>
      <c r="U5">
        <f t="shared" si="14"/>
        <v>42</v>
      </c>
      <c r="V5">
        <f t="shared" si="15"/>
        <v>49</v>
      </c>
      <c r="W5">
        <f t="shared" si="16"/>
        <v>133</v>
      </c>
      <c r="X5">
        <f t="shared" si="17"/>
        <v>129</v>
      </c>
      <c r="Y5">
        <f t="shared" si="18"/>
        <v>59</v>
      </c>
      <c r="Z5">
        <f t="shared" si="19"/>
        <v>44</v>
      </c>
      <c r="AA5">
        <f t="shared" si="20"/>
        <v>5</v>
      </c>
      <c r="AB5">
        <f t="shared" si="21"/>
        <v>7</v>
      </c>
      <c r="AC5">
        <f t="shared" si="22"/>
        <v>153</v>
      </c>
      <c r="AD5">
        <f t="shared" si="23"/>
        <v>45</v>
      </c>
      <c r="AF5">
        <f t="shared" si="26"/>
        <v>0</v>
      </c>
      <c r="AG5">
        <f t="shared" si="27"/>
        <v>0</v>
      </c>
      <c r="AH5">
        <f t="shared" si="28"/>
        <v>0</v>
      </c>
      <c r="AI5">
        <f t="shared" si="29"/>
        <v>0</v>
      </c>
      <c r="AJ5">
        <f t="shared" si="30"/>
        <v>0</v>
      </c>
      <c r="AK5">
        <f t="shared" si="31"/>
        <v>0</v>
      </c>
      <c r="AL5">
        <f t="shared" si="32"/>
        <v>0</v>
      </c>
      <c r="AM5">
        <f t="shared" si="33"/>
        <v>0</v>
      </c>
      <c r="AN5">
        <f t="shared" si="34"/>
        <v>0</v>
      </c>
      <c r="AO5">
        <f t="shared" si="35"/>
        <v>0</v>
      </c>
      <c r="AP5">
        <f t="shared" si="36"/>
        <v>0</v>
      </c>
      <c r="AQ5">
        <f t="shared" si="37"/>
        <v>0</v>
      </c>
    </row>
    <row r="6" spans="1:46" x14ac:dyDescent="0.35">
      <c r="A6" s="51">
        <v>5</v>
      </c>
      <c r="B6" s="50" t="s">
        <v>55</v>
      </c>
      <c r="C6" s="55" t="s">
        <v>61</v>
      </c>
      <c r="D6" s="51" t="s">
        <v>54</v>
      </c>
      <c r="E6" s="67">
        <v>3362</v>
      </c>
      <c r="F6">
        <f t="shared" si="1"/>
        <v>0</v>
      </c>
      <c r="G6">
        <f t="shared" si="2"/>
        <v>0</v>
      </c>
      <c r="H6">
        <f t="shared" si="3"/>
        <v>0</v>
      </c>
      <c r="I6">
        <f t="shared" si="4"/>
        <v>0</v>
      </c>
      <c r="J6">
        <f t="shared" si="5"/>
        <v>0</v>
      </c>
      <c r="K6">
        <f t="shared" si="6"/>
        <v>3362</v>
      </c>
      <c r="L6">
        <f t="shared" si="7"/>
        <v>0</v>
      </c>
      <c r="M6">
        <f t="shared" si="8"/>
        <v>0</v>
      </c>
      <c r="N6">
        <f t="shared" si="9"/>
        <v>0</v>
      </c>
      <c r="O6">
        <f t="shared" si="10"/>
        <v>0</v>
      </c>
      <c r="P6">
        <f t="shared" si="11"/>
        <v>0</v>
      </c>
      <c r="Q6">
        <f t="shared" si="12"/>
        <v>0</v>
      </c>
      <c r="S6">
        <f t="shared" si="25"/>
        <v>58</v>
      </c>
      <c r="T6">
        <f t="shared" si="13"/>
        <v>39</v>
      </c>
      <c r="U6">
        <f t="shared" si="14"/>
        <v>42</v>
      </c>
      <c r="V6">
        <f t="shared" si="15"/>
        <v>49</v>
      </c>
      <c r="W6">
        <f t="shared" si="16"/>
        <v>132</v>
      </c>
      <c r="X6">
        <f t="shared" si="17"/>
        <v>129</v>
      </c>
      <c r="Y6">
        <f t="shared" si="18"/>
        <v>59</v>
      </c>
      <c r="Z6">
        <f t="shared" si="19"/>
        <v>44</v>
      </c>
      <c r="AA6">
        <f t="shared" si="20"/>
        <v>5</v>
      </c>
      <c r="AB6">
        <f t="shared" si="21"/>
        <v>7</v>
      </c>
      <c r="AC6">
        <f t="shared" si="22"/>
        <v>153</v>
      </c>
      <c r="AD6">
        <f t="shared" si="23"/>
        <v>45</v>
      </c>
      <c r="AF6">
        <f t="shared" si="26"/>
        <v>0</v>
      </c>
      <c r="AG6">
        <f t="shared" si="27"/>
        <v>0</v>
      </c>
      <c r="AH6">
        <f t="shared" si="28"/>
        <v>0</v>
      </c>
      <c r="AI6">
        <f t="shared" si="29"/>
        <v>0</v>
      </c>
      <c r="AJ6">
        <f t="shared" si="30"/>
        <v>0</v>
      </c>
      <c r="AK6">
        <f t="shared" si="31"/>
        <v>0</v>
      </c>
      <c r="AL6">
        <f t="shared" si="32"/>
        <v>0</v>
      </c>
      <c r="AM6">
        <f t="shared" si="33"/>
        <v>0</v>
      </c>
      <c r="AN6">
        <f t="shared" si="34"/>
        <v>0</v>
      </c>
      <c r="AO6">
        <f t="shared" si="35"/>
        <v>0</v>
      </c>
      <c r="AP6">
        <f t="shared" si="36"/>
        <v>0</v>
      </c>
      <c r="AQ6">
        <f t="shared" si="37"/>
        <v>0</v>
      </c>
    </row>
    <row r="7" spans="1:46" x14ac:dyDescent="0.35">
      <c r="A7" s="51">
        <v>6</v>
      </c>
      <c r="B7" s="50" t="s">
        <v>62</v>
      </c>
      <c r="C7" s="55" t="s">
        <v>63</v>
      </c>
      <c r="D7" s="51" t="s">
        <v>60</v>
      </c>
      <c r="E7" s="67">
        <v>3144</v>
      </c>
      <c r="F7">
        <f t="shared" si="1"/>
        <v>0</v>
      </c>
      <c r="G7">
        <f t="shared" si="2"/>
        <v>0</v>
      </c>
      <c r="H7">
        <f t="shared" si="3"/>
        <v>0</v>
      </c>
      <c r="I7">
        <f t="shared" si="4"/>
        <v>0</v>
      </c>
      <c r="J7">
        <f t="shared" si="5"/>
        <v>3144</v>
      </c>
      <c r="K7">
        <f t="shared" si="6"/>
        <v>0</v>
      </c>
      <c r="L7">
        <f t="shared" si="7"/>
        <v>0</v>
      </c>
      <c r="M7">
        <f t="shared" si="8"/>
        <v>0</v>
      </c>
      <c r="N7">
        <f t="shared" si="9"/>
        <v>0</v>
      </c>
      <c r="O7">
        <f t="shared" si="10"/>
        <v>0</v>
      </c>
      <c r="P7">
        <f t="shared" si="11"/>
        <v>0</v>
      </c>
      <c r="Q7">
        <f t="shared" si="12"/>
        <v>0</v>
      </c>
      <c r="S7">
        <f t="shared" si="25"/>
        <v>58</v>
      </c>
      <c r="T7">
        <f t="shared" si="13"/>
        <v>39</v>
      </c>
      <c r="U7">
        <f t="shared" si="14"/>
        <v>42</v>
      </c>
      <c r="V7">
        <f t="shared" si="15"/>
        <v>49</v>
      </c>
      <c r="W7">
        <f t="shared" si="16"/>
        <v>132</v>
      </c>
      <c r="X7">
        <f t="shared" si="17"/>
        <v>128</v>
      </c>
      <c r="Y7">
        <f t="shared" si="18"/>
        <v>59</v>
      </c>
      <c r="Z7">
        <f t="shared" si="19"/>
        <v>44</v>
      </c>
      <c r="AA7">
        <f t="shared" si="20"/>
        <v>5</v>
      </c>
      <c r="AB7">
        <f t="shared" si="21"/>
        <v>7</v>
      </c>
      <c r="AC7">
        <f t="shared" si="22"/>
        <v>153</v>
      </c>
      <c r="AD7">
        <f t="shared" si="23"/>
        <v>45</v>
      </c>
      <c r="AF7">
        <f t="shared" si="26"/>
        <v>0</v>
      </c>
      <c r="AG7">
        <f t="shared" si="27"/>
        <v>0</v>
      </c>
      <c r="AH7">
        <f t="shared" si="28"/>
        <v>0</v>
      </c>
      <c r="AI7">
        <f t="shared" si="29"/>
        <v>0</v>
      </c>
      <c r="AJ7">
        <f t="shared" si="30"/>
        <v>0</v>
      </c>
      <c r="AK7">
        <f t="shared" si="31"/>
        <v>0</v>
      </c>
      <c r="AL7">
        <f t="shared" si="32"/>
        <v>0</v>
      </c>
      <c r="AM7">
        <f t="shared" si="33"/>
        <v>0</v>
      </c>
      <c r="AN7">
        <f t="shared" si="34"/>
        <v>0</v>
      </c>
      <c r="AO7">
        <f t="shared" si="35"/>
        <v>0</v>
      </c>
      <c r="AP7">
        <f t="shared" si="36"/>
        <v>0</v>
      </c>
      <c r="AQ7">
        <f t="shared" si="37"/>
        <v>0</v>
      </c>
    </row>
    <row r="8" spans="1:46" x14ac:dyDescent="0.35">
      <c r="A8" s="51">
        <v>7</v>
      </c>
      <c r="B8" s="50" t="s">
        <v>62</v>
      </c>
      <c r="C8" s="55" t="s">
        <v>64</v>
      </c>
      <c r="D8" s="51" t="s">
        <v>54</v>
      </c>
      <c r="E8" s="67">
        <v>3295</v>
      </c>
      <c r="F8">
        <f t="shared" si="1"/>
        <v>0</v>
      </c>
      <c r="G8">
        <f t="shared" si="2"/>
        <v>0</v>
      </c>
      <c r="H8">
        <f t="shared" si="3"/>
        <v>0</v>
      </c>
      <c r="I8">
        <f t="shared" si="4"/>
        <v>0</v>
      </c>
      <c r="J8">
        <f t="shared" si="5"/>
        <v>0</v>
      </c>
      <c r="K8">
        <f t="shared" si="6"/>
        <v>3295</v>
      </c>
      <c r="L8">
        <f t="shared" si="7"/>
        <v>0</v>
      </c>
      <c r="M8">
        <f t="shared" si="8"/>
        <v>0</v>
      </c>
      <c r="N8">
        <f t="shared" si="9"/>
        <v>0</v>
      </c>
      <c r="O8">
        <f t="shared" si="10"/>
        <v>0</v>
      </c>
      <c r="P8">
        <f t="shared" si="11"/>
        <v>0</v>
      </c>
      <c r="Q8">
        <f t="shared" si="12"/>
        <v>0</v>
      </c>
      <c r="S8">
        <f t="shared" si="25"/>
        <v>58</v>
      </c>
      <c r="T8">
        <f t="shared" si="13"/>
        <v>39</v>
      </c>
      <c r="U8">
        <f t="shared" si="14"/>
        <v>42</v>
      </c>
      <c r="V8">
        <f t="shared" si="15"/>
        <v>49</v>
      </c>
      <c r="W8">
        <f t="shared" si="16"/>
        <v>131</v>
      </c>
      <c r="X8">
        <f t="shared" si="17"/>
        <v>128</v>
      </c>
      <c r="Y8">
        <f t="shared" si="18"/>
        <v>59</v>
      </c>
      <c r="Z8">
        <f t="shared" si="19"/>
        <v>44</v>
      </c>
      <c r="AA8">
        <f t="shared" si="20"/>
        <v>5</v>
      </c>
      <c r="AB8">
        <f t="shared" si="21"/>
        <v>7</v>
      </c>
      <c r="AC8">
        <f t="shared" si="22"/>
        <v>153</v>
      </c>
      <c r="AD8">
        <f t="shared" si="23"/>
        <v>45</v>
      </c>
      <c r="AF8">
        <f t="shared" si="26"/>
        <v>0</v>
      </c>
      <c r="AG8">
        <f t="shared" si="27"/>
        <v>0</v>
      </c>
      <c r="AH8">
        <f t="shared" si="28"/>
        <v>0</v>
      </c>
      <c r="AI8">
        <f t="shared" si="29"/>
        <v>0</v>
      </c>
      <c r="AJ8">
        <f t="shared" si="30"/>
        <v>0</v>
      </c>
      <c r="AK8">
        <f t="shared" si="31"/>
        <v>0</v>
      </c>
      <c r="AL8">
        <f t="shared" si="32"/>
        <v>0</v>
      </c>
      <c r="AM8">
        <f t="shared" si="33"/>
        <v>0</v>
      </c>
      <c r="AN8">
        <f t="shared" si="34"/>
        <v>0</v>
      </c>
      <c r="AO8">
        <f t="shared" si="35"/>
        <v>0</v>
      </c>
      <c r="AP8">
        <f t="shared" si="36"/>
        <v>0</v>
      </c>
      <c r="AQ8">
        <f t="shared" si="37"/>
        <v>0</v>
      </c>
    </row>
    <row r="9" spans="1:46" x14ac:dyDescent="0.35">
      <c r="A9" s="51">
        <v>8</v>
      </c>
      <c r="B9" s="50" t="s">
        <v>62</v>
      </c>
      <c r="C9" s="55" t="s">
        <v>65</v>
      </c>
      <c r="D9" s="51" t="s">
        <v>57</v>
      </c>
      <c r="E9" s="67">
        <v>2612</v>
      </c>
      <c r="F9">
        <f t="shared" si="1"/>
        <v>0</v>
      </c>
      <c r="G9">
        <f t="shared" si="2"/>
        <v>0</v>
      </c>
      <c r="H9">
        <f t="shared" si="3"/>
        <v>0</v>
      </c>
      <c r="I9">
        <f t="shared" si="4"/>
        <v>0</v>
      </c>
      <c r="J9">
        <f t="shared" si="5"/>
        <v>0</v>
      </c>
      <c r="K9">
        <f t="shared" si="6"/>
        <v>0</v>
      </c>
      <c r="L9">
        <f t="shared" si="7"/>
        <v>0</v>
      </c>
      <c r="M9">
        <f t="shared" si="8"/>
        <v>2612</v>
      </c>
      <c r="N9">
        <f t="shared" si="9"/>
        <v>0</v>
      </c>
      <c r="O9">
        <f t="shared" si="10"/>
        <v>0</v>
      </c>
      <c r="P9">
        <f t="shared" si="11"/>
        <v>0</v>
      </c>
      <c r="Q9">
        <f t="shared" si="12"/>
        <v>0</v>
      </c>
      <c r="S9">
        <f t="shared" si="25"/>
        <v>58</v>
      </c>
      <c r="T9">
        <f t="shared" si="13"/>
        <v>39</v>
      </c>
      <c r="U9">
        <f t="shared" si="14"/>
        <v>42</v>
      </c>
      <c r="V9">
        <f t="shared" si="15"/>
        <v>49</v>
      </c>
      <c r="W9">
        <f t="shared" si="16"/>
        <v>131</v>
      </c>
      <c r="X9">
        <f t="shared" si="17"/>
        <v>127</v>
      </c>
      <c r="Y9">
        <f t="shared" si="18"/>
        <v>59</v>
      </c>
      <c r="Z9">
        <f t="shared" si="19"/>
        <v>44</v>
      </c>
      <c r="AA9">
        <f t="shared" si="20"/>
        <v>5</v>
      </c>
      <c r="AB9">
        <f t="shared" si="21"/>
        <v>7</v>
      </c>
      <c r="AC9">
        <f t="shared" si="22"/>
        <v>153</v>
      </c>
      <c r="AD9">
        <f t="shared" si="23"/>
        <v>45</v>
      </c>
      <c r="AF9">
        <f t="shared" si="26"/>
        <v>0</v>
      </c>
      <c r="AG9">
        <f t="shared" si="27"/>
        <v>0</v>
      </c>
      <c r="AH9">
        <f t="shared" si="28"/>
        <v>0</v>
      </c>
      <c r="AI9">
        <f t="shared" si="29"/>
        <v>0</v>
      </c>
      <c r="AJ9">
        <f t="shared" si="30"/>
        <v>0</v>
      </c>
      <c r="AK9">
        <f t="shared" si="31"/>
        <v>0</v>
      </c>
      <c r="AL9">
        <f t="shared" si="32"/>
        <v>0</v>
      </c>
      <c r="AM9">
        <f t="shared" si="33"/>
        <v>0</v>
      </c>
      <c r="AN9">
        <f t="shared" si="34"/>
        <v>0</v>
      </c>
      <c r="AO9">
        <f t="shared" si="35"/>
        <v>0</v>
      </c>
      <c r="AP9">
        <f t="shared" si="36"/>
        <v>0</v>
      </c>
      <c r="AQ9">
        <f t="shared" si="37"/>
        <v>0</v>
      </c>
    </row>
    <row r="10" spans="1:46" x14ac:dyDescent="0.35">
      <c r="A10" s="51">
        <v>9</v>
      </c>
      <c r="B10" s="50" t="s">
        <v>62</v>
      </c>
      <c r="C10" s="55" t="s">
        <v>66</v>
      </c>
      <c r="D10" s="51" t="s">
        <v>67</v>
      </c>
      <c r="E10" s="67">
        <v>3391</v>
      </c>
      <c r="F10">
        <f t="shared" si="1"/>
        <v>0</v>
      </c>
      <c r="G10">
        <f t="shared" si="2"/>
        <v>0</v>
      </c>
      <c r="H10">
        <f t="shared" si="3"/>
        <v>0</v>
      </c>
      <c r="I10">
        <f t="shared" si="4"/>
        <v>3391</v>
      </c>
      <c r="J10">
        <f t="shared" si="5"/>
        <v>0</v>
      </c>
      <c r="K10">
        <f t="shared" si="6"/>
        <v>0</v>
      </c>
      <c r="L10">
        <f t="shared" si="7"/>
        <v>0</v>
      </c>
      <c r="M10">
        <f t="shared" si="8"/>
        <v>0</v>
      </c>
      <c r="N10">
        <f t="shared" si="9"/>
        <v>0</v>
      </c>
      <c r="O10">
        <f t="shared" si="10"/>
        <v>0</v>
      </c>
      <c r="P10">
        <f t="shared" si="11"/>
        <v>0</v>
      </c>
      <c r="Q10">
        <f t="shared" si="12"/>
        <v>0</v>
      </c>
      <c r="S10">
        <f t="shared" si="25"/>
        <v>58</v>
      </c>
      <c r="T10">
        <f t="shared" si="13"/>
        <v>39</v>
      </c>
      <c r="U10">
        <f t="shared" si="14"/>
        <v>42</v>
      </c>
      <c r="V10">
        <f t="shared" si="15"/>
        <v>49</v>
      </c>
      <c r="W10">
        <f t="shared" si="16"/>
        <v>131</v>
      </c>
      <c r="X10">
        <f t="shared" si="17"/>
        <v>127</v>
      </c>
      <c r="Y10">
        <f t="shared" si="18"/>
        <v>59</v>
      </c>
      <c r="Z10">
        <f t="shared" si="19"/>
        <v>43</v>
      </c>
      <c r="AA10">
        <f t="shared" si="20"/>
        <v>5</v>
      </c>
      <c r="AB10">
        <f t="shared" si="21"/>
        <v>7</v>
      </c>
      <c r="AC10">
        <f t="shared" si="22"/>
        <v>153</v>
      </c>
      <c r="AD10">
        <f t="shared" si="23"/>
        <v>45</v>
      </c>
      <c r="AF10">
        <f t="shared" si="26"/>
        <v>0</v>
      </c>
      <c r="AG10">
        <f t="shared" si="27"/>
        <v>0</v>
      </c>
      <c r="AH10">
        <f t="shared" si="28"/>
        <v>0</v>
      </c>
      <c r="AI10">
        <f t="shared" si="29"/>
        <v>0</v>
      </c>
      <c r="AJ10">
        <f t="shared" si="30"/>
        <v>0</v>
      </c>
      <c r="AK10">
        <f t="shared" si="31"/>
        <v>0</v>
      </c>
      <c r="AL10">
        <f t="shared" si="32"/>
        <v>0</v>
      </c>
      <c r="AM10">
        <f t="shared" si="33"/>
        <v>0</v>
      </c>
      <c r="AN10">
        <f t="shared" si="34"/>
        <v>0</v>
      </c>
      <c r="AO10">
        <f t="shared" si="35"/>
        <v>0</v>
      </c>
      <c r="AP10">
        <f t="shared" si="36"/>
        <v>0</v>
      </c>
      <c r="AQ10">
        <f t="shared" si="37"/>
        <v>0</v>
      </c>
    </row>
    <row r="11" spans="1:46" x14ac:dyDescent="0.35">
      <c r="A11" s="51">
        <v>10</v>
      </c>
      <c r="B11" s="50" t="s">
        <v>68</v>
      </c>
      <c r="C11" s="55" t="s">
        <v>69</v>
      </c>
      <c r="D11" s="51" t="s">
        <v>228</v>
      </c>
      <c r="E11" s="67">
        <v>3165</v>
      </c>
      <c r="F11">
        <f t="shared" si="1"/>
        <v>0</v>
      </c>
      <c r="G11">
        <f t="shared" si="2"/>
        <v>0</v>
      </c>
      <c r="H11">
        <f t="shared" si="3"/>
        <v>0</v>
      </c>
      <c r="I11">
        <f t="shared" si="4"/>
        <v>0</v>
      </c>
      <c r="J11">
        <f t="shared" si="5"/>
        <v>0</v>
      </c>
      <c r="K11">
        <f t="shared" si="6"/>
        <v>0</v>
      </c>
      <c r="L11">
        <f t="shared" si="7"/>
        <v>0</v>
      </c>
      <c r="M11">
        <f t="shared" si="8"/>
        <v>0</v>
      </c>
      <c r="N11">
        <f t="shared" si="9"/>
        <v>0</v>
      </c>
      <c r="O11">
        <f t="shared" si="10"/>
        <v>0</v>
      </c>
      <c r="P11">
        <f t="shared" si="11"/>
        <v>3165</v>
      </c>
      <c r="Q11">
        <f t="shared" si="12"/>
        <v>0</v>
      </c>
      <c r="S11">
        <f t="shared" si="25"/>
        <v>58</v>
      </c>
      <c r="T11">
        <f t="shared" si="13"/>
        <v>39</v>
      </c>
      <c r="U11">
        <f t="shared" si="14"/>
        <v>42</v>
      </c>
      <c r="V11">
        <f t="shared" si="15"/>
        <v>48</v>
      </c>
      <c r="W11">
        <f t="shared" si="16"/>
        <v>131</v>
      </c>
      <c r="X11">
        <f t="shared" si="17"/>
        <v>127</v>
      </c>
      <c r="Y11">
        <f t="shared" si="18"/>
        <v>59</v>
      </c>
      <c r="Z11">
        <f t="shared" si="19"/>
        <v>43</v>
      </c>
      <c r="AA11">
        <f t="shared" si="20"/>
        <v>5</v>
      </c>
      <c r="AB11">
        <f t="shared" si="21"/>
        <v>7</v>
      </c>
      <c r="AC11">
        <f t="shared" si="22"/>
        <v>153</v>
      </c>
      <c r="AD11">
        <f t="shared" si="23"/>
        <v>45</v>
      </c>
      <c r="AF11">
        <f t="shared" si="26"/>
        <v>0</v>
      </c>
      <c r="AG11">
        <f t="shared" si="27"/>
        <v>0</v>
      </c>
      <c r="AH11">
        <f t="shared" si="28"/>
        <v>0</v>
      </c>
      <c r="AI11">
        <f t="shared" si="29"/>
        <v>0</v>
      </c>
      <c r="AJ11">
        <f t="shared" si="30"/>
        <v>0</v>
      </c>
      <c r="AK11">
        <f t="shared" si="31"/>
        <v>0</v>
      </c>
      <c r="AL11">
        <f t="shared" si="32"/>
        <v>0</v>
      </c>
      <c r="AM11">
        <f t="shared" si="33"/>
        <v>0</v>
      </c>
      <c r="AN11">
        <f t="shared" si="34"/>
        <v>0</v>
      </c>
      <c r="AO11">
        <f t="shared" si="35"/>
        <v>0</v>
      </c>
      <c r="AP11">
        <f t="shared" si="36"/>
        <v>0</v>
      </c>
      <c r="AQ11">
        <f t="shared" si="37"/>
        <v>0</v>
      </c>
    </row>
    <row r="12" spans="1:46" x14ac:dyDescent="0.35">
      <c r="A12" s="51">
        <v>11</v>
      </c>
      <c r="B12" s="50" t="s">
        <v>68</v>
      </c>
      <c r="C12" s="55" t="s">
        <v>71</v>
      </c>
      <c r="D12" s="51" t="s">
        <v>54</v>
      </c>
      <c r="E12" s="67">
        <v>3770</v>
      </c>
      <c r="F12">
        <f t="shared" si="1"/>
        <v>0</v>
      </c>
      <c r="G12">
        <f t="shared" si="2"/>
        <v>0</v>
      </c>
      <c r="H12">
        <f t="shared" si="3"/>
        <v>0</v>
      </c>
      <c r="I12">
        <f t="shared" si="4"/>
        <v>0</v>
      </c>
      <c r="J12">
        <f t="shared" si="5"/>
        <v>0</v>
      </c>
      <c r="K12">
        <f t="shared" si="6"/>
        <v>3770</v>
      </c>
      <c r="L12">
        <f t="shared" si="7"/>
        <v>0</v>
      </c>
      <c r="M12">
        <f t="shared" si="8"/>
        <v>0</v>
      </c>
      <c r="N12">
        <f t="shared" si="9"/>
        <v>0</v>
      </c>
      <c r="O12">
        <f t="shared" si="10"/>
        <v>0</v>
      </c>
      <c r="P12">
        <f t="shared" si="11"/>
        <v>0</v>
      </c>
      <c r="Q12">
        <f t="shared" si="12"/>
        <v>0</v>
      </c>
      <c r="S12">
        <f t="shared" si="25"/>
        <v>58</v>
      </c>
      <c r="T12">
        <f t="shared" si="13"/>
        <v>39</v>
      </c>
      <c r="U12">
        <f t="shared" si="14"/>
        <v>42</v>
      </c>
      <c r="V12">
        <f t="shared" si="15"/>
        <v>48</v>
      </c>
      <c r="W12">
        <f t="shared" si="16"/>
        <v>131</v>
      </c>
      <c r="X12">
        <f t="shared" si="17"/>
        <v>127</v>
      </c>
      <c r="Y12">
        <f t="shared" si="18"/>
        <v>59</v>
      </c>
      <c r="Z12">
        <f t="shared" si="19"/>
        <v>43</v>
      </c>
      <c r="AA12">
        <f t="shared" si="20"/>
        <v>5</v>
      </c>
      <c r="AB12">
        <f t="shared" si="21"/>
        <v>7</v>
      </c>
      <c r="AC12">
        <f t="shared" si="22"/>
        <v>152</v>
      </c>
      <c r="AD12">
        <f t="shared" si="23"/>
        <v>45</v>
      </c>
      <c r="AF12">
        <f t="shared" si="26"/>
        <v>0</v>
      </c>
      <c r="AG12">
        <f t="shared" si="27"/>
        <v>0</v>
      </c>
      <c r="AH12">
        <f t="shared" si="28"/>
        <v>0</v>
      </c>
      <c r="AI12">
        <f t="shared" si="29"/>
        <v>0</v>
      </c>
      <c r="AJ12">
        <f t="shared" si="30"/>
        <v>0</v>
      </c>
      <c r="AK12">
        <f t="shared" si="31"/>
        <v>0</v>
      </c>
      <c r="AL12">
        <f t="shared" si="32"/>
        <v>0</v>
      </c>
      <c r="AM12">
        <f t="shared" si="33"/>
        <v>0</v>
      </c>
      <c r="AN12">
        <f t="shared" si="34"/>
        <v>0</v>
      </c>
      <c r="AO12">
        <f t="shared" si="35"/>
        <v>0</v>
      </c>
      <c r="AP12">
        <f t="shared" si="36"/>
        <v>0</v>
      </c>
      <c r="AQ12">
        <f t="shared" si="37"/>
        <v>0</v>
      </c>
    </row>
    <row r="13" spans="1:46" x14ac:dyDescent="0.35">
      <c r="A13" s="51">
        <v>12</v>
      </c>
      <c r="B13" s="50" t="s">
        <v>68</v>
      </c>
      <c r="C13" s="55" t="s">
        <v>72</v>
      </c>
      <c r="D13" s="51" t="s">
        <v>67</v>
      </c>
      <c r="E13" s="67">
        <v>3346</v>
      </c>
      <c r="F13">
        <f t="shared" si="1"/>
        <v>0</v>
      </c>
      <c r="G13">
        <f t="shared" si="2"/>
        <v>0</v>
      </c>
      <c r="H13">
        <f t="shared" si="3"/>
        <v>0</v>
      </c>
      <c r="I13">
        <f t="shared" si="4"/>
        <v>3346</v>
      </c>
      <c r="J13">
        <f t="shared" si="5"/>
        <v>0</v>
      </c>
      <c r="K13">
        <f t="shared" si="6"/>
        <v>0</v>
      </c>
      <c r="L13">
        <f t="shared" si="7"/>
        <v>0</v>
      </c>
      <c r="M13">
        <f t="shared" si="8"/>
        <v>0</v>
      </c>
      <c r="N13">
        <f t="shared" si="9"/>
        <v>0</v>
      </c>
      <c r="O13">
        <f t="shared" si="10"/>
        <v>0</v>
      </c>
      <c r="P13">
        <f t="shared" si="11"/>
        <v>0</v>
      </c>
      <c r="Q13">
        <f t="shared" si="12"/>
        <v>0</v>
      </c>
      <c r="S13">
        <f t="shared" si="25"/>
        <v>58</v>
      </c>
      <c r="T13">
        <f t="shared" si="13"/>
        <v>39</v>
      </c>
      <c r="U13">
        <f t="shared" si="14"/>
        <v>42</v>
      </c>
      <c r="V13">
        <f t="shared" si="15"/>
        <v>48</v>
      </c>
      <c r="W13">
        <f t="shared" si="16"/>
        <v>131</v>
      </c>
      <c r="X13">
        <f t="shared" si="17"/>
        <v>126</v>
      </c>
      <c r="Y13">
        <f t="shared" si="18"/>
        <v>59</v>
      </c>
      <c r="Z13">
        <f t="shared" si="19"/>
        <v>43</v>
      </c>
      <c r="AA13">
        <f t="shared" si="20"/>
        <v>5</v>
      </c>
      <c r="AB13">
        <f t="shared" si="21"/>
        <v>7</v>
      </c>
      <c r="AC13">
        <f t="shared" si="22"/>
        <v>152</v>
      </c>
      <c r="AD13">
        <f t="shared" si="23"/>
        <v>45</v>
      </c>
      <c r="AF13">
        <f t="shared" si="26"/>
        <v>0</v>
      </c>
      <c r="AG13">
        <f t="shared" si="27"/>
        <v>0</v>
      </c>
      <c r="AH13">
        <f t="shared" si="28"/>
        <v>0</v>
      </c>
      <c r="AI13">
        <f t="shared" si="29"/>
        <v>0</v>
      </c>
      <c r="AJ13">
        <f t="shared" si="30"/>
        <v>0</v>
      </c>
      <c r="AK13">
        <f t="shared" si="31"/>
        <v>0</v>
      </c>
      <c r="AL13">
        <f t="shared" si="32"/>
        <v>0</v>
      </c>
      <c r="AM13">
        <f t="shared" si="33"/>
        <v>0</v>
      </c>
      <c r="AN13">
        <f t="shared" si="34"/>
        <v>0</v>
      </c>
      <c r="AO13">
        <f t="shared" si="35"/>
        <v>0</v>
      </c>
      <c r="AP13">
        <f t="shared" si="36"/>
        <v>0</v>
      </c>
      <c r="AQ13">
        <f t="shared" si="37"/>
        <v>0</v>
      </c>
    </row>
    <row r="14" spans="1:46" x14ac:dyDescent="0.35">
      <c r="A14" s="51">
        <v>13</v>
      </c>
      <c r="B14" s="50" t="s">
        <v>68</v>
      </c>
      <c r="C14" s="55" t="s">
        <v>73</v>
      </c>
      <c r="D14" s="51" t="s">
        <v>57</v>
      </c>
      <c r="E14" s="67">
        <v>3575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0</v>
      </c>
      <c r="J14">
        <f t="shared" si="5"/>
        <v>0</v>
      </c>
      <c r="K14">
        <f t="shared" si="6"/>
        <v>0</v>
      </c>
      <c r="L14">
        <f t="shared" si="7"/>
        <v>0</v>
      </c>
      <c r="M14">
        <f t="shared" si="8"/>
        <v>3575</v>
      </c>
      <c r="N14">
        <f t="shared" si="9"/>
        <v>0</v>
      </c>
      <c r="O14">
        <f t="shared" si="10"/>
        <v>0</v>
      </c>
      <c r="P14">
        <f t="shared" si="11"/>
        <v>0</v>
      </c>
      <c r="Q14">
        <f t="shared" si="12"/>
        <v>0</v>
      </c>
      <c r="S14">
        <f t="shared" si="25"/>
        <v>58</v>
      </c>
      <c r="T14">
        <f t="shared" si="13"/>
        <v>39</v>
      </c>
      <c r="U14">
        <f t="shared" si="14"/>
        <v>42</v>
      </c>
      <c r="V14">
        <f t="shared" si="15"/>
        <v>47</v>
      </c>
      <c r="W14">
        <f t="shared" si="16"/>
        <v>131</v>
      </c>
      <c r="X14">
        <f t="shared" si="17"/>
        <v>126</v>
      </c>
      <c r="Y14">
        <f t="shared" si="18"/>
        <v>59</v>
      </c>
      <c r="Z14">
        <f t="shared" si="19"/>
        <v>43</v>
      </c>
      <c r="AA14">
        <f t="shared" si="20"/>
        <v>5</v>
      </c>
      <c r="AB14">
        <f t="shared" si="21"/>
        <v>7</v>
      </c>
      <c r="AC14">
        <f t="shared" si="22"/>
        <v>152</v>
      </c>
      <c r="AD14">
        <f t="shared" si="23"/>
        <v>45</v>
      </c>
      <c r="AF14">
        <f t="shared" si="26"/>
        <v>0</v>
      </c>
      <c r="AG14">
        <f t="shared" si="27"/>
        <v>0</v>
      </c>
      <c r="AH14">
        <f t="shared" si="28"/>
        <v>0</v>
      </c>
      <c r="AI14">
        <f t="shared" si="29"/>
        <v>0</v>
      </c>
      <c r="AJ14">
        <f t="shared" si="30"/>
        <v>0</v>
      </c>
      <c r="AK14">
        <f t="shared" si="31"/>
        <v>0</v>
      </c>
      <c r="AL14">
        <f t="shared" si="32"/>
        <v>0</v>
      </c>
      <c r="AM14">
        <f t="shared" si="33"/>
        <v>0</v>
      </c>
      <c r="AN14">
        <f t="shared" si="34"/>
        <v>0</v>
      </c>
      <c r="AO14">
        <f t="shared" si="35"/>
        <v>0</v>
      </c>
      <c r="AP14">
        <f t="shared" si="36"/>
        <v>0</v>
      </c>
      <c r="AQ14">
        <f t="shared" si="37"/>
        <v>0</v>
      </c>
    </row>
    <row r="15" spans="1:46" x14ac:dyDescent="0.35">
      <c r="A15" s="51">
        <v>14</v>
      </c>
      <c r="B15" s="50" t="s">
        <v>74</v>
      </c>
      <c r="C15" s="55" t="s">
        <v>75</v>
      </c>
      <c r="D15" s="51" t="s">
        <v>76</v>
      </c>
      <c r="E15" s="67">
        <v>3056</v>
      </c>
      <c r="F15">
        <f t="shared" si="1"/>
        <v>3056</v>
      </c>
      <c r="G15">
        <f t="shared" si="2"/>
        <v>0</v>
      </c>
      <c r="H15">
        <f t="shared" si="3"/>
        <v>0</v>
      </c>
      <c r="I15">
        <f t="shared" si="4"/>
        <v>0</v>
      </c>
      <c r="J15">
        <f t="shared" si="5"/>
        <v>0</v>
      </c>
      <c r="K15">
        <f t="shared" si="6"/>
        <v>0</v>
      </c>
      <c r="L15">
        <f t="shared" si="7"/>
        <v>0</v>
      </c>
      <c r="M15">
        <f t="shared" si="8"/>
        <v>0</v>
      </c>
      <c r="N15">
        <f t="shared" si="9"/>
        <v>0</v>
      </c>
      <c r="O15">
        <f t="shared" si="10"/>
        <v>0</v>
      </c>
      <c r="P15">
        <f t="shared" si="11"/>
        <v>0</v>
      </c>
      <c r="Q15">
        <f t="shared" si="12"/>
        <v>0</v>
      </c>
      <c r="S15">
        <f t="shared" si="25"/>
        <v>58</v>
      </c>
      <c r="T15">
        <f t="shared" si="13"/>
        <v>39</v>
      </c>
      <c r="U15">
        <f t="shared" si="14"/>
        <v>42</v>
      </c>
      <c r="V15">
        <f t="shared" si="15"/>
        <v>47</v>
      </c>
      <c r="W15">
        <f t="shared" si="16"/>
        <v>131</v>
      </c>
      <c r="X15">
        <f t="shared" si="17"/>
        <v>126</v>
      </c>
      <c r="Y15">
        <f t="shared" si="18"/>
        <v>59</v>
      </c>
      <c r="Z15">
        <f t="shared" si="19"/>
        <v>42</v>
      </c>
      <c r="AA15">
        <f t="shared" si="20"/>
        <v>5</v>
      </c>
      <c r="AB15">
        <f t="shared" si="21"/>
        <v>7</v>
      </c>
      <c r="AC15">
        <f t="shared" si="22"/>
        <v>152</v>
      </c>
      <c r="AD15">
        <f t="shared" si="23"/>
        <v>45</v>
      </c>
      <c r="AF15">
        <f t="shared" si="26"/>
        <v>0</v>
      </c>
      <c r="AG15">
        <f t="shared" si="27"/>
        <v>0</v>
      </c>
      <c r="AH15">
        <f t="shared" si="28"/>
        <v>0</v>
      </c>
      <c r="AI15">
        <f t="shared" si="29"/>
        <v>0</v>
      </c>
      <c r="AJ15">
        <f t="shared" si="30"/>
        <v>0</v>
      </c>
      <c r="AK15">
        <f t="shared" si="31"/>
        <v>0</v>
      </c>
      <c r="AL15">
        <f t="shared" si="32"/>
        <v>0</v>
      </c>
      <c r="AM15">
        <f t="shared" si="33"/>
        <v>0</v>
      </c>
      <c r="AN15">
        <f t="shared" si="34"/>
        <v>0</v>
      </c>
      <c r="AO15">
        <f t="shared" si="35"/>
        <v>0</v>
      </c>
      <c r="AP15">
        <f t="shared" si="36"/>
        <v>0</v>
      </c>
      <c r="AQ15">
        <f t="shared" si="37"/>
        <v>0</v>
      </c>
    </row>
    <row r="16" spans="1:46" x14ac:dyDescent="0.35">
      <c r="A16" s="51">
        <v>15</v>
      </c>
      <c r="B16" s="50" t="s">
        <v>74</v>
      </c>
      <c r="C16" s="55" t="s">
        <v>77</v>
      </c>
      <c r="D16" s="51" t="s">
        <v>222</v>
      </c>
      <c r="E16" s="67">
        <v>3611</v>
      </c>
      <c r="F16">
        <f t="shared" si="1"/>
        <v>0</v>
      </c>
      <c r="G16">
        <f t="shared" si="2"/>
        <v>0</v>
      </c>
      <c r="H16">
        <f t="shared" si="3"/>
        <v>0</v>
      </c>
      <c r="I16">
        <f t="shared" si="4"/>
        <v>0</v>
      </c>
      <c r="J16">
        <f t="shared" si="5"/>
        <v>0</v>
      </c>
      <c r="K16">
        <f t="shared" si="6"/>
        <v>0</v>
      </c>
      <c r="L16">
        <f t="shared" si="7"/>
        <v>0</v>
      </c>
      <c r="M16">
        <f t="shared" si="8"/>
        <v>0</v>
      </c>
      <c r="N16">
        <f t="shared" si="9"/>
        <v>0</v>
      </c>
      <c r="O16">
        <f t="shared" si="10"/>
        <v>0</v>
      </c>
      <c r="P16">
        <f t="shared" si="11"/>
        <v>0</v>
      </c>
      <c r="Q16">
        <f t="shared" si="12"/>
        <v>3611</v>
      </c>
      <c r="S16">
        <f t="shared" si="25"/>
        <v>57</v>
      </c>
      <c r="T16">
        <f t="shared" si="13"/>
        <v>39</v>
      </c>
      <c r="U16">
        <f t="shared" si="14"/>
        <v>42</v>
      </c>
      <c r="V16">
        <f t="shared" si="15"/>
        <v>47</v>
      </c>
      <c r="W16">
        <f t="shared" si="16"/>
        <v>131</v>
      </c>
      <c r="X16">
        <f t="shared" si="17"/>
        <v>126</v>
      </c>
      <c r="Y16">
        <f t="shared" si="18"/>
        <v>59</v>
      </c>
      <c r="Z16">
        <f t="shared" si="19"/>
        <v>42</v>
      </c>
      <c r="AA16">
        <f t="shared" si="20"/>
        <v>5</v>
      </c>
      <c r="AB16">
        <f t="shared" si="21"/>
        <v>7</v>
      </c>
      <c r="AC16">
        <f t="shared" si="22"/>
        <v>152</v>
      </c>
      <c r="AD16">
        <f t="shared" si="23"/>
        <v>45</v>
      </c>
      <c r="AF16">
        <f t="shared" si="26"/>
        <v>0</v>
      </c>
      <c r="AG16">
        <f t="shared" si="27"/>
        <v>0</v>
      </c>
      <c r="AH16">
        <f t="shared" si="28"/>
        <v>0</v>
      </c>
      <c r="AI16">
        <f t="shared" si="29"/>
        <v>0</v>
      </c>
      <c r="AJ16">
        <f t="shared" si="30"/>
        <v>0</v>
      </c>
      <c r="AK16">
        <f t="shared" si="31"/>
        <v>0</v>
      </c>
      <c r="AL16">
        <f t="shared" si="32"/>
        <v>0</v>
      </c>
      <c r="AM16">
        <f t="shared" si="33"/>
        <v>0</v>
      </c>
      <c r="AN16">
        <f t="shared" si="34"/>
        <v>0</v>
      </c>
      <c r="AO16">
        <f t="shared" si="35"/>
        <v>0</v>
      </c>
      <c r="AP16">
        <f t="shared" si="36"/>
        <v>0</v>
      </c>
      <c r="AQ16">
        <f t="shared" si="37"/>
        <v>0</v>
      </c>
    </row>
    <row r="17" spans="1:43" x14ac:dyDescent="0.35">
      <c r="A17" s="51">
        <v>16</v>
      </c>
      <c r="B17" s="50" t="s">
        <v>74</v>
      </c>
      <c r="C17" s="55" t="s">
        <v>78</v>
      </c>
      <c r="D17" s="51" t="s">
        <v>54</v>
      </c>
      <c r="E17" s="67">
        <v>3727</v>
      </c>
      <c r="F17">
        <f t="shared" si="1"/>
        <v>0</v>
      </c>
      <c r="G17">
        <f t="shared" si="2"/>
        <v>0</v>
      </c>
      <c r="H17">
        <f t="shared" si="3"/>
        <v>0</v>
      </c>
      <c r="I17">
        <f t="shared" si="4"/>
        <v>0</v>
      </c>
      <c r="J17">
        <f t="shared" si="5"/>
        <v>0</v>
      </c>
      <c r="K17">
        <f t="shared" si="6"/>
        <v>3727</v>
      </c>
      <c r="L17">
        <f t="shared" si="7"/>
        <v>0</v>
      </c>
      <c r="M17">
        <f t="shared" si="8"/>
        <v>0</v>
      </c>
      <c r="N17">
        <f t="shared" si="9"/>
        <v>0</v>
      </c>
      <c r="O17">
        <f t="shared" si="10"/>
        <v>0</v>
      </c>
      <c r="P17">
        <f t="shared" si="11"/>
        <v>0</v>
      </c>
      <c r="Q17">
        <f t="shared" si="12"/>
        <v>0</v>
      </c>
      <c r="S17">
        <f t="shared" si="25"/>
        <v>57</v>
      </c>
      <c r="T17">
        <f t="shared" si="13"/>
        <v>39</v>
      </c>
      <c r="U17">
        <f t="shared" si="14"/>
        <v>42</v>
      </c>
      <c r="V17">
        <f t="shared" si="15"/>
        <v>47</v>
      </c>
      <c r="W17">
        <f t="shared" si="16"/>
        <v>131</v>
      </c>
      <c r="X17">
        <f t="shared" si="17"/>
        <v>126</v>
      </c>
      <c r="Y17">
        <f t="shared" si="18"/>
        <v>59</v>
      </c>
      <c r="Z17">
        <f t="shared" si="19"/>
        <v>42</v>
      </c>
      <c r="AA17">
        <f t="shared" si="20"/>
        <v>5</v>
      </c>
      <c r="AB17">
        <f t="shared" si="21"/>
        <v>7</v>
      </c>
      <c r="AC17">
        <f t="shared" si="22"/>
        <v>152</v>
      </c>
      <c r="AD17">
        <f t="shared" si="23"/>
        <v>44</v>
      </c>
      <c r="AF17">
        <f t="shared" si="26"/>
        <v>0</v>
      </c>
      <c r="AG17">
        <f t="shared" si="27"/>
        <v>0</v>
      </c>
      <c r="AH17">
        <f t="shared" si="28"/>
        <v>0</v>
      </c>
      <c r="AI17">
        <f t="shared" si="29"/>
        <v>0</v>
      </c>
      <c r="AJ17">
        <f t="shared" si="30"/>
        <v>0</v>
      </c>
      <c r="AK17">
        <f t="shared" si="31"/>
        <v>0</v>
      </c>
      <c r="AL17">
        <f t="shared" si="32"/>
        <v>0</v>
      </c>
      <c r="AM17">
        <f t="shared" si="33"/>
        <v>0</v>
      </c>
      <c r="AN17">
        <f t="shared" si="34"/>
        <v>0</v>
      </c>
      <c r="AO17">
        <f t="shared" si="35"/>
        <v>0</v>
      </c>
      <c r="AP17">
        <f t="shared" si="36"/>
        <v>0</v>
      </c>
      <c r="AQ17">
        <f t="shared" si="37"/>
        <v>0</v>
      </c>
    </row>
    <row r="18" spans="1:43" x14ac:dyDescent="0.35">
      <c r="A18" s="51">
        <v>17</v>
      </c>
      <c r="B18" s="50" t="s">
        <v>74</v>
      </c>
      <c r="C18" s="55" t="s">
        <v>79</v>
      </c>
      <c r="D18" s="51" t="s">
        <v>80</v>
      </c>
      <c r="E18" s="67">
        <v>3576</v>
      </c>
      <c r="F18">
        <f t="shared" si="1"/>
        <v>0</v>
      </c>
      <c r="G18">
        <f t="shared" si="2"/>
        <v>0</v>
      </c>
      <c r="H18">
        <f t="shared" si="3"/>
        <v>3576</v>
      </c>
      <c r="I18">
        <f t="shared" si="4"/>
        <v>0</v>
      </c>
      <c r="J18">
        <f t="shared" si="5"/>
        <v>0</v>
      </c>
      <c r="K18">
        <f t="shared" si="6"/>
        <v>0</v>
      </c>
      <c r="L18">
        <f t="shared" si="7"/>
        <v>0</v>
      </c>
      <c r="M18">
        <f t="shared" si="8"/>
        <v>0</v>
      </c>
      <c r="N18">
        <f t="shared" si="9"/>
        <v>0</v>
      </c>
      <c r="O18">
        <f t="shared" si="10"/>
        <v>0</v>
      </c>
      <c r="P18">
        <f t="shared" si="11"/>
        <v>0</v>
      </c>
      <c r="Q18">
        <f t="shared" si="12"/>
        <v>0</v>
      </c>
      <c r="S18">
        <f t="shared" si="25"/>
        <v>57</v>
      </c>
      <c r="T18">
        <f t="shared" si="13"/>
        <v>39</v>
      </c>
      <c r="U18">
        <f t="shared" si="14"/>
        <v>42</v>
      </c>
      <c r="V18">
        <f t="shared" si="15"/>
        <v>47</v>
      </c>
      <c r="W18">
        <f t="shared" si="16"/>
        <v>131</v>
      </c>
      <c r="X18">
        <f t="shared" si="17"/>
        <v>125</v>
      </c>
      <c r="Y18">
        <f t="shared" si="18"/>
        <v>59</v>
      </c>
      <c r="Z18">
        <f t="shared" si="19"/>
        <v>42</v>
      </c>
      <c r="AA18">
        <f t="shared" si="20"/>
        <v>5</v>
      </c>
      <c r="AB18">
        <f t="shared" si="21"/>
        <v>7</v>
      </c>
      <c r="AC18">
        <f t="shared" si="22"/>
        <v>152</v>
      </c>
      <c r="AD18">
        <f t="shared" si="23"/>
        <v>44</v>
      </c>
      <c r="AF18">
        <f t="shared" si="26"/>
        <v>0</v>
      </c>
      <c r="AG18">
        <f t="shared" si="27"/>
        <v>0</v>
      </c>
      <c r="AH18">
        <f t="shared" si="28"/>
        <v>0</v>
      </c>
      <c r="AI18">
        <f t="shared" si="29"/>
        <v>0</v>
      </c>
      <c r="AJ18">
        <f t="shared" si="30"/>
        <v>0</v>
      </c>
      <c r="AK18">
        <f t="shared" si="31"/>
        <v>0</v>
      </c>
      <c r="AL18">
        <f t="shared" si="32"/>
        <v>0</v>
      </c>
      <c r="AM18">
        <f t="shared" si="33"/>
        <v>0</v>
      </c>
      <c r="AN18">
        <f t="shared" si="34"/>
        <v>0</v>
      </c>
      <c r="AO18">
        <f t="shared" si="35"/>
        <v>0</v>
      </c>
      <c r="AP18">
        <f t="shared" si="36"/>
        <v>0</v>
      </c>
      <c r="AQ18">
        <f t="shared" si="37"/>
        <v>0</v>
      </c>
    </row>
    <row r="19" spans="1:43" x14ac:dyDescent="0.35">
      <c r="A19" s="51">
        <v>18</v>
      </c>
      <c r="B19" s="50" t="s">
        <v>81</v>
      </c>
      <c r="C19" s="55" t="s">
        <v>82</v>
      </c>
      <c r="D19" s="51" t="s">
        <v>60</v>
      </c>
      <c r="E19" s="67">
        <v>3178</v>
      </c>
      <c r="F19">
        <f t="shared" si="1"/>
        <v>0</v>
      </c>
      <c r="G19">
        <f t="shared" si="2"/>
        <v>0</v>
      </c>
      <c r="H19">
        <f t="shared" si="3"/>
        <v>0</v>
      </c>
      <c r="I19">
        <f t="shared" si="4"/>
        <v>0</v>
      </c>
      <c r="J19">
        <f t="shared" si="5"/>
        <v>3178</v>
      </c>
      <c r="K19">
        <f t="shared" si="6"/>
        <v>0</v>
      </c>
      <c r="L19">
        <f t="shared" si="7"/>
        <v>0</v>
      </c>
      <c r="M19">
        <f t="shared" si="8"/>
        <v>0</v>
      </c>
      <c r="N19">
        <f t="shared" si="9"/>
        <v>0</v>
      </c>
      <c r="O19">
        <f t="shared" si="10"/>
        <v>0</v>
      </c>
      <c r="P19">
        <f t="shared" si="11"/>
        <v>0</v>
      </c>
      <c r="Q19">
        <f t="shared" si="12"/>
        <v>0</v>
      </c>
      <c r="S19">
        <f t="shared" si="25"/>
        <v>57</v>
      </c>
      <c r="T19">
        <f t="shared" si="13"/>
        <v>39</v>
      </c>
      <c r="U19">
        <f t="shared" si="14"/>
        <v>41</v>
      </c>
      <c r="V19">
        <f t="shared" si="15"/>
        <v>47</v>
      </c>
      <c r="W19">
        <f t="shared" si="16"/>
        <v>131</v>
      </c>
      <c r="X19">
        <f t="shared" si="17"/>
        <v>125</v>
      </c>
      <c r="Y19">
        <f t="shared" si="18"/>
        <v>59</v>
      </c>
      <c r="Z19">
        <f t="shared" si="19"/>
        <v>42</v>
      </c>
      <c r="AA19">
        <f t="shared" si="20"/>
        <v>5</v>
      </c>
      <c r="AB19">
        <f t="shared" si="21"/>
        <v>7</v>
      </c>
      <c r="AC19">
        <f t="shared" si="22"/>
        <v>152</v>
      </c>
      <c r="AD19">
        <f t="shared" si="23"/>
        <v>44</v>
      </c>
      <c r="AF19">
        <f t="shared" si="26"/>
        <v>0</v>
      </c>
      <c r="AG19">
        <f t="shared" si="27"/>
        <v>0</v>
      </c>
      <c r="AH19">
        <f t="shared" si="28"/>
        <v>0</v>
      </c>
      <c r="AI19">
        <f t="shared" si="29"/>
        <v>0</v>
      </c>
      <c r="AJ19">
        <f t="shared" si="30"/>
        <v>0</v>
      </c>
      <c r="AK19">
        <f t="shared" si="31"/>
        <v>0</v>
      </c>
      <c r="AL19">
        <f t="shared" si="32"/>
        <v>0</v>
      </c>
      <c r="AM19">
        <f t="shared" si="33"/>
        <v>0</v>
      </c>
      <c r="AN19">
        <f t="shared" si="34"/>
        <v>0</v>
      </c>
      <c r="AO19">
        <f t="shared" si="35"/>
        <v>0</v>
      </c>
      <c r="AP19">
        <f t="shared" si="36"/>
        <v>0</v>
      </c>
      <c r="AQ19">
        <f t="shared" si="37"/>
        <v>0</v>
      </c>
    </row>
    <row r="20" spans="1:43" x14ac:dyDescent="0.35">
      <c r="A20" s="51">
        <v>19</v>
      </c>
      <c r="B20" s="50" t="s">
        <v>81</v>
      </c>
      <c r="C20" s="55" t="s">
        <v>83</v>
      </c>
      <c r="D20" s="51" t="s">
        <v>54</v>
      </c>
      <c r="E20" s="67">
        <v>3152</v>
      </c>
      <c r="F20">
        <f t="shared" si="1"/>
        <v>0</v>
      </c>
      <c r="G20">
        <f t="shared" si="2"/>
        <v>0</v>
      </c>
      <c r="H20">
        <f t="shared" si="3"/>
        <v>0</v>
      </c>
      <c r="I20">
        <f t="shared" si="4"/>
        <v>0</v>
      </c>
      <c r="J20">
        <f t="shared" si="5"/>
        <v>0</v>
      </c>
      <c r="K20">
        <f t="shared" si="6"/>
        <v>3152</v>
      </c>
      <c r="L20">
        <f t="shared" si="7"/>
        <v>0</v>
      </c>
      <c r="M20">
        <f t="shared" si="8"/>
        <v>0</v>
      </c>
      <c r="N20">
        <f t="shared" si="9"/>
        <v>0</v>
      </c>
      <c r="O20">
        <f t="shared" si="10"/>
        <v>0</v>
      </c>
      <c r="P20">
        <f t="shared" si="11"/>
        <v>0</v>
      </c>
      <c r="Q20">
        <f t="shared" si="12"/>
        <v>0</v>
      </c>
      <c r="S20">
        <f t="shared" si="25"/>
        <v>57</v>
      </c>
      <c r="T20">
        <f t="shared" si="13"/>
        <v>39</v>
      </c>
      <c r="U20">
        <f t="shared" si="14"/>
        <v>41</v>
      </c>
      <c r="V20">
        <f t="shared" si="15"/>
        <v>47</v>
      </c>
      <c r="W20">
        <f t="shared" si="16"/>
        <v>130</v>
      </c>
      <c r="X20">
        <f t="shared" si="17"/>
        <v>125</v>
      </c>
      <c r="Y20">
        <f t="shared" si="18"/>
        <v>59</v>
      </c>
      <c r="Z20">
        <f t="shared" si="19"/>
        <v>42</v>
      </c>
      <c r="AA20">
        <f t="shared" si="20"/>
        <v>5</v>
      </c>
      <c r="AB20">
        <f t="shared" si="21"/>
        <v>7</v>
      </c>
      <c r="AC20">
        <f t="shared" si="22"/>
        <v>152</v>
      </c>
      <c r="AD20">
        <f t="shared" si="23"/>
        <v>44</v>
      </c>
      <c r="AF20">
        <f t="shared" si="26"/>
        <v>0</v>
      </c>
      <c r="AG20">
        <f t="shared" si="27"/>
        <v>0</v>
      </c>
      <c r="AH20">
        <f t="shared" si="28"/>
        <v>0</v>
      </c>
      <c r="AI20">
        <f t="shared" si="29"/>
        <v>0</v>
      </c>
      <c r="AJ20">
        <f t="shared" si="30"/>
        <v>0</v>
      </c>
      <c r="AK20">
        <f t="shared" si="31"/>
        <v>0</v>
      </c>
      <c r="AL20">
        <f t="shared" si="32"/>
        <v>0</v>
      </c>
      <c r="AM20">
        <f t="shared" si="33"/>
        <v>0</v>
      </c>
      <c r="AN20">
        <f t="shared" si="34"/>
        <v>0</v>
      </c>
      <c r="AO20">
        <f t="shared" si="35"/>
        <v>0</v>
      </c>
      <c r="AP20">
        <f t="shared" si="36"/>
        <v>0</v>
      </c>
      <c r="AQ20">
        <f t="shared" si="37"/>
        <v>0</v>
      </c>
    </row>
    <row r="21" spans="1:43" x14ac:dyDescent="0.35">
      <c r="A21" s="51">
        <v>20</v>
      </c>
      <c r="B21" s="50" t="s">
        <v>81</v>
      </c>
      <c r="C21" s="55" t="s">
        <v>84</v>
      </c>
      <c r="D21" s="51" t="s">
        <v>57</v>
      </c>
      <c r="E21" s="67">
        <v>3495</v>
      </c>
      <c r="F21">
        <f t="shared" si="1"/>
        <v>0</v>
      </c>
      <c r="G21">
        <f t="shared" si="2"/>
        <v>0</v>
      </c>
      <c r="H21">
        <f t="shared" si="3"/>
        <v>0</v>
      </c>
      <c r="I21">
        <f t="shared" si="4"/>
        <v>0</v>
      </c>
      <c r="J21">
        <f t="shared" si="5"/>
        <v>0</v>
      </c>
      <c r="K21">
        <f t="shared" si="6"/>
        <v>0</v>
      </c>
      <c r="L21">
        <f t="shared" si="7"/>
        <v>0</v>
      </c>
      <c r="M21">
        <f t="shared" si="8"/>
        <v>3495</v>
      </c>
      <c r="N21">
        <f t="shared" si="9"/>
        <v>0</v>
      </c>
      <c r="O21">
        <f t="shared" si="10"/>
        <v>0</v>
      </c>
      <c r="P21">
        <f t="shared" si="11"/>
        <v>0</v>
      </c>
      <c r="Q21">
        <f t="shared" si="12"/>
        <v>0</v>
      </c>
      <c r="S21">
        <f t="shared" si="25"/>
        <v>57</v>
      </c>
      <c r="T21">
        <f t="shared" si="13"/>
        <v>39</v>
      </c>
      <c r="U21">
        <f t="shared" si="14"/>
        <v>41</v>
      </c>
      <c r="V21">
        <f t="shared" si="15"/>
        <v>47</v>
      </c>
      <c r="W21">
        <f t="shared" si="16"/>
        <v>130</v>
      </c>
      <c r="X21">
        <f t="shared" si="17"/>
        <v>124</v>
      </c>
      <c r="Y21">
        <f t="shared" si="18"/>
        <v>59</v>
      </c>
      <c r="Z21">
        <f t="shared" si="19"/>
        <v>42</v>
      </c>
      <c r="AA21">
        <f t="shared" si="20"/>
        <v>5</v>
      </c>
      <c r="AB21">
        <f t="shared" si="21"/>
        <v>7</v>
      </c>
      <c r="AC21">
        <f t="shared" si="22"/>
        <v>152</v>
      </c>
      <c r="AD21">
        <f t="shared" si="23"/>
        <v>44</v>
      </c>
      <c r="AF21">
        <f t="shared" si="26"/>
        <v>0</v>
      </c>
      <c r="AG21">
        <f t="shared" si="27"/>
        <v>0</v>
      </c>
      <c r="AH21">
        <f t="shared" si="28"/>
        <v>0</v>
      </c>
      <c r="AI21">
        <f t="shared" si="29"/>
        <v>0</v>
      </c>
      <c r="AJ21">
        <f t="shared" si="30"/>
        <v>0</v>
      </c>
      <c r="AK21">
        <f t="shared" si="31"/>
        <v>0</v>
      </c>
      <c r="AL21">
        <f t="shared" si="32"/>
        <v>0</v>
      </c>
      <c r="AM21">
        <f t="shared" si="33"/>
        <v>0</v>
      </c>
      <c r="AN21">
        <f t="shared" si="34"/>
        <v>0</v>
      </c>
      <c r="AO21">
        <f t="shared" si="35"/>
        <v>0</v>
      </c>
      <c r="AP21">
        <f t="shared" si="36"/>
        <v>0</v>
      </c>
      <c r="AQ21">
        <f t="shared" si="37"/>
        <v>0</v>
      </c>
    </row>
    <row r="22" spans="1:43" x14ac:dyDescent="0.35">
      <c r="A22" s="51">
        <v>21</v>
      </c>
      <c r="B22" s="50" t="s">
        <v>85</v>
      </c>
      <c r="C22" s="55" t="s">
        <v>86</v>
      </c>
      <c r="D22" s="51" t="s">
        <v>60</v>
      </c>
      <c r="E22" s="67">
        <v>2580</v>
      </c>
      <c r="F22">
        <f t="shared" si="1"/>
        <v>0</v>
      </c>
      <c r="G22">
        <f t="shared" si="2"/>
        <v>0</v>
      </c>
      <c r="H22">
        <f t="shared" si="3"/>
        <v>0</v>
      </c>
      <c r="I22">
        <f t="shared" si="4"/>
        <v>0</v>
      </c>
      <c r="J22">
        <f t="shared" si="5"/>
        <v>2580</v>
      </c>
      <c r="K22">
        <f t="shared" si="6"/>
        <v>0</v>
      </c>
      <c r="L22">
        <f t="shared" si="7"/>
        <v>0</v>
      </c>
      <c r="M22">
        <f t="shared" si="8"/>
        <v>0</v>
      </c>
      <c r="N22">
        <f t="shared" si="9"/>
        <v>0</v>
      </c>
      <c r="O22">
        <f t="shared" si="10"/>
        <v>0</v>
      </c>
      <c r="P22">
        <f t="shared" si="11"/>
        <v>0</v>
      </c>
      <c r="Q22">
        <f t="shared" si="12"/>
        <v>0</v>
      </c>
      <c r="S22">
        <f t="shared" si="25"/>
        <v>57</v>
      </c>
      <c r="T22">
        <f t="shared" si="13"/>
        <v>39</v>
      </c>
      <c r="U22">
        <f t="shared" si="14"/>
        <v>41</v>
      </c>
      <c r="V22">
        <f t="shared" si="15"/>
        <v>47</v>
      </c>
      <c r="W22">
        <f t="shared" si="16"/>
        <v>130</v>
      </c>
      <c r="X22">
        <f t="shared" si="17"/>
        <v>124</v>
      </c>
      <c r="Y22">
        <f t="shared" si="18"/>
        <v>59</v>
      </c>
      <c r="Z22">
        <f t="shared" si="19"/>
        <v>41</v>
      </c>
      <c r="AA22">
        <f t="shared" si="20"/>
        <v>5</v>
      </c>
      <c r="AB22">
        <f t="shared" si="21"/>
        <v>7</v>
      </c>
      <c r="AC22">
        <f t="shared" si="22"/>
        <v>152</v>
      </c>
      <c r="AD22">
        <f t="shared" si="23"/>
        <v>44</v>
      </c>
      <c r="AF22">
        <f t="shared" si="26"/>
        <v>0</v>
      </c>
      <c r="AG22">
        <f t="shared" si="27"/>
        <v>0</v>
      </c>
      <c r="AH22">
        <f t="shared" si="28"/>
        <v>0</v>
      </c>
      <c r="AI22">
        <f t="shared" si="29"/>
        <v>0</v>
      </c>
      <c r="AJ22">
        <f t="shared" si="30"/>
        <v>0</v>
      </c>
      <c r="AK22">
        <f t="shared" si="31"/>
        <v>0</v>
      </c>
      <c r="AL22">
        <f t="shared" si="32"/>
        <v>0</v>
      </c>
      <c r="AM22">
        <f t="shared" si="33"/>
        <v>0</v>
      </c>
      <c r="AN22">
        <f t="shared" si="34"/>
        <v>0</v>
      </c>
      <c r="AO22">
        <f t="shared" si="35"/>
        <v>0</v>
      </c>
      <c r="AP22">
        <f t="shared" si="36"/>
        <v>0</v>
      </c>
      <c r="AQ22">
        <f t="shared" si="37"/>
        <v>0</v>
      </c>
    </row>
    <row r="23" spans="1:43" x14ac:dyDescent="0.35">
      <c r="A23" s="51">
        <v>22</v>
      </c>
      <c r="B23" s="50" t="s">
        <v>85</v>
      </c>
      <c r="C23" s="55" t="s">
        <v>87</v>
      </c>
      <c r="D23" s="51" t="s">
        <v>60</v>
      </c>
      <c r="E23" s="67">
        <v>2516</v>
      </c>
      <c r="F23">
        <f t="shared" si="1"/>
        <v>0</v>
      </c>
      <c r="G23">
        <f t="shared" si="2"/>
        <v>0</v>
      </c>
      <c r="H23">
        <f t="shared" si="3"/>
        <v>0</v>
      </c>
      <c r="I23">
        <f t="shared" si="4"/>
        <v>0</v>
      </c>
      <c r="J23">
        <f t="shared" si="5"/>
        <v>2516</v>
      </c>
      <c r="K23">
        <f t="shared" si="6"/>
        <v>0</v>
      </c>
      <c r="L23">
        <f t="shared" si="7"/>
        <v>0</v>
      </c>
      <c r="M23">
        <f t="shared" si="8"/>
        <v>0</v>
      </c>
      <c r="N23">
        <f t="shared" si="9"/>
        <v>0</v>
      </c>
      <c r="O23">
        <f t="shared" si="10"/>
        <v>0</v>
      </c>
      <c r="P23">
        <f t="shared" si="11"/>
        <v>0</v>
      </c>
      <c r="Q23">
        <f t="shared" si="12"/>
        <v>0</v>
      </c>
      <c r="S23">
        <f t="shared" si="25"/>
        <v>57</v>
      </c>
      <c r="T23">
        <f t="shared" si="13"/>
        <v>39</v>
      </c>
      <c r="U23">
        <f t="shared" si="14"/>
        <v>41</v>
      </c>
      <c r="V23">
        <f t="shared" si="15"/>
        <v>47</v>
      </c>
      <c r="W23">
        <f t="shared" si="16"/>
        <v>129</v>
      </c>
      <c r="X23">
        <f t="shared" si="17"/>
        <v>124</v>
      </c>
      <c r="Y23">
        <f t="shared" si="18"/>
        <v>59</v>
      </c>
      <c r="Z23">
        <f t="shared" si="19"/>
        <v>41</v>
      </c>
      <c r="AA23">
        <f t="shared" si="20"/>
        <v>5</v>
      </c>
      <c r="AB23">
        <f t="shared" si="21"/>
        <v>7</v>
      </c>
      <c r="AC23">
        <f t="shared" si="22"/>
        <v>152</v>
      </c>
      <c r="AD23">
        <f t="shared" si="23"/>
        <v>44</v>
      </c>
      <c r="AF23">
        <f t="shared" si="26"/>
        <v>0</v>
      </c>
      <c r="AG23">
        <f t="shared" si="27"/>
        <v>0</v>
      </c>
      <c r="AH23">
        <f t="shared" si="28"/>
        <v>0</v>
      </c>
      <c r="AI23">
        <f t="shared" si="29"/>
        <v>0</v>
      </c>
      <c r="AJ23">
        <f t="shared" si="30"/>
        <v>0</v>
      </c>
      <c r="AK23">
        <f t="shared" si="31"/>
        <v>0</v>
      </c>
      <c r="AL23">
        <f t="shared" si="32"/>
        <v>0</v>
      </c>
      <c r="AM23">
        <f t="shared" si="33"/>
        <v>0</v>
      </c>
      <c r="AN23">
        <f t="shared" si="34"/>
        <v>0</v>
      </c>
      <c r="AO23">
        <f t="shared" si="35"/>
        <v>0</v>
      </c>
      <c r="AP23">
        <f t="shared" si="36"/>
        <v>0</v>
      </c>
      <c r="AQ23">
        <f t="shared" si="37"/>
        <v>0</v>
      </c>
    </row>
    <row r="24" spans="1:43" x14ac:dyDescent="0.35">
      <c r="A24" s="51">
        <v>23</v>
      </c>
      <c r="B24" s="50" t="s">
        <v>85</v>
      </c>
      <c r="C24" s="55" t="s">
        <v>88</v>
      </c>
      <c r="D24" s="51" t="s">
        <v>54</v>
      </c>
      <c r="E24" s="67">
        <v>2434</v>
      </c>
      <c r="F24">
        <f t="shared" si="1"/>
        <v>0</v>
      </c>
      <c r="G24">
        <f t="shared" si="2"/>
        <v>0</v>
      </c>
      <c r="H24">
        <f t="shared" si="3"/>
        <v>0</v>
      </c>
      <c r="I24">
        <f t="shared" si="4"/>
        <v>0</v>
      </c>
      <c r="J24">
        <f t="shared" si="5"/>
        <v>0</v>
      </c>
      <c r="K24">
        <f t="shared" si="6"/>
        <v>2434</v>
      </c>
      <c r="L24">
        <f t="shared" si="7"/>
        <v>0</v>
      </c>
      <c r="M24">
        <f t="shared" si="8"/>
        <v>0</v>
      </c>
      <c r="N24">
        <f t="shared" si="9"/>
        <v>0</v>
      </c>
      <c r="O24">
        <f t="shared" si="10"/>
        <v>0</v>
      </c>
      <c r="P24">
        <f t="shared" si="11"/>
        <v>0</v>
      </c>
      <c r="Q24">
        <f t="shared" si="12"/>
        <v>0</v>
      </c>
      <c r="S24">
        <f t="shared" si="25"/>
        <v>57</v>
      </c>
      <c r="T24">
        <f t="shared" si="13"/>
        <v>39</v>
      </c>
      <c r="U24">
        <f t="shared" si="14"/>
        <v>41</v>
      </c>
      <c r="V24">
        <f t="shared" si="15"/>
        <v>47</v>
      </c>
      <c r="W24">
        <f t="shared" si="16"/>
        <v>128</v>
      </c>
      <c r="X24">
        <f t="shared" si="17"/>
        <v>124</v>
      </c>
      <c r="Y24">
        <f t="shared" si="18"/>
        <v>59</v>
      </c>
      <c r="Z24">
        <f t="shared" si="19"/>
        <v>41</v>
      </c>
      <c r="AA24">
        <f t="shared" si="20"/>
        <v>5</v>
      </c>
      <c r="AB24">
        <f t="shared" si="21"/>
        <v>7</v>
      </c>
      <c r="AC24">
        <f t="shared" si="22"/>
        <v>152</v>
      </c>
      <c r="AD24">
        <f t="shared" si="23"/>
        <v>44</v>
      </c>
      <c r="AF24">
        <f t="shared" si="26"/>
        <v>0</v>
      </c>
      <c r="AG24">
        <f t="shared" si="27"/>
        <v>0</v>
      </c>
      <c r="AH24">
        <f t="shared" si="28"/>
        <v>0</v>
      </c>
      <c r="AI24">
        <f t="shared" si="29"/>
        <v>0</v>
      </c>
      <c r="AJ24">
        <f t="shared" si="30"/>
        <v>0</v>
      </c>
      <c r="AK24">
        <f t="shared" si="31"/>
        <v>0</v>
      </c>
      <c r="AL24">
        <f t="shared" si="32"/>
        <v>0</v>
      </c>
      <c r="AM24">
        <f t="shared" si="33"/>
        <v>0</v>
      </c>
      <c r="AN24">
        <f t="shared" si="34"/>
        <v>0</v>
      </c>
      <c r="AO24">
        <f t="shared" si="35"/>
        <v>0</v>
      </c>
      <c r="AP24">
        <f t="shared" si="36"/>
        <v>0</v>
      </c>
      <c r="AQ24">
        <f t="shared" si="37"/>
        <v>0</v>
      </c>
    </row>
    <row r="25" spans="1:43" x14ac:dyDescent="0.35">
      <c r="A25" s="51">
        <v>24</v>
      </c>
      <c r="B25" s="50" t="s">
        <v>85</v>
      </c>
      <c r="C25" s="55" t="s">
        <v>89</v>
      </c>
      <c r="D25" s="51" t="s">
        <v>80</v>
      </c>
      <c r="E25" s="67">
        <v>2410</v>
      </c>
      <c r="F25">
        <f t="shared" si="1"/>
        <v>0</v>
      </c>
      <c r="G25">
        <f t="shared" si="2"/>
        <v>0</v>
      </c>
      <c r="H25">
        <f t="shared" si="3"/>
        <v>2410</v>
      </c>
      <c r="I25">
        <f t="shared" si="4"/>
        <v>0</v>
      </c>
      <c r="J25">
        <f t="shared" si="5"/>
        <v>0</v>
      </c>
      <c r="K25">
        <f t="shared" si="6"/>
        <v>0</v>
      </c>
      <c r="L25">
        <f t="shared" si="7"/>
        <v>0</v>
      </c>
      <c r="M25">
        <f t="shared" si="8"/>
        <v>0</v>
      </c>
      <c r="N25">
        <f t="shared" si="9"/>
        <v>0</v>
      </c>
      <c r="O25">
        <f t="shared" si="10"/>
        <v>0</v>
      </c>
      <c r="P25">
        <f t="shared" si="11"/>
        <v>0</v>
      </c>
      <c r="Q25">
        <f t="shared" si="12"/>
        <v>0</v>
      </c>
      <c r="S25">
        <f t="shared" si="25"/>
        <v>57</v>
      </c>
      <c r="T25">
        <f t="shared" si="13"/>
        <v>39</v>
      </c>
      <c r="U25">
        <f t="shared" si="14"/>
        <v>41</v>
      </c>
      <c r="V25">
        <f t="shared" si="15"/>
        <v>47</v>
      </c>
      <c r="W25">
        <f t="shared" si="16"/>
        <v>128</v>
      </c>
      <c r="X25">
        <f t="shared" si="17"/>
        <v>123</v>
      </c>
      <c r="Y25">
        <f t="shared" si="18"/>
        <v>59</v>
      </c>
      <c r="Z25">
        <f t="shared" si="19"/>
        <v>41</v>
      </c>
      <c r="AA25">
        <f t="shared" si="20"/>
        <v>5</v>
      </c>
      <c r="AB25">
        <f t="shared" si="21"/>
        <v>7</v>
      </c>
      <c r="AC25">
        <f t="shared" si="22"/>
        <v>152</v>
      </c>
      <c r="AD25">
        <f t="shared" si="23"/>
        <v>44</v>
      </c>
      <c r="AF25">
        <f t="shared" si="26"/>
        <v>0</v>
      </c>
      <c r="AG25">
        <f t="shared" si="27"/>
        <v>0</v>
      </c>
      <c r="AH25">
        <f t="shared" si="28"/>
        <v>0</v>
      </c>
      <c r="AI25">
        <f t="shared" si="29"/>
        <v>0</v>
      </c>
      <c r="AJ25">
        <f t="shared" si="30"/>
        <v>0</v>
      </c>
      <c r="AK25">
        <f t="shared" si="31"/>
        <v>0</v>
      </c>
      <c r="AL25">
        <f t="shared" si="32"/>
        <v>0</v>
      </c>
      <c r="AM25">
        <f t="shared" si="33"/>
        <v>0</v>
      </c>
      <c r="AN25">
        <f t="shared" si="34"/>
        <v>0</v>
      </c>
      <c r="AO25">
        <f t="shared" si="35"/>
        <v>0</v>
      </c>
      <c r="AP25">
        <f t="shared" si="36"/>
        <v>0</v>
      </c>
      <c r="AQ25">
        <f t="shared" si="37"/>
        <v>0</v>
      </c>
    </row>
    <row r="26" spans="1:43" x14ac:dyDescent="0.35">
      <c r="A26" s="51">
        <v>25</v>
      </c>
      <c r="B26" s="50" t="s">
        <v>90</v>
      </c>
      <c r="C26" s="55" t="s">
        <v>91</v>
      </c>
      <c r="D26" s="51" t="s">
        <v>54</v>
      </c>
      <c r="E26" s="67">
        <v>3008</v>
      </c>
      <c r="F26">
        <f t="shared" si="1"/>
        <v>0</v>
      </c>
      <c r="G26">
        <f t="shared" si="2"/>
        <v>0</v>
      </c>
      <c r="H26">
        <f t="shared" si="3"/>
        <v>0</v>
      </c>
      <c r="I26">
        <f t="shared" si="4"/>
        <v>0</v>
      </c>
      <c r="J26">
        <f t="shared" si="5"/>
        <v>0</v>
      </c>
      <c r="K26">
        <f t="shared" si="6"/>
        <v>3008</v>
      </c>
      <c r="L26">
        <f t="shared" si="7"/>
        <v>0</v>
      </c>
      <c r="M26">
        <f t="shared" si="8"/>
        <v>0</v>
      </c>
      <c r="N26">
        <f t="shared" si="9"/>
        <v>0</v>
      </c>
      <c r="O26">
        <f t="shared" si="10"/>
        <v>0</v>
      </c>
      <c r="P26">
        <f t="shared" si="11"/>
        <v>0</v>
      </c>
      <c r="Q26">
        <f t="shared" si="12"/>
        <v>0</v>
      </c>
      <c r="S26">
        <f t="shared" si="25"/>
        <v>57</v>
      </c>
      <c r="T26">
        <f t="shared" si="13"/>
        <v>39</v>
      </c>
      <c r="U26">
        <f t="shared" si="14"/>
        <v>40</v>
      </c>
      <c r="V26">
        <f t="shared" si="15"/>
        <v>47</v>
      </c>
      <c r="W26">
        <f t="shared" si="16"/>
        <v>128</v>
      </c>
      <c r="X26">
        <f t="shared" si="17"/>
        <v>123</v>
      </c>
      <c r="Y26">
        <f t="shared" si="18"/>
        <v>59</v>
      </c>
      <c r="Z26">
        <f t="shared" si="19"/>
        <v>41</v>
      </c>
      <c r="AA26">
        <f t="shared" si="20"/>
        <v>5</v>
      </c>
      <c r="AB26">
        <f t="shared" si="21"/>
        <v>7</v>
      </c>
      <c r="AC26">
        <f t="shared" si="22"/>
        <v>152</v>
      </c>
      <c r="AD26">
        <f t="shared" si="23"/>
        <v>44</v>
      </c>
      <c r="AF26">
        <f t="shared" si="26"/>
        <v>0</v>
      </c>
      <c r="AG26">
        <f t="shared" si="27"/>
        <v>0</v>
      </c>
      <c r="AH26">
        <f t="shared" si="28"/>
        <v>0</v>
      </c>
      <c r="AI26">
        <f t="shared" si="29"/>
        <v>0</v>
      </c>
      <c r="AJ26">
        <f t="shared" si="30"/>
        <v>0</v>
      </c>
      <c r="AK26">
        <f t="shared" si="31"/>
        <v>0</v>
      </c>
      <c r="AL26">
        <f t="shared" si="32"/>
        <v>0</v>
      </c>
      <c r="AM26">
        <f t="shared" si="33"/>
        <v>0</v>
      </c>
      <c r="AN26">
        <f t="shared" si="34"/>
        <v>0</v>
      </c>
      <c r="AO26">
        <f t="shared" si="35"/>
        <v>0</v>
      </c>
      <c r="AP26">
        <f t="shared" si="36"/>
        <v>0</v>
      </c>
      <c r="AQ26">
        <f t="shared" si="37"/>
        <v>0</v>
      </c>
    </row>
    <row r="27" spans="1:43" x14ac:dyDescent="0.35">
      <c r="A27" s="51">
        <v>26</v>
      </c>
      <c r="B27" s="50" t="s">
        <v>90</v>
      </c>
      <c r="C27" s="55" t="s">
        <v>92</v>
      </c>
      <c r="D27" s="51" t="s">
        <v>80</v>
      </c>
      <c r="E27" s="67">
        <v>2373</v>
      </c>
      <c r="F27">
        <f t="shared" si="1"/>
        <v>0</v>
      </c>
      <c r="G27">
        <f t="shared" si="2"/>
        <v>0</v>
      </c>
      <c r="H27">
        <f t="shared" si="3"/>
        <v>2373</v>
      </c>
      <c r="I27">
        <f t="shared" si="4"/>
        <v>0</v>
      </c>
      <c r="J27">
        <f t="shared" si="5"/>
        <v>0</v>
      </c>
      <c r="K27">
        <f t="shared" si="6"/>
        <v>0</v>
      </c>
      <c r="L27">
        <f t="shared" si="7"/>
        <v>0</v>
      </c>
      <c r="M27">
        <f t="shared" si="8"/>
        <v>0</v>
      </c>
      <c r="N27">
        <f t="shared" si="9"/>
        <v>0</v>
      </c>
      <c r="O27">
        <f t="shared" si="10"/>
        <v>0</v>
      </c>
      <c r="P27">
        <f t="shared" si="11"/>
        <v>0</v>
      </c>
      <c r="Q27">
        <f t="shared" si="12"/>
        <v>0</v>
      </c>
      <c r="S27">
        <f t="shared" si="25"/>
        <v>57</v>
      </c>
      <c r="T27">
        <f t="shared" si="13"/>
        <v>39</v>
      </c>
      <c r="U27">
        <f t="shared" si="14"/>
        <v>40</v>
      </c>
      <c r="V27">
        <f t="shared" si="15"/>
        <v>47</v>
      </c>
      <c r="W27">
        <f t="shared" si="16"/>
        <v>128</v>
      </c>
      <c r="X27">
        <f t="shared" si="17"/>
        <v>122</v>
      </c>
      <c r="Y27">
        <f t="shared" si="18"/>
        <v>59</v>
      </c>
      <c r="Z27">
        <f t="shared" si="19"/>
        <v>41</v>
      </c>
      <c r="AA27">
        <f t="shared" si="20"/>
        <v>5</v>
      </c>
      <c r="AB27">
        <f t="shared" si="21"/>
        <v>7</v>
      </c>
      <c r="AC27">
        <f t="shared" si="22"/>
        <v>152</v>
      </c>
      <c r="AD27">
        <f t="shared" si="23"/>
        <v>44</v>
      </c>
      <c r="AF27">
        <f t="shared" si="26"/>
        <v>0</v>
      </c>
      <c r="AG27">
        <f t="shared" si="27"/>
        <v>0</v>
      </c>
      <c r="AH27">
        <f t="shared" si="28"/>
        <v>0</v>
      </c>
      <c r="AI27">
        <f t="shared" si="29"/>
        <v>0</v>
      </c>
      <c r="AJ27">
        <f t="shared" si="30"/>
        <v>0</v>
      </c>
      <c r="AK27">
        <f t="shared" si="31"/>
        <v>0</v>
      </c>
      <c r="AL27">
        <f t="shared" si="32"/>
        <v>0</v>
      </c>
      <c r="AM27">
        <f t="shared" si="33"/>
        <v>0</v>
      </c>
      <c r="AN27">
        <f t="shared" si="34"/>
        <v>0</v>
      </c>
      <c r="AO27">
        <f t="shared" si="35"/>
        <v>0</v>
      </c>
      <c r="AP27">
        <f t="shared" si="36"/>
        <v>0</v>
      </c>
      <c r="AQ27">
        <f t="shared" si="37"/>
        <v>0</v>
      </c>
    </row>
    <row r="28" spans="1:43" x14ac:dyDescent="0.35">
      <c r="A28" s="51">
        <v>27</v>
      </c>
      <c r="B28" s="50" t="s">
        <v>90</v>
      </c>
      <c r="C28" s="55" t="s">
        <v>93</v>
      </c>
      <c r="D28" s="51" t="s">
        <v>94</v>
      </c>
      <c r="E28" s="67">
        <v>3483</v>
      </c>
      <c r="F28">
        <f t="shared" si="1"/>
        <v>0</v>
      </c>
      <c r="G28">
        <f t="shared" si="2"/>
        <v>0</v>
      </c>
      <c r="H28">
        <f t="shared" si="3"/>
        <v>0</v>
      </c>
      <c r="I28">
        <f t="shared" si="4"/>
        <v>0</v>
      </c>
      <c r="J28">
        <f t="shared" si="5"/>
        <v>0</v>
      </c>
      <c r="K28">
        <f t="shared" si="6"/>
        <v>0</v>
      </c>
      <c r="L28">
        <f t="shared" si="7"/>
        <v>3483</v>
      </c>
      <c r="M28">
        <f t="shared" si="8"/>
        <v>0</v>
      </c>
      <c r="N28">
        <f t="shared" si="9"/>
        <v>0</v>
      </c>
      <c r="O28">
        <f t="shared" si="10"/>
        <v>0</v>
      </c>
      <c r="P28">
        <f t="shared" si="11"/>
        <v>0</v>
      </c>
      <c r="Q28">
        <f t="shared" si="12"/>
        <v>0</v>
      </c>
      <c r="S28">
        <f t="shared" si="25"/>
        <v>57</v>
      </c>
      <c r="T28">
        <f t="shared" si="13"/>
        <v>39</v>
      </c>
      <c r="U28">
        <f t="shared" si="14"/>
        <v>39</v>
      </c>
      <c r="V28">
        <f t="shared" si="15"/>
        <v>47</v>
      </c>
      <c r="W28">
        <f t="shared" si="16"/>
        <v>128</v>
      </c>
      <c r="X28">
        <f t="shared" si="17"/>
        <v>122</v>
      </c>
      <c r="Y28">
        <f t="shared" si="18"/>
        <v>59</v>
      </c>
      <c r="Z28">
        <f t="shared" si="19"/>
        <v>41</v>
      </c>
      <c r="AA28">
        <f t="shared" si="20"/>
        <v>5</v>
      </c>
      <c r="AB28">
        <f t="shared" si="21"/>
        <v>7</v>
      </c>
      <c r="AC28">
        <f t="shared" si="22"/>
        <v>152</v>
      </c>
      <c r="AD28">
        <f t="shared" si="23"/>
        <v>44</v>
      </c>
      <c r="AF28">
        <f t="shared" si="26"/>
        <v>0</v>
      </c>
      <c r="AG28">
        <f t="shared" si="27"/>
        <v>0</v>
      </c>
      <c r="AH28">
        <f t="shared" si="28"/>
        <v>0</v>
      </c>
      <c r="AI28">
        <f t="shared" si="29"/>
        <v>0</v>
      </c>
      <c r="AJ28">
        <f t="shared" si="30"/>
        <v>0</v>
      </c>
      <c r="AK28">
        <f t="shared" si="31"/>
        <v>0</v>
      </c>
      <c r="AL28">
        <f t="shared" si="32"/>
        <v>0</v>
      </c>
      <c r="AM28">
        <f t="shared" si="33"/>
        <v>0</v>
      </c>
      <c r="AN28">
        <f t="shared" si="34"/>
        <v>0</v>
      </c>
      <c r="AO28">
        <f t="shared" si="35"/>
        <v>0</v>
      </c>
      <c r="AP28">
        <f t="shared" si="36"/>
        <v>0</v>
      </c>
      <c r="AQ28">
        <f t="shared" si="37"/>
        <v>0</v>
      </c>
    </row>
    <row r="29" spans="1:43" x14ac:dyDescent="0.35">
      <c r="A29" s="51">
        <v>28</v>
      </c>
      <c r="B29" s="50" t="s">
        <v>90</v>
      </c>
      <c r="C29" s="55" t="s">
        <v>95</v>
      </c>
      <c r="D29" s="51" t="s">
        <v>57</v>
      </c>
      <c r="E29" s="67">
        <v>2975</v>
      </c>
      <c r="F29">
        <f t="shared" si="1"/>
        <v>0</v>
      </c>
      <c r="G29">
        <f t="shared" si="2"/>
        <v>0</v>
      </c>
      <c r="H29">
        <f t="shared" si="3"/>
        <v>0</v>
      </c>
      <c r="I29">
        <f t="shared" si="4"/>
        <v>0</v>
      </c>
      <c r="J29">
        <f t="shared" si="5"/>
        <v>0</v>
      </c>
      <c r="K29">
        <f t="shared" si="6"/>
        <v>0</v>
      </c>
      <c r="L29">
        <f t="shared" si="7"/>
        <v>0</v>
      </c>
      <c r="M29">
        <f t="shared" si="8"/>
        <v>2975</v>
      </c>
      <c r="N29">
        <f t="shared" si="9"/>
        <v>0</v>
      </c>
      <c r="O29">
        <f t="shared" si="10"/>
        <v>0</v>
      </c>
      <c r="P29">
        <f t="shared" si="11"/>
        <v>0</v>
      </c>
      <c r="Q29">
        <f t="shared" si="12"/>
        <v>0</v>
      </c>
      <c r="S29">
        <f t="shared" si="25"/>
        <v>57</v>
      </c>
      <c r="T29">
        <f t="shared" si="13"/>
        <v>39</v>
      </c>
      <c r="U29">
        <f t="shared" si="14"/>
        <v>39</v>
      </c>
      <c r="V29">
        <f t="shared" si="15"/>
        <v>47</v>
      </c>
      <c r="W29">
        <f t="shared" si="16"/>
        <v>128</v>
      </c>
      <c r="X29">
        <f t="shared" si="17"/>
        <v>122</v>
      </c>
      <c r="Y29">
        <f t="shared" si="18"/>
        <v>58</v>
      </c>
      <c r="Z29">
        <f t="shared" si="19"/>
        <v>41</v>
      </c>
      <c r="AA29">
        <f t="shared" si="20"/>
        <v>5</v>
      </c>
      <c r="AB29">
        <f t="shared" si="21"/>
        <v>7</v>
      </c>
      <c r="AC29">
        <f t="shared" si="22"/>
        <v>152</v>
      </c>
      <c r="AD29">
        <f t="shared" si="23"/>
        <v>44</v>
      </c>
      <c r="AF29">
        <f t="shared" si="26"/>
        <v>0</v>
      </c>
      <c r="AG29">
        <f t="shared" si="27"/>
        <v>0</v>
      </c>
      <c r="AH29">
        <f t="shared" si="28"/>
        <v>0</v>
      </c>
      <c r="AI29">
        <f t="shared" si="29"/>
        <v>0</v>
      </c>
      <c r="AJ29">
        <f t="shared" si="30"/>
        <v>0</v>
      </c>
      <c r="AK29">
        <f t="shared" si="31"/>
        <v>0</v>
      </c>
      <c r="AL29">
        <f t="shared" si="32"/>
        <v>0</v>
      </c>
      <c r="AM29">
        <f t="shared" si="33"/>
        <v>0</v>
      </c>
      <c r="AN29">
        <f t="shared" si="34"/>
        <v>0</v>
      </c>
      <c r="AO29">
        <f t="shared" si="35"/>
        <v>0</v>
      </c>
      <c r="AP29">
        <f t="shared" si="36"/>
        <v>0</v>
      </c>
      <c r="AQ29">
        <f t="shared" si="37"/>
        <v>0</v>
      </c>
    </row>
    <row r="30" spans="1:43" x14ac:dyDescent="0.35">
      <c r="A30" s="51">
        <v>29</v>
      </c>
      <c r="B30" s="50" t="s">
        <v>96</v>
      </c>
      <c r="C30" s="55" t="s">
        <v>97</v>
      </c>
      <c r="D30" s="51" t="s">
        <v>60</v>
      </c>
      <c r="E30" s="67">
        <v>2534</v>
      </c>
      <c r="F30">
        <f t="shared" si="1"/>
        <v>0</v>
      </c>
      <c r="G30">
        <f t="shared" si="2"/>
        <v>0</v>
      </c>
      <c r="H30">
        <f t="shared" si="3"/>
        <v>0</v>
      </c>
      <c r="I30">
        <f t="shared" si="4"/>
        <v>0</v>
      </c>
      <c r="J30">
        <f t="shared" si="5"/>
        <v>2534</v>
      </c>
      <c r="K30">
        <f t="shared" si="6"/>
        <v>0</v>
      </c>
      <c r="L30">
        <f t="shared" si="7"/>
        <v>0</v>
      </c>
      <c r="M30">
        <f t="shared" si="8"/>
        <v>0</v>
      </c>
      <c r="N30">
        <f t="shared" si="9"/>
        <v>0</v>
      </c>
      <c r="O30">
        <f t="shared" si="10"/>
        <v>0</v>
      </c>
      <c r="P30">
        <f t="shared" si="11"/>
        <v>0</v>
      </c>
      <c r="Q30">
        <f t="shared" si="12"/>
        <v>0</v>
      </c>
      <c r="S30">
        <f t="shared" si="25"/>
        <v>57</v>
      </c>
      <c r="T30">
        <f t="shared" si="13"/>
        <v>39</v>
      </c>
      <c r="U30">
        <f t="shared" si="14"/>
        <v>39</v>
      </c>
      <c r="V30">
        <f t="shared" si="15"/>
        <v>47</v>
      </c>
      <c r="W30">
        <f t="shared" si="16"/>
        <v>128</v>
      </c>
      <c r="X30">
        <f t="shared" si="17"/>
        <v>122</v>
      </c>
      <c r="Y30">
        <f t="shared" si="18"/>
        <v>58</v>
      </c>
      <c r="Z30">
        <f t="shared" si="19"/>
        <v>40</v>
      </c>
      <c r="AA30">
        <f t="shared" si="20"/>
        <v>5</v>
      </c>
      <c r="AB30">
        <f t="shared" si="21"/>
        <v>7</v>
      </c>
      <c r="AC30">
        <f t="shared" si="22"/>
        <v>152</v>
      </c>
      <c r="AD30">
        <f t="shared" si="23"/>
        <v>44</v>
      </c>
      <c r="AF30">
        <f t="shared" si="26"/>
        <v>0</v>
      </c>
      <c r="AG30">
        <f t="shared" si="27"/>
        <v>0</v>
      </c>
      <c r="AH30">
        <f t="shared" si="28"/>
        <v>0</v>
      </c>
      <c r="AI30">
        <f t="shared" si="29"/>
        <v>0</v>
      </c>
      <c r="AJ30">
        <f t="shared" si="30"/>
        <v>0</v>
      </c>
      <c r="AK30">
        <f t="shared" si="31"/>
        <v>0</v>
      </c>
      <c r="AL30">
        <f t="shared" si="32"/>
        <v>0</v>
      </c>
      <c r="AM30">
        <f t="shared" si="33"/>
        <v>0</v>
      </c>
      <c r="AN30">
        <f t="shared" si="34"/>
        <v>0</v>
      </c>
      <c r="AO30">
        <f t="shared" si="35"/>
        <v>0</v>
      </c>
      <c r="AP30">
        <f t="shared" si="36"/>
        <v>0</v>
      </c>
      <c r="AQ30">
        <f t="shared" si="37"/>
        <v>0</v>
      </c>
    </row>
    <row r="31" spans="1:43" x14ac:dyDescent="0.35">
      <c r="A31" s="51">
        <v>30</v>
      </c>
      <c r="B31" s="50" t="s">
        <v>96</v>
      </c>
      <c r="C31" s="55" t="s">
        <v>98</v>
      </c>
      <c r="D31" s="51" t="s">
        <v>67</v>
      </c>
      <c r="E31" s="67">
        <v>2496</v>
      </c>
      <c r="F31">
        <f t="shared" si="1"/>
        <v>0</v>
      </c>
      <c r="G31">
        <f t="shared" si="2"/>
        <v>0</v>
      </c>
      <c r="H31">
        <f t="shared" si="3"/>
        <v>0</v>
      </c>
      <c r="I31">
        <f t="shared" si="4"/>
        <v>2496</v>
      </c>
      <c r="J31">
        <f t="shared" si="5"/>
        <v>0</v>
      </c>
      <c r="K31">
        <f t="shared" si="6"/>
        <v>0</v>
      </c>
      <c r="L31">
        <f t="shared" si="7"/>
        <v>0</v>
      </c>
      <c r="M31">
        <f t="shared" si="8"/>
        <v>0</v>
      </c>
      <c r="N31">
        <f t="shared" si="9"/>
        <v>0</v>
      </c>
      <c r="O31">
        <f t="shared" si="10"/>
        <v>0</v>
      </c>
      <c r="P31">
        <f t="shared" si="11"/>
        <v>0</v>
      </c>
      <c r="Q31">
        <f t="shared" si="12"/>
        <v>0</v>
      </c>
      <c r="S31">
        <f t="shared" si="25"/>
        <v>57</v>
      </c>
      <c r="T31">
        <f t="shared" si="13"/>
        <v>39</v>
      </c>
      <c r="U31">
        <f t="shared" si="14"/>
        <v>39</v>
      </c>
      <c r="V31">
        <f t="shared" si="15"/>
        <v>47</v>
      </c>
      <c r="W31">
        <f t="shared" si="16"/>
        <v>127</v>
      </c>
      <c r="X31">
        <f t="shared" si="17"/>
        <v>122</v>
      </c>
      <c r="Y31">
        <f t="shared" si="18"/>
        <v>58</v>
      </c>
      <c r="Z31">
        <f t="shared" si="19"/>
        <v>40</v>
      </c>
      <c r="AA31">
        <f t="shared" si="20"/>
        <v>5</v>
      </c>
      <c r="AB31">
        <f t="shared" si="21"/>
        <v>7</v>
      </c>
      <c r="AC31">
        <f t="shared" si="22"/>
        <v>152</v>
      </c>
      <c r="AD31">
        <f t="shared" si="23"/>
        <v>44</v>
      </c>
      <c r="AF31">
        <f t="shared" si="26"/>
        <v>0</v>
      </c>
      <c r="AG31">
        <f t="shared" si="27"/>
        <v>0</v>
      </c>
      <c r="AH31">
        <f t="shared" si="28"/>
        <v>0</v>
      </c>
      <c r="AI31">
        <f t="shared" si="29"/>
        <v>0</v>
      </c>
      <c r="AJ31">
        <f t="shared" si="30"/>
        <v>0</v>
      </c>
      <c r="AK31">
        <f t="shared" si="31"/>
        <v>0</v>
      </c>
      <c r="AL31">
        <f t="shared" si="32"/>
        <v>0</v>
      </c>
      <c r="AM31">
        <f t="shared" si="33"/>
        <v>0</v>
      </c>
      <c r="AN31">
        <f t="shared" si="34"/>
        <v>0</v>
      </c>
      <c r="AO31">
        <f t="shared" si="35"/>
        <v>0</v>
      </c>
      <c r="AP31">
        <f t="shared" si="36"/>
        <v>0</v>
      </c>
      <c r="AQ31">
        <f t="shared" si="37"/>
        <v>0</v>
      </c>
    </row>
    <row r="32" spans="1:43" x14ac:dyDescent="0.35">
      <c r="A32" s="51">
        <v>31</v>
      </c>
      <c r="B32" s="50" t="s">
        <v>96</v>
      </c>
      <c r="C32" s="55" t="s">
        <v>97</v>
      </c>
      <c r="D32" s="51" t="s">
        <v>60</v>
      </c>
      <c r="E32" s="67">
        <v>2534</v>
      </c>
      <c r="F32">
        <f t="shared" si="1"/>
        <v>0</v>
      </c>
      <c r="G32">
        <f t="shared" si="2"/>
        <v>0</v>
      </c>
      <c r="H32">
        <f t="shared" si="3"/>
        <v>0</v>
      </c>
      <c r="I32">
        <f t="shared" si="4"/>
        <v>0</v>
      </c>
      <c r="J32">
        <f t="shared" si="5"/>
        <v>2534</v>
      </c>
      <c r="K32">
        <f t="shared" si="6"/>
        <v>0</v>
      </c>
      <c r="L32">
        <f t="shared" si="7"/>
        <v>0</v>
      </c>
      <c r="M32">
        <f t="shared" si="8"/>
        <v>0</v>
      </c>
      <c r="N32">
        <f t="shared" si="9"/>
        <v>0</v>
      </c>
      <c r="O32">
        <f t="shared" si="10"/>
        <v>0</v>
      </c>
      <c r="P32">
        <f t="shared" si="11"/>
        <v>0</v>
      </c>
      <c r="Q32">
        <f t="shared" si="12"/>
        <v>0</v>
      </c>
      <c r="S32">
        <f t="shared" si="25"/>
        <v>57</v>
      </c>
      <c r="T32">
        <f t="shared" si="13"/>
        <v>39</v>
      </c>
      <c r="U32">
        <f t="shared" si="14"/>
        <v>39</v>
      </c>
      <c r="V32">
        <f t="shared" si="15"/>
        <v>46</v>
      </c>
      <c r="W32">
        <f t="shared" si="16"/>
        <v>127</v>
      </c>
      <c r="X32">
        <f t="shared" si="17"/>
        <v>122</v>
      </c>
      <c r="Y32">
        <f t="shared" si="18"/>
        <v>58</v>
      </c>
      <c r="Z32">
        <f t="shared" si="19"/>
        <v>40</v>
      </c>
      <c r="AA32">
        <f t="shared" si="20"/>
        <v>5</v>
      </c>
      <c r="AB32">
        <f t="shared" si="21"/>
        <v>7</v>
      </c>
      <c r="AC32">
        <f t="shared" si="22"/>
        <v>152</v>
      </c>
      <c r="AD32">
        <f t="shared" si="23"/>
        <v>44</v>
      </c>
      <c r="AF32">
        <f t="shared" si="26"/>
        <v>0</v>
      </c>
      <c r="AG32">
        <f t="shared" si="27"/>
        <v>0</v>
      </c>
      <c r="AH32">
        <f t="shared" si="28"/>
        <v>0</v>
      </c>
      <c r="AI32">
        <f t="shared" si="29"/>
        <v>0</v>
      </c>
      <c r="AJ32">
        <f t="shared" si="30"/>
        <v>0</v>
      </c>
      <c r="AK32">
        <f t="shared" si="31"/>
        <v>0</v>
      </c>
      <c r="AL32">
        <f t="shared" si="32"/>
        <v>0</v>
      </c>
      <c r="AM32">
        <f t="shared" si="33"/>
        <v>0</v>
      </c>
      <c r="AN32">
        <f t="shared" si="34"/>
        <v>0</v>
      </c>
      <c r="AO32">
        <f t="shared" si="35"/>
        <v>0</v>
      </c>
      <c r="AP32">
        <f t="shared" si="36"/>
        <v>0</v>
      </c>
      <c r="AQ32">
        <f t="shared" si="37"/>
        <v>0</v>
      </c>
    </row>
    <row r="33" spans="1:43" x14ac:dyDescent="0.35">
      <c r="A33" s="51">
        <v>32</v>
      </c>
      <c r="B33" s="50" t="s">
        <v>96</v>
      </c>
      <c r="C33" s="55" t="s">
        <v>98</v>
      </c>
      <c r="D33" s="51" t="s">
        <v>67</v>
      </c>
      <c r="E33" s="67">
        <v>2496</v>
      </c>
      <c r="F33">
        <f t="shared" si="1"/>
        <v>0</v>
      </c>
      <c r="G33">
        <f t="shared" si="2"/>
        <v>0</v>
      </c>
      <c r="H33">
        <f t="shared" si="3"/>
        <v>0</v>
      </c>
      <c r="I33">
        <f t="shared" si="4"/>
        <v>2496</v>
      </c>
      <c r="J33">
        <f t="shared" si="5"/>
        <v>0</v>
      </c>
      <c r="K33">
        <f t="shared" si="6"/>
        <v>0</v>
      </c>
      <c r="L33">
        <f t="shared" si="7"/>
        <v>0</v>
      </c>
      <c r="M33">
        <f t="shared" si="8"/>
        <v>0</v>
      </c>
      <c r="N33">
        <f t="shared" si="9"/>
        <v>0</v>
      </c>
      <c r="O33">
        <f t="shared" si="10"/>
        <v>0</v>
      </c>
      <c r="P33">
        <f t="shared" si="11"/>
        <v>0</v>
      </c>
      <c r="Q33">
        <f t="shared" si="12"/>
        <v>0</v>
      </c>
      <c r="S33">
        <f t="shared" si="25"/>
        <v>57</v>
      </c>
      <c r="T33">
        <f t="shared" si="13"/>
        <v>39</v>
      </c>
      <c r="U33">
        <f t="shared" si="14"/>
        <v>39</v>
      </c>
      <c r="V33">
        <f t="shared" si="15"/>
        <v>46</v>
      </c>
      <c r="W33">
        <f t="shared" si="16"/>
        <v>126</v>
      </c>
      <c r="X33">
        <f t="shared" si="17"/>
        <v>122</v>
      </c>
      <c r="Y33">
        <f t="shared" si="18"/>
        <v>58</v>
      </c>
      <c r="Z33">
        <f t="shared" si="19"/>
        <v>40</v>
      </c>
      <c r="AA33">
        <f t="shared" si="20"/>
        <v>5</v>
      </c>
      <c r="AB33">
        <f t="shared" si="21"/>
        <v>7</v>
      </c>
      <c r="AC33">
        <f t="shared" si="22"/>
        <v>152</v>
      </c>
      <c r="AD33">
        <f t="shared" si="23"/>
        <v>44</v>
      </c>
      <c r="AF33">
        <f t="shared" si="26"/>
        <v>0</v>
      </c>
      <c r="AG33">
        <f t="shared" si="27"/>
        <v>0</v>
      </c>
      <c r="AH33">
        <f t="shared" si="28"/>
        <v>0</v>
      </c>
      <c r="AI33">
        <f t="shared" si="29"/>
        <v>0</v>
      </c>
      <c r="AJ33">
        <f t="shared" si="30"/>
        <v>0</v>
      </c>
      <c r="AK33">
        <f t="shared" si="31"/>
        <v>0</v>
      </c>
      <c r="AL33">
        <f t="shared" si="32"/>
        <v>0</v>
      </c>
      <c r="AM33">
        <f t="shared" si="33"/>
        <v>0</v>
      </c>
      <c r="AN33">
        <f t="shared" si="34"/>
        <v>0</v>
      </c>
      <c r="AO33">
        <f t="shared" si="35"/>
        <v>0</v>
      </c>
      <c r="AP33">
        <f t="shared" si="36"/>
        <v>0</v>
      </c>
      <c r="AQ33">
        <f t="shared" si="37"/>
        <v>0</v>
      </c>
    </row>
    <row r="34" spans="1:43" x14ac:dyDescent="0.35">
      <c r="A34" s="51">
        <v>33</v>
      </c>
      <c r="B34" s="50" t="s">
        <v>96</v>
      </c>
      <c r="C34" s="55" t="s">
        <v>99</v>
      </c>
      <c r="D34" s="51" t="s">
        <v>80</v>
      </c>
      <c r="E34" s="67">
        <v>2455</v>
      </c>
      <c r="F34">
        <f t="shared" si="1"/>
        <v>0</v>
      </c>
      <c r="G34">
        <f t="shared" si="2"/>
        <v>0</v>
      </c>
      <c r="H34">
        <f t="shared" si="3"/>
        <v>2455</v>
      </c>
      <c r="I34">
        <f t="shared" si="4"/>
        <v>0</v>
      </c>
      <c r="J34">
        <f t="shared" si="5"/>
        <v>0</v>
      </c>
      <c r="K34">
        <f t="shared" si="6"/>
        <v>0</v>
      </c>
      <c r="L34">
        <f t="shared" si="7"/>
        <v>0</v>
      </c>
      <c r="M34">
        <f t="shared" si="8"/>
        <v>0</v>
      </c>
      <c r="N34">
        <f t="shared" si="9"/>
        <v>0</v>
      </c>
      <c r="O34">
        <f t="shared" si="10"/>
        <v>0</v>
      </c>
      <c r="P34">
        <f t="shared" si="11"/>
        <v>0</v>
      </c>
      <c r="Q34">
        <f t="shared" si="12"/>
        <v>0</v>
      </c>
      <c r="S34">
        <f t="shared" si="25"/>
        <v>57</v>
      </c>
      <c r="T34">
        <f t="shared" si="13"/>
        <v>39</v>
      </c>
      <c r="U34">
        <f t="shared" si="14"/>
        <v>39</v>
      </c>
      <c r="V34">
        <f t="shared" si="15"/>
        <v>45</v>
      </c>
      <c r="W34">
        <f t="shared" si="16"/>
        <v>126</v>
      </c>
      <c r="X34">
        <f t="shared" si="17"/>
        <v>122</v>
      </c>
      <c r="Y34">
        <f t="shared" si="18"/>
        <v>58</v>
      </c>
      <c r="Z34">
        <f t="shared" si="19"/>
        <v>40</v>
      </c>
      <c r="AA34">
        <f t="shared" si="20"/>
        <v>5</v>
      </c>
      <c r="AB34">
        <f t="shared" si="21"/>
        <v>7</v>
      </c>
      <c r="AC34">
        <f t="shared" si="22"/>
        <v>152</v>
      </c>
      <c r="AD34">
        <f t="shared" si="23"/>
        <v>44</v>
      </c>
      <c r="AF34">
        <f t="shared" si="26"/>
        <v>0</v>
      </c>
      <c r="AG34">
        <f t="shared" si="27"/>
        <v>0</v>
      </c>
      <c r="AH34">
        <f t="shared" si="28"/>
        <v>0</v>
      </c>
      <c r="AI34">
        <f t="shared" si="29"/>
        <v>0</v>
      </c>
      <c r="AJ34">
        <f t="shared" si="30"/>
        <v>0</v>
      </c>
      <c r="AK34">
        <f t="shared" si="31"/>
        <v>0</v>
      </c>
      <c r="AL34">
        <f t="shared" si="32"/>
        <v>0</v>
      </c>
      <c r="AM34">
        <f t="shared" si="33"/>
        <v>0</v>
      </c>
      <c r="AN34">
        <f t="shared" si="34"/>
        <v>0</v>
      </c>
      <c r="AO34">
        <f t="shared" si="35"/>
        <v>0</v>
      </c>
      <c r="AP34">
        <f t="shared" si="36"/>
        <v>0</v>
      </c>
      <c r="AQ34">
        <f t="shared" si="37"/>
        <v>0</v>
      </c>
    </row>
    <row r="35" spans="1:43" x14ac:dyDescent="0.35">
      <c r="A35" s="51">
        <v>34</v>
      </c>
      <c r="B35" s="50" t="s">
        <v>100</v>
      </c>
      <c r="C35" s="55" t="s">
        <v>101</v>
      </c>
      <c r="D35" s="51" t="s">
        <v>102</v>
      </c>
      <c r="E35" s="67">
        <v>3319</v>
      </c>
      <c r="F35">
        <f t="shared" si="1"/>
        <v>0</v>
      </c>
      <c r="G35">
        <f t="shared" si="2"/>
        <v>0</v>
      </c>
      <c r="H35">
        <f t="shared" si="3"/>
        <v>0</v>
      </c>
      <c r="I35">
        <f t="shared" si="4"/>
        <v>0</v>
      </c>
      <c r="J35">
        <f t="shared" si="5"/>
        <v>0</v>
      </c>
      <c r="K35">
        <f t="shared" si="6"/>
        <v>0</v>
      </c>
      <c r="L35">
        <f t="shared" si="7"/>
        <v>0</v>
      </c>
      <c r="M35">
        <f t="shared" si="8"/>
        <v>0</v>
      </c>
      <c r="N35">
        <f t="shared" si="9"/>
        <v>0</v>
      </c>
      <c r="O35">
        <f t="shared" si="10"/>
        <v>3319</v>
      </c>
      <c r="P35">
        <f t="shared" si="11"/>
        <v>0</v>
      </c>
      <c r="Q35">
        <f t="shared" si="12"/>
        <v>0</v>
      </c>
      <c r="S35">
        <f t="shared" si="25"/>
        <v>57</v>
      </c>
      <c r="T35">
        <f t="shared" si="13"/>
        <v>39</v>
      </c>
      <c r="U35">
        <f t="shared" si="14"/>
        <v>38</v>
      </c>
      <c r="V35">
        <f t="shared" si="15"/>
        <v>45</v>
      </c>
      <c r="W35">
        <f t="shared" si="16"/>
        <v>126</v>
      </c>
      <c r="X35">
        <f t="shared" si="17"/>
        <v>122</v>
      </c>
      <c r="Y35">
        <f t="shared" si="18"/>
        <v>58</v>
      </c>
      <c r="Z35">
        <f t="shared" si="19"/>
        <v>40</v>
      </c>
      <c r="AA35">
        <f t="shared" si="20"/>
        <v>5</v>
      </c>
      <c r="AB35">
        <f t="shared" si="21"/>
        <v>7</v>
      </c>
      <c r="AC35">
        <f t="shared" si="22"/>
        <v>152</v>
      </c>
      <c r="AD35">
        <f t="shared" si="23"/>
        <v>44</v>
      </c>
      <c r="AF35">
        <f t="shared" si="26"/>
        <v>0</v>
      </c>
      <c r="AG35">
        <f t="shared" si="27"/>
        <v>0</v>
      </c>
      <c r="AH35">
        <f t="shared" si="28"/>
        <v>0</v>
      </c>
      <c r="AI35">
        <f t="shared" si="29"/>
        <v>0</v>
      </c>
      <c r="AJ35">
        <f t="shared" si="30"/>
        <v>0</v>
      </c>
      <c r="AK35">
        <f t="shared" si="31"/>
        <v>0</v>
      </c>
      <c r="AL35">
        <f t="shared" si="32"/>
        <v>0</v>
      </c>
      <c r="AM35">
        <f t="shared" si="33"/>
        <v>0</v>
      </c>
      <c r="AN35">
        <f t="shared" si="34"/>
        <v>0</v>
      </c>
      <c r="AO35">
        <f t="shared" si="35"/>
        <v>3319</v>
      </c>
      <c r="AP35">
        <f t="shared" si="36"/>
        <v>0</v>
      </c>
      <c r="AQ35">
        <f t="shared" si="37"/>
        <v>0</v>
      </c>
    </row>
    <row r="36" spans="1:43" x14ac:dyDescent="0.35">
      <c r="A36" s="51">
        <v>35</v>
      </c>
      <c r="B36" s="50" t="s">
        <v>100</v>
      </c>
      <c r="C36" s="55" t="s">
        <v>103</v>
      </c>
      <c r="D36" s="51" t="s">
        <v>54</v>
      </c>
      <c r="E36" s="67">
        <v>3070</v>
      </c>
      <c r="F36">
        <f t="shared" si="1"/>
        <v>0</v>
      </c>
      <c r="G36">
        <f t="shared" si="2"/>
        <v>0</v>
      </c>
      <c r="H36">
        <f t="shared" si="3"/>
        <v>0</v>
      </c>
      <c r="I36">
        <f t="shared" si="4"/>
        <v>0</v>
      </c>
      <c r="J36">
        <f t="shared" si="5"/>
        <v>0</v>
      </c>
      <c r="K36">
        <f t="shared" si="6"/>
        <v>3070</v>
      </c>
      <c r="L36">
        <f t="shared" si="7"/>
        <v>0</v>
      </c>
      <c r="M36">
        <f t="shared" si="8"/>
        <v>0</v>
      </c>
      <c r="N36">
        <f t="shared" si="9"/>
        <v>0</v>
      </c>
      <c r="O36">
        <f t="shared" si="10"/>
        <v>0</v>
      </c>
      <c r="P36">
        <f t="shared" si="11"/>
        <v>0</v>
      </c>
      <c r="Q36">
        <f t="shared" si="12"/>
        <v>0</v>
      </c>
      <c r="S36">
        <f t="shared" si="25"/>
        <v>57</v>
      </c>
      <c r="T36">
        <f t="shared" si="13"/>
        <v>39</v>
      </c>
      <c r="U36">
        <f t="shared" si="14"/>
        <v>38</v>
      </c>
      <c r="V36">
        <f t="shared" si="15"/>
        <v>45</v>
      </c>
      <c r="W36">
        <f t="shared" si="16"/>
        <v>126</v>
      </c>
      <c r="X36">
        <f t="shared" si="17"/>
        <v>122</v>
      </c>
      <c r="Y36">
        <f t="shared" si="18"/>
        <v>58</v>
      </c>
      <c r="Z36">
        <f t="shared" si="19"/>
        <v>40</v>
      </c>
      <c r="AA36">
        <f t="shared" si="20"/>
        <v>5</v>
      </c>
      <c r="AB36">
        <f t="shared" si="21"/>
        <v>6</v>
      </c>
      <c r="AC36">
        <f t="shared" si="22"/>
        <v>152</v>
      </c>
      <c r="AD36">
        <f t="shared" si="23"/>
        <v>44</v>
      </c>
      <c r="AF36">
        <f t="shared" si="26"/>
        <v>0</v>
      </c>
      <c r="AG36">
        <f t="shared" si="27"/>
        <v>0</v>
      </c>
      <c r="AH36">
        <f t="shared" si="28"/>
        <v>0</v>
      </c>
      <c r="AI36">
        <f t="shared" si="29"/>
        <v>0</v>
      </c>
      <c r="AJ36">
        <f t="shared" si="30"/>
        <v>0</v>
      </c>
      <c r="AK36">
        <f t="shared" si="31"/>
        <v>0</v>
      </c>
      <c r="AL36">
        <f t="shared" si="32"/>
        <v>0</v>
      </c>
      <c r="AM36">
        <f t="shared" si="33"/>
        <v>0</v>
      </c>
      <c r="AN36">
        <f t="shared" si="34"/>
        <v>0</v>
      </c>
      <c r="AO36">
        <f t="shared" si="35"/>
        <v>0</v>
      </c>
      <c r="AP36">
        <f t="shared" si="36"/>
        <v>0</v>
      </c>
      <c r="AQ36">
        <f t="shared" si="37"/>
        <v>0</v>
      </c>
    </row>
    <row r="37" spans="1:43" x14ac:dyDescent="0.35">
      <c r="A37" s="51">
        <v>36</v>
      </c>
      <c r="B37" s="50" t="s">
        <v>100</v>
      </c>
      <c r="C37" s="55" t="s">
        <v>104</v>
      </c>
      <c r="D37" s="51" t="s">
        <v>60</v>
      </c>
      <c r="E37" s="67">
        <v>2555</v>
      </c>
      <c r="F37">
        <f t="shared" si="1"/>
        <v>0</v>
      </c>
      <c r="G37">
        <f t="shared" si="2"/>
        <v>0</v>
      </c>
      <c r="H37">
        <f t="shared" si="3"/>
        <v>0</v>
      </c>
      <c r="I37">
        <f t="shared" si="4"/>
        <v>0</v>
      </c>
      <c r="J37">
        <f t="shared" si="5"/>
        <v>2555</v>
      </c>
      <c r="K37">
        <f t="shared" si="6"/>
        <v>0</v>
      </c>
      <c r="L37">
        <f t="shared" si="7"/>
        <v>0</v>
      </c>
      <c r="M37">
        <f t="shared" si="8"/>
        <v>0</v>
      </c>
      <c r="N37">
        <f t="shared" si="9"/>
        <v>0</v>
      </c>
      <c r="O37">
        <f t="shared" si="10"/>
        <v>0</v>
      </c>
      <c r="P37">
        <f t="shared" si="11"/>
        <v>0</v>
      </c>
      <c r="Q37">
        <f t="shared" si="12"/>
        <v>0</v>
      </c>
      <c r="S37">
        <f t="shared" si="25"/>
        <v>57</v>
      </c>
      <c r="T37">
        <f t="shared" si="13"/>
        <v>39</v>
      </c>
      <c r="U37">
        <f t="shared" si="14"/>
        <v>38</v>
      </c>
      <c r="V37">
        <f t="shared" si="15"/>
        <v>45</v>
      </c>
      <c r="W37">
        <f t="shared" si="16"/>
        <v>126</v>
      </c>
      <c r="X37">
        <f t="shared" si="17"/>
        <v>121</v>
      </c>
      <c r="Y37">
        <f t="shared" si="18"/>
        <v>58</v>
      </c>
      <c r="Z37">
        <f t="shared" si="19"/>
        <v>40</v>
      </c>
      <c r="AA37">
        <f t="shared" si="20"/>
        <v>5</v>
      </c>
      <c r="AB37">
        <f t="shared" si="21"/>
        <v>6</v>
      </c>
      <c r="AC37">
        <f t="shared" si="22"/>
        <v>152</v>
      </c>
      <c r="AD37">
        <f t="shared" si="23"/>
        <v>44</v>
      </c>
      <c r="AF37">
        <f t="shared" si="26"/>
        <v>0</v>
      </c>
      <c r="AG37">
        <f t="shared" si="27"/>
        <v>0</v>
      </c>
      <c r="AH37">
        <f t="shared" si="28"/>
        <v>0</v>
      </c>
      <c r="AI37">
        <f t="shared" si="29"/>
        <v>0</v>
      </c>
      <c r="AJ37">
        <f t="shared" si="30"/>
        <v>0</v>
      </c>
      <c r="AK37">
        <f t="shared" si="31"/>
        <v>0</v>
      </c>
      <c r="AL37">
        <f t="shared" si="32"/>
        <v>0</v>
      </c>
      <c r="AM37">
        <f t="shared" si="33"/>
        <v>0</v>
      </c>
      <c r="AN37">
        <f t="shared" si="34"/>
        <v>0</v>
      </c>
      <c r="AO37">
        <f t="shared" si="35"/>
        <v>0</v>
      </c>
      <c r="AP37">
        <f t="shared" si="36"/>
        <v>0</v>
      </c>
      <c r="AQ37">
        <f t="shared" si="37"/>
        <v>0</v>
      </c>
    </row>
    <row r="38" spans="1:43" x14ac:dyDescent="0.35">
      <c r="A38" s="51">
        <v>37</v>
      </c>
      <c r="B38" s="50" t="s">
        <v>100</v>
      </c>
      <c r="C38" s="55" t="s">
        <v>105</v>
      </c>
      <c r="D38" s="51" t="s">
        <v>57</v>
      </c>
      <c r="E38" s="67">
        <v>2887</v>
      </c>
      <c r="F38">
        <f t="shared" si="1"/>
        <v>0</v>
      </c>
      <c r="G38">
        <f t="shared" si="2"/>
        <v>0</v>
      </c>
      <c r="H38">
        <f t="shared" si="3"/>
        <v>0</v>
      </c>
      <c r="I38">
        <f t="shared" si="4"/>
        <v>0</v>
      </c>
      <c r="J38">
        <f t="shared" si="5"/>
        <v>0</v>
      </c>
      <c r="K38">
        <f t="shared" si="6"/>
        <v>0</v>
      </c>
      <c r="L38">
        <f t="shared" si="7"/>
        <v>0</v>
      </c>
      <c r="M38">
        <f t="shared" si="8"/>
        <v>2887</v>
      </c>
      <c r="N38">
        <f t="shared" si="9"/>
        <v>0</v>
      </c>
      <c r="O38">
        <f t="shared" si="10"/>
        <v>0</v>
      </c>
      <c r="P38">
        <f t="shared" si="11"/>
        <v>0</v>
      </c>
      <c r="Q38">
        <f t="shared" si="12"/>
        <v>0</v>
      </c>
      <c r="S38">
        <f t="shared" si="25"/>
        <v>57</v>
      </c>
      <c r="T38">
        <f t="shared" si="13"/>
        <v>39</v>
      </c>
      <c r="U38">
        <f t="shared" si="14"/>
        <v>38</v>
      </c>
      <c r="V38">
        <f t="shared" si="15"/>
        <v>45</v>
      </c>
      <c r="W38">
        <f t="shared" si="16"/>
        <v>125</v>
      </c>
      <c r="X38">
        <f t="shared" si="17"/>
        <v>121</v>
      </c>
      <c r="Y38">
        <f t="shared" si="18"/>
        <v>58</v>
      </c>
      <c r="Z38">
        <f t="shared" si="19"/>
        <v>40</v>
      </c>
      <c r="AA38">
        <f t="shared" si="20"/>
        <v>5</v>
      </c>
      <c r="AB38">
        <f t="shared" si="21"/>
        <v>6</v>
      </c>
      <c r="AC38">
        <f t="shared" si="22"/>
        <v>152</v>
      </c>
      <c r="AD38">
        <f t="shared" si="23"/>
        <v>44</v>
      </c>
      <c r="AF38">
        <f t="shared" si="26"/>
        <v>0</v>
      </c>
      <c r="AG38">
        <f t="shared" si="27"/>
        <v>0</v>
      </c>
      <c r="AH38">
        <f t="shared" si="28"/>
        <v>0</v>
      </c>
      <c r="AI38">
        <f t="shared" si="29"/>
        <v>0</v>
      </c>
      <c r="AJ38">
        <f t="shared" si="30"/>
        <v>0</v>
      </c>
      <c r="AK38">
        <f t="shared" si="31"/>
        <v>0</v>
      </c>
      <c r="AL38">
        <f t="shared" si="32"/>
        <v>0</v>
      </c>
      <c r="AM38">
        <f t="shared" si="33"/>
        <v>0</v>
      </c>
      <c r="AN38">
        <f t="shared" si="34"/>
        <v>0</v>
      </c>
      <c r="AO38">
        <f t="shared" si="35"/>
        <v>0</v>
      </c>
      <c r="AP38">
        <f t="shared" si="36"/>
        <v>0</v>
      </c>
      <c r="AQ38">
        <f t="shared" si="37"/>
        <v>0</v>
      </c>
    </row>
    <row r="39" spans="1:43" x14ac:dyDescent="0.35">
      <c r="A39" s="51">
        <v>38</v>
      </c>
      <c r="B39" s="50" t="s">
        <v>106</v>
      </c>
      <c r="C39" s="55" t="s">
        <v>107</v>
      </c>
      <c r="D39" s="51" t="s">
        <v>54</v>
      </c>
      <c r="E39" s="67">
        <v>2996.9358226381464</v>
      </c>
      <c r="F39">
        <f t="shared" si="1"/>
        <v>0</v>
      </c>
      <c r="G39">
        <f t="shared" si="2"/>
        <v>0</v>
      </c>
      <c r="H39">
        <f t="shared" si="3"/>
        <v>0</v>
      </c>
      <c r="I39">
        <f t="shared" si="4"/>
        <v>0</v>
      </c>
      <c r="J39">
        <f t="shared" si="5"/>
        <v>0</v>
      </c>
      <c r="K39">
        <f t="shared" si="6"/>
        <v>2996.9358226381464</v>
      </c>
      <c r="L39">
        <f t="shared" si="7"/>
        <v>0</v>
      </c>
      <c r="M39">
        <f t="shared" si="8"/>
        <v>0</v>
      </c>
      <c r="N39">
        <f t="shared" si="9"/>
        <v>0</v>
      </c>
      <c r="O39">
        <f t="shared" si="10"/>
        <v>0</v>
      </c>
      <c r="P39">
        <f t="shared" si="11"/>
        <v>0</v>
      </c>
      <c r="Q39">
        <f t="shared" si="12"/>
        <v>0</v>
      </c>
      <c r="S39">
        <f t="shared" si="25"/>
        <v>57</v>
      </c>
      <c r="T39">
        <f t="shared" si="13"/>
        <v>39</v>
      </c>
      <c r="U39">
        <f t="shared" si="14"/>
        <v>38</v>
      </c>
      <c r="V39">
        <f t="shared" si="15"/>
        <v>45</v>
      </c>
      <c r="W39">
        <f t="shared" si="16"/>
        <v>125</v>
      </c>
      <c r="X39">
        <f t="shared" si="17"/>
        <v>121</v>
      </c>
      <c r="Y39">
        <f t="shared" si="18"/>
        <v>58</v>
      </c>
      <c r="Z39">
        <f t="shared" si="19"/>
        <v>39</v>
      </c>
      <c r="AA39">
        <f t="shared" si="20"/>
        <v>5</v>
      </c>
      <c r="AB39">
        <f t="shared" si="21"/>
        <v>6</v>
      </c>
      <c r="AC39">
        <f t="shared" si="22"/>
        <v>152</v>
      </c>
      <c r="AD39">
        <f t="shared" si="23"/>
        <v>44</v>
      </c>
      <c r="AF39">
        <f t="shared" si="26"/>
        <v>0</v>
      </c>
      <c r="AG39">
        <f t="shared" si="27"/>
        <v>0</v>
      </c>
      <c r="AH39">
        <f t="shared" si="28"/>
        <v>0</v>
      </c>
      <c r="AI39">
        <f t="shared" si="29"/>
        <v>0</v>
      </c>
      <c r="AJ39">
        <f t="shared" si="30"/>
        <v>0</v>
      </c>
      <c r="AK39">
        <f t="shared" si="31"/>
        <v>0</v>
      </c>
      <c r="AL39">
        <f t="shared" si="32"/>
        <v>0</v>
      </c>
      <c r="AM39">
        <f t="shared" si="33"/>
        <v>0</v>
      </c>
      <c r="AN39">
        <f t="shared" si="34"/>
        <v>0</v>
      </c>
      <c r="AO39">
        <f t="shared" si="35"/>
        <v>0</v>
      </c>
      <c r="AP39">
        <f t="shared" si="36"/>
        <v>0</v>
      </c>
      <c r="AQ39">
        <f t="shared" si="37"/>
        <v>0</v>
      </c>
    </row>
    <row r="40" spans="1:43" x14ac:dyDescent="0.35">
      <c r="A40" s="51">
        <v>39</v>
      </c>
      <c r="B40" s="50" t="s">
        <v>106</v>
      </c>
      <c r="C40" s="55" t="s">
        <v>108</v>
      </c>
      <c r="D40" s="51" t="s">
        <v>60</v>
      </c>
      <c r="E40" s="67">
        <v>3683.4255366498742</v>
      </c>
      <c r="F40">
        <f t="shared" si="1"/>
        <v>0</v>
      </c>
      <c r="G40">
        <f t="shared" si="2"/>
        <v>0</v>
      </c>
      <c r="H40">
        <f t="shared" si="3"/>
        <v>0</v>
      </c>
      <c r="I40">
        <f t="shared" si="4"/>
        <v>0</v>
      </c>
      <c r="J40">
        <f t="shared" si="5"/>
        <v>3683.4255366498742</v>
      </c>
      <c r="K40">
        <f t="shared" si="6"/>
        <v>0</v>
      </c>
      <c r="L40">
        <f t="shared" si="7"/>
        <v>0</v>
      </c>
      <c r="M40">
        <f t="shared" si="8"/>
        <v>0</v>
      </c>
      <c r="N40">
        <f t="shared" si="9"/>
        <v>0</v>
      </c>
      <c r="O40">
        <f t="shared" si="10"/>
        <v>0</v>
      </c>
      <c r="P40">
        <f t="shared" si="11"/>
        <v>0</v>
      </c>
      <c r="Q40">
        <f t="shared" si="12"/>
        <v>0</v>
      </c>
      <c r="S40">
        <f t="shared" si="25"/>
        <v>57</v>
      </c>
      <c r="T40">
        <f t="shared" si="13"/>
        <v>39</v>
      </c>
      <c r="U40">
        <f t="shared" si="14"/>
        <v>38</v>
      </c>
      <c r="V40">
        <f t="shared" si="15"/>
        <v>45</v>
      </c>
      <c r="W40">
        <f t="shared" si="16"/>
        <v>125</v>
      </c>
      <c r="X40">
        <f t="shared" si="17"/>
        <v>120</v>
      </c>
      <c r="Y40">
        <f t="shared" si="18"/>
        <v>58</v>
      </c>
      <c r="Z40">
        <f t="shared" si="19"/>
        <v>39</v>
      </c>
      <c r="AA40">
        <f t="shared" si="20"/>
        <v>5</v>
      </c>
      <c r="AB40">
        <f t="shared" si="21"/>
        <v>6</v>
      </c>
      <c r="AC40">
        <f t="shared" si="22"/>
        <v>152</v>
      </c>
      <c r="AD40">
        <f t="shared" si="23"/>
        <v>44</v>
      </c>
      <c r="AF40">
        <f t="shared" si="26"/>
        <v>0</v>
      </c>
      <c r="AG40">
        <f t="shared" si="27"/>
        <v>0</v>
      </c>
      <c r="AH40">
        <f t="shared" si="28"/>
        <v>0</v>
      </c>
      <c r="AI40">
        <f t="shared" si="29"/>
        <v>0</v>
      </c>
      <c r="AJ40">
        <f t="shared" si="30"/>
        <v>0</v>
      </c>
      <c r="AK40">
        <f t="shared" si="31"/>
        <v>0</v>
      </c>
      <c r="AL40">
        <f t="shared" si="32"/>
        <v>0</v>
      </c>
      <c r="AM40">
        <f t="shared" si="33"/>
        <v>0</v>
      </c>
      <c r="AN40">
        <f t="shared" si="34"/>
        <v>0</v>
      </c>
      <c r="AO40">
        <f t="shared" si="35"/>
        <v>0</v>
      </c>
      <c r="AP40">
        <f t="shared" si="36"/>
        <v>0</v>
      </c>
      <c r="AQ40">
        <f t="shared" si="37"/>
        <v>0</v>
      </c>
    </row>
    <row r="41" spans="1:43" x14ac:dyDescent="0.35">
      <c r="A41" s="51">
        <v>40</v>
      </c>
      <c r="B41" s="50" t="s">
        <v>106</v>
      </c>
      <c r="C41" s="55" t="s">
        <v>109</v>
      </c>
      <c r="D41" s="51" t="s">
        <v>54</v>
      </c>
      <c r="E41" s="67">
        <v>3457.3403713088123</v>
      </c>
      <c r="F41">
        <f t="shared" si="1"/>
        <v>0</v>
      </c>
      <c r="G41">
        <f t="shared" si="2"/>
        <v>0</v>
      </c>
      <c r="H41">
        <f t="shared" si="3"/>
        <v>0</v>
      </c>
      <c r="I41">
        <f t="shared" si="4"/>
        <v>0</v>
      </c>
      <c r="J41">
        <f t="shared" si="5"/>
        <v>0</v>
      </c>
      <c r="K41">
        <f t="shared" si="6"/>
        <v>3457.3403713088123</v>
      </c>
      <c r="L41">
        <f t="shared" si="7"/>
        <v>0</v>
      </c>
      <c r="M41">
        <f t="shared" si="8"/>
        <v>0</v>
      </c>
      <c r="N41">
        <f t="shared" si="9"/>
        <v>0</v>
      </c>
      <c r="O41">
        <f t="shared" si="10"/>
        <v>0</v>
      </c>
      <c r="P41">
        <f t="shared" si="11"/>
        <v>0</v>
      </c>
      <c r="Q41">
        <f t="shared" si="12"/>
        <v>0</v>
      </c>
      <c r="S41">
        <f t="shared" si="25"/>
        <v>57</v>
      </c>
      <c r="T41">
        <f t="shared" si="13"/>
        <v>39</v>
      </c>
      <c r="U41">
        <f t="shared" si="14"/>
        <v>38</v>
      </c>
      <c r="V41">
        <f t="shared" si="15"/>
        <v>45</v>
      </c>
      <c r="W41">
        <f t="shared" si="16"/>
        <v>124</v>
      </c>
      <c r="X41">
        <f t="shared" si="17"/>
        <v>120</v>
      </c>
      <c r="Y41">
        <f t="shared" si="18"/>
        <v>58</v>
      </c>
      <c r="Z41">
        <f t="shared" si="19"/>
        <v>39</v>
      </c>
      <c r="AA41">
        <f t="shared" si="20"/>
        <v>5</v>
      </c>
      <c r="AB41">
        <f t="shared" si="21"/>
        <v>6</v>
      </c>
      <c r="AC41">
        <f t="shared" si="22"/>
        <v>152</v>
      </c>
      <c r="AD41">
        <f t="shared" si="23"/>
        <v>44</v>
      </c>
      <c r="AF41">
        <f t="shared" si="26"/>
        <v>0</v>
      </c>
      <c r="AG41">
        <f t="shared" si="27"/>
        <v>0</v>
      </c>
      <c r="AH41">
        <f t="shared" si="28"/>
        <v>0</v>
      </c>
      <c r="AI41">
        <f t="shared" si="29"/>
        <v>0</v>
      </c>
      <c r="AJ41">
        <f t="shared" si="30"/>
        <v>0</v>
      </c>
      <c r="AK41">
        <f t="shared" si="31"/>
        <v>0</v>
      </c>
      <c r="AL41">
        <f t="shared" si="32"/>
        <v>0</v>
      </c>
      <c r="AM41">
        <f t="shared" si="33"/>
        <v>0</v>
      </c>
      <c r="AN41">
        <f t="shared" si="34"/>
        <v>0</v>
      </c>
      <c r="AO41">
        <f t="shared" si="35"/>
        <v>0</v>
      </c>
      <c r="AP41">
        <f t="shared" si="36"/>
        <v>0</v>
      </c>
      <c r="AQ41">
        <f t="shared" si="37"/>
        <v>0</v>
      </c>
    </row>
    <row r="42" spans="1:43" x14ac:dyDescent="0.35">
      <c r="A42" s="51">
        <v>41</v>
      </c>
      <c r="B42" s="50" t="s">
        <v>110</v>
      </c>
      <c r="C42" s="55" t="s">
        <v>111</v>
      </c>
      <c r="D42" s="51" t="s">
        <v>222</v>
      </c>
      <c r="E42" s="67">
        <v>2952</v>
      </c>
      <c r="F42">
        <f t="shared" si="1"/>
        <v>0</v>
      </c>
      <c r="G42">
        <f t="shared" si="2"/>
        <v>0</v>
      </c>
      <c r="H42">
        <f t="shared" si="3"/>
        <v>0</v>
      </c>
      <c r="I42">
        <f t="shared" si="4"/>
        <v>0</v>
      </c>
      <c r="J42">
        <f t="shared" si="5"/>
        <v>0</v>
      </c>
      <c r="K42">
        <f t="shared" si="6"/>
        <v>0</v>
      </c>
      <c r="L42">
        <f t="shared" si="7"/>
        <v>0</v>
      </c>
      <c r="M42">
        <f t="shared" si="8"/>
        <v>0</v>
      </c>
      <c r="N42">
        <f t="shared" si="9"/>
        <v>0</v>
      </c>
      <c r="O42">
        <f t="shared" si="10"/>
        <v>0</v>
      </c>
      <c r="P42">
        <f t="shared" si="11"/>
        <v>0</v>
      </c>
      <c r="Q42">
        <f t="shared" si="12"/>
        <v>2952</v>
      </c>
      <c r="S42">
        <f t="shared" si="25"/>
        <v>57</v>
      </c>
      <c r="T42">
        <f t="shared" si="13"/>
        <v>39</v>
      </c>
      <c r="U42">
        <f t="shared" si="14"/>
        <v>38</v>
      </c>
      <c r="V42">
        <f t="shared" si="15"/>
        <v>45</v>
      </c>
      <c r="W42">
        <f t="shared" si="16"/>
        <v>124</v>
      </c>
      <c r="X42">
        <f t="shared" si="17"/>
        <v>119</v>
      </c>
      <c r="Y42">
        <f t="shared" si="18"/>
        <v>58</v>
      </c>
      <c r="Z42">
        <f t="shared" si="19"/>
        <v>39</v>
      </c>
      <c r="AA42">
        <f t="shared" si="20"/>
        <v>5</v>
      </c>
      <c r="AB42">
        <f t="shared" si="21"/>
        <v>6</v>
      </c>
      <c r="AC42">
        <f t="shared" si="22"/>
        <v>152</v>
      </c>
      <c r="AD42">
        <f t="shared" si="23"/>
        <v>44</v>
      </c>
      <c r="AF42">
        <f t="shared" si="26"/>
        <v>0</v>
      </c>
      <c r="AG42">
        <f t="shared" si="27"/>
        <v>0</v>
      </c>
      <c r="AH42">
        <f t="shared" si="28"/>
        <v>0</v>
      </c>
      <c r="AI42">
        <f t="shared" si="29"/>
        <v>0</v>
      </c>
      <c r="AJ42">
        <f t="shared" si="30"/>
        <v>0</v>
      </c>
      <c r="AK42">
        <f t="shared" si="31"/>
        <v>0</v>
      </c>
      <c r="AL42">
        <f t="shared" si="32"/>
        <v>0</v>
      </c>
      <c r="AM42">
        <f t="shared" si="33"/>
        <v>0</v>
      </c>
      <c r="AN42">
        <f t="shared" si="34"/>
        <v>0</v>
      </c>
      <c r="AO42">
        <f t="shared" si="35"/>
        <v>0</v>
      </c>
      <c r="AP42">
        <f t="shared" si="36"/>
        <v>0</v>
      </c>
      <c r="AQ42">
        <f t="shared" si="37"/>
        <v>0</v>
      </c>
    </row>
    <row r="43" spans="1:43" x14ac:dyDescent="0.35">
      <c r="A43" s="51">
        <v>42</v>
      </c>
      <c r="B43" s="50" t="s">
        <v>110</v>
      </c>
      <c r="C43" s="55" t="s">
        <v>112</v>
      </c>
      <c r="D43" s="51" t="s">
        <v>60</v>
      </c>
      <c r="E43" s="67">
        <v>3593</v>
      </c>
      <c r="F43">
        <f t="shared" si="1"/>
        <v>0</v>
      </c>
      <c r="G43">
        <f t="shared" si="2"/>
        <v>0</v>
      </c>
      <c r="H43">
        <f t="shared" si="3"/>
        <v>0</v>
      </c>
      <c r="I43">
        <f t="shared" si="4"/>
        <v>0</v>
      </c>
      <c r="J43">
        <f t="shared" si="5"/>
        <v>3593</v>
      </c>
      <c r="K43">
        <f t="shared" si="6"/>
        <v>0</v>
      </c>
      <c r="L43">
        <f t="shared" si="7"/>
        <v>0</v>
      </c>
      <c r="M43">
        <f t="shared" si="8"/>
        <v>0</v>
      </c>
      <c r="N43">
        <f t="shared" si="9"/>
        <v>0</v>
      </c>
      <c r="O43">
        <f t="shared" si="10"/>
        <v>0</v>
      </c>
      <c r="P43">
        <f t="shared" si="11"/>
        <v>0</v>
      </c>
      <c r="Q43">
        <f t="shared" si="12"/>
        <v>0</v>
      </c>
      <c r="S43">
        <f t="shared" si="25"/>
        <v>57</v>
      </c>
      <c r="T43">
        <f t="shared" si="13"/>
        <v>39</v>
      </c>
      <c r="U43">
        <f t="shared" si="14"/>
        <v>38</v>
      </c>
      <c r="V43">
        <f t="shared" si="15"/>
        <v>45</v>
      </c>
      <c r="W43">
        <f t="shared" si="16"/>
        <v>124</v>
      </c>
      <c r="X43">
        <f t="shared" si="17"/>
        <v>119</v>
      </c>
      <c r="Y43">
        <f t="shared" si="18"/>
        <v>58</v>
      </c>
      <c r="Z43">
        <f t="shared" si="19"/>
        <v>39</v>
      </c>
      <c r="AA43">
        <f t="shared" si="20"/>
        <v>5</v>
      </c>
      <c r="AB43">
        <f t="shared" si="21"/>
        <v>6</v>
      </c>
      <c r="AC43">
        <f t="shared" si="22"/>
        <v>152</v>
      </c>
      <c r="AD43">
        <f t="shared" si="23"/>
        <v>43</v>
      </c>
      <c r="AF43">
        <f t="shared" si="26"/>
        <v>0</v>
      </c>
      <c r="AG43">
        <f t="shared" si="27"/>
        <v>0</v>
      </c>
      <c r="AH43">
        <f t="shared" si="28"/>
        <v>0</v>
      </c>
      <c r="AI43">
        <f t="shared" si="29"/>
        <v>0</v>
      </c>
      <c r="AJ43">
        <f t="shared" si="30"/>
        <v>0</v>
      </c>
      <c r="AK43">
        <f t="shared" si="31"/>
        <v>0</v>
      </c>
      <c r="AL43">
        <f t="shared" si="32"/>
        <v>0</v>
      </c>
      <c r="AM43">
        <f t="shared" si="33"/>
        <v>0</v>
      </c>
      <c r="AN43">
        <f t="shared" si="34"/>
        <v>0</v>
      </c>
      <c r="AO43">
        <f t="shared" si="35"/>
        <v>0</v>
      </c>
      <c r="AP43">
        <f t="shared" si="36"/>
        <v>0</v>
      </c>
      <c r="AQ43">
        <f t="shared" si="37"/>
        <v>0</v>
      </c>
    </row>
    <row r="44" spans="1:43" x14ac:dyDescent="0.35">
      <c r="A44" s="51">
        <v>43</v>
      </c>
      <c r="B44" s="50" t="s">
        <v>110</v>
      </c>
      <c r="C44" s="55" t="s">
        <v>113</v>
      </c>
      <c r="D44" s="51" t="s">
        <v>94</v>
      </c>
      <c r="E44" s="67">
        <v>3683</v>
      </c>
      <c r="F44">
        <f t="shared" si="1"/>
        <v>0</v>
      </c>
      <c r="G44">
        <f t="shared" si="2"/>
        <v>0</v>
      </c>
      <c r="H44">
        <f t="shared" si="3"/>
        <v>0</v>
      </c>
      <c r="I44">
        <f t="shared" si="4"/>
        <v>0</v>
      </c>
      <c r="J44">
        <f t="shared" si="5"/>
        <v>0</v>
      </c>
      <c r="K44">
        <f t="shared" si="6"/>
        <v>0</v>
      </c>
      <c r="L44">
        <f t="shared" si="7"/>
        <v>3683</v>
      </c>
      <c r="M44">
        <f t="shared" si="8"/>
        <v>0</v>
      </c>
      <c r="N44">
        <f t="shared" si="9"/>
        <v>0</v>
      </c>
      <c r="O44">
        <f t="shared" si="10"/>
        <v>0</v>
      </c>
      <c r="P44">
        <f t="shared" si="11"/>
        <v>0</v>
      </c>
      <c r="Q44">
        <f t="shared" si="12"/>
        <v>0</v>
      </c>
      <c r="S44">
        <f t="shared" si="25"/>
        <v>57</v>
      </c>
      <c r="T44">
        <f t="shared" si="13"/>
        <v>39</v>
      </c>
      <c r="U44">
        <f t="shared" si="14"/>
        <v>38</v>
      </c>
      <c r="V44">
        <f t="shared" si="15"/>
        <v>45</v>
      </c>
      <c r="W44">
        <f t="shared" si="16"/>
        <v>123</v>
      </c>
      <c r="X44">
        <f t="shared" si="17"/>
        <v>119</v>
      </c>
      <c r="Y44">
        <f t="shared" si="18"/>
        <v>58</v>
      </c>
      <c r="Z44">
        <f t="shared" si="19"/>
        <v>39</v>
      </c>
      <c r="AA44">
        <f t="shared" si="20"/>
        <v>5</v>
      </c>
      <c r="AB44">
        <f t="shared" si="21"/>
        <v>6</v>
      </c>
      <c r="AC44">
        <f t="shared" si="22"/>
        <v>152</v>
      </c>
      <c r="AD44">
        <f t="shared" si="23"/>
        <v>43</v>
      </c>
      <c r="AF44">
        <f t="shared" si="26"/>
        <v>0</v>
      </c>
      <c r="AG44">
        <f t="shared" si="27"/>
        <v>0</v>
      </c>
      <c r="AH44">
        <f t="shared" si="28"/>
        <v>0</v>
      </c>
      <c r="AI44">
        <f t="shared" si="29"/>
        <v>0</v>
      </c>
      <c r="AJ44">
        <f t="shared" si="30"/>
        <v>0</v>
      </c>
      <c r="AK44">
        <f t="shared" si="31"/>
        <v>0</v>
      </c>
      <c r="AL44">
        <f t="shared" si="32"/>
        <v>0</v>
      </c>
      <c r="AM44">
        <f t="shared" si="33"/>
        <v>0</v>
      </c>
      <c r="AN44">
        <f t="shared" si="34"/>
        <v>0</v>
      </c>
      <c r="AO44">
        <f t="shared" si="35"/>
        <v>0</v>
      </c>
      <c r="AP44">
        <f t="shared" si="36"/>
        <v>0</v>
      </c>
      <c r="AQ44">
        <f t="shared" si="37"/>
        <v>0</v>
      </c>
    </row>
    <row r="45" spans="1:43" x14ac:dyDescent="0.35">
      <c r="A45" s="51">
        <v>44</v>
      </c>
      <c r="B45" s="50" t="s">
        <v>114</v>
      </c>
      <c r="C45" s="55" t="s">
        <v>115</v>
      </c>
      <c r="D45" s="51" t="s">
        <v>60</v>
      </c>
      <c r="E45" s="67">
        <v>2622</v>
      </c>
      <c r="F45">
        <f t="shared" si="1"/>
        <v>0</v>
      </c>
      <c r="G45">
        <f t="shared" si="2"/>
        <v>0</v>
      </c>
      <c r="H45">
        <f t="shared" si="3"/>
        <v>0</v>
      </c>
      <c r="I45">
        <f t="shared" si="4"/>
        <v>0</v>
      </c>
      <c r="J45">
        <f t="shared" si="5"/>
        <v>2622</v>
      </c>
      <c r="K45">
        <f t="shared" si="6"/>
        <v>0</v>
      </c>
      <c r="L45">
        <f t="shared" si="7"/>
        <v>0</v>
      </c>
      <c r="M45">
        <f t="shared" si="8"/>
        <v>0</v>
      </c>
      <c r="N45">
        <f t="shared" si="9"/>
        <v>0</v>
      </c>
      <c r="O45">
        <f t="shared" si="10"/>
        <v>0</v>
      </c>
      <c r="P45">
        <f t="shared" si="11"/>
        <v>0</v>
      </c>
      <c r="Q45">
        <f t="shared" si="12"/>
        <v>0</v>
      </c>
      <c r="S45">
        <f t="shared" si="25"/>
        <v>57</v>
      </c>
      <c r="T45">
        <f t="shared" si="13"/>
        <v>39</v>
      </c>
      <c r="U45">
        <f t="shared" si="14"/>
        <v>38</v>
      </c>
      <c r="V45">
        <f t="shared" si="15"/>
        <v>45</v>
      </c>
      <c r="W45">
        <f t="shared" si="16"/>
        <v>123</v>
      </c>
      <c r="X45">
        <f t="shared" si="17"/>
        <v>119</v>
      </c>
      <c r="Y45">
        <f t="shared" si="18"/>
        <v>57</v>
      </c>
      <c r="Z45">
        <f t="shared" si="19"/>
        <v>39</v>
      </c>
      <c r="AA45">
        <f t="shared" si="20"/>
        <v>5</v>
      </c>
      <c r="AB45">
        <f t="shared" si="21"/>
        <v>6</v>
      </c>
      <c r="AC45">
        <f t="shared" si="22"/>
        <v>152</v>
      </c>
      <c r="AD45">
        <f t="shared" si="23"/>
        <v>43</v>
      </c>
      <c r="AF45">
        <f t="shared" si="26"/>
        <v>0</v>
      </c>
      <c r="AG45">
        <f t="shared" si="27"/>
        <v>0</v>
      </c>
      <c r="AH45">
        <f t="shared" si="28"/>
        <v>0</v>
      </c>
      <c r="AI45">
        <f t="shared" si="29"/>
        <v>0</v>
      </c>
      <c r="AJ45">
        <f t="shared" si="30"/>
        <v>0</v>
      </c>
      <c r="AK45">
        <f t="shared" si="31"/>
        <v>0</v>
      </c>
      <c r="AL45">
        <f t="shared" si="32"/>
        <v>0</v>
      </c>
      <c r="AM45">
        <f t="shared" si="33"/>
        <v>0</v>
      </c>
      <c r="AN45">
        <f t="shared" si="34"/>
        <v>0</v>
      </c>
      <c r="AO45">
        <f t="shared" si="35"/>
        <v>0</v>
      </c>
      <c r="AP45">
        <f t="shared" si="36"/>
        <v>0</v>
      </c>
      <c r="AQ45">
        <f t="shared" si="37"/>
        <v>0</v>
      </c>
    </row>
    <row r="46" spans="1:43" x14ac:dyDescent="0.35">
      <c r="A46" s="51">
        <v>45</v>
      </c>
      <c r="B46" s="50" t="s">
        <v>114</v>
      </c>
      <c r="C46" s="55" t="s">
        <v>116</v>
      </c>
      <c r="D46" s="51" t="s">
        <v>54</v>
      </c>
      <c r="E46" s="67">
        <v>3327</v>
      </c>
      <c r="F46">
        <f t="shared" si="1"/>
        <v>0</v>
      </c>
      <c r="G46">
        <f t="shared" si="2"/>
        <v>0</v>
      </c>
      <c r="H46">
        <f t="shared" si="3"/>
        <v>0</v>
      </c>
      <c r="I46">
        <f t="shared" si="4"/>
        <v>0</v>
      </c>
      <c r="J46">
        <f t="shared" si="5"/>
        <v>0</v>
      </c>
      <c r="K46">
        <f t="shared" si="6"/>
        <v>3327</v>
      </c>
      <c r="L46">
        <f t="shared" si="7"/>
        <v>0</v>
      </c>
      <c r="M46">
        <f t="shared" si="8"/>
        <v>0</v>
      </c>
      <c r="N46">
        <f t="shared" si="9"/>
        <v>0</v>
      </c>
      <c r="O46">
        <f t="shared" si="10"/>
        <v>0</v>
      </c>
      <c r="P46">
        <f t="shared" si="11"/>
        <v>0</v>
      </c>
      <c r="Q46">
        <f t="shared" si="12"/>
        <v>0</v>
      </c>
      <c r="S46">
        <f t="shared" si="25"/>
        <v>57</v>
      </c>
      <c r="T46">
        <f t="shared" si="13"/>
        <v>39</v>
      </c>
      <c r="U46">
        <f t="shared" si="14"/>
        <v>38</v>
      </c>
      <c r="V46">
        <f t="shared" si="15"/>
        <v>45</v>
      </c>
      <c r="W46">
        <f t="shared" si="16"/>
        <v>122</v>
      </c>
      <c r="X46">
        <f t="shared" si="17"/>
        <v>119</v>
      </c>
      <c r="Y46">
        <f t="shared" si="18"/>
        <v>57</v>
      </c>
      <c r="Z46">
        <f t="shared" si="19"/>
        <v>39</v>
      </c>
      <c r="AA46">
        <f t="shared" si="20"/>
        <v>5</v>
      </c>
      <c r="AB46">
        <f t="shared" si="21"/>
        <v>6</v>
      </c>
      <c r="AC46">
        <f t="shared" si="22"/>
        <v>152</v>
      </c>
      <c r="AD46">
        <f t="shared" si="23"/>
        <v>43</v>
      </c>
      <c r="AF46">
        <f t="shared" si="26"/>
        <v>0</v>
      </c>
      <c r="AG46">
        <f t="shared" si="27"/>
        <v>0</v>
      </c>
      <c r="AH46">
        <f t="shared" si="28"/>
        <v>0</v>
      </c>
      <c r="AI46">
        <f t="shared" si="29"/>
        <v>0</v>
      </c>
      <c r="AJ46">
        <f t="shared" si="30"/>
        <v>0</v>
      </c>
      <c r="AK46">
        <f t="shared" si="31"/>
        <v>0</v>
      </c>
      <c r="AL46">
        <f t="shared" si="32"/>
        <v>0</v>
      </c>
      <c r="AM46">
        <f t="shared" si="33"/>
        <v>0</v>
      </c>
      <c r="AN46">
        <f t="shared" si="34"/>
        <v>0</v>
      </c>
      <c r="AO46">
        <f t="shared" si="35"/>
        <v>0</v>
      </c>
      <c r="AP46">
        <f t="shared" si="36"/>
        <v>0</v>
      </c>
      <c r="AQ46">
        <f t="shared" si="37"/>
        <v>0</v>
      </c>
    </row>
    <row r="47" spans="1:43" x14ac:dyDescent="0.35">
      <c r="A47" s="51">
        <v>46</v>
      </c>
      <c r="B47" s="50" t="s">
        <v>114</v>
      </c>
      <c r="C47" s="55" t="s">
        <v>117</v>
      </c>
      <c r="D47" s="51" t="s">
        <v>67</v>
      </c>
      <c r="E47" s="67">
        <v>2548</v>
      </c>
      <c r="F47">
        <f t="shared" si="1"/>
        <v>0</v>
      </c>
      <c r="G47">
        <f t="shared" si="2"/>
        <v>0</v>
      </c>
      <c r="H47">
        <f t="shared" si="3"/>
        <v>0</v>
      </c>
      <c r="I47">
        <f t="shared" si="4"/>
        <v>2548</v>
      </c>
      <c r="J47">
        <f t="shared" si="5"/>
        <v>0</v>
      </c>
      <c r="K47">
        <f t="shared" si="6"/>
        <v>0</v>
      </c>
      <c r="L47">
        <f t="shared" si="7"/>
        <v>0</v>
      </c>
      <c r="M47">
        <f t="shared" si="8"/>
        <v>0</v>
      </c>
      <c r="N47">
        <f t="shared" si="9"/>
        <v>0</v>
      </c>
      <c r="O47">
        <f t="shared" si="10"/>
        <v>0</v>
      </c>
      <c r="P47">
        <f t="shared" si="11"/>
        <v>0</v>
      </c>
      <c r="Q47">
        <f t="shared" si="12"/>
        <v>0</v>
      </c>
      <c r="S47">
        <f t="shared" si="25"/>
        <v>57</v>
      </c>
      <c r="T47">
        <f t="shared" si="13"/>
        <v>39</v>
      </c>
      <c r="U47">
        <f t="shared" si="14"/>
        <v>38</v>
      </c>
      <c r="V47">
        <f t="shared" si="15"/>
        <v>45</v>
      </c>
      <c r="W47">
        <f t="shared" si="16"/>
        <v>122</v>
      </c>
      <c r="X47">
        <f t="shared" si="17"/>
        <v>118</v>
      </c>
      <c r="Y47">
        <f t="shared" si="18"/>
        <v>57</v>
      </c>
      <c r="Z47">
        <f t="shared" si="19"/>
        <v>39</v>
      </c>
      <c r="AA47">
        <f t="shared" si="20"/>
        <v>5</v>
      </c>
      <c r="AB47">
        <f t="shared" si="21"/>
        <v>6</v>
      </c>
      <c r="AC47">
        <f t="shared" si="22"/>
        <v>152</v>
      </c>
      <c r="AD47">
        <f t="shared" si="23"/>
        <v>43</v>
      </c>
      <c r="AF47">
        <f t="shared" si="26"/>
        <v>0</v>
      </c>
      <c r="AG47">
        <f t="shared" si="27"/>
        <v>0</v>
      </c>
      <c r="AH47">
        <f t="shared" si="28"/>
        <v>0</v>
      </c>
      <c r="AI47">
        <f t="shared" si="29"/>
        <v>0</v>
      </c>
      <c r="AJ47">
        <f t="shared" si="30"/>
        <v>0</v>
      </c>
      <c r="AK47">
        <f t="shared" si="31"/>
        <v>0</v>
      </c>
      <c r="AL47">
        <f t="shared" si="32"/>
        <v>0</v>
      </c>
      <c r="AM47">
        <f t="shared" si="33"/>
        <v>0</v>
      </c>
      <c r="AN47">
        <f t="shared" si="34"/>
        <v>0</v>
      </c>
      <c r="AO47">
        <f t="shared" si="35"/>
        <v>0</v>
      </c>
      <c r="AP47">
        <f t="shared" si="36"/>
        <v>0</v>
      </c>
      <c r="AQ47">
        <f t="shared" si="37"/>
        <v>0</v>
      </c>
    </row>
    <row r="48" spans="1:43" x14ac:dyDescent="0.35">
      <c r="A48" s="51">
        <v>47</v>
      </c>
      <c r="B48" s="50" t="s">
        <v>114</v>
      </c>
      <c r="C48" s="55" t="s">
        <v>118</v>
      </c>
      <c r="D48" s="51" t="s">
        <v>94</v>
      </c>
      <c r="E48" s="67">
        <v>3648</v>
      </c>
      <c r="F48">
        <f t="shared" si="1"/>
        <v>0</v>
      </c>
      <c r="G48">
        <f t="shared" si="2"/>
        <v>0</v>
      </c>
      <c r="H48">
        <f t="shared" si="3"/>
        <v>0</v>
      </c>
      <c r="I48">
        <f t="shared" si="4"/>
        <v>0</v>
      </c>
      <c r="J48">
        <f t="shared" si="5"/>
        <v>0</v>
      </c>
      <c r="K48">
        <f t="shared" si="6"/>
        <v>0</v>
      </c>
      <c r="L48">
        <f t="shared" si="7"/>
        <v>3648</v>
      </c>
      <c r="M48">
        <f t="shared" si="8"/>
        <v>0</v>
      </c>
      <c r="N48">
        <f t="shared" si="9"/>
        <v>0</v>
      </c>
      <c r="O48">
        <f t="shared" si="10"/>
        <v>0</v>
      </c>
      <c r="P48">
        <f t="shared" si="11"/>
        <v>0</v>
      </c>
      <c r="Q48">
        <f t="shared" si="12"/>
        <v>0</v>
      </c>
      <c r="S48">
        <f t="shared" si="25"/>
        <v>57</v>
      </c>
      <c r="T48">
        <f t="shared" si="13"/>
        <v>39</v>
      </c>
      <c r="U48">
        <f t="shared" si="14"/>
        <v>38</v>
      </c>
      <c r="V48">
        <f t="shared" si="15"/>
        <v>44</v>
      </c>
      <c r="W48">
        <f t="shared" si="16"/>
        <v>122</v>
      </c>
      <c r="X48">
        <f t="shared" si="17"/>
        <v>118</v>
      </c>
      <c r="Y48">
        <f t="shared" si="18"/>
        <v>57</v>
      </c>
      <c r="Z48">
        <f t="shared" si="19"/>
        <v>39</v>
      </c>
      <c r="AA48">
        <f t="shared" si="20"/>
        <v>5</v>
      </c>
      <c r="AB48">
        <f t="shared" si="21"/>
        <v>6</v>
      </c>
      <c r="AC48">
        <f t="shared" si="22"/>
        <v>152</v>
      </c>
      <c r="AD48">
        <f t="shared" si="23"/>
        <v>43</v>
      </c>
      <c r="AF48">
        <f t="shared" si="26"/>
        <v>0</v>
      </c>
      <c r="AG48">
        <f t="shared" si="27"/>
        <v>0</v>
      </c>
      <c r="AH48">
        <f t="shared" si="28"/>
        <v>0</v>
      </c>
      <c r="AI48">
        <f t="shared" si="29"/>
        <v>0</v>
      </c>
      <c r="AJ48">
        <f t="shared" si="30"/>
        <v>0</v>
      </c>
      <c r="AK48">
        <f t="shared" si="31"/>
        <v>0</v>
      </c>
      <c r="AL48">
        <f t="shared" si="32"/>
        <v>0</v>
      </c>
      <c r="AM48">
        <f t="shared" si="33"/>
        <v>0</v>
      </c>
      <c r="AN48">
        <f t="shared" si="34"/>
        <v>0</v>
      </c>
      <c r="AO48">
        <f t="shared" si="35"/>
        <v>0</v>
      </c>
      <c r="AP48">
        <f t="shared" si="36"/>
        <v>0</v>
      </c>
      <c r="AQ48">
        <f t="shared" si="37"/>
        <v>0</v>
      </c>
    </row>
    <row r="49" spans="1:43" x14ac:dyDescent="0.35">
      <c r="A49" s="51">
        <v>48</v>
      </c>
      <c r="B49" s="50" t="s">
        <v>119</v>
      </c>
      <c r="C49" s="55" t="s">
        <v>120</v>
      </c>
      <c r="D49" s="51" t="s">
        <v>60</v>
      </c>
      <c r="E49" s="67">
        <v>2600</v>
      </c>
      <c r="F49">
        <f t="shared" si="1"/>
        <v>0</v>
      </c>
      <c r="G49">
        <f t="shared" si="2"/>
        <v>0</v>
      </c>
      <c r="H49">
        <f t="shared" si="3"/>
        <v>0</v>
      </c>
      <c r="I49">
        <f t="shared" si="4"/>
        <v>0</v>
      </c>
      <c r="J49">
        <f t="shared" si="5"/>
        <v>2600</v>
      </c>
      <c r="K49">
        <f t="shared" si="6"/>
        <v>0</v>
      </c>
      <c r="L49">
        <f t="shared" si="7"/>
        <v>0</v>
      </c>
      <c r="M49">
        <f t="shared" si="8"/>
        <v>0</v>
      </c>
      <c r="N49">
        <f t="shared" si="9"/>
        <v>0</v>
      </c>
      <c r="O49">
        <f t="shared" si="10"/>
        <v>0</v>
      </c>
      <c r="P49">
        <f t="shared" si="11"/>
        <v>0</v>
      </c>
      <c r="Q49">
        <f t="shared" si="12"/>
        <v>0</v>
      </c>
      <c r="S49">
        <f t="shared" si="25"/>
        <v>57</v>
      </c>
      <c r="T49">
        <f t="shared" si="13"/>
        <v>39</v>
      </c>
      <c r="U49">
        <f t="shared" si="14"/>
        <v>38</v>
      </c>
      <c r="V49">
        <f t="shared" si="15"/>
        <v>44</v>
      </c>
      <c r="W49">
        <f t="shared" si="16"/>
        <v>122</v>
      </c>
      <c r="X49">
        <f t="shared" si="17"/>
        <v>118</v>
      </c>
      <c r="Y49">
        <f t="shared" si="18"/>
        <v>56</v>
      </c>
      <c r="Z49">
        <f t="shared" si="19"/>
        <v>39</v>
      </c>
      <c r="AA49">
        <f t="shared" si="20"/>
        <v>5</v>
      </c>
      <c r="AB49">
        <f t="shared" si="21"/>
        <v>6</v>
      </c>
      <c r="AC49">
        <f t="shared" si="22"/>
        <v>152</v>
      </c>
      <c r="AD49">
        <f t="shared" si="23"/>
        <v>43</v>
      </c>
      <c r="AF49">
        <f t="shared" si="26"/>
        <v>0</v>
      </c>
      <c r="AG49">
        <f t="shared" si="27"/>
        <v>0</v>
      </c>
      <c r="AH49">
        <f t="shared" si="28"/>
        <v>0</v>
      </c>
      <c r="AI49">
        <f t="shared" si="29"/>
        <v>0</v>
      </c>
      <c r="AJ49">
        <f t="shared" si="30"/>
        <v>0</v>
      </c>
      <c r="AK49">
        <f t="shared" si="31"/>
        <v>0</v>
      </c>
      <c r="AL49">
        <f t="shared" si="32"/>
        <v>0</v>
      </c>
      <c r="AM49">
        <f t="shared" si="33"/>
        <v>0</v>
      </c>
      <c r="AN49">
        <f t="shared" si="34"/>
        <v>0</v>
      </c>
      <c r="AO49">
        <f t="shared" si="35"/>
        <v>0</v>
      </c>
      <c r="AP49">
        <f t="shared" si="36"/>
        <v>0</v>
      </c>
      <c r="AQ49">
        <f t="shared" si="37"/>
        <v>0</v>
      </c>
    </row>
    <row r="50" spans="1:43" x14ac:dyDescent="0.35">
      <c r="A50" s="51">
        <v>49</v>
      </c>
      <c r="B50" s="50" t="s">
        <v>119</v>
      </c>
      <c r="C50" s="55" t="s">
        <v>121</v>
      </c>
      <c r="D50" s="51" t="s">
        <v>80</v>
      </c>
      <c r="E50" s="67">
        <v>3385</v>
      </c>
      <c r="F50">
        <f t="shared" si="1"/>
        <v>0</v>
      </c>
      <c r="G50">
        <f t="shared" si="2"/>
        <v>0</v>
      </c>
      <c r="H50">
        <f t="shared" si="3"/>
        <v>3385</v>
      </c>
      <c r="I50">
        <f t="shared" si="4"/>
        <v>0</v>
      </c>
      <c r="J50">
        <f t="shared" si="5"/>
        <v>0</v>
      </c>
      <c r="K50">
        <f t="shared" si="6"/>
        <v>0</v>
      </c>
      <c r="L50">
        <f t="shared" si="7"/>
        <v>0</v>
      </c>
      <c r="M50">
        <f t="shared" si="8"/>
        <v>0</v>
      </c>
      <c r="N50">
        <f t="shared" si="9"/>
        <v>0</v>
      </c>
      <c r="O50">
        <f t="shared" si="10"/>
        <v>0</v>
      </c>
      <c r="P50">
        <f t="shared" si="11"/>
        <v>0</v>
      </c>
      <c r="Q50">
        <f t="shared" si="12"/>
        <v>0</v>
      </c>
      <c r="S50">
        <f t="shared" si="25"/>
        <v>57</v>
      </c>
      <c r="T50">
        <f t="shared" si="13"/>
        <v>39</v>
      </c>
      <c r="U50">
        <f t="shared" si="14"/>
        <v>38</v>
      </c>
      <c r="V50">
        <f t="shared" si="15"/>
        <v>44</v>
      </c>
      <c r="W50">
        <f t="shared" si="16"/>
        <v>121</v>
      </c>
      <c r="X50">
        <f t="shared" si="17"/>
        <v>118</v>
      </c>
      <c r="Y50">
        <f t="shared" si="18"/>
        <v>56</v>
      </c>
      <c r="Z50">
        <f t="shared" si="19"/>
        <v>39</v>
      </c>
      <c r="AA50">
        <f t="shared" si="20"/>
        <v>5</v>
      </c>
      <c r="AB50">
        <f t="shared" si="21"/>
        <v>6</v>
      </c>
      <c r="AC50">
        <f t="shared" si="22"/>
        <v>152</v>
      </c>
      <c r="AD50">
        <f t="shared" si="23"/>
        <v>43</v>
      </c>
      <c r="AF50">
        <f t="shared" si="26"/>
        <v>0</v>
      </c>
      <c r="AG50">
        <f t="shared" si="27"/>
        <v>0</v>
      </c>
      <c r="AH50">
        <f t="shared" si="28"/>
        <v>0</v>
      </c>
      <c r="AI50">
        <f t="shared" si="29"/>
        <v>0</v>
      </c>
      <c r="AJ50">
        <f t="shared" si="30"/>
        <v>0</v>
      </c>
      <c r="AK50">
        <f t="shared" si="31"/>
        <v>0</v>
      </c>
      <c r="AL50">
        <f t="shared" si="32"/>
        <v>0</v>
      </c>
      <c r="AM50">
        <f t="shared" si="33"/>
        <v>0</v>
      </c>
      <c r="AN50">
        <f t="shared" si="34"/>
        <v>0</v>
      </c>
      <c r="AO50">
        <f t="shared" si="35"/>
        <v>0</v>
      </c>
      <c r="AP50">
        <f t="shared" si="36"/>
        <v>0</v>
      </c>
      <c r="AQ50">
        <f t="shared" si="37"/>
        <v>0</v>
      </c>
    </row>
    <row r="51" spans="1:43" x14ac:dyDescent="0.35">
      <c r="A51" s="51">
        <v>50</v>
      </c>
      <c r="B51" s="50" t="s">
        <v>119</v>
      </c>
      <c r="C51" s="55" t="s">
        <v>122</v>
      </c>
      <c r="D51" s="51" t="s">
        <v>54</v>
      </c>
      <c r="E51" s="67">
        <v>2394</v>
      </c>
      <c r="F51">
        <f t="shared" si="1"/>
        <v>0</v>
      </c>
      <c r="G51">
        <f t="shared" si="2"/>
        <v>0</v>
      </c>
      <c r="H51">
        <f t="shared" si="3"/>
        <v>0</v>
      </c>
      <c r="I51">
        <f t="shared" si="4"/>
        <v>0</v>
      </c>
      <c r="J51">
        <f t="shared" si="5"/>
        <v>0</v>
      </c>
      <c r="K51">
        <f t="shared" si="6"/>
        <v>2394</v>
      </c>
      <c r="L51">
        <f t="shared" si="7"/>
        <v>0</v>
      </c>
      <c r="M51">
        <f t="shared" si="8"/>
        <v>0</v>
      </c>
      <c r="N51">
        <f t="shared" si="9"/>
        <v>0</v>
      </c>
      <c r="O51">
        <f t="shared" si="10"/>
        <v>0</v>
      </c>
      <c r="P51">
        <f t="shared" si="11"/>
        <v>0</v>
      </c>
      <c r="Q51">
        <f t="shared" si="12"/>
        <v>0</v>
      </c>
      <c r="S51">
        <f t="shared" si="25"/>
        <v>57</v>
      </c>
      <c r="T51">
        <f t="shared" si="13"/>
        <v>39</v>
      </c>
      <c r="U51">
        <f t="shared" si="14"/>
        <v>37</v>
      </c>
      <c r="V51">
        <f t="shared" si="15"/>
        <v>44</v>
      </c>
      <c r="W51">
        <f t="shared" si="16"/>
        <v>121</v>
      </c>
      <c r="X51">
        <f t="shared" si="17"/>
        <v>118</v>
      </c>
      <c r="Y51">
        <f t="shared" si="18"/>
        <v>56</v>
      </c>
      <c r="Z51">
        <f t="shared" si="19"/>
        <v>39</v>
      </c>
      <c r="AA51">
        <f t="shared" si="20"/>
        <v>5</v>
      </c>
      <c r="AB51">
        <f t="shared" si="21"/>
        <v>6</v>
      </c>
      <c r="AC51">
        <f t="shared" si="22"/>
        <v>152</v>
      </c>
      <c r="AD51">
        <f t="shared" si="23"/>
        <v>43</v>
      </c>
      <c r="AF51">
        <f t="shared" si="26"/>
        <v>0</v>
      </c>
      <c r="AG51">
        <f t="shared" si="27"/>
        <v>0</v>
      </c>
      <c r="AH51">
        <f t="shared" si="28"/>
        <v>0</v>
      </c>
      <c r="AI51">
        <f t="shared" si="29"/>
        <v>0</v>
      </c>
      <c r="AJ51">
        <f t="shared" si="30"/>
        <v>0</v>
      </c>
      <c r="AK51">
        <f t="shared" si="31"/>
        <v>0</v>
      </c>
      <c r="AL51">
        <f t="shared" si="32"/>
        <v>0</v>
      </c>
      <c r="AM51">
        <f t="shared" si="33"/>
        <v>0</v>
      </c>
      <c r="AN51">
        <f t="shared" si="34"/>
        <v>0</v>
      </c>
      <c r="AO51">
        <f t="shared" si="35"/>
        <v>0</v>
      </c>
      <c r="AP51">
        <f t="shared" si="36"/>
        <v>0</v>
      </c>
      <c r="AQ51">
        <f t="shared" si="37"/>
        <v>0</v>
      </c>
    </row>
    <row r="52" spans="1:43" x14ac:dyDescent="0.35">
      <c r="A52" s="51">
        <v>51</v>
      </c>
      <c r="B52" s="50" t="s">
        <v>123</v>
      </c>
      <c r="C52" s="55" t="s">
        <v>124</v>
      </c>
      <c r="D52" s="51" t="s">
        <v>54</v>
      </c>
      <c r="E52" s="67">
        <v>2582.4355245793017</v>
      </c>
      <c r="F52">
        <f t="shared" si="1"/>
        <v>0</v>
      </c>
      <c r="G52">
        <f t="shared" si="2"/>
        <v>0</v>
      </c>
      <c r="H52">
        <f t="shared" si="3"/>
        <v>0</v>
      </c>
      <c r="I52">
        <f t="shared" si="4"/>
        <v>0</v>
      </c>
      <c r="J52">
        <f t="shared" si="5"/>
        <v>0</v>
      </c>
      <c r="K52">
        <f t="shared" si="6"/>
        <v>2582.4355245793017</v>
      </c>
      <c r="L52">
        <f t="shared" si="7"/>
        <v>0</v>
      </c>
      <c r="M52">
        <f t="shared" si="8"/>
        <v>0</v>
      </c>
      <c r="N52">
        <f t="shared" si="9"/>
        <v>0</v>
      </c>
      <c r="O52">
        <f t="shared" si="10"/>
        <v>0</v>
      </c>
      <c r="P52">
        <f t="shared" si="11"/>
        <v>0</v>
      </c>
      <c r="Q52">
        <f t="shared" si="12"/>
        <v>0</v>
      </c>
      <c r="S52">
        <f t="shared" si="25"/>
        <v>57</v>
      </c>
      <c r="T52">
        <f t="shared" si="13"/>
        <v>39</v>
      </c>
      <c r="U52">
        <f t="shared" si="14"/>
        <v>37</v>
      </c>
      <c r="V52">
        <f t="shared" si="15"/>
        <v>44</v>
      </c>
      <c r="W52">
        <f t="shared" si="16"/>
        <v>121</v>
      </c>
      <c r="X52">
        <f t="shared" si="17"/>
        <v>117</v>
      </c>
      <c r="Y52">
        <f t="shared" si="18"/>
        <v>56</v>
      </c>
      <c r="Z52">
        <f t="shared" si="19"/>
        <v>39</v>
      </c>
      <c r="AA52">
        <f t="shared" si="20"/>
        <v>5</v>
      </c>
      <c r="AB52">
        <f t="shared" si="21"/>
        <v>6</v>
      </c>
      <c r="AC52">
        <f t="shared" si="22"/>
        <v>152</v>
      </c>
      <c r="AD52">
        <f t="shared" si="23"/>
        <v>43</v>
      </c>
      <c r="AF52">
        <f t="shared" si="26"/>
        <v>0</v>
      </c>
      <c r="AG52">
        <f t="shared" si="27"/>
        <v>0</v>
      </c>
      <c r="AH52">
        <f t="shared" si="28"/>
        <v>0</v>
      </c>
      <c r="AI52">
        <f t="shared" si="29"/>
        <v>0</v>
      </c>
      <c r="AJ52">
        <f t="shared" si="30"/>
        <v>0</v>
      </c>
      <c r="AK52">
        <f t="shared" si="31"/>
        <v>0</v>
      </c>
      <c r="AL52">
        <f t="shared" si="32"/>
        <v>0</v>
      </c>
      <c r="AM52">
        <f t="shared" si="33"/>
        <v>0</v>
      </c>
      <c r="AN52">
        <f t="shared" si="34"/>
        <v>0</v>
      </c>
      <c r="AO52">
        <f t="shared" si="35"/>
        <v>0</v>
      </c>
      <c r="AP52">
        <f t="shared" si="36"/>
        <v>0</v>
      </c>
      <c r="AQ52">
        <f t="shared" si="37"/>
        <v>0</v>
      </c>
    </row>
    <row r="53" spans="1:43" x14ac:dyDescent="0.35">
      <c r="A53" s="51">
        <v>52</v>
      </c>
      <c r="B53" s="50" t="s">
        <v>123</v>
      </c>
      <c r="C53" s="55" t="s">
        <v>125</v>
      </c>
      <c r="D53" s="51" t="s">
        <v>60</v>
      </c>
      <c r="E53" s="67">
        <v>2748.0247241965976</v>
      </c>
      <c r="F53">
        <f t="shared" si="1"/>
        <v>0</v>
      </c>
      <c r="G53">
        <f t="shared" si="2"/>
        <v>0</v>
      </c>
      <c r="H53">
        <f t="shared" si="3"/>
        <v>0</v>
      </c>
      <c r="I53">
        <f t="shared" si="4"/>
        <v>0</v>
      </c>
      <c r="J53">
        <f t="shared" si="5"/>
        <v>2748.0247241965976</v>
      </c>
      <c r="K53">
        <f t="shared" si="6"/>
        <v>0</v>
      </c>
      <c r="L53">
        <f t="shared" si="7"/>
        <v>0</v>
      </c>
      <c r="M53">
        <f t="shared" si="8"/>
        <v>0</v>
      </c>
      <c r="N53">
        <f t="shared" si="9"/>
        <v>0</v>
      </c>
      <c r="O53">
        <f t="shared" si="10"/>
        <v>0</v>
      </c>
      <c r="P53">
        <f t="shared" si="11"/>
        <v>0</v>
      </c>
      <c r="Q53">
        <f t="shared" si="12"/>
        <v>0</v>
      </c>
      <c r="S53">
        <f t="shared" si="25"/>
        <v>57</v>
      </c>
      <c r="T53">
        <f t="shared" si="13"/>
        <v>39</v>
      </c>
      <c r="U53">
        <f t="shared" si="14"/>
        <v>37</v>
      </c>
      <c r="V53">
        <f t="shared" si="15"/>
        <v>44</v>
      </c>
      <c r="W53">
        <f t="shared" si="16"/>
        <v>121</v>
      </c>
      <c r="X53">
        <f t="shared" si="17"/>
        <v>116</v>
      </c>
      <c r="Y53">
        <f t="shared" si="18"/>
        <v>56</v>
      </c>
      <c r="Z53">
        <f t="shared" si="19"/>
        <v>39</v>
      </c>
      <c r="AA53">
        <f t="shared" si="20"/>
        <v>5</v>
      </c>
      <c r="AB53">
        <f t="shared" si="21"/>
        <v>6</v>
      </c>
      <c r="AC53">
        <f t="shared" si="22"/>
        <v>152</v>
      </c>
      <c r="AD53">
        <f t="shared" si="23"/>
        <v>43</v>
      </c>
      <c r="AF53">
        <f t="shared" si="26"/>
        <v>0</v>
      </c>
      <c r="AG53">
        <f t="shared" si="27"/>
        <v>0</v>
      </c>
      <c r="AH53">
        <f t="shared" si="28"/>
        <v>0</v>
      </c>
      <c r="AI53">
        <f t="shared" si="29"/>
        <v>0</v>
      </c>
      <c r="AJ53">
        <f t="shared" si="30"/>
        <v>0</v>
      </c>
      <c r="AK53">
        <f t="shared" si="31"/>
        <v>0</v>
      </c>
      <c r="AL53">
        <f t="shared" si="32"/>
        <v>0</v>
      </c>
      <c r="AM53">
        <f t="shared" si="33"/>
        <v>0</v>
      </c>
      <c r="AN53">
        <f t="shared" si="34"/>
        <v>0</v>
      </c>
      <c r="AO53">
        <f t="shared" si="35"/>
        <v>0</v>
      </c>
      <c r="AP53">
        <f t="shared" si="36"/>
        <v>0</v>
      </c>
      <c r="AQ53">
        <f t="shared" si="37"/>
        <v>0</v>
      </c>
    </row>
    <row r="54" spans="1:43" x14ac:dyDescent="0.35">
      <c r="A54" s="51">
        <v>53</v>
      </c>
      <c r="B54" s="50" t="s">
        <v>123</v>
      </c>
      <c r="C54" s="55" t="s">
        <v>126</v>
      </c>
      <c r="D54" s="51" t="s">
        <v>57</v>
      </c>
      <c r="E54" s="67">
        <v>2755.5957243089856</v>
      </c>
      <c r="F54">
        <f t="shared" si="1"/>
        <v>0</v>
      </c>
      <c r="G54">
        <f t="shared" si="2"/>
        <v>0</v>
      </c>
      <c r="H54">
        <f t="shared" si="3"/>
        <v>0</v>
      </c>
      <c r="I54">
        <f t="shared" si="4"/>
        <v>0</v>
      </c>
      <c r="J54">
        <f t="shared" si="5"/>
        <v>0</v>
      </c>
      <c r="K54">
        <f t="shared" si="6"/>
        <v>0</v>
      </c>
      <c r="L54">
        <f t="shared" si="7"/>
        <v>0</v>
      </c>
      <c r="M54">
        <f t="shared" si="8"/>
        <v>2755.5957243089856</v>
      </c>
      <c r="N54">
        <f t="shared" si="9"/>
        <v>0</v>
      </c>
      <c r="O54">
        <f t="shared" si="10"/>
        <v>0</v>
      </c>
      <c r="P54">
        <f t="shared" si="11"/>
        <v>0</v>
      </c>
      <c r="Q54">
        <f t="shared" si="12"/>
        <v>0</v>
      </c>
      <c r="S54">
        <f t="shared" si="25"/>
        <v>57</v>
      </c>
      <c r="T54">
        <f t="shared" si="13"/>
        <v>39</v>
      </c>
      <c r="U54">
        <f t="shared" si="14"/>
        <v>37</v>
      </c>
      <c r="V54">
        <f t="shared" si="15"/>
        <v>44</v>
      </c>
      <c r="W54">
        <f t="shared" si="16"/>
        <v>120</v>
      </c>
      <c r="X54">
        <f t="shared" si="17"/>
        <v>116</v>
      </c>
      <c r="Y54">
        <f t="shared" si="18"/>
        <v>56</v>
      </c>
      <c r="Z54">
        <f t="shared" si="19"/>
        <v>39</v>
      </c>
      <c r="AA54">
        <f t="shared" si="20"/>
        <v>5</v>
      </c>
      <c r="AB54">
        <f t="shared" si="21"/>
        <v>6</v>
      </c>
      <c r="AC54">
        <f t="shared" si="22"/>
        <v>152</v>
      </c>
      <c r="AD54">
        <f t="shared" si="23"/>
        <v>43</v>
      </c>
      <c r="AF54">
        <f t="shared" si="26"/>
        <v>0</v>
      </c>
      <c r="AG54">
        <f t="shared" si="27"/>
        <v>0</v>
      </c>
      <c r="AH54">
        <f t="shared" si="28"/>
        <v>0</v>
      </c>
      <c r="AI54">
        <f t="shared" si="29"/>
        <v>0</v>
      </c>
      <c r="AJ54">
        <f t="shared" si="30"/>
        <v>0</v>
      </c>
      <c r="AK54">
        <f t="shared" si="31"/>
        <v>0</v>
      </c>
      <c r="AL54">
        <f t="shared" si="32"/>
        <v>0</v>
      </c>
      <c r="AM54">
        <f t="shared" si="33"/>
        <v>0</v>
      </c>
      <c r="AN54">
        <f t="shared" si="34"/>
        <v>0</v>
      </c>
      <c r="AO54">
        <f t="shared" si="35"/>
        <v>0</v>
      </c>
      <c r="AP54">
        <f t="shared" si="36"/>
        <v>0</v>
      </c>
      <c r="AQ54">
        <f t="shared" si="37"/>
        <v>0</v>
      </c>
    </row>
    <row r="55" spans="1:43" x14ac:dyDescent="0.35">
      <c r="A55" s="51">
        <v>54</v>
      </c>
      <c r="B55" s="50" t="s">
        <v>127</v>
      </c>
      <c r="C55" s="55" t="s">
        <v>128</v>
      </c>
      <c r="D55" s="51" t="s">
        <v>80</v>
      </c>
      <c r="E55" s="67">
        <v>3166</v>
      </c>
      <c r="F55">
        <f t="shared" si="1"/>
        <v>0</v>
      </c>
      <c r="G55">
        <f t="shared" si="2"/>
        <v>0</v>
      </c>
      <c r="H55">
        <f t="shared" si="3"/>
        <v>3166</v>
      </c>
      <c r="I55">
        <f t="shared" si="4"/>
        <v>0</v>
      </c>
      <c r="J55">
        <f t="shared" si="5"/>
        <v>0</v>
      </c>
      <c r="K55">
        <f t="shared" si="6"/>
        <v>0</v>
      </c>
      <c r="L55">
        <f t="shared" si="7"/>
        <v>0</v>
      </c>
      <c r="M55">
        <f t="shared" si="8"/>
        <v>0</v>
      </c>
      <c r="N55">
        <f t="shared" si="9"/>
        <v>0</v>
      </c>
      <c r="O55">
        <f t="shared" si="10"/>
        <v>0</v>
      </c>
      <c r="P55">
        <f t="shared" si="11"/>
        <v>0</v>
      </c>
      <c r="Q55">
        <f t="shared" si="12"/>
        <v>0</v>
      </c>
      <c r="S55">
        <f t="shared" si="25"/>
        <v>57</v>
      </c>
      <c r="T55">
        <f t="shared" si="13"/>
        <v>39</v>
      </c>
      <c r="U55">
        <f t="shared" si="14"/>
        <v>37</v>
      </c>
      <c r="V55">
        <f t="shared" si="15"/>
        <v>44</v>
      </c>
      <c r="W55">
        <f t="shared" si="16"/>
        <v>120</v>
      </c>
      <c r="X55">
        <f t="shared" si="17"/>
        <v>116</v>
      </c>
      <c r="Y55">
        <f t="shared" si="18"/>
        <v>56</v>
      </c>
      <c r="Z55">
        <f t="shared" si="19"/>
        <v>38</v>
      </c>
      <c r="AA55">
        <f t="shared" si="20"/>
        <v>5</v>
      </c>
      <c r="AB55">
        <f t="shared" si="21"/>
        <v>6</v>
      </c>
      <c r="AC55">
        <f t="shared" si="22"/>
        <v>152</v>
      </c>
      <c r="AD55">
        <f t="shared" si="23"/>
        <v>43</v>
      </c>
      <c r="AF55">
        <f t="shared" si="26"/>
        <v>0</v>
      </c>
      <c r="AG55">
        <f t="shared" si="27"/>
        <v>0</v>
      </c>
      <c r="AH55">
        <f t="shared" si="28"/>
        <v>0</v>
      </c>
      <c r="AI55">
        <f t="shared" si="29"/>
        <v>0</v>
      </c>
      <c r="AJ55">
        <f t="shared" si="30"/>
        <v>0</v>
      </c>
      <c r="AK55">
        <f t="shared" si="31"/>
        <v>0</v>
      </c>
      <c r="AL55">
        <f t="shared" si="32"/>
        <v>0</v>
      </c>
      <c r="AM55">
        <f t="shared" si="33"/>
        <v>0</v>
      </c>
      <c r="AN55">
        <f t="shared" si="34"/>
        <v>0</v>
      </c>
      <c r="AO55">
        <f t="shared" si="35"/>
        <v>0</v>
      </c>
      <c r="AP55">
        <f t="shared" si="36"/>
        <v>0</v>
      </c>
      <c r="AQ55">
        <f t="shared" si="37"/>
        <v>0</v>
      </c>
    </row>
    <row r="56" spans="1:43" x14ac:dyDescent="0.35">
      <c r="A56" s="51">
        <v>55</v>
      </c>
      <c r="B56" s="50" t="s">
        <v>127</v>
      </c>
      <c r="C56" s="55" t="s">
        <v>129</v>
      </c>
      <c r="D56" s="51" t="s">
        <v>60</v>
      </c>
      <c r="E56" s="67">
        <v>3273</v>
      </c>
      <c r="F56">
        <f t="shared" si="1"/>
        <v>0</v>
      </c>
      <c r="G56">
        <f t="shared" si="2"/>
        <v>0</v>
      </c>
      <c r="H56">
        <f t="shared" si="3"/>
        <v>0</v>
      </c>
      <c r="I56">
        <f t="shared" si="4"/>
        <v>0</v>
      </c>
      <c r="J56">
        <f t="shared" si="5"/>
        <v>3273</v>
      </c>
      <c r="K56">
        <f t="shared" si="6"/>
        <v>0</v>
      </c>
      <c r="L56">
        <f t="shared" si="7"/>
        <v>0</v>
      </c>
      <c r="M56">
        <f t="shared" si="8"/>
        <v>0</v>
      </c>
      <c r="N56">
        <f t="shared" si="9"/>
        <v>0</v>
      </c>
      <c r="O56">
        <f t="shared" si="10"/>
        <v>0</v>
      </c>
      <c r="P56">
        <f t="shared" si="11"/>
        <v>0</v>
      </c>
      <c r="Q56">
        <f t="shared" si="12"/>
        <v>0</v>
      </c>
      <c r="S56">
        <f t="shared" si="25"/>
        <v>57</v>
      </c>
      <c r="T56">
        <f t="shared" si="13"/>
        <v>39</v>
      </c>
      <c r="U56">
        <f t="shared" si="14"/>
        <v>36</v>
      </c>
      <c r="V56">
        <f t="shared" si="15"/>
        <v>44</v>
      </c>
      <c r="W56">
        <f t="shared" si="16"/>
        <v>120</v>
      </c>
      <c r="X56">
        <f t="shared" si="17"/>
        <v>116</v>
      </c>
      <c r="Y56">
        <f t="shared" si="18"/>
        <v>56</v>
      </c>
      <c r="Z56">
        <f t="shared" si="19"/>
        <v>38</v>
      </c>
      <c r="AA56">
        <f t="shared" si="20"/>
        <v>5</v>
      </c>
      <c r="AB56">
        <f t="shared" si="21"/>
        <v>6</v>
      </c>
      <c r="AC56">
        <f t="shared" si="22"/>
        <v>152</v>
      </c>
      <c r="AD56">
        <f t="shared" si="23"/>
        <v>43</v>
      </c>
      <c r="AF56">
        <f t="shared" si="26"/>
        <v>0</v>
      </c>
      <c r="AG56">
        <f t="shared" si="27"/>
        <v>0</v>
      </c>
      <c r="AH56">
        <f t="shared" si="28"/>
        <v>0</v>
      </c>
      <c r="AI56">
        <f t="shared" si="29"/>
        <v>0</v>
      </c>
      <c r="AJ56">
        <f t="shared" si="30"/>
        <v>0</v>
      </c>
      <c r="AK56">
        <f t="shared" si="31"/>
        <v>0</v>
      </c>
      <c r="AL56">
        <f t="shared" si="32"/>
        <v>0</v>
      </c>
      <c r="AM56">
        <f t="shared" si="33"/>
        <v>0</v>
      </c>
      <c r="AN56">
        <f t="shared" si="34"/>
        <v>0</v>
      </c>
      <c r="AO56">
        <f t="shared" si="35"/>
        <v>0</v>
      </c>
      <c r="AP56">
        <f t="shared" si="36"/>
        <v>0</v>
      </c>
      <c r="AQ56">
        <f t="shared" si="37"/>
        <v>0</v>
      </c>
    </row>
    <row r="57" spans="1:43" x14ac:dyDescent="0.35">
      <c r="A57" s="51">
        <v>56</v>
      </c>
      <c r="B57" s="50" t="s">
        <v>127</v>
      </c>
      <c r="C57" s="55" t="s">
        <v>130</v>
      </c>
      <c r="D57" s="51" t="s">
        <v>80</v>
      </c>
      <c r="E57" s="67">
        <v>3139</v>
      </c>
      <c r="F57">
        <f t="shared" si="1"/>
        <v>0</v>
      </c>
      <c r="G57">
        <f t="shared" si="2"/>
        <v>0</v>
      </c>
      <c r="H57">
        <f t="shared" si="3"/>
        <v>3139</v>
      </c>
      <c r="I57">
        <f t="shared" si="4"/>
        <v>0</v>
      </c>
      <c r="J57">
        <f t="shared" si="5"/>
        <v>0</v>
      </c>
      <c r="K57">
        <f t="shared" si="6"/>
        <v>0</v>
      </c>
      <c r="L57">
        <f t="shared" si="7"/>
        <v>0</v>
      </c>
      <c r="M57">
        <f t="shared" si="8"/>
        <v>0</v>
      </c>
      <c r="N57">
        <f t="shared" si="9"/>
        <v>0</v>
      </c>
      <c r="O57">
        <f t="shared" si="10"/>
        <v>0</v>
      </c>
      <c r="P57">
        <f t="shared" si="11"/>
        <v>0</v>
      </c>
      <c r="Q57">
        <f t="shared" si="12"/>
        <v>0</v>
      </c>
      <c r="S57">
        <f t="shared" si="25"/>
        <v>57</v>
      </c>
      <c r="T57">
        <f t="shared" si="13"/>
        <v>39</v>
      </c>
      <c r="U57">
        <f t="shared" si="14"/>
        <v>36</v>
      </c>
      <c r="V57">
        <f t="shared" si="15"/>
        <v>44</v>
      </c>
      <c r="W57">
        <f t="shared" si="16"/>
        <v>119</v>
      </c>
      <c r="X57">
        <f t="shared" si="17"/>
        <v>116</v>
      </c>
      <c r="Y57">
        <f t="shared" si="18"/>
        <v>56</v>
      </c>
      <c r="Z57">
        <f t="shared" si="19"/>
        <v>38</v>
      </c>
      <c r="AA57">
        <f t="shared" si="20"/>
        <v>5</v>
      </c>
      <c r="AB57">
        <f t="shared" si="21"/>
        <v>6</v>
      </c>
      <c r="AC57">
        <f t="shared" si="22"/>
        <v>152</v>
      </c>
      <c r="AD57">
        <f t="shared" si="23"/>
        <v>43</v>
      </c>
      <c r="AF57">
        <f t="shared" si="26"/>
        <v>0</v>
      </c>
      <c r="AG57">
        <f t="shared" si="27"/>
        <v>0</v>
      </c>
      <c r="AH57">
        <f t="shared" si="28"/>
        <v>0</v>
      </c>
      <c r="AI57">
        <f t="shared" si="29"/>
        <v>0</v>
      </c>
      <c r="AJ57">
        <f t="shared" si="30"/>
        <v>0</v>
      </c>
      <c r="AK57">
        <f t="shared" si="31"/>
        <v>0</v>
      </c>
      <c r="AL57">
        <f t="shared" si="32"/>
        <v>0</v>
      </c>
      <c r="AM57">
        <f t="shared" si="33"/>
        <v>0</v>
      </c>
      <c r="AN57">
        <f t="shared" si="34"/>
        <v>0</v>
      </c>
      <c r="AO57">
        <f t="shared" si="35"/>
        <v>0</v>
      </c>
      <c r="AP57">
        <f t="shared" si="36"/>
        <v>0</v>
      </c>
      <c r="AQ57">
        <f t="shared" si="37"/>
        <v>0</v>
      </c>
    </row>
    <row r="58" spans="1:43" x14ac:dyDescent="0.35">
      <c r="A58" s="51">
        <v>57</v>
      </c>
      <c r="B58" s="50" t="s">
        <v>127</v>
      </c>
      <c r="C58" s="55" t="s">
        <v>131</v>
      </c>
      <c r="D58" s="51" t="s">
        <v>94</v>
      </c>
      <c r="E58" s="67">
        <v>3179</v>
      </c>
      <c r="F58">
        <f t="shared" si="1"/>
        <v>0</v>
      </c>
      <c r="G58">
        <f t="shared" si="2"/>
        <v>0</v>
      </c>
      <c r="H58">
        <f t="shared" si="3"/>
        <v>0</v>
      </c>
      <c r="I58">
        <f t="shared" si="4"/>
        <v>0</v>
      </c>
      <c r="J58">
        <f t="shared" si="5"/>
        <v>0</v>
      </c>
      <c r="K58">
        <f t="shared" si="6"/>
        <v>0</v>
      </c>
      <c r="L58">
        <f t="shared" si="7"/>
        <v>3179</v>
      </c>
      <c r="M58">
        <f t="shared" si="8"/>
        <v>0</v>
      </c>
      <c r="N58">
        <f t="shared" si="9"/>
        <v>0</v>
      </c>
      <c r="O58">
        <f t="shared" si="10"/>
        <v>0</v>
      </c>
      <c r="P58">
        <f t="shared" si="11"/>
        <v>0</v>
      </c>
      <c r="Q58">
        <f t="shared" si="12"/>
        <v>0</v>
      </c>
      <c r="S58">
        <f t="shared" si="25"/>
        <v>57</v>
      </c>
      <c r="T58">
        <f t="shared" si="13"/>
        <v>39</v>
      </c>
      <c r="U58">
        <f t="shared" si="14"/>
        <v>35</v>
      </c>
      <c r="V58">
        <f t="shared" si="15"/>
        <v>44</v>
      </c>
      <c r="W58">
        <f t="shared" si="16"/>
        <v>119</v>
      </c>
      <c r="X58">
        <f t="shared" si="17"/>
        <v>116</v>
      </c>
      <c r="Y58">
        <f t="shared" si="18"/>
        <v>56</v>
      </c>
      <c r="Z58">
        <f t="shared" si="19"/>
        <v>38</v>
      </c>
      <c r="AA58">
        <f t="shared" si="20"/>
        <v>5</v>
      </c>
      <c r="AB58">
        <f t="shared" si="21"/>
        <v>6</v>
      </c>
      <c r="AC58">
        <f t="shared" si="22"/>
        <v>152</v>
      </c>
      <c r="AD58">
        <f t="shared" si="23"/>
        <v>43</v>
      </c>
      <c r="AF58">
        <f t="shared" si="26"/>
        <v>0</v>
      </c>
      <c r="AG58">
        <f t="shared" si="27"/>
        <v>0</v>
      </c>
      <c r="AH58">
        <f t="shared" si="28"/>
        <v>0</v>
      </c>
      <c r="AI58">
        <f t="shared" si="29"/>
        <v>0</v>
      </c>
      <c r="AJ58">
        <f t="shared" si="30"/>
        <v>0</v>
      </c>
      <c r="AK58">
        <f t="shared" si="31"/>
        <v>0</v>
      </c>
      <c r="AL58">
        <f t="shared" si="32"/>
        <v>0</v>
      </c>
      <c r="AM58">
        <f t="shared" si="33"/>
        <v>0</v>
      </c>
      <c r="AN58">
        <f t="shared" si="34"/>
        <v>0</v>
      </c>
      <c r="AO58">
        <f t="shared" si="35"/>
        <v>0</v>
      </c>
      <c r="AP58">
        <f t="shared" si="36"/>
        <v>0</v>
      </c>
      <c r="AQ58">
        <f t="shared" si="37"/>
        <v>0</v>
      </c>
    </row>
    <row r="59" spans="1:43" x14ac:dyDescent="0.35">
      <c r="A59" s="51">
        <v>58</v>
      </c>
      <c r="B59" s="50" t="s">
        <v>132</v>
      </c>
      <c r="C59" s="55" t="s">
        <v>133</v>
      </c>
      <c r="D59" s="51" t="s">
        <v>54</v>
      </c>
      <c r="E59" s="67">
        <v>3417</v>
      </c>
      <c r="F59">
        <f t="shared" si="1"/>
        <v>0</v>
      </c>
      <c r="G59">
        <f t="shared" si="2"/>
        <v>0</v>
      </c>
      <c r="H59">
        <f t="shared" si="3"/>
        <v>0</v>
      </c>
      <c r="I59">
        <f t="shared" si="4"/>
        <v>0</v>
      </c>
      <c r="J59">
        <f t="shared" si="5"/>
        <v>0</v>
      </c>
      <c r="K59">
        <f t="shared" si="6"/>
        <v>3417</v>
      </c>
      <c r="L59">
        <f t="shared" si="7"/>
        <v>0</v>
      </c>
      <c r="M59">
        <f t="shared" si="8"/>
        <v>0</v>
      </c>
      <c r="N59">
        <f t="shared" si="9"/>
        <v>0</v>
      </c>
      <c r="O59">
        <f t="shared" si="10"/>
        <v>0</v>
      </c>
      <c r="P59">
        <f t="shared" si="11"/>
        <v>0</v>
      </c>
      <c r="Q59">
        <f t="shared" si="12"/>
        <v>0</v>
      </c>
      <c r="S59">
        <f t="shared" si="25"/>
        <v>57</v>
      </c>
      <c r="T59">
        <f t="shared" si="13"/>
        <v>39</v>
      </c>
      <c r="U59">
        <f t="shared" si="14"/>
        <v>35</v>
      </c>
      <c r="V59">
        <f t="shared" si="15"/>
        <v>44</v>
      </c>
      <c r="W59">
        <f t="shared" si="16"/>
        <v>119</v>
      </c>
      <c r="X59">
        <f t="shared" si="17"/>
        <v>116</v>
      </c>
      <c r="Y59">
        <f t="shared" si="18"/>
        <v>55</v>
      </c>
      <c r="Z59">
        <f t="shared" si="19"/>
        <v>38</v>
      </c>
      <c r="AA59">
        <f t="shared" si="20"/>
        <v>5</v>
      </c>
      <c r="AB59">
        <f t="shared" si="21"/>
        <v>6</v>
      </c>
      <c r="AC59">
        <f t="shared" si="22"/>
        <v>152</v>
      </c>
      <c r="AD59">
        <f t="shared" si="23"/>
        <v>43</v>
      </c>
      <c r="AF59">
        <f t="shared" si="26"/>
        <v>0</v>
      </c>
      <c r="AG59">
        <f t="shared" si="27"/>
        <v>0</v>
      </c>
      <c r="AH59">
        <f t="shared" si="28"/>
        <v>0</v>
      </c>
      <c r="AI59">
        <f t="shared" si="29"/>
        <v>0</v>
      </c>
      <c r="AJ59">
        <f t="shared" si="30"/>
        <v>0</v>
      </c>
      <c r="AK59">
        <f t="shared" si="31"/>
        <v>0</v>
      </c>
      <c r="AL59">
        <f t="shared" si="32"/>
        <v>0</v>
      </c>
      <c r="AM59">
        <f t="shared" si="33"/>
        <v>0</v>
      </c>
      <c r="AN59">
        <f t="shared" si="34"/>
        <v>0</v>
      </c>
      <c r="AO59">
        <f t="shared" si="35"/>
        <v>0</v>
      </c>
      <c r="AP59">
        <f t="shared" si="36"/>
        <v>0</v>
      </c>
      <c r="AQ59">
        <f t="shared" si="37"/>
        <v>0</v>
      </c>
    </row>
    <row r="60" spans="1:43" x14ac:dyDescent="0.35">
      <c r="A60" s="51">
        <v>59</v>
      </c>
      <c r="B60" s="50" t="s">
        <v>132</v>
      </c>
      <c r="C60" s="55" t="s">
        <v>134</v>
      </c>
      <c r="D60" s="51" t="s">
        <v>94</v>
      </c>
      <c r="E60" s="67">
        <v>3667</v>
      </c>
      <c r="F60">
        <f t="shared" si="1"/>
        <v>0</v>
      </c>
      <c r="G60">
        <f t="shared" si="2"/>
        <v>0</v>
      </c>
      <c r="H60">
        <f t="shared" si="3"/>
        <v>0</v>
      </c>
      <c r="I60">
        <f t="shared" si="4"/>
        <v>0</v>
      </c>
      <c r="J60">
        <f t="shared" si="5"/>
        <v>0</v>
      </c>
      <c r="K60">
        <f t="shared" si="6"/>
        <v>0</v>
      </c>
      <c r="L60">
        <f t="shared" si="7"/>
        <v>3667</v>
      </c>
      <c r="M60">
        <f t="shared" si="8"/>
        <v>0</v>
      </c>
      <c r="N60">
        <f t="shared" si="9"/>
        <v>0</v>
      </c>
      <c r="O60">
        <f t="shared" si="10"/>
        <v>0</v>
      </c>
      <c r="P60">
        <f t="shared" si="11"/>
        <v>0</v>
      </c>
      <c r="Q60">
        <f t="shared" si="12"/>
        <v>0</v>
      </c>
      <c r="S60">
        <f t="shared" si="25"/>
        <v>57</v>
      </c>
      <c r="T60">
        <f t="shared" si="13"/>
        <v>39</v>
      </c>
      <c r="U60">
        <f t="shared" si="14"/>
        <v>35</v>
      </c>
      <c r="V60">
        <f t="shared" si="15"/>
        <v>44</v>
      </c>
      <c r="W60">
        <f t="shared" si="16"/>
        <v>119</v>
      </c>
      <c r="X60">
        <f t="shared" si="17"/>
        <v>115</v>
      </c>
      <c r="Y60">
        <f t="shared" si="18"/>
        <v>55</v>
      </c>
      <c r="Z60">
        <f t="shared" si="19"/>
        <v>38</v>
      </c>
      <c r="AA60">
        <f t="shared" si="20"/>
        <v>5</v>
      </c>
      <c r="AB60">
        <f t="shared" si="21"/>
        <v>6</v>
      </c>
      <c r="AC60">
        <f t="shared" si="22"/>
        <v>152</v>
      </c>
      <c r="AD60">
        <f t="shared" si="23"/>
        <v>43</v>
      </c>
      <c r="AF60">
        <f t="shared" si="26"/>
        <v>0</v>
      </c>
      <c r="AG60">
        <f t="shared" si="27"/>
        <v>0</v>
      </c>
      <c r="AH60">
        <f t="shared" si="28"/>
        <v>0</v>
      </c>
      <c r="AI60">
        <f t="shared" si="29"/>
        <v>0</v>
      </c>
      <c r="AJ60">
        <f t="shared" si="30"/>
        <v>0</v>
      </c>
      <c r="AK60">
        <f t="shared" si="31"/>
        <v>0</v>
      </c>
      <c r="AL60">
        <f t="shared" si="32"/>
        <v>0</v>
      </c>
      <c r="AM60">
        <f t="shared" si="33"/>
        <v>0</v>
      </c>
      <c r="AN60">
        <f t="shared" si="34"/>
        <v>0</v>
      </c>
      <c r="AO60">
        <f t="shared" si="35"/>
        <v>0</v>
      </c>
      <c r="AP60">
        <f t="shared" si="36"/>
        <v>0</v>
      </c>
      <c r="AQ60">
        <f t="shared" si="37"/>
        <v>0</v>
      </c>
    </row>
    <row r="61" spans="1:43" x14ac:dyDescent="0.35">
      <c r="A61" s="51">
        <v>60</v>
      </c>
      <c r="B61" s="50" t="s">
        <v>132</v>
      </c>
      <c r="C61" s="55" t="s">
        <v>135</v>
      </c>
      <c r="D61" s="51" t="s">
        <v>54</v>
      </c>
      <c r="E61" s="67">
        <v>3146</v>
      </c>
      <c r="F61">
        <f t="shared" si="1"/>
        <v>0</v>
      </c>
      <c r="G61">
        <f t="shared" si="2"/>
        <v>0</v>
      </c>
      <c r="H61">
        <f t="shared" si="3"/>
        <v>0</v>
      </c>
      <c r="I61">
        <f t="shared" si="4"/>
        <v>0</v>
      </c>
      <c r="J61">
        <f t="shared" si="5"/>
        <v>0</v>
      </c>
      <c r="K61">
        <f t="shared" si="6"/>
        <v>3146</v>
      </c>
      <c r="L61">
        <f t="shared" si="7"/>
        <v>0</v>
      </c>
      <c r="M61">
        <f t="shared" si="8"/>
        <v>0</v>
      </c>
      <c r="N61">
        <f t="shared" si="9"/>
        <v>0</v>
      </c>
      <c r="O61">
        <f t="shared" si="10"/>
        <v>0</v>
      </c>
      <c r="P61">
        <f t="shared" si="11"/>
        <v>0</v>
      </c>
      <c r="Q61">
        <f t="shared" si="12"/>
        <v>0</v>
      </c>
      <c r="S61">
        <f t="shared" si="25"/>
        <v>57</v>
      </c>
      <c r="T61">
        <f t="shared" si="13"/>
        <v>39</v>
      </c>
      <c r="U61">
        <f t="shared" si="14"/>
        <v>35</v>
      </c>
      <c r="V61">
        <f t="shared" si="15"/>
        <v>44</v>
      </c>
      <c r="W61">
        <f t="shared" si="16"/>
        <v>119</v>
      </c>
      <c r="X61">
        <f t="shared" si="17"/>
        <v>115</v>
      </c>
      <c r="Y61">
        <f t="shared" si="18"/>
        <v>54</v>
      </c>
      <c r="Z61">
        <f t="shared" si="19"/>
        <v>38</v>
      </c>
      <c r="AA61">
        <f t="shared" si="20"/>
        <v>5</v>
      </c>
      <c r="AB61">
        <f t="shared" si="21"/>
        <v>6</v>
      </c>
      <c r="AC61">
        <f t="shared" si="22"/>
        <v>152</v>
      </c>
      <c r="AD61">
        <f t="shared" si="23"/>
        <v>43</v>
      </c>
      <c r="AF61">
        <f t="shared" si="26"/>
        <v>0</v>
      </c>
      <c r="AG61">
        <f t="shared" si="27"/>
        <v>0</v>
      </c>
      <c r="AH61">
        <f t="shared" si="28"/>
        <v>0</v>
      </c>
      <c r="AI61">
        <f t="shared" si="29"/>
        <v>0</v>
      </c>
      <c r="AJ61">
        <f t="shared" si="30"/>
        <v>0</v>
      </c>
      <c r="AK61">
        <f t="shared" si="31"/>
        <v>0</v>
      </c>
      <c r="AL61">
        <f t="shared" si="32"/>
        <v>0</v>
      </c>
      <c r="AM61">
        <f t="shared" si="33"/>
        <v>0</v>
      </c>
      <c r="AN61">
        <f t="shared" si="34"/>
        <v>0</v>
      </c>
      <c r="AO61">
        <f t="shared" si="35"/>
        <v>0</v>
      </c>
      <c r="AP61">
        <f t="shared" si="36"/>
        <v>0</v>
      </c>
      <c r="AQ61">
        <f t="shared" si="37"/>
        <v>0</v>
      </c>
    </row>
    <row r="62" spans="1:43" x14ac:dyDescent="0.35">
      <c r="A62" s="51">
        <v>61</v>
      </c>
      <c r="B62" s="50" t="s">
        <v>136</v>
      </c>
      <c r="C62" s="55" t="s">
        <v>137</v>
      </c>
      <c r="D62" s="51" t="s">
        <v>54</v>
      </c>
      <c r="E62" s="67">
        <v>3241</v>
      </c>
      <c r="F62">
        <f t="shared" si="1"/>
        <v>0</v>
      </c>
      <c r="G62">
        <f t="shared" si="2"/>
        <v>0</v>
      </c>
      <c r="H62">
        <f t="shared" si="3"/>
        <v>0</v>
      </c>
      <c r="I62">
        <f t="shared" si="4"/>
        <v>0</v>
      </c>
      <c r="J62">
        <f t="shared" si="5"/>
        <v>0</v>
      </c>
      <c r="K62">
        <f t="shared" si="6"/>
        <v>3241</v>
      </c>
      <c r="L62">
        <f t="shared" si="7"/>
        <v>0</v>
      </c>
      <c r="M62">
        <f t="shared" si="8"/>
        <v>0</v>
      </c>
      <c r="N62">
        <f t="shared" si="9"/>
        <v>0</v>
      </c>
      <c r="O62">
        <f t="shared" si="10"/>
        <v>0</v>
      </c>
      <c r="P62">
        <f t="shared" si="11"/>
        <v>0</v>
      </c>
      <c r="Q62">
        <f t="shared" si="12"/>
        <v>0</v>
      </c>
      <c r="S62">
        <f t="shared" si="25"/>
        <v>57</v>
      </c>
      <c r="T62">
        <f t="shared" si="13"/>
        <v>39</v>
      </c>
      <c r="U62">
        <f t="shared" si="14"/>
        <v>35</v>
      </c>
      <c r="V62">
        <f t="shared" si="15"/>
        <v>44</v>
      </c>
      <c r="W62">
        <f t="shared" si="16"/>
        <v>119</v>
      </c>
      <c r="X62">
        <f t="shared" si="17"/>
        <v>114</v>
      </c>
      <c r="Y62">
        <f t="shared" si="18"/>
        <v>54</v>
      </c>
      <c r="Z62">
        <f t="shared" si="19"/>
        <v>38</v>
      </c>
      <c r="AA62">
        <f t="shared" si="20"/>
        <v>5</v>
      </c>
      <c r="AB62">
        <f t="shared" si="21"/>
        <v>6</v>
      </c>
      <c r="AC62">
        <f t="shared" si="22"/>
        <v>152</v>
      </c>
      <c r="AD62">
        <f t="shared" si="23"/>
        <v>43</v>
      </c>
      <c r="AF62">
        <f t="shared" si="26"/>
        <v>0</v>
      </c>
      <c r="AG62">
        <f t="shared" si="27"/>
        <v>0</v>
      </c>
      <c r="AH62">
        <f t="shared" si="28"/>
        <v>0</v>
      </c>
      <c r="AI62">
        <f t="shared" si="29"/>
        <v>0</v>
      </c>
      <c r="AJ62">
        <f t="shared" si="30"/>
        <v>0</v>
      </c>
      <c r="AK62">
        <f t="shared" si="31"/>
        <v>0</v>
      </c>
      <c r="AL62">
        <f t="shared" si="32"/>
        <v>0</v>
      </c>
      <c r="AM62">
        <f t="shared" si="33"/>
        <v>0</v>
      </c>
      <c r="AN62">
        <f t="shared" si="34"/>
        <v>0</v>
      </c>
      <c r="AO62">
        <f t="shared" si="35"/>
        <v>0</v>
      </c>
      <c r="AP62">
        <f t="shared" si="36"/>
        <v>0</v>
      </c>
      <c r="AQ62">
        <f t="shared" si="37"/>
        <v>0</v>
      </c>
    </row>
    <row r="63" spans="1:43" x14ac:dyDescent="0.35">
      <c r="A63" s="51">
        <v>62</v>
      </c>
      <c r="B63" s="50" t="s">
        <v>136</v>
      </c>
      <c r="C63" s="55" t="s">
        <v>138</v>
      </c>
      <c r="D63" s="51" t="s">
        <v>222</v>
      </c>
      <c r="E63" s="67">
        <v>3629</v>
      </c>
      <c r="F63">
        <f t="shared" si="1"/>
        <v>0</v>
      </c>
      <c r="G63">
        <f t="shared" si="2"/>
        <v>0</v>
      </c>
      <c r="H63">
        <f t="shared" si="3"/>
        <v>0</v>
      </c>
      <c r="I63">
        <f t="shared" si="4"/>
        <v>0</v>
      </c>
      <c r="J63">
        <f t="shared" si="5"/>
        <v>0</v>
      </c>
      <c r="K63">
        <f t="shared" si="6"/>
        <v>0</v>
      </c>
      <c r="L63">
        <f t="shared" si="7"/>
        <v>0</v>
      </c>
      <c r="M63">
        <f t="shared" si="8"/>
        <v>0</v>
      </c>
      <c r="N63">
        <f t="shared" si="9"/>
        <v>0</v>
      </c>
      <c r="O63">
        <f t="shared" si="10"/>
        <v>0</v>
      </c>
      <c r="P63">
        <f t="shared" si="11"/>
        <v>0</v>
      </c>
      <c r="Q63">
        <f t="shared" si="12"/>
        <v>3629</v>
      </c>
      <c r="S63">
        <f t="shared" si="25"/>
        <v>57</v>
      </c>
      <c r="T63">
        <f t="shared" si="13"/>
        <v>39</v>
      </c>
      <c r="U63">
        <f t="shared" si="14"/>
        <v>35</v>
      </c>
      <c r="V63">
        <f t="shared" si="15"/>
        <v>44</v>
      </c>
      <c r="W63">
        <f t="shared" si="16"/>
        <v>119</v>
      </c>
      <c r="X63">
        <f t="shared" si="17"/>
        <v>113</v>
      </c>
      <c r="Y63">
        <f t="shared" si="18"/>
        <v>54</v>
      </c>
      <c r="Z63">
        <f t="shared" si="19"/>
        <v>38</v>
      </c>
      <c r="AA63">
        <f t="shared" si="20"/>
        <v>5</v>
      </c>
      <c r="AB63">
        <f t="shared" si="21"/>
        <v>6</v>
      </c>
      <c r="AC63">
        <f t="shared" si="22"/>
        <v>152</v>
      </c>
      <c r="AD63">
        <f t="shared" si="23"/>
        <v>43</v>
      </c>
      <c r="AF63">
        <f t="shared" si="26"/>
        <v>0</v>
      </c>
      <c r="AG63">
        <f t="shared" si="27"/>
        <v>0</v>
      </c>
      <c r="AH63">
        <f t="shared" si="28"/>
        <v>0</v>
      </c>
      <c r="AI63">
        <f t="shared" si="29"/>
        <v>0</v>
      </c>
      <c r="AJ63">
        <f t="shared" si="30"/>
        <v>0</v>
      </c>
      <c r="AK63">
        <f t="shared" si="31"/>
        <v>0</v>
      </c>
      <c r="AL63">
        <f t="shared" si="32"/>
        <v>0</v>
      </c>
      <c r="AM63">
        <f t="shared" si="33"/>
        <v>0</v>
      </c>
      <c r="AN63">
        <f t="shared" si="34"/>
        <v>0</v>
      </c>
      <c r="AO63">
        <f t="shared" si="35"/>
        <v>0</v>
      </c>
      <c r="AP63">
        <f t="shared" si="36"/>
        <v>0</v>
      </c>
      <c r="AQ63">
        <f t="shared" si="37"/>
        <v>0</v>
      </c>
    </row>
    <row r="64" spans="1:43" x14ac:dyDescent="0.35">
      <c r="A64" s="51">
        <v>63</v>
      </c>
      <c r="B64" s="50" t="s">
        <v>139</v>
      </c>
      <c r="C64" s="55" t="s">
        <v>140</v>
      </c>
      <c r="D64" s="51" t="s">
        <v>222</v>
      </c>
      <c r="E64" s="67">
        <v>3533</v>
      </c>
      <c r="F64">
        <f t="shared" si="1"/>
        <v>0</v>
      </c>
      <c r="G64">
        <f t="shared" si="2"/>
        <v>0</v>
      </c>
      <c r="H64">
        <f t="shared" si="3"/>
        <v>0</v>
      </c>
      <c r="I64">
        <f t="shared" si="4"/>
        <v>0</v>
      </c>
      <c r="J64">
        <f t="shared" si="5"/>
        <v>0</v>
      </c>
      <c r="K64">
        <f t="shared" si="6"/>
        <v>0</v>
      </c>
      <c r="L64">
        <f t="shared" si="7"/>
        <v>0</v>
      </c>
      <c r="M64">
        <f t="shared" si="8"/>
        <v>0</v>
      </c>
      <c r="N64">
        <f t="shared" si="9"/>
        <v>0</v>
      </c>
      <c r="O64">
        <f t="shared" si="10"/>
        <v>0</v>
      </c>
      <c r="P64">
        <f t="shared" si="11"/>
        <v>0</v>
      </c>
      <c r="Q64">
        <f t="shared" si="12"/>
        <v>3533</v>
      </c>
      <c r="S64">
        <f t="shared" si="25"/>
        <v>57</v>
      </c>
      <c r="T64">
        <f t="shared" si="13"/>
        <v>39</v>
      </c>
      <c r="U64">
        <f t="shared" si="14"/>
        <v>35</v>
      </c>
      <c r="V64">
        <f t="shared" si="15"/>
        <v>44</v>
      </c>
      <c r="W64">
        <f t="shared" si="16"/>
        <v>119</v>
      </c>
      <c r="X64">
        <f t="shared" si="17"/>
        <v>113</v>
      </c>
      <c r="Y64">
        <f t="shared" si="18"/>
        <v>54</v>
      </c>
      <c r="Z64">
        <f t="shared" si="19"/>
        <v>38</v>
      </c>
      <c r="AA64">
        <f t="shared" si="20"/>
        <v>5</v>
      </c>
      <c r="AB64">
        <f t="shared" si="21"/>
        <v>6</v>
      </c>
      <c r="AC64">
        <f t="shared" si="22"/>
        <v>152</v>
      </c>
      <c r="AD64">
        <f t="shared" si="23"/>
        <v>42</v>
      </c>
      <c r="AF64">
        <f t="shared" si="26"/>
        <v>0</v>
      </c>
      <c r="AG64">
        <f t="shared" si="27"/>
        <v>0</v>
      </c>
      <c r="AH64">
        <f t="shared" si="28"/>
        <v>0</v>
      </c>
      <c r="AI64">
        <f t="shared" si="29"/>
        <v>0</v>
      </c>
      <c r="AJ64">
        <f t="shared" si="30"/>
        <v>0</v>
      </c>
      <c r="AK64">
        <f t="shared" si="31"/>
        <v>0</v>
      </c>
      <c r="AL64">
        <f t="shared" si="32"/>
        <v>0</v>
      </c>
      <c r="AM64">
        <f t="shared" si="33"/>
        <v>0</v>
      </c>
      <c r="AN64">
        <f t="shared" si="34"/>
        <v>0</v>
      </c>
      <c r="AO64">
        <f t="shared" si="35"/>
        <v>0</v>
      </c>
      <c r="AP64">
        <f t="shared" si="36"/>
        <v>0</v>
      </c>
      <c r="AQ64">
        <f t="shared" si="37"/>
        <v>0</v>
      </c>
    </row>
    <row r="65" spans="1:43" x14ac:dyDescent="0.35">
      <c r="A65" s="51">
        <v>64</v>
      </c>
      <c r="B65" s="50" t="s">
        <v>139</v>
      </c>
      <c r="C65" s="55" t="s">
        <v>141</v>
      </c>
      <c r="D65" s="51" t="s">
        <v>228</v>
      </c>
      <c r="E65" s="67">
        <v>3670</v>
      </c>
      <c r="F65">
        <f t="shared" si="1"/>
        <v>0</v>
      </c>
      <c r="G65">
        <f t="shared" si="2"/>
        <v>0</v>
      </c>
      <c r="H65">
        <f t="shared" si="3"/>
        <v>0</v>
      </c>
      <c r="I65">
        <f t="shared" si="4"/>
        <v>0</v>
      </c>
      <c r="J65">
        <f t="shared" si="5"/>
        <v>0</v>
      </c>
      <c r="K65">
        <f t="shared" si="6"/>
        <v>0</v>
      </c>
      <c r="L65">
        <f t="shared" si="7"/>
        <v>0</v>
      </c>
      <c r="M65">
        <f t="shared" si="8"/>
        <v>0</v>
      </c>
      <c r="N65">
        <f t="shared" si="9"/>
        <v>0</v>
      </c>
      <c r="O65">
        <f t="shared" si="10"/>
        <v>0</v>
      </c>
      <c r="P65">
        <f t="shared" si="11"/>
        <v>3670</v>
      </c>
      <c r="Q65">
        <f t="shared" si="12"/>
        <v>0</v>
      </c>
      <c r="S65">
        <f t="shared" si="25"/>
        <v>57</v>
      </c>
      <c r="T65">
        <f t="shared" si="13"/>
        <v>39</v>
      </c>
      <c r="U65">
        <f t="shared" si="14"/>
        <v>35</v>
      </c>
      <c r="V65">
        <f t="shared" si="15"/>
        <v>44</v>
      </c>
      <c r="W65">
        <f t="shared" si="16"/>
        <v>119</v>
      </c>
      <c r="X65">
        <f t="shared" si="17"/>
        <v>113</v>
      </c>
      <c r="Y65">
        <f t="shared" si="18"/>
        <v>54</v>
      </c>
      <c r="Z65">
        <f t="shared" si="19"/>
        <v>38</v>
      </c>
      <c r="AA65">
        <f t="shared" si="20"/>
        <v>5</v>
      </c>
      <c r="AB65">
        <f t="shared" si="21"/>
        <v>6</v>
      </c>
      <c r="AC65">
        <f t="shared" si="22"/>
        <v>152</v>
      </c>
      <c r="AD65">
        <f t="shared" si="23"/>
        <v>41</v>
      </c>
      <c r="AF65">
        <f t="shared" si="26"/>
        <v>0</v>
      </c>
      <c r="AG65">
        <f t="shared" si="27"/>
        <v>0</v>
      </c>
      <c r="AH65">
        <f t="shared" si="28"/>
        <v>0</v>
      </c>
      <c r="AI65">
        <f t="shared" si="29"/>
        <v>0</v>
      </c>
      <c r="AJ65">
        <f t="shared" si="30"/>
        <v>0</v>
      </c>
      <c r="AK65">
        <f t="shared" si="31"/>
        <v>0</v>
      </c>
      <c r="AL65">
        <f t="shared" si="32"/>
        <v>0</v>
      </c>
      <c r="AM65">
        <f t="shared" si="33"/>
        <v>0</v>
      </c>
      <c r="AN65">
        <f t="shared" si="34"/>
        <v>0</v>
      </c>
      <c r="AO65">
        <f t="shared" si="35"/>
        <v>0</v>
      </c>
      <c r="AP65">
        <f t="shared" si="36"/>
        <v>0</v>
      </c>
      <c r="AQ65">
        <f t="shared" si="37"/>
        <v>0</v>
      </c>
    </row>
    <row r="66" spans="1:43" x14ac:dyDescent="0.35">
      <c r="A66" s="51">
        <v>65</v>
      </c>
      <c r="B66" s="50" t="s">
        <v>139</v>
      </c>
      <c r="C66" s="55" t="s">
        <v>142</v>
      </c>
      <c r="D66" s="51" t="s">
        <v>60</v>
      </c>
      <c r="E66" s="67">
        <v>3402</v>
      </c>
      <c r="F66">
        <f t="shared" ref="F66:F129" si="38">IF(D66="SPUR-01",E66,0)</f>
        <v>0</v>
      </c>
      <c r="G66">
        <f t="shared" ref="G66:G129" si="39">IF(D66="SPUR-02",E66,0)</f>
        <v>0</v>
      </c>
      <c r="H66">
        <f t="shared" ref="H66:H129" si="40">IF(D66="SPUR-03",E66,0)</f>
        <v>0</v>
      </c>
      <c r="I66">
        <f t="shared" ref="I66:I129" si="41">IF(D66="SPUR-04",E66,0)</f>
        <v>0</v>
      </c>
      <c r="J66">
        <f t="shared" ref="J66:J129" si="42">IF(D66="SPUR-05",E66,0)</f>
        <v>3402</v>
      </c>
      <c r="K66">
        <f t="shared" ref="K66:K129" si="43">IF(D66="SPUR-06",E66,0)</f>
        <v>0</v>
      </c>
      <c r="L66">
        <f t="shared" ref="L66:L129" si="44">IF(D66="SPUR-07",E66,0)</f>
        <v>0</v>
      </c>
      <c r="M66">
        <f t="shared" ref="M66:M129" si="45">IF(D66="SPUR-08",E66,0)</f>
        <v>0</v>
      </c>
      <c r="N66">
        <f t="shared" ref="N66:N129" si="46">IF(D66="SPUR-09",E66,0)</f>
        <v>0</v>
      </c>
      <c r="O66">
        <f t="shared" ref="O66:O129" si="47">IF(D66="SPUR-10",E66,0)</f>
        <v>0</v>
      </c>
      <c r="P66">
        <f t="shared" ref="P66:P129" si="48">IF(D66="SPUR-SILO",E66,0)</f>
        <v>0</v>
      </c>
      <c r="Q66">
        <f t="shared" ref="Q66:Q129" si="49">IF(D66="SPUR-DB",E66,0)</f>
        <v>0</v>
      </c>
      <c r="S66">
        <f t="shared" ref="S66:S129" si="50">IF(F66&gt;0,1,0)+S67</f>
        <v>57</v>
      </c>
      <c r="T66">
        <f t="shared" ref="T66:T129" si="51">IF(G66&gt;0,1,0)+T67</f>
        <v>39</v>
      </c>
      <c r="U66">
        <f t="shared" ref="U66:U129" si="52">IF(H66&gt;0,1,0)+U67</f>
        <v>35</v>
      </c>
      <c r="V66">
        <f t="shared" ref="V66:V129" si="53">IF(I66&gt;0,1,0)+V67</f>
        <v>44</v>
      </c>
      <c r="W66">
        <f t="shared" ref="W66:W129" si="54">IF(J66&gt;0,1,0)+W67</f>
        <v>119</v>
      </c>
      <c r="X66">
        <f t="shared" ref="X66:X129" si="55">IF(K66&gt;0,1,0)+X67</f>
        <v>113</v>
      </c>
      <c r="Y66">
        <f t="shared" ref="Y66:Y129" si="56">IF(L66&gt;0,1,0)+Y67</f>
        <v>54</v>
      </c>
      <c r="Z66">
        <f t="shared" ref="Z66:Z129" si="57">IF(M66&gt;0,1,0)+Z67</f>
        <v>38</v>
      </c>
      <c r="AA66">
        <f t="shared" ref="AA66:AA129" si="58">IF(N66&gt;0,1,0)+AA67</f>
        <v>5</v>
      </c>
      <c r="AB66">
        <f t="shared" ref="AB66:AB129" si="59">IF(O66&gt;0,1,0)+AB67</f>
        <v>6</v>
      </c>
      <c r="AC66">
        <f t="shared" ref="AC66:AC129" si="60">IF(P66&gt;0,1,0)+AC67</f>
        <v>151</v>
      </c>
      <c r="AD66">
        <f t="shared" ref="AD66:AD129" si="61">IF(Q66&gt;0,1,0)+AD67</f>
        <v>41</v>
      </c>
      <c r="AF66">
        <f t="shared" si="26"/>
        <v>0</v>
      </c>
      <c r="AG66">
        <f t="shared" si="27"/>
        <v>0</v>
      </c>
      <c r="AH66">
        <f t="shared" si="28"/>
        <v>0</v>
      </c>
      <c r="AI66">
        <f t="shared" si="29"/>
        <v>0</v>
      </c>
      <c r="AJ66">
        <f t="shared" si="30"/>
        <v>0</v>
      </c>
      <c r="AK66">
        <f t="shared" si="31"/>
        <v>0</v>
      </c>
      <c r="AL66">
        <f t="shared" si="32"/>
        <v>0</v>
      </c>
      <c r="AM66">
        <f t="shared" si="33"/>
        <v>0</v>
      </c>
      <c r="AN66">
        <f t="shared" si="34"/>
        <v>0</v>
      </c>
      <c r="AO66">
        <f t="shared" si="35"/>
        <v>0</v>
      </c>
      <c r="AP66">
        <f t="shared" si="36"/>
        <v>0</v>
      </c>
      <c r="AQ66">
        <f t="shared" si="37"/>
        <v>0</v>
      </c>
    </row>
    <row r="67" spans="1:43" x14ac:dyDescent="0.35">
      <c r="A67" s="51">
        <v>66</v>
      </c>
      <c r="B67" s="50" t="s">
        <v>139</v>
      </c>
      <c r="C67" s="55" t="s">
        <v>143</v>
      </c>
      <c r="D67" s="51" t="s">
        <v>57</v>
      </c>
      <c r="E67" s="67">
        <v>3437</v>
      </c>
      <c r="F67">
        <f t="shared" si="38"/>
        <v>0</v>
      </c>
      <c r="G67">
        <f t="shared" si="39"/>
        <v>0</v>
      </c>
      <c r="H67">
        <f t="shared" si="40"/>
        <v>0</v>
      </c>
      <c r="I67">
        <f t="shared" si="41"/>
        <v>0</v>
      </c>
      <c r="J67">
        <f t="shared" si="42"/>
        <v>0</v>
      </c>
      <c r="K67">
        <f t="shared" si="43"/>
        <v>0</v>
      </c>
      <c r="L67">
        <f t="shared" si="44"/>
        <v>0</v>
      </c>
      <c r="M67">
        <f t="shared" si="45"/>
        <v>3437</v>
      </c>
      <c r="N67">
        <f t="shared" si="46"/>
        <v>0</v>
      </c>
      <c r="O67">
        <f t="shared" si="47"/>
        <v>0</v>
      </c>
      <c r="P67">
        <f t="shared" si="48"/>
        <v>0</v>
      </c>
      <c r="Q67">
        <f t="shared" si="49"/>
        <v>0</v>
      </c>
      <c r="S67">
        <f t="shared" si="50"/>
        <v>57</v>
      </c>
      <c r="T67">
        <f t="shared" si="51"/>
        <v>39</v>
      </c>
      <c r="U67">
        <f t="shared" si="52"/>
        <v>35</v>
      </c>
      <c r="V67">
        <f t="shared" si="53"/>
        <v>44</v>
      </c>
      <c r="W67">
        <f t="shared" si="54"/>
        <v>118</v>
      </c>
      <c r="X67">
        <f t="shared" si="55"/>
        <v>113</v>
      </c>
      <c r="Y67">
        <f t="shared" si="56"/>
        <v>54</v>
      </c>
      <c r="Z67">
        <f t="shared" si="57"/>
        <v>38</v>
      </c>
      <c r="AA67">
        <f t="shared" si="58"/>
        <v>5</v>
      </c>
      <c r="AB67">
        <f t="shared" si="59"/>
        <v>6</v>
      </c>
      <c r="AC67">
        <f t="shared" si="60"/>
        <v>151</v>
      </c>
      <c r="AD67">
        <f t="shared" si="61"/>
        <v>41</v>
      </c>
      <c r="AF67">
        <f t="shared" ref="AF67:AF130" si="62">IF(S67&lt;=$AT$1,F67,0)</f>
        <v>0</v>
      </c>
      <c r="AG67">
        <f t="shared" ref="AG67:AG130" si="63">IF(T67&lt;=$AT$1,G67,0)</f>
        <v>0</v>
      </c>
      <c r="AH67">
        <f t="shared" ref="AH67:AH130" si="64">IF(U67&lt;=$AT$1,H67,0)</f>
        <v>0</v>
      </c>
      <c r="AI67">
        <f t="shared" ref="AI67:AI130" si="65">IF(V67&lt;=$AT$1,I67,0)</f>
        <v>0</v>
      </c>
      <c r="AJ67">
        <f t="shared" ref="AJ67:AJ130" si="66">IF(W67&lt;=$AT$1,J67,0)</f>
        <v>0</v>
      </c>
      <c r="AK67">
        <f t="shared" ref="AK67:AK130" si="67">IF(X67&lt;=$AT$1,K67,0)</f>
        <v>0</v>
      </c>
      <c r="AL67">
        <f t="shared" ref="AL67:AL130" si="68">IF(Y67&lt;=$AT$1,L67,0)</f>
        <v>0</v>
      </c>
      <c r="AM67">
        <f t="shared" ref="AM67:AM130" si="69">IF(Z67&lt;=$AT$1,M67,0)</f>
        <v>0</v>
      </c>
      <c r="AN67">
        <f t="shared" ref="AN67:AN130" si="70">IF(AA67&lt;=$AT$1,N67,0)</f>
        <v>0</v>
      </c>
      <c r="AO67">
        <f t="shared" ref="AO67:AO130" si="71">IF(AB67&lt;=$AT$1,O67,0)</f>
        <v>0</v>
      </c>
      <c r="AP67">
        <f t="shared" ref="AP67:AP130" si="72">IF(AC67&lt;=$AT$1,P67,0)</f>
        <v>0</v>
      </c>
      <c r="AQ67">
        <f t="shared" ref="AQ67:AQ130" si="73">IF(AD67&lt;=$AT$1,Q67,0)</f>
        <v>0</v>
      </c>
    </row>
    <row r="68" spans="1:43" x14ac:dyDescent="0.35">
      <c r="A68" s="51">
        <v>67</v>
      </c>
      <c r="B68" s="50" t="s">
        <v>144</v>
      </c>
      <c r="C68" s="55" t="s">
        <v>145</v>
      </c>
      <c r="D68" s="51" t="s">
        <v>54</v>
      </c>
      <c r="E68" s="67">
        <v>3105</v>
      </c>
      <c r="F68">
        <f t="shared" si="38"/>
        <v>0</v>
      </c>
      <c r="G68">
        <f t="shared" si="39"/>
        <v>0</v>
      </c>
      <c r="H68">
        <f t="shared" si="40"/>
        <v>0</v>
      </c>
      <c r="I68">
        <f t="shared" si="41"/>
        <v>0</v>
      </c>
      <c r="J68">
        <f t="shared" si="42"/>
        <v>0</v>
      </c>
      <c r="K68">
        <f t="shared" si="43"/>
        <v>3105</v>
      </c>
      <c r="L68">
        <f t="shared" si="44"/>
        <v>0</v>
      </c>
      <c r="M68">
        <f t="shared" si="45"/>
        <v>0</v>
      </c>
      <c r="N68">
        <f t="shared" si="46"/>
        <v>0</v>
      </c>
      <c r="O68">
        <f t="shared" si="47"/>
        <v>0</v>
      </c>
      <c r="P68">
        <f t="shared" si="48"/>
        <v>0</v>
      </c>
      <c r="Q68">
        <f t="shared" si="49"/>
        <v>0</v>
      </c>
      <c r="S68">
        <f t="shared" si="50"/>
        <v>57</v>
      </c>
      <c r="T68">
        <f t="shared" si="51"/>
        <v>39</v>
      </c>
      <c r="U68">
        <f t="shared" si="52"/>
        <v>35</v>
      </c>
      <c r="V68">
        <f t="shared" si="53"/>
        <v>44</v>
      </c>
      <c r="W68">
        <f t="shared" si="54"/>
        <v>118</v>
      </c>
      <c r="X68">
        <f t="shared" si="55"/>
        <v>113</v>
      </c>
      <c r="Y68">
        <f t="shared" si="56"/>
        <v>54</v>
      </c>
      <c r="Z68">
        <f t="shared" si="57"/>
        <v>37</v>
      </c>
      <c r="AA68">
        <f t="shared" si="58"/>
        <v>5</v>
      </c>
      <c r="AB68">
        <f t="shared" si="59"/>
        <v>6</v>
      </c>
      <c r="AC68">
        <f t="shared" si="60"/>
        <v>151</v>
      </c>
      <c r="AD68">
        <f t="shared" si="61"/>
        <v>41</v>
      </c>
      <c r="AF68">
        <f t="shared" si="62"/>
        <v>0</v>
      </c>
      <c r="AG68">
        <f t="shared" si="63"/>
        <v>0</v>
      </c>
      <c r="AH68">
        <f t="shared" si="64"/>
        <v>0</v>
      </c>
      <c r="AI68">
        <f t="shared" si="65"/>
        <v>0</v>
      </c>
      <c r="AJ68">
        <f t="shared" si="66"/>
        <v>0</v>
      </c>
      <c r="AK68">
        <f t="shared" si="67"/>
        <v>0</v>
      </c>
      <c r="AL68">
        <f t="shared" si="68"/>
        <v>0</v>
      </c>
      <c r="AM68">
        <f t="shared" si="69"/>
        <v>0</v>
      </c>
      <c r="AN68">
        <f t="shared" si="70"/>
        <v>0</v>
      </c>
      <c r="AO68">
        <f t="shared" si="71"/>
        <v>0</v>
      </c>
      <c r="AP68">
        <f t="shared" si="72"/>
        <v>0</v>
      </c>
      <c r="AQ68">
        <f t="shared" si="73"/>
        <v>0</v>
      </c>
    </row>
    <row r="69" spans="1:43" x14ac:dyDescent="0.35">
      <c r="A69" s="51">
        <v>68</v>
      </c>
      <c r="B69" s="50" t="s">
        <v>144</v>
      </c>
      <c r="C69" s="55" t="s">
        <v>146</v>
      </c>
      <c r="D69" s="51" t="s">
        <v>54</v>
      </c>
      <c r="E69" s="67">
        <v>2332</v>
      </c>
      <c r="F69">
        <f t="shared" si="38"/>
        <v>0</v>
      </c>
      <c r="G69">
        <f t="shared" si="39"/>
        <v>0</v>
      </c>
      <c r="H69">
        <f t="shared" si="40"/>
        <v>0</v>
      </c>
      <c r="I69">
        <f t="shared" si="41"/>
        <v>0</v>
      </c>
      <c r="J69">
        <f t="shared" si="42"/>
        <v>0</v>
      </c>
      <c r="K69">
        <f t="shared" si="43"/>
        <v>2332</v>
      </c>
      <c r="L69">
        <f t="shared" si="44"/>
        <v>0</v>
      </c>
      <c r="M69">
        <f t="shared" si="45"/>
        <v>0</v>
      </c>
      <c r="N69">
        <f t="shared" si="46"/>
        <v>0</v>
      </c>
      <c r="O69">
        <f t="shared" si="47"/>
        <v>0</v>
      </c>
      <c r="P69">
        <f t="shared" si="48"/>
        <v>0</v>
      </c>
      <c r="Q69">
        <f t="shared" si="49"/>
        <v>0</v>
      </c>
      <c r="S69">
        <f t="shared" si="50"/>
        <v>57</v>
      </c>
      <c r="T69">
        <f t="shared" si="51"/>
        <v>39</v>
      </c>
      <c r="U69">
        <f t="shared" si="52"/>
        <v>35</v>
      </c>
      <c r="V69">
        <f t="shared" si="53"/>
        <v>44</v>
      </c>
      <c r="W69">
        <f t="shared" si="54"/>
        <v>118</v>
      </c>
      <c r="X69">
        <f t="shared" si="55"/>
        <v>112</v>
      </c>
      <c r="Y69">
        <f t="shared" si="56"/>
        <v>54</v>
      </c>
      <c r="Z69">
        <f t="shared" si="57"/>
        <v>37</v>
      </c>
      <c r="AA69">
        <f t="shared" si="58"/>
        <v>5</v>
      </c>
      <c r="AB69">
        <f t="shared" si="59"/>
        <v>6</v>
      </c>
      <c r="AC69">
        <f t="shared" si="60"/>
        <v>151</v>
      </c>
      <c r="AD69">
        <f t="shared" si="61"/>
        <v>41</v>
      </c>
      <c r="AF69">
        <f t="shared" si="62"/>
        <v>0</v>
      </c>
      <c r="AG69">
        <f t="shared" si="63"/>
        <v>0</v>
      </c>
      <c r="AH69">
        <f t="shared" si="64"/>
        <v>0</v>
      </c>
      <c r="AI69">
        <f t="shared" si="65"/>
        <v>0</v>
      </c>
      <c r="AJ69">
        <f t="shared" si="66"/>
        <v>0</v>
      </c>
      <c r="AK69">
        <f t="shared" si="67"/>
        <v>0</v>
      </c>
      <c r="AL69">
        <f t="shared" si="68"/>
        <v>0</v>
      </c>
      <c r="AM69">
        <f t="shared" si="69"/>
        <v>0</v>
      </c>
      <c r="AN69">
        <f t="shared" si="70"/>
        <v>0</v>
      </c>
      <c r="AO69">
        <f t="shared" si="71"/>
        <v>0</v>
      </c>
      <c r="AP69">
        <f t="shared" si="72"/>
        <v>0</v>
      </c>
      <c r="AQ69">
        <f t="shared" si="73"/>
        <v>0</v>
      </c>
    </row>
    <row r="70" spans="1:43" x14ac:dyDescent="0.35">
      <c r="A70" s="51">
        <v>69</v>
      </c>
      <c r="B70" s="50" t="s">
        <v>144</v>
      </c>
      <c r="C70" s="55" t="s">
        <v>147</v>
      </c>
      <c r="D70" s="51" t="s">
        <v>222</v>
      </c>
      <c r="E70" s="67">
        <v>3217</v>
      </c>
      <c r="F70">
        <f t="shared" si="38"/>
        <v>0</v>
      </c>
      <c r="G70">
        <f t="shared" si="39"/>
        <v>0</v>
      </c>
      <c r="H70">
        <f t="shared" si="40"/>
        <v>0</v>
      </c>
      <c r="I70">
        <f t="shared" si="41"/>
        <v>0</v>
      </c>
      <c r="J70">
        <f t="shared" si="42"/>
        <v>0</v>
      </c>
      <c r="K70">
        <f t="shared" si="43"/>
        <v>0</v>
      </c>
      <c r="L70">
        <f t="shared" si="44"/>
        <v>0</v>
      </c>
      <c r="M70">
        <f t="shared" si="45"/>
        <v>0</v>
      </c>
      <c r="N70">
        <f t="shared" si="46"/>
        <v>0</v>
      </c>
      <c r="O70">
        <f t="shared" si="47"/>
        <v>0</v>
      </c>
      <c r="P70">
        <f t="shared" si="48"/>
        <v>0</v>
      </c>
      <c r="Q70">
        <f t="shared" si="49"/>
        <v>3217</v>
      </c>
      <c r="S70">
        <f t="shared" si="50"/>
        <v>57</v>
      </c>
      <c r="T70">
        <f t="shared" si="51"/>
        <v>39</v>
      </c>
      <c r="U70">
        <f t="shared" si="52"/>
        <v>35</v>
      </c>
      <c r="V70">
        <f t="shared" si="53"/>
        <v>44</v>
      </c>
      <c r="W70">
        <f t="shared" si="54"/>
        <v>118</v>
      </c>
      <c r="X70">
        <f t="shared" si="55"/>
        <v>111</v>
      </c>
      <c r="Y70">
        <f t="shared" si="56"/>
        <v>54</v>
      </c>
      <c r="Z70">
        <f t="shared" si="57"/>
        <v>37</v>
      </c>
      <c r="AA70">
        <f t="shared" si="58"/>
        <v>5</v>
      </c>
      <c r="AB70">
        <f t="shared" si="59"/>
        <v>6</v>
      </c>
      <c r="AC70">
        <f t="shared" si="60"/>
        <v>151</v>
      </c>
      <c r="AD70">
        <f t="shared" si="61"/>
        <v>41</v>
      </c>
      <c r="AF70">
        <f t="shared" si="62"/>
        <v>0</v>
      </c>
      <c r="AG70">
        <f t="shared" si="63"/>
        <v>0</v>
      </c>
      <c r="AH70">
        <f t="shared" si="64"/>
        <v>0</v>
      </c>
      <c r="AI70">
        <f t="shared" si="65"/>
        <v>0</v>
      </c>
      <c r="AJ70">
        <f t="shared" si="66"/>
        <v>0</v>
      </c>
      <c r="AK70">
        <f t="shared" si="67"/>
        <v>0</v>
      </c>
      <c r="AL70">
        <f t="shared" si="68"/>
        <v>0</v>
      </c>
      <c r="AM70">
        <f t="shared" si="69"/>
        <v>0</v>
      </c>
      <c r="AN70">
        <f t="shared" si="70"/>
        <v>0</v>
      </c>
      <c r="AO70">
        <f t="shared" si="71"/>
        <v>0</v>
      </c>
      <c r="AP70">
        <f t="shared" si="72"/>
        <v>0</v>
      </c>
      <c r="AQ70">
        <f t="shared" si="73"/>
        <v>0</v>
      </c>
    </row>
    <row r="71" spans="1:43" x14ac:dyDescent="0.35">
      <c r="A71" s="51">
        <v>70</v>
      </c>
      <c r="B71" s="50" t="s">
        <v>144</v>
      </c>
      <c r="C71" s="55" t="s">
        <v>148</v>
      </c>
      <c r="D71" s="51" t="s">
        <v>57</v>
      </c>
      <c r="E71" s="67">
        <v>3409</v>
      </c>
      <c r="F71">
        <f t="shared" si="38"/>
        <v>0</v>
      </c>
      <c r="G71">
        <f t="shared" si="39"/>
        <v>0</v>
      </c>
      <c r="H71">
        <f t="shared" si="40"/>
        <v>0</v>
      </c>
      <c r="I71">
        <f t="shared" si="41"/>
        <v>0</v>
      </c>
      <c r="J71">
        <f t="shared" si="42"/>
        <v>0</v>
      </c>
      <c r="K71">
        <f t="shared" si="43"/>
        <v>0</v>
      </c>
      <c r="L71">
        <f t="shared" si="44"/>
        <v>0</v>
      </c>
      <c r="M71">
        <f t="shared" si="45"/>
        <v>3409</v>
      </c>
      <c r="N71">
        <f t="shared" si="46"/>
        <v>0</v>
      </c>
      <c r="O71">
        <f t="shared" si="47"/>
        <v>0</v>
      </c>
      <c r="P71">
        <f t="shared" si="48"/>
        <v>0</v>
      </c>
      <c r="Q71">
        <f t="shared" si="49"/>
        <v>0</v>
      </c>
      <c r="S71">
        <f t="shared" si="50"/>
        <v>57</v>
      </c>
      <c r="T71">
        <f t="shared" si="51"/>
        <v>39</v>
      </c>
      <c r="U71">
        <f t="shared" si="52"/>
        <v>35</v>
      </c>
      <c r="V71">
        <f t="shared" si="53"/>
        <v>44</v>
      </c>
      <c r="W71">
        <f t="shared" si="54"/>
        <v>118</v>
      </c>
      <c r="X71">
        <f t="shared" si="55"/>
        <v>111</v>
      </c>
      <c r="Y71">
        <f t="shared" si="56"/>
        <v>54</v>
      </c>
      <c r="Z71">
        <f t="shared" si="57"/>
        <v>37</v>
      </c>
      <c r="AA71">
        <f t="shared" si="58"/>
        <v>5</v>
      </c>
      <c r="AB71">
        <f t="shared" si="59"/>
        <v>6</v>
      </c>
      <c r="AC71">
        <f t="shared" si="60"/>
        <v>151</v>
      </c>
      <c r="AD71">
        <f t="shared" si="61"/>
        <v>40</v>
      </c>
      <c r="AF71">
        <f t="shared" si="62"/>
        <v>0</v>
      </c>
      <c r="AG71">
        <f t="shared" si="63"/>
        <v>0</v>
      </c>
      <c r="AH71">
        <f t="shared" si="64"/>
        <v>0</v>
      </c>
      <c r="AI71">
        <f t="shared" si="65"/>
        <v>0</v>
      </c>
      <c r="AJ71">
        <f t="shared" si="66"/>
        <v>0</v>
      </c>
      <c r="AK71">
        <f t="shared" si="67"/>
        <v>0</v>
      </c>
      <c r="AL71">
        <f t="shared" si="68"/>
        <v>0</v>
      </c>
      <c r="AM71">
        <f t="shared" si="69"/>
        <v>0</v>
      </c>
      <c r="AN71">
        <f t="shared" si="70"/>
        <v>0</v>
      </c>
      <c r="AO71">
        <f t="shared" si="71"/>
        <v>0</v>
      </c>
      <c r="AP71">
        <f t="shared" si="72"/>
        <v>0</v>
      </c>
      <c r="AQ71">
        <f t="shared" si="73"/>
        <v>0</v>
      </c>
    </row>
    <row r="72" spans="1:43" x14ac:dyDescent="0.35">
      <c r="A72" s="51">
        <v>71</v>
      </c>
      <c r="B72" s="50" t="s">
        <v>149</v>
      </c>
      <c r="C72" s="55" t="s">
        <v>150</v>
      </c>
      <c r="D72" s="51" t="s">
        <v>60</v>
      </c>
      <c r="E72" s="67">
        <v>2937.7879088278464</v>
      </c>
      <c r="F72">
        <f t="shared" si="38"/>
        <v>0</v>
      </c>
      <c r="G72">
        <f t="shared" si="39"/>
        <v>0</v>
      </c>
      <c r="H72">
        <f t="shared" si="40"/>
        <v>0</v>
      </c>
      <c r="I72">
        <f t="shared" si="41"/>
        <v>0</v>
      </c>
      <c r="J72">
        <f t="shared" si="42"/>
        <v>2937.7879088278464</v>
      </c>
      <c r="K72">
        <f t="shared" si="43"/>
        <v>0</v>
      </c>
      <c r="L72">
        <f t="shared" si="44"/>
        <v>0</v>
      </c>
      <c r="M72">
        <f t="shared" si="45"/>
        <v>0</v>
      </c>
      <c r="N72">
        <f t="shared" si="46"/>
        <v>0</v>
      </c>
      <c r="O72">
        <f t="shared" si="47"/>
        <v>0</v>
      </c>
      <c r="P72">
        <f t="shared" si="48"/>
        <v>0</v>
      </c>
      <c r="Q72">
        <f t="shared" si="49"/>
        <v>0</v>
      </c>
      <c r="S72">
        <f t="shared" si="50"/>
        <v>57</v>
      </c>
      <c r="T72">
        <f t="shared" si="51"/>
        <v>39</v>
      </c>
      <c r="U72">
        <f t="shared" si="52"/>
        <v>35</v>
      </c>
      <c r="V72">
        <f t="shared" si="53"/>
        <v>44</v>
      </c>
      <c r="W72">
        <f t="shared" si="54"/>
        <v>118</v>
      </c>
      <c r="X72">
        <f t="shared" si="55"/>
        <v>111</v>
      </c>
      <c r="Y72">
        <f t="shared" si="56"/>
        <v>54</v>
      </c>
      <c r="Z72">
        <f t="shared" si="57"/>
        <v>36</v>
      </c>
      <c r="AA72">
        <f t="shared" si="58"/>
        <v>5</v>
      </c>
      <c r="AB72">
        <f t="shared" si="59"/>
        <v>6</v>
      </c>
      <c r="AC72">
        <f t="shared" si="60"/>
        <v>151</v>
      </c>
      <c r="AD72">
        <f t="shared" si="61"/>
        <v>40</v>
      </c>
      <c r="AF72">
        <f t="shared" si="62"/>
        <v>0</v>
      </c>
      <c r="AG72">
        <f t="shared" si="63"/>
        <v>0</v>
      </c>
      <c r="AH72">
        <f t="shared" si="64"/>
        <v>0</v>
      </c>
      <c r="AI72">
        <f t="shared" si="65"/>
        <v>0</v>
      </c>
      <c r="AJ72">
        <f t="shared" si="66"/>
        <v>0</v>
      </c>
      <c r="AK72">
        <f t="shared" si="67"/>
        <v>0</v>
      </c>
      <c r="AL72">
        <f t="shared" si="68"/>
        <v>0</v>
      </c>
      <c r="AM72">
        <f t="shared" si="69"/>
        <v>0</v>
      </c>
      <c r="AN72">
        <f t="shared" si="70"/>
        <v>0</v>
      </c>
      <c r="AO72">
        <f t="shared" si="71"/>
        <v>0</v>
      </c>
      <c r="AP72">
        <f t="shared" si="72"/>
        <v>0</v>
      </c>
      <c r="AQ72">
        <f t="shared" si="73"/>
        <v>0</v>
      </c>
    </row>
    <row r="73" spans="1:43" x14ac:dyDescent="0.35">
      <c r="A73" s="51">
        <v>72</v>
      </c>
      <c r="B73" s="50" t="s">
        <v>149</v>
      </c>
      <c r="C73" s="55" t="s">
        <v>151</v>
      </c>
      <c r="D73" s="51" t="s">
        <v>57</v>
      </c>
      <c r="E73" s="67">
        <v>3212.8121861456484</v>
      </c>
      <c r="F73">
        <f t="shared" si="38"/>
        <v>0</v>
      </c>
      <c r="G73">
        <f t="shared" si="39"/>
        <v>0</v>
      </c>
      <c r="H73">
        <f t="shared" si="40"/>
        <v>0</v>
      </c>
      <c r="I73">
        <f t="shared" si="41"/>
        <v>0</v>
      </c>
      <c r="J73">
        <f t="shared" si="42"/>
        <v>0</v>
      </c>
      <c r="K73">
        <f t="shared" si="43"/>
        <v>0</v>
      </c>
      <c r="L73">
        <f t="shared" si="44"/>
        <v>0</v>
      </c>
      <c r="M73">
        <f t="shared" si="45"/>
        <v>3212.8121861456484</v>
      </c>
      <c r="N73">
        <f t="shared" si="46"/>
        <v>0</v>
      </c>
      <c r="O73">
        <f t="shared" si="47"/>
        <v>0</v>
      </c>
      <c r="P73">
        <f t="shared" si="48"/>
        <v>0</v>
      </c>
      <c r="Q73">
        <f t="shared" si="49"/>
        <v>0</v>
      </c>
      <c r="S73">
        <f t="shared" si="50"/>
        <v>57</v>
      </c>
      <c r="T73">
        <f t="shared" si="51"/>
        <v>39</v>
      </c>
      <c r="U73">
        <f t="shared" si="52"/>
        <v>35</v>
      </c>
      <c r="V73">
        <f t="shared" si="53"/>
        <v>44</v>
      </c>
      <c r="W73">
        <f t="shared" si="54"/>
        <v>117</v>
      </c>
      <c r="X73">
        <f t="shared" si="55"/>
        <v>111</v>
      </c>
      <c r="Y73">
        <f t="shared" si="56"/>
        <v>54</v>
      </c>
      <c r="Z73">
        <f t="shared" si="57"/>
        <v>36</v>
      </c>
      <c r="AA73">
        <f t="shared" si="58"/>
        <v>5</v>
      </c>
      <c r="AB73">
        <f t="shared" si="59"/>
        <v>6</v>
      </c>
      <c r="AC73">
        <f t="shared" si="60"/>
        <v>151</v>
      </c>
      <c r="AD73">
        <f t="shared" si="61"/>
        <v>40</v>
      </c>
      <c r="AF73">
        <f t="shared" si="62"/>
        <v>0</v>
      </c>
      <c r="AG73">
        <f t="shared" si="63"/>
        <v>0</v>
      </c>
      <c r="AH73">
        <f t="shared" si="64"/>
        <v>0</v>
      </c>
      <c r="AI73">
        <f t="shared" si="65"/>
        <v>0</v>
      </c>
      <c r="AJ73">
        <f t="shared" si="66"/>
        <v>0</v>
      </c>
      <c r="AK73">
        <f t="shared" si="67"/>
        <v>0</v>
      </c>
      <c r="AL73">
        <f t="shared" si="68"/>
        <v>0</v>
      </c>
      <c r="AM73">
        <f t="shared" si="69"/>
        <v>0</v>
      </c>
      <c r="AN73">
        <f t="shared" si="70"/>
        <v>0</v>
      </c>
      <c r="AO73">
        <f t="shared" si="71"/>
        <v>0</v>
      </c>
      <c r="AP73">
        <f t="shared" si="72"/>
        <v>0</v>
      </c>
      <c r="AQ73">
        <f t="shared" si="73"/>
        <v>0</v>
      </c>
    </row>
    <row r="74" spans="1:43" x14ac:dyDescent="0.35">
      <c r="A74" s="51">
        <v>73</v>
      </c>
      <c r="B74" s="50" t="s">
        <v>149</v>
      </c>
      <c r="C74" s="55" t="s">
        <v>152</v>
      </c>
      <c r="D74" s="51" t="s">
        <v>54</v>
      </c>
      <c r="E74" s="67">
        <v>2923.4780944426871</v>
      </c>
      <c r="F74">
        <f t="shared" si="38"/>
        <v>0</v>
      </c>
      <c r="G74">
        <f t="shared" si="39"/>
        <v>0</v>
      </c>
      <c r="H74">
        <f t="shared" si="40"/>
        <v>0</v>
      </c>
      <c r="I74">
        <f t="shared" si="41"/>
        <v>0</v>
      </c>
      <c r="J74">
        <f t="shared" si="42"/>
        <v>0</v>
      </c>
      <c r="K74">
        <f t="shared" si="43"/>
        <v>2923.4780944426871</v>
      </c>
      <c r="L74">
        <f t="shared" si="44"/>
        <v>0</v>
      </c>
      <c r="M74">
        <f t="shared" si="45"/>
        <v>0</v>
      </c>
      <c r="N74">
        <f t="shared" si="46"/>
        <v>0</v>
      </c>
      <c r="O74">
        <f t="shared" si="47"/>
        <v>0</v>
      </c>
      <c r="P74">
        <f t="shared" si="48"/>
        <v>0</v>
      </c>
      <c r="Q74">
        <f t="shared" si="49"/>
        <v>0</v>
      </c>
      <c r="S74">
        <f t="shared" si="50"/>
        <v>57</v>
      </c>
      <c r="T74">
        <f t="shared" si="51"/>
        <v>39</v>
      </c>
      <c r="U74">
        <f t="shared" si="52"/>
        <v>35</v>
      </c>
      <c r="V74">
        <f t="shared" si="53"/>
        <v>44</v>
      </c>
      <c r="W74">
        <f t="shared" si="54"/>
        <v>117</v>
      </c>
      <c r="X74">
        <f t="shared" si="55"/>
        <v>111</v>
      </c>
      <c r="Y74">
        <f t="shared" si="56"/>
        <v>54</v>
      </c>
      <c r="Z74">
        <f t="shared" si="57"/>
        <v>35</v>
      </c>
      <c r="AA74">
        <f t="shared" si="58"/>
        <v>5</v>
      </c>
      <c r="AB74">
        <f t="shared" si="59"/>
        <v>6</v>
      </c>
      <c r="AC74">
        <f t="shared" si="60"/>
        <v>151</v>
      </c>
      <c r="AD74">
        <f t="shared" si="61"/>
        <v>40</v>
      </c>
      <c r="AF74">
        <f t="shared" si="62"/>
        <v>0</v>
      </c>
      <c r="AG74">
        <f t="shared" si="63"/>
        <v>0</v>
      </c>
      <c r="AH74">
        <f t="shared" si="64"/>
        <v>0</v>
      </c>
      <c r="AI74">
        <f t="shared" si="65"/>
        <v>0</v>
      </c>
      <c r="AJ74">
        <f t="shared" si="66"/>
        <v>0</v>
      </c>
      <c r="AK74">
        <f t="shared" si="67"/>
        <v>0</v>
      </c>
      <c r="AL74">
        <f t="shared" si="68"/>
        <v>0</v>
      </c>
      <c r="AM74">
        <f t="shared" si="69"/>
        <v>0</v>
      </c>
      <c r="AN74">
        <f t="shared" si="70"/>
        <v>0</v>
      </c>
      <c r="AO74">
        <f t="shared" si="71"/>
        <v>0</v>
      </c>
      <c r="AP74">
        <f t="shared" si="72"/>
        <v>0</v>
      </c>
      <c r="AQ74">
        <f t="shared" si="73"/>
        <v>0</v>
      </c>
    </row>
    <row r="75" spans="1:43" x14ac:dyDescent="0.35">
      <c r="A75" s="51">
        <v>74</v>
      </c>
      <c r="B75" s="50" t="s">
        <v>149</v>
      </c>
      <c r="C75" s="55" t="s">
        <v>153</v>
      </c>
      <c r="D75" s="51" t="s">
        <v>228</v>
      </c>
      <c r="E75" s="67">
        <v>3322.3729654132185</v>
      </c>
      <c r="F75">
        <f t="shared" si="38"/>
        <v>0</v>
      </c>
      <c r="G75">
        <f t="shared" si="39"/>
        <v>0</v>
      </c>
      <c r="H75">
        <f t="shared" si="40"/>
        <v>0</v>
      </c>
      <c r="I75">
        <f t="shared" si="41"/>
        <v>0</v>
      </c>
      <c r="J75">
        <f t="shared" si="42"/>
        <v>0</v>
      </c>
      <c r="K75">
        <f t="shared" si="43"/>
        <v>0</v>
      </c>
      <c r="L75">
        <f t="shared" si="44"/>
        <v>0</v>
      </c>
      <c r="M75">
        <f t="shared" si="45"/>
        <v>0</v>
      </c>
      <c r="N75">
        <f t="shared" si="46"/>
        <v>0</v>
      </c>
      <c r="O75">
        <f t="shared" si="47"/>
        <v>0</v>
      </c>
      <c r="P75">
        <f t="shared" si="48"/>
        <v>3322.3729654132185</v>
      </c>
      <c r="Q75">
        <f t="shared" si="49"/>
        <v>0</v>
      </c>
      <c r="S75">
        <f t="shared" si="50"/>
        <v>57</v>
      </c>
      <c r="T75">
        <f t="shared" si="51"/>
        <v>39</v>
      </c>
      <c r="U75">
        <f t="shared" si="52"/>
        <v>35</v>
      </c>
      <c r="V75">
        <f t="shared" si="53"/>
        <v>44</v>
      </c>
      <c r="W75">
        <f t="shared" si="54"/>
        <v>117</v>
      </c>
      <c r="X75">
        <f t="shared" si="55"/>
        <v>110</v>
      </c>
      <c r="Y75">
        <f t="shared" si="56"/>
        <v>54</v>
      </c>
      <c r="Z75">
        <f t="shared" si="57"/>
        <v>35</v>
      </c>
      <c r="AA75">
        <f t="shared" si="58"/>
        <v>5</v>
      </c>
      <c r="AB75">
        <f t="shared" si="59"/>
        <v>6</v>
      </c>
      <c r="AC75">
        <f t="shared" si="60"/>
        <v>151</v>
      </c>
      <c r="AD75">
        <f t="shared" si="61"/>
        <v>40</v>
      </c>
      <c r="AF75">
        <f t="shared" si="62"/>
        <v>0</v>
      </c>
      <c r="AG75">
        <f t="shared" si="63"/>
        <v>0</v>
      </c>
      <c r="AH75">
        <f t="shared" si="64"/>
        <v>0</v>
      </c>
      <c r="AI75">
        <f t="shared" si="65"/>
        <v>0</v>
      </c>
      <c r="AJ75">
        <f t="shared" si="66"/>
        <v>0</v>
      </c>
      <c r="AK75">
        <f t="shared" si="67"/>
        <v>0</v>
      </c>
      <c r="AL75">
        <f t="shared" si="68"/>
        <v>0</v>
      </c>
      <c r="AM75">
        <f t="shared" si="69"/>
        <v>0</v>
      </c>
      <c r="AN75">
        <f t="shared" si="70"/>
        <v>0</v>
      </c>
      <c r="AO75">
        <f t="shared" si="71"/>
        <v>0</v>
      </c>
      <c r="AP75">
        <f t="shared" si="72"/>
        <v>0</v>
      </c>
      <c r="AQ75">
        <f t="shared" si="73"/>
        <v>0</v>
      </c>
    </row>
    <row r="76" spans="1:43" x14ac:dyDescent="0.35">
      <c r="A76" s="51">
        <v>75</v>
      </c>
      <c r="B76" s="50" t="s">
        <v>149</v>
      </c>
      <c r="C76" s="55" t="s">
        <v>154</v>
      </c>
      <c r="D76" s="51" t="s">
        <v>94</v>
      </c>
      <c r="E76" s="67">
        <v>3146.7738278151255</v>
      </c>
      <c r="F76">
        <f t="shared" si="38"/>
        <v>0</v>
      </c>
      <c r="G76">
        <f t="shared" si="39"/>
        <v>0</v>
      </c>
      <c r="H76">
        <f t="shared" si="40"/>
        <v>0</v>
      </c>
      <c r="I76">
        <f t="shared" si="41"/>
        <v>0</v>
      </c>
      <c r="J76">
        <f t="shared" si="42"/>
        <v>0</v>
      </c>
      <c r="K76">
        <f t="shared" si="43"/>
        <v>0</v>
      </c>
      <c r="L76">
        <f t="shared" si="44"/>
        <v>3146.7738278151255</v>
      </c>
      <c r="M76">
        <f t="shared" si="45"/>
        <v>0</v>
      </c>
      <c r="N76">
        <f t="shared" si="46"/>
        <v>0</v>
      </c>
      <c r="O76">
        <f t="shared" si="47"/>
        <v>0</v>
      </c>
      <c r="P76">
        <f t="shared" si="48"/>
        <v>0</v>
      </c>
      <c r="Q76">
        <f t="shared" si="49"/>
        <v>0</v>
      </c>
      <c r="S76">
        <f t="shared" si="50"/>
        <v>57</v>
      </c>
      <c r="T76">
        <f t="shared" si="51"/>
        <v>39</v>
      </c>
      <c r="U76">
        <f t="shared" si="52"/>
        <v>35</v>
      </c>
      <c r="V76">
        <f t="shared" si="53"/>
        <v>44</v>
      </c>
      <c r="W76">
        <f t="shared" si="54"/>
        <v>117</v>
      </c>
      <c r="X76">
        <f t="shared" si="55"/>
        <v>110</v>
      </c>
      <c r="Y76">
        <f t="shared" si="56"/>
        <v>54</v>
      </c>
      <c r="Z76">
        <f t="shared" si="57"/>
        <v>35</v>
      </c>
      <c r="AA76">
        <f t="shared" si="58"/>
        <v>5</v>
      </c>
      <c r="AB76">
        <f t="shared" si="59"/>
        <v>6</v>
      </c>
      <c r="AC76">
        <f t="shared" si="60"/>
        <v>150</v>
      </c>
      <c r="AD76">
        <f t="shared" si="61"/>
        <v>40</v>
      </c>
      <c r="AF76">
        <f t="shared" si="62"/>
        <v>0</v>
      </c>
      <c r="AG76">
        <f t="shared" si="63"/>
        <v>0</v>
      </c>
      <c r="AH76">
        <f t="shared" si="64"/>
        <v>0</v>
      </c>
      <c r="AI76">
        <f t="shared" si="65"/>
        <v>0</v>
      </c>
      <c r="AJ76">
        <f t="shared" si="66"/>
        <v>0</v>
      </c>
      <c r="AK76">
        <f t="shared" si="67"/>
        <v>0</v>
      </c>
      <c r="AL76">
        <f t="shared" si="68"/>
        <v>0</v>
      </c>
      <c r="AM76">
        <f t="shared" si="69"/>
        <v>0</v>
      </c>
      <c r="AN76">
        <f t="shared" si="70"/>
        <v>0</v>
      </c>
      <c r="AO76">
        <f t="shared" si="71"/>
        <v>0</v>
      </c>
      <c r="AP76">
        <f t="shared" si="72"/>
        <v>0</v>
      </c>
      <c r="AQ76">
        <f t="shared" si="73"/>
        <v>0</v>
      </c>
    </row>
    <row r="77" spans="1:43" x14ac:dyDescent="0.35">
      <c r="A77" s="51">
        <v>76</v>
      </c>
      <c r="B77" s="50" t="s">
        <v>155</v>
      </c>
      <c r="C77" s="55" t="s">
        <v>156</v>
      </c>
      <c r="D77" s="51" t="s">
        <v>94</v>
      </c>
      <c r="E77" s="67">
        <v>3404</v>
      </c>
      <c r="F77">
        <f t="shared" si="38"/>
        <v>0</v>
      </c>
      <c r="G77">
        <f t="shared" si="39"/>
        <v>0</v>
      </c>
      <c r="H77">
        <f t="shared" si="40"/>
        <v>0</v>
      </c>
      <c r="I77">
        <f t="shared" si="41"/>
        <v>0</v>
      </c>
      <c r="J77">
        <f t="shared" si="42"/>
        <v>0</v>
      </c>
      <c r="K77">
        <f t="shared" si="43"/>
        <v>0</v>
      </c>
      <c r="L77">
        <f t="shared" si="44"/>
        <v>3404</v>
      </c>
      <c r="M77">
        <f t="shared" si="45"/>
        <v>0</v>
      </c>
      <c r="N77">
        <f t="shared" si="46"/>
        <v>0</v>
      </c>
      <c r="O77">
        <f t="shared" si="47"/>
        <v>0</v>
      </c>
      <c r="P77">
        <f t="shared" si="48"/>
        <v>0</v>
      </c>
      <c r="Q77">
        <f t="shared" si="49"/>
        <v>0</v>
      </c>
      <c r="S77">
        <f t="shared" si="50"/>
        <v>57</v>
      </c>
      <c r="T77">
        <f t="shared" si="51"/>
        <v>39</v>
      </c>
      <c r="U77">
        <f t="shared" si="52"/>
        <v>35</v>
      </c>
      <c r="V77">
        <f t="shared" si="53"/>
        <v>44</v>
      </c>
      <c r="W77">
        <f t="shared" si="54"/>
        <v>117</v>
      </c>
      <c r="X77">
        <f t="shared" si="55"/>
        <v>110</v>
      </c>
      <c r="Y77">
        <f t="shared" si="56"/>
        <v>53</v>
      </c>
      <c r="Z77">
        <f t="shared" si="57"/>
        <v>35</v>
      </c>
      <c r="AA77">
        <f t="shared" si="58"/>
        <v>5</v>
      </c>
      <c r="AB77">
        <f t="shared" si="59"/>
        <v>6</v>
      </c>
      <c r="AC77">
        <f t="shared" si="60"/>
        <v>150</v>
      </c>
      <c r="AD77">
        <f t="shared" si="61"/>
        <v>40</v>
      </c>
      <c r="AF77">
        <f t="shared" si="62"/>
        <v>0</v>
      </c>
      <c r="AG77">
        <f t="shared" si="63"/>
        <v>0</v>
      </c>
      <c r="AH77">
        <f t="shared" si="64"/>
        <v>0</v>
      </c>
      <c r="AI77">
        <f t="shared" si="65"/>
        <v>0</v>
      </c>
      <c r="AJ77">
        <f t="shared" si="66"/>
        <v>0</v>
      </c>
      <c r="AK77">
        <f t="shared" si="67"/>
        <v>0</v>
      </c>
      <c r="AL77">
        <f t="shared" si="68"/>
        <v>0</v>
      </c>
      <c r="AM77">
        <f t="shared" si="69"/>
        <v>0</v>
      </c>
      <c r="AN77">
        <f t="shared" si="70"/>
        <v>0</v>
      </c>
      <c r="AO77">
        <f t="shared" si="71"/>
        <v>0</v>
      </c>
      <c r="AP77">
        <f t="shared" si="72"/>
        <v>0</v>
      </c>
      <c r="AQ77">
        <f t="shared" si="73"/>
        <v>0</v>
      </c>
    </row>
    <row r="78" spans="1:43" x14ac:dyDescent="0.35">
      <c r="A78" s="51">
        <v>77</v>
      </c>
      <c r="B78" s="50" t="s">
        <v>155</v>
      </c>
      <c r="C78" s="55" t="s">
        <v>157</v>
      </c>
      <c r="D78" s="51" t="s">
        <v>222</v>
      </c>
      <c r="E78" s="67">
        <v>3249</v>
      </c>
      <c r="F78">
        <f t="shared" si="38"/>
        <v>0</v>
      </c>
      <c r="G78">
        <f t="shared" si="39"/>
        <v>0</v>
      </c>
      <c r="H78">
        <f t="shared" si="40"/>
        <v>0</v>
      </c>
      <c r="I78">
        <f t="shared" si="41"/>
        <v>0</v>
      </c>
      <c r="J78">
        <f t="shared" si="42"/>
        <v>0</v>
      </c>
      <c r="K78">
        <f t="shared" si="43"/>
        <v>0</v>
      </c>
      <c r="L78">
        <f t="shared" si="44"/>
        <v>0</v>
      </c>
      <c r="M78">
        <f t="shared" si="45"/>
        <v>0</v>
      </c>
      <c r="N78">
        <f t="shared" si="46"/>
        <v>0</v>
      </c>
      <c r="O78">
        <f t="shared" si="47"/>
        <v>0</v>
      </c>
      <c r="P78">
        <f t="shared" si="48"/>
        <v>0</v>
      </c>
      <c r="Q78">
        <f t="shared" si="49"/>
        <v>3249</v>
      </c>
      <c r="S78">
        <f t="shared" si="50"/>
        <v>57</v>
      </c>
      <c r="T78">
        <f t="shared" si="51"/>
        <v>39</v>
      </c>
      <c r="U78">
        <f t="shared" si="52"/>
        <v>35</v>
      </c>
      <c r="V78">
        <f t="shared" si="53"/>
        <v>44</v>
      </c>
      <c r="W78">
        <f t="shared" si="54"/>
        <v>117</v>
      </c>
      <c r="X78">
        <f t="shared" si="55"/>
        <v>110</v>
      </c>
      <c r="Y78">
        <f t="shared" si="56"/>
        <v>52</v>
      </c>
      <c r="Z78">
        <f t="shared" si="57"/>
        <v>35</v>
      </c>
      <c r="AA78">
        <f t="shared" si="58"/>
        <v>5</v>
      </c>
      <c r="AB78">
        <f t="shared" si="59"/>
        <v>6</v>
      </c>
      <c r="AC78">
        <f t="shared" si="60"/>
        <v>150</v>
      </c>
      <c r="AD78">
        <f t="shared" si="61"/>
        <v>40</v>
      </c>
      <c r="AF78">
        <f t="shared" si="62"/>
        <v>0</v>
      </c>
      <c r="AG78">
        <f t="shared" si="63"/>
        <v>0</v>
      </c>
      <c r="AH78">
        <f t="shared" si="64"/>
        <v>0</v>
      </c>
      <c r="AI78">
        <f t="shared" si="65"/>
        <v>0</v>
      </c>
      <c r="AJ78">
        <f t="shared" si="66"/>
        <v>0</v>
      </c>
      <c r="AK78">
        <f t="shared" si="67"/>
        <v>0</v>
      </c>
      <c r="AL78">
        <f t="shared" si="68"/>
        <v>0</v>
      </c>
      <c r="AM78">
        <f t="shared" si="69"/>
        <v>0</v>
      </c>
      <c r="AN78">
        <f t="shared" si="70"/>
        <v>0</v>
      </c>
      <c r="AO78">
        <f t="shared" si="71"/>
        <v>0</v>
      </c>
      <c r="AP78">
        <f t="shared" si="72"/>
        <v>0</v>
      </c>
      <c r="AQ78">
        <f t="shared" si="73"/>
        <v>0</v>
      </c>
    </row>
    <row r="79" spans="1:43" x14ac:dyDescent="0.35">
      <c r="A79" s="51">
        <v>78</v>
      </c>
      <c r="B79" s="50" t="s">
        <v>155</v>
      </c>
      <c r="C79" s="55" t="s">
        <v>158</v>
      </c>
      <c r="D79" s="51" t="s">
        <v>67</v>
      </c>
      <c r="E79" s="67">
        <v>3029</v>
      </c>
      <c r="F79">
        <f t="shared" si="38"/>
        <v>0</v>
      </c>
      <c r="G79">
        <f t="shared" si="39"/>
        <v>0</v>
      </c>
      <c r="H79">
        <f t="shared" si="40"/>
        <v>0</v>
      </c>
      <c r="I79">
        <f t="shared" si="41"/>
        <v>3029</v>
      </c>
      <c r="J79">
        <f t="shared" si="42"/>
        <v>0</v>
      </c>
      <c r="K79">
        <f t="shared" si="43"/>
        <v>0</v>
      </c>
      <c r="L79">
        <f t="shared" si="44"/>
        <v>0</v>
      </c>
      <c r="M79">
        <f t="shared" si="45"/>
        <v>0</v>
      </c>
      <c r="N79">
        <f t="shared" si="46"/>
        <v>0</v>
      </c>
      <c r="O79">
        <f t="shared" si="47"/>
        <v>0</v>
      </c>
      <c r="P79">
        <f t="shared" si="48"/>
        <v>0</v>
      </c>
      <c r="Q79">
        <f t="shared" si="49"/>
        <v>0</v>
      </c>
      <c r="S79">
        <f t="shared" si="50"/>
        <v>57</v>
      </c>
      <c r="T79">
        <f t="shared" si="51"/>
        <v>39</v>
      </c>
      <c r="U79">
        <f t="shared" si="52"/>
        <v>35</v>
      </c>
      <c r="V79">
        <f t="shared" si="53"/>
        <v>44</v>
      </c>
      <c r="W79">
        <f t="shared" si="54"/>
        <v>117</v>
      </c>
      <c r="X79">
        <f t="shared" si="55"/>
        <v>110</v>
      </c>
      <c r="Y79">
        <f t="shared" si="56"/>
        <v>52</v>
      </c>
      <c r="Z79">
        <f t="shared" si="57"/>
        <v>35</v>
      </c>
      <c r="AA79">
        <f t="shared" si="58"/>
        <v>5</v>
      </c>
      <c r="AB79">
        <f t="shared" si="59"/>
        <v>6</v>
      </c>
      <c r="AC79">
        <f t="shared" si="60"/>
        <v>150</v>
      </c>
      <c r="AD79">
        <f t="shared" si="61"/>
        <v>39</v>
      </c>
      <c r="AF79">
        <f t="shared" si="62"/>
        <v>0</v>
      </c>
      <c r="AG79">
        <f t="shared" si="63"/>
        <v>0</v>
      </c>
      <c r="AH79">
        <f t="shared" si="64"/>
        <v>0</v>
      </c>
      <c r="AI79">
        <f t="shared" si="65"/>
        <v>0</v>
      </c>
      <c r="AJ79">
        <f t="shared" si="66"/>
        <v>0</v>
      </c>
      <c r="AK79">
        <f t="shared" si="67"/>
        <v>0</v>
      </c>
      <c r="AL79">
        <f t="shared" si="68"/>
        <v>0</v>
      </c>
      <c r="AM79">
        <f t="shared" si="69"/>
        <v>0</v>
      </c>
      <c r="AN79">
        <f t="shared" si="70"/>
        <v>0</v>
      </c>
      <c r="AO79">
        <f t="shared" si="71"/>
        <v>0</v>
      </c>
      <c r="AP79">
        <f t="shared" si="72"/>
        <v>0</v>
      </c>
      <c r="AQ79">
        <f t="shared" si="73"/>
        <v>0</v>
      </c>
    </row>
    <row r="80" spans="1:43" x14ac:dyDescent="0.35">
      <c r="A80" s="51">
        <v>79</v>
      </c>
      <c r="B80" s="50" t="s">
        <v>159</v>
      </c>
      <c r="C80" s="55" t="s">
        <v>160</v>
      </c>
      <c r="D80" s="51" t="s">
        <v>80</v>
      </c>
      <c r="E80" s="67">
        <v>3079</v>
      </c>
      <c r="F80">
        <f t="shared" si="38"/>
        <v>0</v>
      </c>
      <c r="G80">
        <f t="shared" si="39"/>
        <v>0</v>
      </c>
      <c r="H80">
        <f t="shared" si="40"/>
        <v>3079</v>
      </c>
      <c r="I80">
        <f t="shared" si="41"/>
        <v>0</v>
      </c>
      <c r="J80">
        <f t="shared" si="42"/>
        <v>0</v>
      </c>
      <c r="K80">
        <f t="shared" si="43"/>
        <v>0</v>
      </c>
      <c r="L80">
        <f t="shared" si="44"/>
        <v>0</v>
      </c>
      <c r="M80">
        <f t="shared" si="45"/>
        <v>0</v>
      </c>
      <c r="N80">
        <f t="shared" si="46"/>
        <v>0</v>
      </c>
      <c r="O80">
        <f t="shared" si="47"/>
        <v>0</v>
      </c>
      <c r="P80">
        <f t="shared" si="48"/>
        <v>0</v>
      </c>
      <c r="Q80">
        <f t="shared" si="49"/>
        <v>0</v>
      </c>
      <c r="S80">
        <f t="shared" si="50"/>
        <v>57</v>
      </c>
      <c r="T80">
        <f t="shared" si="51"/>
        <v>39</v>
      </c>
      <c r="U80">
        <f t="shared" si="52"/>
        <v>35</v>
      </c>
      <c r="V80">
        <f t="shared" si="53"/>
        <v>43</v>
      </c>
      <c r="W80">
        <f t="shared" si="54"/>
        <v>117</v>
      </c>
      <c r="X80">
        <f t="shared" si="55"/>
        <v>110</v>
      </c>
      <c r="Y80">
        <f t="shared" si="56"/>
        <v>52</v>
      </c>
      <c r="Z80">
        <f t="shared" si="57"/>
        <v>35</v>
      </c>
      <c r="AA80">
        <f t="shared" si="58"/>
        <v>5</v>
      </c>
      <c r="AB80">
        <f t="shared" si="59"/>
        <v>6</v>
      </c>
      <c r="AC80">
        <f t="shared" si="60"/>
        <v>150</v>
      </c>
      <c r="AD80">
        <f t="shared" si="61"/>
        <v>39</v>
      </c>
      <c r="AF80">
        <f t="shared" si="62"/>
        <v>0</v>
      </c>
      <c r="AG80">
        <f t="shared" si="63"/>
        <v>0</v>
      </c>
      <c r="AH80">
        <f t="shared" si="64"/>
        <v>0</v>
      </c>
      <c r="AI80">
        <f t="shared" si="65"/>
        <v>0</v>
      </c>
      <c r="AJ80">
        <f t="shared" si="66"/>
        <v>0</v>
      </c>
      <c r="AK80">
        <f t="shared" si="67"/>
        <v>0</v>
      </c>
      <c r="AL80">
        <f t="shared" si="68"/>
        <v>0</v>
      </c>
      <c r="AM80">
        <f t="shared" si="69"/>
        <v>0</v>
      </c>
      <c r="AN80">
        <f t="shared" si="70"/>
        <v>0</v>
      </c>
      <c r="AO80">
        <f t="shared" si="71"/>
        <v>0</v>
      </c>
      <c r="AP80">
        <f t="shared" si="72"/>
        <v>0</v>
      </c>
      <c r="AQ80">
        <f t="shared" si="73"/>
        <v>0</v>
      </c>
    </row>
    <row r="81" spans="1:43" x14ac:dyDescent="0.35">
      <c r="A81" s="51">
        <v>80</v>
      </c>
      <c r="B81" s="50" t="s">
        <v>159</v>
      </c>
      <c r="C81" s="55" t="s">
        <v>161</v>
      </c>
      <c r="D81" s="51" t="s">
        <v>228</v>
      </c>
      <c r="E81" s="67">
        <v>2692</v>
      </c>
      <c r="F81">
        <f t="shared" si="38"/>
        <v>0</v>
      </c>
      <c r="G81">
        <f t="shared" si="39"/>
        <v>0</v>
      </c>
      <c r="H81">
        <f t="shared" si="40"/>
        <v>0</v>
      </c>
      <c r="I81">
        <f t="shared" si="41"/>
        <v>0</v>
      </c>
      <c r="J81">
        <f t="shared" si="42"/>
        <v>0</v>
      </c>
      <c r="K81">
        <f t="shared" si="43"/>
        <v>0</v>
      </c>
      <c r="L81">
        <f t="shared" si="44"/>
        <v>0</v>
      </c>
      <c r="M81">
        <f t="shared" si="45"/>
        <v>0</v>
      </c>
      <c r="N81">
        <f t="shared" si="46"/>
        <v>0</v>
      </c>
      <c r="O81">
        <f t="shared" si="47"/>
        <v>0</v>
      </c>
      <c r="P81">
        <f t="shared" si="48"/>
        <v>2692</v>
      </c>
      <c r="Q81">
        <f t="shared" si="49"/>
        <v>0</v>
      </c>
      <c r="S81">
        <f t="shared" si="50"/>
        <v>57</v>
      </c>
      <c r="T81">
        <f t="shared" si="51"/>
        <v>39</v>
      </c>
      <c r="U81">
        <f t="shared" si="52"/>
        <v>34</v>
      </c>
      <c r="V81">
        <f t="shared" si="53"/>
        <v>43</v>
      </c>
      <c r="W81">
        <f t="shared" si="54"/>
        <v>117</v>
      </c>
      <c r="X81">
        <f t="shared" si="55"/>
        <v>110</v>
      </c>
      <c r="Y81">
        <f t="shared" si="56"/>
        <v>52</v>
      </c>
      <c r="Z81">
        <f t="shared" si="57"/>
        <v>35</v>
      </c>
      <c r="AA81">
        <f t="shared" si="58"/>
        <v>5</v>
      </c>
      <c r="AB81">
        <f t="shared" si="59"/>
        <v>6</v>
      </c>
      <c r="AC81">
        <f t="shared" si="60"/>
        <v>150</v>
      </c>
      <c r="AD81">
        <f t="shared" si="61"/>
        <v>39</v>
      </c>
      <c r="AF81">
        <f t="shared" si="62"/>
        <v>0</v>
      </c>
      <c r="AG81">
        <f t="shared" si="63"/>
        <v>0</v>
      </c>
      <c r="AH81">
        <f t="shared" si="64"/>
        <v>0</v>
      </c>
      <c r="AI81">
        <f t="shared" si="65"/>
        <v>0</v>
      </c>
      <c r="AJ81">
        <f t="shared" si="66"/>
        <v>0</v>
      </c>
      <c r="AK81">
        <f t="shared" si="67"/>
        <v>0</v>
      </c>
      <c r="AL81">
        <f t="shared" si="68"/>
        <v>0</v>
      </c>
      <c r="AM81">
        <f t="shared" si="69"/>
        <v>0</v>
      </c>
      <c r="AN81">
        <f t="shared" si="70"/>
        <v>0</v>
      </c>
      <c r="AO81">
        <f t="shared" si="71"/>
        <v>0</v>
      </c>
      <c r="AP81">
        <f t="shared" si="72"/>
        <v>0</v>
      </c>
      <c r="AQ81">
        <f t="shared" si="73"/>
        <v>0</v>
      </c>
    </row>
    <row r="82" spans="1:43" x14ac:dyDescent="0.35">
      <c r="A82" s="51">
        <v>81</v>
      </c>
      <c r="B82" s="50" t="s">
        <v>159</v>
      </c>
      <c r="C82" s="55" t="s">
        <v>162</v>
      </c>
      <c r="D82" s="51" t="s">
        <v>60</v>
      </c>
      <c r="E82" s="67">
        <v>3303</v>
      </c>
      <c r="F82">
        <f t="shared" si="38"/>
        <v>0</v>
      </c>
      <c r="G82">
        <f t="shared" si="39"/>
        <v>0</v>
      </c>
      <c r="H82">
        <f t="shared" si="40"/>
        <v>0</v>
      </c>
      <c r="I82">
        <f t="shared" si="41"/>
        <v>0</v>
      </c>
      <c r="J82">
        <f t="shared" si="42"/>
        <v>3303</v>
      </c>
      <c r="K82">
        <f t="shared" si="43"/>
        <v>0</v>
      </c>
      <c r="L82">
        <f t="shared" si="44"/>
        <v>0</v>
      </c>
      <c r="M82">
        <f t="shared" si="45"/>
        <v>0</v>
      </c>
      <c r="N82">
        <f t="shared" si="46"/>
        <v>0</v>
      </c>
      <c r="O82">
        <f t="shared" si="47"/>
        <v>0</v>
      </c>
      <c r="P82">
        <f t="shared" si="48"/>
        <v>0</v>
      </c>
      <c r="Q82">
        <f t="shared" si="49"/>
        <v>0</v>
      </c>
      <c r="S82">
        <f t="shared" si="50"/>
        <v>57</v>
      </c>
      <c r="T82">
        <f t="shared" si="51"/>
        <v>39</v>
      </c>
      <c r="U82">
        <f t="shared" si="52"/>
        <v>34</v>
      </c>
      <c r="V82">
        <f t="shared" si="53"/>
        <v>43</v>
      </c>
      <c r="W82">
        <f t="shared" si="54"/>
        <v>117</v>
      </c>
      <c r="X82">
        <f t="shared" si="55"/>
        <v>110</v>
      </c>
      <c r="Y82">
        <f t="shared" si="56"/>
        <v>52</v>
      </c>
      <c r="Z82">
        <f t="shared" si="57"/>
        <v>35</v>
      </c>
      <c r="AA82">
        <f t="shared" si="58"/>
        <v>5</v>
      </c>
      <c r="AB82">
        <f t="shared" si="59"/>
        <v>6</v>
      </c>
      <c r="AC82">
        <f t="shared" si="60"/>
        <v>149</v>
      </c>
      <c r="AD82">
        <f t="shared" si="61"/>
        <v>39</v>
      </c>
      <c r="AF82">
        <f t="shared" si="62"/>
        <v>0</v>
      </c>
      <c r="AG82">
        <f t="shared" si="63"/>
        <v>0</v>
      </c>
      <c r="AH82">
        <f t="shared" si="64"/>
        <v>0</v>
      </c>
      <c r="AI82">
        <f t="shared" si="65"/>
        <v>0</v>
      </c>
      <c r="AJ82">
        <f t="shared" si="66"/>
        <v>0</v>
      </c>
      <c r="AK82">
        <f t="shared" si="67"/>
        <v>0</v>
      </c>
      <c r="AL82">
        <f t="shared" si="68"/>
        <v>0</v>
      </c>
      <c r="AM82">
        <f t="shared" si="69"/>
        <v>0</v>
      </c>
      <c r="AN82">
        <f t="shared" si="70"/>
        <v>0</v>
      </c>
      <c r="AO82">
        <f t="shared" si="71"/>
        <v>0</v>
      </c>
      <c r="AP82">
        <f t="shared" si="72"/>
        <v>0</v>
      </c>
      <c r="AQ82">
        <f t="shared" si="73"/>
        <v>0</v>
      </c>
    </row>
    <row r="83" spans="1:43" x14ac:dyDescent="0.35">
      <c r="A83" s="51">
        <v>82</v>
      </c>
      <c r="B83" s="50" t="s">
        <v>163</v>
      </c>
      <c r="C83" s="55" t="s">
        <v>164</v>
      </c>
      <c r="D83" s="51" t="s">
        <v>228</v>
      </c>
      <c r="E83" s="67">
        <v>3191</v>
      </c>
      <c r="F83">
        <f t="shared" si="38"/>
        <v>0</v>
      </c>
      <c r="G83">
        <f t="shared" si="39"/>
        <v>0</v>
      </c>
      <c r="H83">
        <f t="shared" si="40"/>
        <v>0</v>
      </c>
      <c r="I83">
        <f t="shared" si="41"/>
        <v>0</v>
      </c>
      <c r="J83">
        <f t="shared" si="42"/>
        <v>0</v>
      </c>
      <c r="K83">
        <f t="shared" si="43"/>
        <v>0</v>
      </c>
      <c r="L83">
        <f t="shared" si="44"/>
        <v>0</v>
      </c>
      <c r="M83">
        <f t="shared" si="45"/>
        <v>0</v>
      </c>
      <c r="N83">
        <f t="shared" si="46"/>
        <v>0</v>
      </c>
      <c r="O83">
        <f t="shared" si="47"/>
        <v>0</v>
      </c>
      <c r="P83">
        <f t="shared" si="48"/>
        <v>3191</v>
      </c>
      <c r="Q83">
        <f t="shared" si="49"/>
        <v>0</v>
      </c>
      <c r="S83">
        <f t="shared" si="50"/>
        <v>57</v>
      </c>
      <c r="T83">
        <f t="shared" si="51"/>
        <v>39</v>
      </c>
      <c r="U83">
        <f t="shared" si="52"/>
        <v>34</v>
      </c>
      <c r="V83">
        <f t="shared" si="53"/>
        <v>43</v>
      </c>
      <c r="W83">
        <f t="shared" si="54"/>
        <v>116</v>
      </c>
      <c r="X83">
        <f t="shared" si="55"/>
        <v>110</v>
      </c>
      <c r="Y83">
        <f t="shared" si="56"/>
        <v>52</v>
      </c>
      <c r="Z83">
        <f t="shared" si="57"/>
        <v>35</v>
      </c>
      <c r="AA83">
        <f t="shared" si="58"/>
        <v>5</v>
      </c>
      <c r="AB83">
        <f t="shared" si="59"/>
        <v>6</v>
      </c>
      <c r="AC83">
        <f t="shared" si="60"/>
        <v>149</v>
      </c>
      <c r="AD83">
        <f t="shared" si="61"/>
        <v>39</v>
      </c>
      <c r="AF83">
        <f t="shared" si="62"/>
        <v>0</v>
      </c>
      <c r="AG83">
        <f t="shared" si="63"/>
        <v>0</v>
      </c>
      <c r="AH83">
        <f t="shared" si="64"/>
        <v>0</v>
      </c>
      <c r="AI83">
        <f t="shared" si="65"/>
        <v>0</v>
      </c>
      <c r="AJ83">
        <f t="shared" si="66"/>
        <v>0</v>
      </c>
      <c r="AK83">
        <f t="shared" si="67"/>
        <v>0</v>
      </c>
      <c r="AL83">
        <f t="shared" si="68"/>
        <v>0</v>
      </c>
      <c r="AM83">
        <f t="shared" si="69"/>
        <v>0</v>
      </c>
      <c r="AN83">
        <f t="shared" si="70"/>
        <v>0</v>
      </c>
      <c r="AO83">
        <f t="shared" si="71"/>
        <v>0</v>
      </c>
      <c r="AP83">
        <f t="shared" si="72"/>
        <v>0</v>
      </c>
      <c r="AQ83">
        <f t="shared" si="73"/>
        <v>0</v>
      </c>
    </row>
    <row r="84" spans="1:43" x14ac:dyDescent="0.35">
      <c r="A84" s="51">
        <v>83</v>
      </c>
      <c r="B84" s="50" t="s">
        <v>163</v>
      </c>
      <c r="C84" s="55" t="s">
        <v>165</v>
      </c>
      <c r="D84" s="51" t="s">
        <v>94</v>
      </c>
      <c r="E84" s="67">
        <v>3681</v>
      </c>
      <c r="F84">
        <f t="shared" si="38"/>
        <v>0</v>
      </c>
      <c r="G84">
        <f t="shared" si="39"/>
        <v>0</v>
      </c>
      <c r="H84">
        <f t="shared" si="40"/>
        <v>0</v>
      </c>
      <c r="I84">
        <f t="shared" si="41"/>
        <v>0</v>
      </c>
      <c r="J84">
        <f t="shared" si="42"/>
        <v>0</v>
      </c>
      <c r="K84">
        <f t="shared" si="43"/>
        <v>0</v>
      </c>
      <c r="L84">
        <f t="shared" si="44"/>
        <v>3681</v>
      </c>
      <c r="M84">
        <f t="shared" si="45"/>
        <v>0</v>
      </c>
      <c r="N84">
        <f t="shared" si="46"/>
        <v>0</v>
      </c>
      <c r="O84">
        <f t="shared" si="47"/>
        <v>0</v>
      </c>
      <c r="P84">
        <f t="shared" si="48"/>
        <v>0</v>
      </c>
      <c r="Q84">
        <f t="shared" si="49"/>
        <v>0</v>
      </c>
      <c r="S84">
        <f t="shared" si="50"/>
        <v>57</v>
      </c>
      <c r="T84">
        <f t="shared" si="51"/>
        <v>39</v>
      </c>
      <c r="U84">
        <f t="shared" si="52"/>
        <v>34</v>
      </c>
      <c r="V84">
        <f t="shared" si="53"/>
        <v>43</v>
      </c>
      <c r="W84">
        <f t="shared" si="54"/>
        <v>116</v>
      </c>
      <c r="X84">
        <f t="shared" si="55"/>
        <v>110</v>
      </c>
      <c r="Y84">
        <f t="shared" si="56"/>
        <v>52</v>
      </c>
      <c r="Z84">
        <f t="shared" si="57"/>
        <v>35</v>
      </c>
      <c r="AA84">
        <f t="shared" si="58"/>
        <v>5</v>
      </c>
      <c r="AB84">
        <f t="shared" si="59"/>
        <v>6</v>
      </c>
      <c r="AC84">
        <f t="shared" si="60"/>
        <v>148</v>
      </c>
      <c r="AD84">
        <f t="shared" si="61"/>
        <v>39</v>
      </c>
      <c r="AF84">
        <f t="shared" si="62"/>
        <v>0</v>
      </c>
      <c r="AG84">
        <f t="shared" si="63"/>
        <v>0</v>
      </c>
      <c r="AH84">
        <f t="shared" si="64"/>
        <v>0</v>
      </c>
      <c r="AI84">
        <f t="shared" si="65"/>
        <v>0</v>
      </c>
      <c r="AJ84">
        <f t="shared" si="66"/>
        <v>0</v>
      </c>
      <c r="AK84">
        <f t="shared" si="67"/>
        <v>0</v>
      </c>
      <c r="AL84">
        <f t="shared" si="68"/>
        <v>0</v>
      </c>
      <c r="AM84">
        <f t="shared" si="69"/>
        <v>0</v>
      </c>
      <c r="AN84">
        <f t="shared" si="70"/>
        <v>0</v>
      </c>
      <c r="AO84">
        <f t="shared" si="71"/>
        <v>0</v>
      </c>
      <c r="AP84">
        <f t="shared" si="72"/>
        <v>0</v>
      </c>
      <c r="AQ84">
        <f t="shared" si="73"/>
        <v>0</v>
      </c>
    </row>
    <row r="85" spans="1:43" x14ac:dyDescent="0.35">
      <c r="A85" s="51">
        <v>84</v>
      </c>
      <c r="B85" s="50" t="s">
        <v>163</v>
      </c>
      <c r="C85" s="55" t="s">
        <v>166</v>
      </c>
      <c r="D85" s="51" t="s">
        <v>80</v>
      </c>
      <c r="E85" s="67">
        <v>2998</v>
      </c>
      <c r="F85">
        <f t="shared" si="38"/>
        <v>0</v>
      </c>
      <c r="G85">
        <f t="shared" si="39"/>
        <v>0</v>
      </c>
      <c r="H85">
        <f t="shared" si="40"/>
        <v>2998</v>
      </c>
      <c r="I85">
        <f t="shared" si="41"/>
        <v>0</v>
      </c>
      <c r="J85">
        <f t="shared" si="42"/>
        <v>0</v>
      </c>
      <c r="K85">
        <f t="shared" si="43"/>
        <v>0</v>
      </c>
      <c r="L85">
        <f t="shared" si="44"/>
        <v>0</v>
      </c>
      <c r="M85">
        <f t="shared" si="45"/>
        <v>0</v>
      </c>
      <c r="N85">
        <f t="shared" si="46"/>
        <v>0</v>
      </c>
      <c r="O85">
        <f t="shared" si="47"/>
        <v>0</v>
      </c>
      <c r="P85">
        <f t="shared" si="48"/>
        <v>0</v>
      </c>
      <c r="Q85">
        <f t="shared" si="49"/>
        <v>0</v>
      </c>
      <c r="S85">
        <f t="shared" si="50"/>
        <v>57</v>
      </c>
      <c r="T85">
        <f t="shared" si="51"/>
        <v>39</v>
      </c>
      <c r="U85">
        <f t="shared" si="52"/>
        <v>34</v>
      </c>
      <c r="V85">
        <f t="shared" si="53"/>
        <v>43</v>
      </c>
      <c r="W85">
        <f t="shared" si="54"/>
        <v>116</v>
      </c>
      <c r="X85">
        <f t="shared" si="55"/>
        <v>110</v>
      </c>
      <c r="Y85">
        <f t="shared" si="56"/>
        <v>51</v>
      </c>
      <c r="Z85">
        <f t="shared" si="57"/>
        <v>35</v>
      </c>
      <c r="AA85">
        <f t="shared" si="58"/>
        <v>5</v>
      </c>
      <c r="AB85">
        <f t="shared" si="59"/>
        <v>6</v>
      </c>
      <c r="AC85">
        <f t="shared" si="60"/>
        <v>148</v>
      </c>
      <c r="AD85">
        <f t="shared" si="61"/>
        <v>39</v>
      </c>
      <c r="AF85">
        <f t="shared" si="62"/>
        <v>0</v>
      </c>
      <c r="AG85">
        <f t="shared" si="63"/>
        <v>0</v>
      </c>
      <c r="AH85">
        <f t="shared" si="64"/>
        <v>0</v>
      </c>
      <c r="AI85">
        <f t="shared" si="65"/>
        <v>0</v>
      </c>
      <c r="AJ85">
        <f t="shared" si="66"/>
        <v>0</v>
      </c>
      <c r="AK85">
        <f t="shared" si="67"/>
        <v>0</v>
      </c>
      <c r="AL85">
        <f t="shared" si="68"/>
        <v>0</v>
      </c>
      <c r="AM85">
        <f t="shared" si="69"/>
        <v>0</v>
      </c>
      <c r="AN85">
        <f t="shared" si="70"/>
        <v>0</v>
      </c>
      <c r="AO85">
        <f t="shared" si="71"/>
        <v>0</v>
      </c>
      <c r="AP85">
        <f t="shared" si="72"/>
        <v>0</v>
      </c>
      <c r="AQ85">
        <f t="shared" si="73"/>
        <v>0</v>
      </c>
    </row>
    <row r="86" spans="1:43" x14ac:dyDescent="0.35">
      <c r="A86" s="51">
        <v>85</v>
      </c>
      <c r="B86" s="50" t="s">
        <v>163</v>
      </c>
      <c r="C86" s="55" t="s">
        <v>167</v>
      </c>
      <c r="D86" s="51" t="s">
        <v>60</v>
      </c>
      <c r="E86" s="67">
        <v>3021</v>
      </c>
      <c r="F86">
        <f t="shared" si="38"/>
        <v>0</v>
      </c>
      <c r="G86">
        <f t="shared" si="39"/>
        <v>0</v>
      </c>
      <c r="H86">
        <f t="shared" si="40"/>
        <v>0</v>
      </c>
      <c r="I86">
        <f t="shared" si="41"/>
        <v>0</v>
      </c>
      <c r="J86">
        <f t="shared" si="42"/>
        <v>3021</v>
      </c>
      <c r="K86">
        <f t="shared" si="43"/>
        <v>0</v>
      </c>
      <c r="L86">
        <f t="shared" si="44"/>
        <v>0</v>
      </c>
      <c r="M86">
        <f t="shared" si="45"/>
        <v>0</v>
      </c>
      <c r="N86">
        <f t="shared" si="46"/>
        <v>0</v>
      </c>
      <c r="O86">
        <f t="shared" si="47"/>
        <v>0</v>
      </c>
      <c r="P86">
        <f t="shared" si="48"/>
        <v>0</v>
      </c>
      <c r="Q86">
        <f t="shared" si="49"/>
        <v>0</v>
      </c>
      <c r="S86">
        <f t="shared" si="50"/>
        <v>57</v>
      </c>
      <c r="T86">
        <f t="shared" si="51"/>
        <v>39</v>
      </c>
      <c r="U86">
        <f t="shared" si="52"/>
        <v>33</v>
      </c>
      <c r="V86">
        <f t="shared" si="53"/>
        <v>43</v>
      </c>
      <c r="W86">
        <f t="shared" si="54"/>
        <v>116</v>
      </c>
      <c r="X86">
        <f t="shared" si="55"/>
        <v>110</v>
      </c>
      <c r="Y86">
        <f t="shared" si="56"/>
        <v>51</v>
      </c>
      <c r="Z86">
        <f t="shared" si="57"/>
        <v>35</v>
      </c>
      <c r="AA86">
        <f t="shared" si="58"/>
        <v>5</v>
      </c>
      <c r="AB86">
        <f t="shared" si="59"/>
        <v>6</v>
      </c>
      <c r="AC86">
        <f t="shared" si="60"/>
        <v>148</v>
      </c>
      <c r="AD86">
        <f t="shared" si="61"/>
        <v>39</v>
      </c>
      <c r="AF86">
        <f t="shared" si="62"/>
        <v>0</v>
      </c>
      <c r="AG86">
        <f t="shared" si="63"/>
        <v>0</v>
      </c>
      <c r="AH86">
        <f t="shared" si="64"/>
        <v>0</v>
      </c>
      <c r="AI86">
        <f t="shared" si="65"/>
        <v>0</v>
      </c>
      <c r="AJ86">
        <f t="shared" si="66"/>
        <v>0</v>
      </c>
      <c r="AK86">
        <f t="shared" si="67"/>
        <v>0</v>
      </c>
      <c r="AL86">
        <f t="shared" si="68"/>
        <v>0</v>
      </c>
      <c r="AM86">
        <f t="shared" si="69"/>
        <v>0</v>
      </c>
      <c r="AN86">
        <f t="shared" si="70"/>
        <v>0</v>
      </c>
      <c r="AO86">
        <f t="shared" si="71"/>
        <v>0</v>
      </c>
      <c r="AP86">
        <f t="shared" si="72"/>
        <v>0</v>
      </c>
      <c r="AQ86">
        <f t="shared" si="73"/>
        <v>0</v>
      </c>
    </row>
    <row r="87" spans="1:43" x14ac:dyDescent="0.35">
      <c r="A87" s="51">
        <v>86</v>
      </c>
      <c r="B87" s="50" t="s">
        <v>168</v>
      </c>
      <c r="C87" s="55" t="s">
        <v>169</v>
      </c>
      <c r="D87" s="51" t="s">
        <v>94</v>
      </c>
      <c r="E87" s="67">
        <v>2978.276163106897</v>
      </c>
      <c r="F87">
        <f t="shared" si="38"/>
        <v>0</v>
      </c>
      <c r="G87">
        <f t="shared" si="39"/>
        <v>0</v>
      </c>
      <c r="H87">
        <f t="shared" si="40"/>
        <v>0</v>
      </c>
      <c r="I87">
        <f t="shared" si="41"/>
        <v>0</v>
      </c>
      <c r="J87">
        <f t="shared" si="42"/>
        <v>0</v>
      </c>
      <c r="K87">
        <f t="shared" si="43"/>
        <v>0</v>
      </c>
      <c r="L87">
        <f t="shared" si="44"/>
        <v>2978.276163106897</v>
      </c>
      <c r="M87">
        <f t="shared" si="45"/>
        <v>0</v>
      </c>
      <c r="N87">
        <f t="shared" si="46"/>
        <v>0</v>
      </c>
      <c r="O87">
        <f t="shared" si="47"/>
        <v>0</v>
      </c>
      <c r="P87">
        <f t="shared" si="48"/>
        <v>0</v>
      </c>
      <c r="Q87">
        <f t="shared" si="49"/>
        <v>0</v>
      </c>
      <c r="S87">
        <f t="shared" si="50"/>
        <v>57</v>
      </c>
      <c r="T87">
        <f t="shared" si="51"/>
        <v>39</v>
      </c>
      <c r="U87">
        <f t="shared" si="52"/>
        <v>33</v>
      </c>
      <c r="V87">
        <f t="shared" si="53"/>
        <v>43</v>
      </c>
      <c r="W87">
        <f t="shared" si="54"/>
        <v>115</v>
      </c>
      <c r="X87">
        <f t="shared" si="55"/>
        <v>110</v>
      </c>
      <c r="Y87">
        <f t="shared" si="56"/>
        <v>51</v>
      </c>
      <c r="Z87">
        <f t="shared" si="57"/>
        <v>35</v>
      </c>
      <c r="AA87">
        <f t="shared" si="58"/>
        <v>5</v>
      </c>
      <c r="AB87">
        <f t="shared" si="59"/>
        <v>6</v>
      </c>
      <c r="AC87">
        <f t="shared" si="60"/>
        <v>148</v>
      </c>
      <c r="AD87">
        <f t="shared" si="61"/>
        <v>39</v>
      </c>
      <c r="AF87">
        <f t="shared" si="62"/>
        <v>0</v>
      </c>
      <c r="AG87">
        <f t="shared" si="63"/>
        <v>0</v>
      </c>
      <c r="AH87">
        <f t="shared" si="64"/>
        <v>0</v>
      </c>
      <c r="AI87">
        <f t="shared" si="65"/>
        <v>0</v>
      </c>
      <c r="AJ87">
        <f t="shared" si="66"/>
        <v>0</v>
      </c>
      <c r="AK87">
        <f t="shared" si="67"/>
        <v>0</v>
      </c>
      <c r="AL87">
        <f t="shared" si="68"/>
        <v>0</v>
      </c>
      <c r="AM87">
        <f t="shared" si="69"/>
        <v>0</v>
      </c>
      <c r="AN87">
        <f t="shared" si="70"/>
        <v>0</v>
      </c>
      <c r="AO87">
        <f t="shared" si="71"/>
        <v>0</v>
      </c>
      <c r="AP87">
        <f t="shared" si="72"/>
        <v>0</v>
      </c>
      <c r="AQ87">
        <f t="shared" si="73"/>
        <v>0</v>
      </c>
    </row>
    <row r="88" spans="1:43" x14ac:dyDescent="0.35">
      <c r="A88" s="51">
        <v>87</v>
      </c>
      <c r="B88" s="50" t="s">
        <v>168</v>
      </c>
      <c r="C88" s="55" t="s">
        <v>170</v>
      </c>
      <c r="D88" s="51" t="s">
        <v>80</v>
      </c>
      <c r="E88" s="67">
        <v>2506.5286871461522</v>
      </c>
      <c r="F88">
        <f t="shared" si="38"/>
        <v>0</v>
      </c>
      <c r="G88">
        <f t="shared" si="39"/>
        <v>0</v>
      </c>
      <c r="H88">
        <f t="shared" si="40"/>
        <v>2506.5286871461522</v>
      </c>
      <c r="I88">
        <f t="shared" si="41"/>
        <v>0</v>
      </c>
      <c r="J88">
        <f t="shared" si="42"/>
        <v>0</v>
      </c>
      <c r="K88">
        <f t="shared" si="43"/>
        <v>0</v>
      </c>
      <c r="L88">
        <f t="shared" si="44"/>
        <v>0</v>
      </c>
      <c r="M88">
        <f t="shared" si="45"/>
        <v>0</v>
      </c>
      <c r="N88">
        <f t="shared" si="46"/>
        <v>0</v>
      </c>
      <c r="O88">
        <f t="shared" si="47"/>
        <v>0</v>
      </c>
      <c r="P88">
        <f t="shared" si="48"/>
        <v>0</v>
      </c>
      <c r="Q88">
        <f t="shared" si="49"/>
        <v>0</v>
      </c>
      <c r="S88">
        <f t="shared" si="50"/>
        <v>57</v>
      </c>
      <c r="T88">
        <f t="shared" si="51"/>
        <v>39</v>
      </c>
      <c r="U88">
        <f t="shared" si="52"/>
        <v>33</v>
      </c>
      <c r="V88">
        <f t="shared" si="53"/>
        <v>43</v>
      </c>
      <c r="W88">
        <f t="shared" si="54"/>
        <v>115</v>
      </c>
      <c r="X88">
        <f t="shared" si="55"/>
        <v>110</v>
      </c>
      <c r="Y88">
        <f t="shared" si="56"/>
        <v>50</v>
      </c>
      <c r="Z88">
        <f t="shared" si="57"/>
        <v>35</v>
      </c>
      <c r="AA88">
        <f t="shared" si="58"/>
        <v>5</v>
      </c>
      <c r="AB88">
        <f t="shared" si="59"/>
        <v>6</v>
      </c>
      <c r="AC88">
        <f t="shared" si="60"/>
        <v>148</v>
      </c>
      <c r="AD88">
        <f t="shared" si="61"/>
        <v>39</v>
      </c>
      <c r="AF88">
        <f t="shared" si="62"/>
        <v>0</v>
      </c>
      <c r="AG88">
        <f t="shared" si="63"/>
        <v>0</v>
      </c>
      <c r="AH88">
        <f t="shared" si="64"/>
        <v>0</v>
      </c>
      <c r="AI88">
        <f t="shared" si="65"/>
        <v>0</v>
      </c>
      <c r="AJ88">
        <f t="shared" si="66"/>
        <v>0</v>
      </c>
      <c r="AK88">
        <f t="shared" si="67"/>
        <v>0</v>
      </c>
      <c r="AL88">
        <f t="shared" si="68"/>
        <v>0</v>
      </c>
      <c r="AM88">
        <f t="shared" si="69"/>
        <v>0</v>
      </c>
      <c r="AN88">
        <f t="shared" si="70"/>
        <v>0</v>
      </c>
      <c r="AO88">
        <f t="shared" si="71"/>
        <v>0</v>
      </c>
      <c r="AP88">
        <f t="shared" si="72"/>
        <v>0</v>
      </c>
      <c r="AQ88">
        <f t="shared" si="73"/>
        <v>0</v>
      </c>
    </row>
    <row r="89" spans="1:43" x14ac:dyDescent="0.35">
      <c r="A89" s="51">
        <v>88</v>
      </c>
      <c r="B89" s="50" t="s">
        <v>171</v>
      </c>
      <c r="C89" s="55" t="s">
        <v>172</v>
      </c>
      <c r="D89" s="51" t="s">
        <v>228</v>
      </c>
      <c r="E89" s="67">
        <v>3320</v>
      </c>
      <c r="F89">
        <f t="shared" si="38"/>
        <v>0</v>
      </c>
      <c r="G89">
        <f t="shared" si="39"/>
        <v>0</v>
      </c>
      <c r="H89">
        <f t="shared" si="40"/>
        <v>0</v>
      </c>
      <c r="I89">
        <f t="shared" si="41"/>
        <v>0</v>
      </c>
      <c r="J89">
        <f t="shared" si="42"/>
        <v>0</v>
      </c>
      <c r="K89">
        <f t="shared" si="43"/>
        <v>0</v>
      </c>
      <c r="L89">
        <f t="shared" si="44"/>
        <v>0</v>
      </c>
      <c r="M89">
        <f t="shared" si="45"/>
        <v>0</v>
      </c>
      <c r="N89">
        <f t="shared" si="46"/>
        <v>0</v>
      </c>
      <c r="O89">
        <f t="shared" si="47"/>
        <v>0</v>
      </c>
      <c r="P89">
        <f t="shared" si="48"/>
        <v>3320</v>
      </c>
      <c r="Q89">
        <f t="shared" si="49"/>
        <v>0</v>
      </c>
      <c r="S89">
        <f t="shared" si="50"/>
        <v>57</v>
      </c>
      <c r="T89">
        <f t="shared" si="51"/>
        <v>39</v>
      </c>
      <c r="U89">
        <f t="shared" si="52"/>
        <v>32</v>
      </c>
      <c r="V89">
        <f t="shared" si="53"/>
        <v>43</v>
      </c>
      <c r="W89">
        <f t="shared" si="54"/>
        <v>115</v>
      </c>
      <c r="X89">
        <f t="shared" si="55"/>
        <v>110</v>
      </c>
      <c r="Y89">
        <f t="shared" si="56"/>
        <v>50</v>
      </c>
      <c r="Z89">
        <f t="shared" si="57"/>
        <v>35</v>
      </c>
      <c r="AA89">
        <f t="shared" si="58"/>
        <v>5</v>
      </c>
      <c r="AB89">
        <f t="shared" si="59"/>
        <v>6</v>
      </c>
      <c r="AC89">
        <f t="shared" si="60"/>
        <v>148</v>
      </c>
      <c r="AD89">
        <f t="shared" si="61"/>
        <v>39</v>
      </c>
      <c r="AF89">
        <f t="shared" si="62"/>
        <v>0</v>
      </c>
      <c r="AG89">
        <f t="shared" si="63"/>
        <v>0</v>
      </c>
      <c r="AH89">
        <f t="shared" si="64"/>
        <v>0</v>
      </c>
      <c r="AI89">
        <f t="shared" si="65"/>
        <v>0</v>
      </c>
      <c r="AJ89">
        <f t="shared" si="66"/>
        <v>0</v>
      </c>
      <c r="AK89">
        <f t="shared" si="67"/>
        <v>0</v>
      </c>
      <c r="AL89">
        <f t="shared" si="68"/>
        <v>0</v>
      </c>
      <c r="AM89">
        <f t="shared" si="69"/>
        <v>0</v>
      </c>
      <c r="AN89">
        <f t="shared" si="70"/>
        <v>0</v>
      </c>
      <c r="AO89">
        <f t="shared" si="71"/>
        <v>0</v>
      </c>
      <c r="AP89">
        <f t="shared" si="72"/>
        <v>0</v>
      </c>
      <c r="AQ89">
        <f t="shared" si="73"/>
        <v>0</v>
      </c>
    </row>
    <row r="90" spans="1:43" x14ac:dyDescent="0.35">
      <c r="A90" s="51">
        <v>89</v>
      </c>
      <c r="B90" s="50" t="s">
        <v>171</v>
      </c>
      <c r="C90" s="55" t="s">
        <v>173</v>
      </c>
      <c r="D90" s="51" t="s">
        <v>222</v>
      </c>
      <c r="E90" s="67">
        <v>2699</v>
      </c>
      <c r="F90">
        <f t="shared" si="38"/>
        <v>0</v>
      </c>
      <c r="G90">
        <f t="shared" si="39"/>
        <v>0</v>
      </c>
      <c r="H90">
        <f t="shared" si="40"/>
        <v>0</v>
      </c>
      <c r="I90">
        <f t="shared" si="41"/>
        <v>0</v>
      </c>
      <c r="J90">
        <f t="shared" si="42"/>
        <v>0</v>
      </c>
      <c r="K90">
        <f t="shared" si="43"/>
        <v>0</v>
      </c>
      <c r="L90">
        <f t="shared" si="44"/>
        <v>0</v>
      </c>
      <c r="M90">
        <f t="shared" si="45"/>
        <v>0</v>
      </c>
      <c r="N90">
        <f t="shared" si="46"/>
        <v>0</v>
      </c>
      <c r="O90">
        <f t="shared" si="47"/>
        <v>0</v>
      </c>
      <c r="P90">
        <f t="shared" si="48"/>
        <v>0</v>
      </c>
      <c r="Q90">
        <f t="shared" si="49"/>
        <v>2699</v>
      </c>
      <c r="S90">
        <f t="shared" si="50"/>
        <v>57</v>
      </c>
      <c r="T90">
        <f t="shared" si="51"/>
        <v>39</v>
      </c>
      <c r="U90">
        <f t="shared" si="52"/>
        <v>32</v>
      </c>
      <c r="V90">
        <f t="shared" si="53"/>
        <v>43</v>
      </c>
      <c r="W90">
        <f t="shared" si="54"/>
        <v>115</v>
      </c>
      <c r="X90">
        <f t="shared" si="55"/>
        <v>110</v>
      </c>
      <c r="Y90">
        <f t="shared" si="56"/>
        <v>50</v>
      </c>
      <c r="Z90">
        <f t="shared" si="57"/>
        <v>35</v>
      </c>
      <c r="AA90">
        <f t="shared" si="58"/>
        <v>5</v>
      </c>
      <c r="AB90">
        <f t="shared" si="59"/>
        <v>6</v>
      </c>
      <c r="AC90">
        <f t="shared" si="60"/>
        <v>147</v>
      </c>
      <c r="AD90">
        <f t="shared" si="61"/>
        <v>39</v>
      </c>
      <c r="AF90">
        <f t="shared" si="62"/>
        <v>0</v>
      </c>
      <c r="AG90">
        <f t="shared" si="63"/>
        <v>0</v>
      </c>
      <c r="AH90">
        <f t="shared" si="64"/>
        <v>0</v>
      </c>
      <c r="AI90">
        <f t="shared" si="65"/>
        <v>0</v>
      </c>
      <c r="AJ90">
        <f t="shared" si="66"/>
        <v>0</v>
      </c>
      <c r="AK90">
        <f t="shared" si="67"/>
        <v>0</v>
      </c>
      <c r="AL90">
        <f t="shared" si="68"/>
        <v>0</v>
      </c>
      <c r="AM90">
        <f t="shared" si="69"/>
        <v>0</v>
      </c>
      <c r="AN90">
        <f t="shared" si="70"/>
        <v>0</v>
      </c>
      <c r="AO90">
        <f t="shared" si="71"/>
        <v>0</v>
      </c>
      <c r="AP90">
        <f t="shared" si="72"/>
        <v>0</v>
      </c>
      <c r="AQ90">
        <f t="shared" si="73"/>
        <v>0</v>
      </c>
    </row>
    <row r="91" spans="1:43" x14ac:dyDescent="0.35">
      <c r="A91" s="51">
        <v>90</v>
      </c>
      <c r="B91" s="50" t="s">
        <v>171</v>
      </c>
      <c r="C91" s="55" t="s">
        <v>174</v>
      </c>
      <c r="D91" s="51" t="s">
        <v>67</v>
      </c>
      <c r="E91" s="67">
        <v>2986</v>
      </c>
      <c r="F91">
        <f t="shared" si="38"/>
        <v>0</v>
      </c>
      <c r="G91">
        <f t="shared" si="39"/>
        <v>0</v>
      </c>
      <c r="H91">
        <f t="shared" si="40"/>
        <v>0</v>
      </c>
      <c r="I91">
        <f t="shared" si="41"/>
        <v>2986</v>
      </c>
      <c r="J91">
        <f t="shared" si="42"/>
        <v>0</v>
      </c>
      <c r="K91">
        <f t="shared" si="43"/>
        <v>0</v>
      </c>
      <c r="L91">
        <f t="shared" si="44"/>
        <v>0</v>
      </c>
      <c r="M91">
        <f t="shared" si="45"/>
        <v>0</v>
      </c>
      <c r="N91">
        <f t="shared" si="46"/>
        <v>0</v>
      </c>
      <c r="O91">
        <f t="shared" si="47"/>
        <v>0</v>
      </c>
      <c r="P91">
        <f t="shared" si="48"/>
        <v>0</v>
      </c>
      <c r="Q91">
        <f t="shared" si="49"/>
        <v>0</v>
      </c>
      <c r="S91">
        <f t="shared" si="50"/>
        <v>57</v>
      </c>
      <c r="T91">
        <f t="shared" si="51"/>
        <v>39</v>
      </c>
      <c r="U91">
        <f t="shared" si="52"/>
        <v>32</v>
      </c>
      <c r="V91">
        <f t="shared" si="53"/>
        <v>43</v>
      </c>
      <c r="W91">
        <f t="shared" si="54"/>
        <v>115</v>
      </c>
      <c r="X91">
        <f t="shared" si="55"/>
        <v>110</v>
      </c>
      <c r="Y91">
        <f t="shared" si="56"/>
        <v>50</v>
      </c>
      <c r="Z91">
        <f t="shared" si="57"/>
        <v>35</v>
      </c>
      <c r="AA91">
        <f t="shared" si="58"/>
        <v>5</v>
      </c>
      <c r="AB91">
        <f t="shared" si="59"/>
        <v>6</v>
      </c>
      <c r="AC91">
        <f t="shared" si="60"/>
        <v>147</v>
      </c>
      <c r="AD91">
        <f t="shared" si="61"/>
        <v>38</v>
      </c>
      <c r="AF91">
        <f t="shared" si="62"/>
        <v>0</v>
      </c>
      <c r="AG91">
        <f t="shared" si="63"/>
        <v>0</v>
      </c>
      <c r="AH91">
        <f t="shared" si="64"/>
        <v>0</v>
      </c>
      <c r="AI91">
        <f t="shared" si="65"/>
        <v>0</v>
      </c>
      <c r="AJ91">
        <f t="shared" si="66"/>
        <v>0</v>
      </c>
      <c r="AK91">
        <f t="shared" si="67"/>
        <v>0</v>
      </c>
      <c r="AL91">
        <f t="shared" si="68"/>
        <v>0</v>
      </c>
      <c r="AM91">
        <f t="shared" si="69"/>
        <v>0</v>
      </c>
      <c r="AN91">
        <f t="shared" si="70"/>
        <v>0</v>
      </c>
      <c r="AO91">
        <f t="shared" si="71"/>
        <v>0</v>
      </c>
      <c r="AP91">
        <f t="shared" si="72"/>
        <v>0</v>
      </c>
      <c r="AQ91">
        <f t="shared" si="73"/>
        <v>0</v>
      </c>
    </row>
    <row r="92" spans="1:43" x14ac:dyDescent="0.35">
      <c r="A92" s="51">
        <v>91</v>
      </c>
      <c r="B92" s="50" t="s">
        <v>171</v>
      </c>
      <c r="C92" s="55" t="s">
        <v>175</v>
      </c>
      <c r="D92" s="51" t="s">
        <v>176</v>
      </c>
      <c r="E92" s="67">
        <v>3705</v>
      </c>
      <c r="F92">
        <f t="shared" si="38"/>
        <v>0</v>
      </c>
      <c r="G92">
        <f t="shared" si="39"/>
        <v>0</v>
      </c>
      <c r="H92">
        <f t="shared" si="40"/>
        <v>0</v>
      </c>
      <c r="I92">
        <f t="shared" si="41"/>
        <v>0</v>
      </c>
      <c r="J92">
        <f t="shared" si="42"/>
        <v>0</v>
      </c>
      <c r="K92">
        <f t="shared" si="43"/>
        <v>0</v>
      </c>
      <c r="L92">
        <f t="shared" si="44"/>
        <v>0</v>
      </c>
      <c r="M92">
        <f t="shared" si="45"/>
        <v>0</v>
      </c>
      <c r="N92">
        <f t="shared" si="46"/>
        <v>3705</v>
      </c>
      <c r="O92">
        <f t="shared" si="47"/>
        <v>0</v>
      </c>
      <c r="P92">
        <f t="shared" si="48"/>
        <v>0</v>
      </c>
      <c r="Q92">
        <f t="shared" si="49"/>
        <v>0</v>
      </c>
      <c r="S92">
        <f t="shared" si="50"/>
        <v>57</v>
      </c>
      <c r="T92">
        <f t="shared" si="51"/>
        <v>39</v>
      </c>
      <c r="U92">
        <f t="shared" si="52"/>
        <v>32</v>
      </c>
      <c r="V92">
        <f t="shared" si="53"/>
        <v>42</v>
      </c>
      <c r="W92">
        <f t="shared" si="54"/>
        <v>115</v>
      </c>
      <c r="X92">
        <f t="shared" si="55"/>
        <v>110</v>
      </c>
      <c r="Y92">
        <f t="shared" si="56"/>
        <v>50</v>
      </c>
      <c r="Z92">
        <f t="shared" si="57"/>
        <v>35</v>
      </c>
      <c r="AA92">
        <f t="shared" si="58"/>
        <v>5</v>
      </c>
      <c r="AB92">
        <f t="shared" si="59"/>
        <v>6</v>
      </c>
      <c r="AC92">
        <f t="shared" si="60"/>
        <v>147</v>
      </c>
      <c r="AD92">
        <f t="shared" si="61"/>
        <v>38</v>
      </c>
      <c r="AF92">
        <f t="shared" si="62"/>
        <v>0</v>
      </c>
      <c r="AG92">
        <f t="shared" si="63"/>
        <v>0</v>
      </c>
      <c r="AH92">
        <f t="shared" si="64"/>
        <v>0</v>
      </c>
      <c r="AI92">
        <f t="shared" si="65"/>
        <v>0</v>
      </c>
      <c r="AJ92">
        <f t="shared" si="66"/>
        <v>0</v>
      </c>
      <c r="AK92">
        <f t="shared" si="67"/>
        <v>0</v>
      </c>
      <c r="AL92">
        <f t="shared" si="68"/>
        <v>0</v>
      </c>
      <c r="AM92">
        <f t="shared" si="69"/>
        <v>0</v>
      </c>
      <c r="AN92">
        <f t="shared" si="70"/>
        <v>3705</v>
      </c>
      <c r="AO92">
        <f t="shared" si="71"/>
        <v>0</v>
      </c>
      <c r="AP92">
        <f t="shared" si="72"/>
        <v>0</v>
      </c>
      <c r="AQ92">
        <f t="shared" si="73"/>
        <v>0</v>
      </c>
    </row>
    <row r="93" spans="1:43" x14ac:dyDescent="0.35">
      <c r="A93" s="51">
        <v>92</v>
      </c>
      <c r="B93" s="50" t="s">
        <v>171</v>
      </c>
      <c r="C93" s="55" t="s">
        <v>177</v>
      </c>
      <c r="D93" s="51" t="s">
        <v>94</v>
      </c>
      <c r="E93" s="67">
        <v>3824</v>
      </c>
      <c r="F93">
        <f t="shared" si="38"/>
        <v>0</v>
      </c>
      <c r="G93">
        <f t="shared" si="39"/>
        <v>0</v>
      </c>
      <c r="H93">
        <f t="shared" si="40"/>
        <v>0</v>
      </c>
      <c r="I93">
        <f t="shared" si="41"/>
        <v>0</v>
      </c>
      <c r="J93">
        <f t="shared" si="42"/>
        <v>0</v>
      </c>
      <c r="K93">
        <f t="shared" si="43"/>
        <v>0</v>
      </c>
      <c r="L93">
        <f t="shared" si="44"/>
        <v>3824</v>
      </c>
      <c r="M93">
        <f t="shared" si="45"/>
        <v>0</v>
      </c>
      <c r="N93">
        <f t="shared" si="46"/>
        <v>0</v>
      </c>
      <c r="O93">
        <f t="shared" si="47"/>
        <v>0</v>
      </c>
      <c r="P93">
        <f t="shared" si="48"/>
        <v>0</v>
      </c>
      <c r="Q93">
        <f t="shared" si="49"/>
        <v>0</v>
      </c>
      <c r="S93">
        <f t="shared" si="50"/>
        <v>57</v>
      </c>
      <c r="T93">
        <f t="shared" si="51"/>
        <v>39</v>
      </c>
      <c r="U93">
        <f t="shared" si="52"/>
        <v>32</v>
      </c>
      <c r="V93">
        <f t="shared" si="53"/>
        <v>42</v>
      </c>
      <c r="W93">
        <f t="shared" si="54"/>
        <v>115</v>
      </c>
      <c r="X93">
        <f t="shared" si="55"/>
        <v>110</v>
      </c>
      <c r="Y93">
        <f t="shared" si="56"/>
        <v>50</v>
      </c>
      <c r="Z93">
        <f t="shared" si="57"/>
        <v>35</v>
      </c>
      <c r="AA93">
        <f t="shared" si="58"/>
        <v>4</v>
      </c>
      <c r="AB93">
        <f t="shared" si="59"/>
        <v>6</v>
      </c>
      <c r="AC93">
        <f t="shared" si="60"/>
        <v>147</v>
      </c>
      <c r="AD93">
        <f t="shared" si="61"/>
        <v>38</v>
      </c>
      <c r="AF93">
        <f t="shared" si="62"/>
        <v>0</v>
      </c>
      <c r="AG93">
        <f t="shared" si="63"/>
        <v>0</v>
      </c>
      <c r="AH93">
        <f t="shared" si="64"/>
        <v>0</v>
      </c>
      <c r="AI93">
        <f t="shared" si="65"/>
        <v>0</v>
      </c>
      <c r="AJ93">
        <f t="shared" si="66"/>
        <v>0</v>
      </c>
      <c r="AK93">
        <f t="shared" si="67"/>
        <v>0</v>
      </c>
      <c r="AL93">
        <f t="shared" si="68"/>
        <v>0</v>
      </c>
      <c r="AM93">
        <f t="shared" si="69"/>
        <v>0</v>
      </c>
      <c r="AN93">
        <f t="shared" si="70"/>
        <v>0</v>
      </c>
      <c r="AO93">
        <f t="shared" si="71"/>
        <v>0</v>
      </c>
      <c r="AP93">
        <f t="shared" si="72"/>
        <v>0</v>
      </c>
      <c r="AQ93">
        <f t="shared" si="73"/>
        <v>0</v>
      </c>
    </row>
    <row r="94" spans="1:43" x14ac:dyDescent="0.35">
      <c r="A94" s="51">
        <v>93</v>
      </c>
      <c r="B94" s="50" t="s">
        <v>171</v>
      </c>
      <c r="C94" s="55" t="s">
        <v>178</v>
      </c>
      <c r="D94" s="51" t="s">
        <v>54</v>
      </c>
      <c r="E94" s="67">
        <v>3287</v>
      </c>
      <c r="F94">
        <f t="shared" si="38"/>
        <v>0</v>
      </c>
      <c r="G94">
        <f t="shared" si="39"/>
        <v>0</v>
      </c>
      <c r="H94">
        <f t="shared" si="40"/>
        <v>0</v>
      </c>
      <c r="I94">
        <f t="shared" si="41"/>
        <v>0</v>
      </c>
      <c r="J94">
        <f t="shared" si="42"/>
        <v>0</v>
      </c>
      <c r="K94">
        <f t="shared" si="43"/>
        <v>3287</v>
      </c>
      <c r="L94">
        <f t="shared" si="44"/>
        <v>0</v>
      </c>
      <c r="M94">
        <f t="shared" si="45"/>
        <v>0</v>
      </c>
      <c r="N94">
        <f t="shared" si="46"/>
        <v>0</v>
      </c>
      <c r="O94">
        <f t="shared" si="47"/>
        <v>0</v>
      </c>
      <c r="P94">
        <f t="shared" si="48"/>
        <v>0</v>
      </c>
      <c r="Q94">
        <f t="shared" si="49"/>
        <v>0</v>
      </c>
      <c r="S94">
        <f t="shared" si="50"/>
        <v>57</v>
      </c>
      <c r="T94">
        <f t="shared" si="51"/>
        <v>39</v>
      </c>
      <c r="U94">
        <f t="shared" si="52"/>
        <v>32</v>
      </c>
      <c r="V94">
        <f t="shared" si="53"/>
        <v>42</v>
      </c>
      <c r="W94">
        <f t="shared" si="54"/>
        <v>115</v>
      </c>
      <c r="X94">
        <f t="shared" si="55"/>
        <v>110</v>
      </c>
      <c r="Y94">
        <f t="shared" si="56"/>
        <v>49</v>
      </c>
      <c r="Z94">
        <f t="shared" si="57"/>
        <v>35</v>
      </c>
      <c r="AA94">
        <f t="shared" si="58"/>
        <v>4</v>
      </c>
      <c r="AB94">
        <f t="shared" si="59"/>
        <v>6</v>
      </c>
      <c r="AC94">
        <f t="shared" si="60"/>
        <v>147</v>
      </c>
      <c r="AD94">
        <f t="shared" si="61"/>
        <v>38</v>
      </c>
      <c r="AF94">
        <f t="shared" si="62"/>
        <v>0</v>
      </c>
      <c r="AG94">
        <f t="shared" si="63"/>
        <v>0</v>
      </c>
      <c r="AH94">
        <f t="shared" si="64"/>
        <v>0</v>
      </c>
      <c r="AI94">
        <f t="shared" si="65"/>
        <v>0</v>
      </c>
      <c r="AJ94">
        <f t="shared" si="66"/>
        <v>0</v>
      </c>
      <c r="AK94">
        <f t="shared" si="67"/>
        <v>0</v>
      </c>
      <c r="AL94">
        <f t="shared" si="68"/>
        <v>0</v>
      </c>
      <c r="AM94">
        <f t="shared" si="69"/>
        <v>0</v>
      </c>
      <c r="AN94">
        <f t="shared" si="70"/>
        <v>0</v>
      </c>
      <c r="AO94">
        <f t="shared" si="71"/>
        <v>0</v>
      </c>
      <c r="AP94">
        <f t="shared" si="72"/>
        <v>0</v>
      </c>
      <c r="AQ94">
        <f t="shared" si="73"/>
        <v>0</v>
      </c>
    </row>
    <row r="95" spans="1:43" x14ac:dyDescent="0.35">
      <c r="A95" s="51">
        <v>94</v>
      </c>
      <c r="B95" s="50" t="s">
        <v>179</v>
      </c>
      <c r="C95" s="55" t="s">
        <v>180</v>
      </c>
      <c r="D95" s="51" t="s">
        <v>67</v>
      </c>
      <c r="E95" s="67">
        <v>2928</v>
      </c>
      <c r="F95">
        <f t="shared" si="38"/>
        <v>0</v>
      </c>
      <c r="G95">
        <f t="shared" si="39"/>
        <v>0</v>
      </c>
      <c r="H95">
        <f t="shared" si="40"/>
        <v>0</v>
      </c>
      <c r="I95">
        <f t="shared" si="41"/>
        <v>2928</v>
      </c>
      <c r="J95">
        <f t="shared" si="42"/>
        <v>0</v>
      </c>
      <c r="K95">
        <f t="shared" si="43"/>
        <v>0</v>
      </c>
      <c r="L95">
        <f t="shared" si="44"/>
        <v>0</v>
      </c>
      <c r="M95">
        <f t="shared" si="45"/>
        <v>0</v>
      </c>
      <c r="N95">
        <f t="shared" si="46"/>
        <v>0</v>
      </c>
      <c r="O95">
        <f t="shared" si="47"/>
        <v>0</v>
      </c>
      <c r="P95">
        <f t="shared" si="48"/>
        <v>0</v>
      </c>
      <c r="Q95">
        <f t="shared" si="49"/>
        <v>0</v>
      </c>
      <c r="S95">
        <f t="shared" si="50"/>
        <v>57</v>
      </c>
      <c r="T95">
        <f t="shared" si="51"/>
        <v>39</v>
      </c>
      <c r="U95">
        <f t="shared" si="52"/>
        <v>32</v>
      </c>
      <c r="V95">
        <f t="shared" si="53"/>
        <v>42</v>
      </c>
      <c r="W95">
        <f t="shared" si="54"/>
        <v>115</v>
      </c>
      <c r="X95">
        <f t="shared" si="55"/>
        <v>109</v>
      </c>
      <c r="Y95">
        <f t="shared" si="56"/>
        <v>49</v>
      </c>
      <c r="Z95">
        <f t="shared" si="57"/>
        <v>35</v>
      </c>
      <c r="AA95">
        <f t="shared" si="58"/>
        <v>4</v>
      </c>
      <c r="AB95">
        <f t="shared" si="59"/>
        <v>6</v>
      </c>
      <c r="AC95">
        <f t="shared" si="60"/>
        <v>147</v>
      </c>
      <c r="AD95">
        <f t="shared" si="61"/>
        <v>38</v>
      </c>
      <c r="AF95">
        <f t="shared" si="62"/>
        <v>0</v>
      </c>
      <c r="AG95">
        <f t="shared" si="63"/>
        <v>0</v>
      </c>
      <c r="AH95">
        <f t="shared" si="64"/>
        <v>0</v>
      </c>
      <c r="AI95">
        <f t="shared" si="65"/>
        <v>0</v>
      </c>
      <c r="AJ95">
        <f t="shared" si="66"/>
        <v>0</v>
      </c>
      <c r="AK95">
        <f t="shared" si="67"/>
        <v>0</v>
      </c>
      <c r="AL95">
        <f t="shared" si="68"/>
        <v>0</v>
      </c>
      <c r="AM95">
        <f t="shared" si="69"/>
        <v>0</v>
      </c>
      <c r="AN95">
        <f t="shared" si="70"/>
        <v>0</v>
      </c>
      <c r="AO95">
        <f t="shared" si="71"/>
        <v>0</v>
      </c>
      <c r="AP95">
        <f t="shared" si="72"/>
        <v>0</v>
      </c>
      <c r="AQ95">
        <f t="shared" si="73"/>
        <v>0</v>
      </c>
    </row>
    <row r="96" spans="1:43" x14ac:dyDescent="0.35">
      <c r="A96" s="51">
        <v>95</v>
      </c>
      <c r="B96" s="50" t="s">
        <v>179</v>
      </c>
      <c r="C96" s="55" t="s">
        <v>181</v>
      </c>
      <c r="D96" s="51" t="s">
        <v>67</v>
      </c>
      <c r="E96" s="67">
        <v>2953</v>
      </c>
      <c r="F96">
        <f t="shared" si="38"/>
        <v>0</v>
      </c>
      <c r="G96">
        <f t="shared" si="39"/>
        <v>0</v>
      </c>
      <c r="H96">
        <f t="shared" si="40"/>
        <v>0</v>
      </c>
      <c r="I96">
        <f t="shared" si="41"/>
        <v>2953</v>
      </c>
      <c r="J96">
        <f t="shared" si="42"/>
        <v>0</v>
      </c>
      <c r="K96">
        <f t="shared" si="43"/>
        <v>0</v>
      </c>
      <c r="L96">
        <f t="shared" si="44"/>
        <v>0</v>
      </c>
      <c r="M96">
        <f t="shared" si="45"/>
        <v>0</v>
      </c>
      <c r="N96">
        <f t="shared" si="46"/>
        <v>0</v>
      </c>
      <c r="O96">
        <f t="shared" si="47"/>
        <v>0</v>
      </c>
      <c r="P96">
        <f t="shared" si="48"/>
        <v>0</v>
      </c>
      <c r="Q96">
        <f t="shared" si="49"/>
        <v>0</v>
      </c>
      <c r="S96">
        <f t="shared" si="50"/>
        <v>57</v>
      </c>
      <c r="T96">
        <f t="shared" si="51"/>
        <v>39</v>
      </c>
      <c r="U96">
        <f t="shared" si="52"/>
        <v>32</v>
      </c>
      <c r="V96">
        <f t="shared" si="53"/>
        <v>41</v>
      </c>
      <c r="W96">
        <f t="shared" si="54"/>
        <v>115</v>
      </c>
      <c r="X96">
        <f t="shared" si="55"/>
        <v>109</v>
      </c>
      <c r="Y96">
        <f t="shared" si="56"/>
        <v>49</v>
      </c>
      <c r="Z96">
        <f t="shared" si="57"/>
        <v>35</v>
      </c>
      <c r="AA96">
        <f t="shared" si="58"/>
        <v>4</v>
      </c>
      <c r="AB96">
        <f t="shared" si="59"/>
        <v>6</v>
      </c>
      <c r="AC96">
        <f t="shared" si="60"/>
        <v>147</v>
      </c>
      <c r="AD96">
        <f t="shared" si="61"/>
        <v>38</v>
      </c>
      <c r="AF96">
        <f t="shared" si="62"/>
        <v>0</v>
      </c>
      <c r="AG96">
        <f t="shared" si="63"/>
        <v>0</v>
      </c>
      <c r="AH96">
        <f t="shared" si="64"/>
        <v>0</v>
      </c>
      <c r="AI96">
        <f t="shared" si="65"/>
        <v>0</v>
      </c>
      <c r="AJ96">
        <f t="shared" si="66"/>
        <v>0</v>
      </c>
      <c r="AK96">
        <f t="shared" si="67"/>
        <v>0</v>
      </c>
      <c r="AL96">
        <f t="shared" si="68"/>
        <v>0</v>
      </c>
      <c r="AM96">
        <f t="shared" si="69"/>
        <v>0</v>
      </c>
      <c r="AN96">
        <f t="shared" si="70"/>
        <v>0</v>
      </c>
      <c r="AO96">
        <f t="shared" si="71"/>
        <v>0</v>
      </c>
      <c r="AP96">
        <f t="shared" si="72"/>
        <v>0</v>
      </c>
      <c r="AQ96">
        <f t="shared" si="73"/>
        <v>0</v>
      </c>
    </row>
    <row r="97" spans="1:43" x14ac:dyDescent="0.35">
      <c r="A97" s="51">
        <v>96</v>
      </c>
      <c r="B97" s="50" t="s">
        <v>182</v>
      </c>
      <c r="C97" s="55" t="s">
        <v>183</v>
      </c>
      <c r="D97" s="51" t="s">
        <v>54</v>
      </c>
      <c r="E97" s="67">
        <v>2836.6058185009988</v>
      </c>
      <c r="F97">
        <f t="shared" si="38"/>
        <v>0</v>
      </c>
      <c r="G97">
        <f t="shared" si="39"/>
        <v>0</v>
      </c>
      <c r="H97">
        <f t="shared" si="40"/>
        <v>0</v>
      </c>
      <c r="I97">
        <f t="shared" si="41"/>
        <v>0</v>
      </c>
      <c r="J97">
        <f t="shared" si="42"/>
        <v>0</v>
      </c>
      <c r="K97">
        <f t="shared" si="43"/>
        <v>2836.6058185009988</v>
      </c>
      <c r="L97">
        <f t="shared" si="44"/>
        <v>0</v>
      </c>
      <c r="M97">
        <f t="shared" si="45"/>
        <v>0</v>
      </c>
      <c r="N97">
        <f t="shared" si="46"/>
        <v>0</v>
      </c>
      <c r="O97">
        <f t="shared" si="47"/>
        <v>0</v>
      </c>
      <c r="P97">
        <f t="shared" si="48"/>
        <v>0</v>
      </c>
      <c r="Q97">
        <f t="shared" si="49"/>
        <v>0</v>
      </c>
      <c r="S97">
        <f t="shared" si="50"/>
        <v>57</v>
      </c>
      <c r="T97">
        <f t="shared" si="51"/>
        <v>39</v>
      </c>
      <c r="U97">
        <f t="shared" si="52"/>
        <v>32</v>
      </c>
      <c r="V97">
        <f t="shared" si="53"/>
        <v>40</v>
      </c>
      <c r="W97">
        <f t="shared" si="54"/>
        <v>115</v>
      </c>
      <c r="X97">
        <f t="shared" si="55"/>
        <v>109</v>
      </c>
      <c r="Y97">
        <f t="shared" si="56"/>
        <v>49</v>
      </c>
      <c r="Z97">
        <f t="shared" si="57"/>
        <v>35</v>
      </c>
      <c r="AA97">
        <f t="shared" si="58"/>
        <v>4</v>
      </c>
      <c r="AB97">
        <f t="shared" si="59"/>
        <v>6</v>
      </c>
      <c r="AC97">
        <f t="shared" si="60"/>
        <v>147</v>
      </c>
      <c r="AD97">
        <f t="shared" si="61"/>
        <v>38</v>
      </c>
      <c r="AF97">
        <f t="shared" si="62"/>
        <v>0</v>
      </c>
      <c r="AG97">
        <f t="shared" si="63"/>
        <v>0</v>
      </c>
      <c r="AH97">
        <f t="shared" si="64"/>
        <v>0</v>
      </c>
      <c r="AI97">
        <f t="shared" si="65"/>
        <v>0</v>
      </c>
      <c r="AJ97">
        <f t="shared" si="66"/>
        <v>0</v>
      </c>
      <c r="AK97">
        <f t="shared" si="67"/>
        <v>0</v>
      </c>
      <c r="AL97">
        <f t="shared" si="68"/>
        <v>0</v>
      </c>
      <c r="AM97">
        <f t="shared" si="69"/>
        <v>0</v>
      </c>
      <c r="AN97">
        <f t="shared" si="70"/>
        <v>0</v>
      </c>
      <c r="AO97">
        <f t="shared" si="71"/>
        <v>0</v>
      </c>
      <c r="AP97">
        <f t="shared" si="72"/>
        <v>0</v>
      </c>
      <c r="AQ97">
        <f t="shared" si="73"/>
        <v>0</v>
      </c>
    </row>
    <row r="98" spans="1:43" x14ac:dyDescent="0.35">
      <c r="A98" s="51">
        <v>97</v>
      </c>
      <c r="B98" s="50" t="s">
        <v>182</v>
      </c>
      <c r="C98" s="55" t="s">
        <v>184</v>
      </c>
      <c r="D98" s="51" t="s">
        <v>67</v>
      </c>
      <c r="E98" s="67">
        <v>2957.0669216479714</v>
      </c>
      <c r="F98">
        <f t="shared" si="38"/>
        <v>0</v>
      </c>
      <c r="G98">
        <f t="shared" si="39"/>
        <v>0</v>
      </c>
      <c r="H98">
        <f t="shared" si="40"/>
        <v>0</v>
      </c>
      <c r="I98">
        <f t="shared" si="41"/>
        <v>2957.0669216479714</v>
      </c>
      <c r="J98">
        <f t="shared" si="42"/>
        <v>0</v>
      </c>
      <c r="K98">
        <f t="shared" si="43"/>
        <v>0</v>
      </c>
      <c r="L98">
        <f t="shared" si="44"/>
        <v>0</v>
      </c>
      <c r="M98">
        <f t="shared" si="45"/>
        <v>0</v>
      </c>
      <c r="N98">
        <f t="shared" si="46"/>
        <v>0</v>
      </c>
      <c r="O98">
        <f t="shared" si="47"/>
        <v>0</v>
      </c>
      <c r="P98">
        <f t="shared" si="48"/>
        <v>0</v>
      </c>
      <c r="Q98">
        <f t="shared" si="49"/>
        <v>0</v>
      </c>
      <c r="S98">
        <f t="shared" si="50"/>
        <v>57</v>
      </c>
      <c r="T98">
        <f t="shared" si="51"/>
        <v>39</v>
      </c>
      <c r="U98">
        <f t="shared" si="52"/>
        <v>32</v>
      </c>
      <c r="V98">
        <f t="shared" si="53"/>
        <v>40</v>
      </c>
      <c r="W98">
        <f t="shared" si="54"/>
        <v>115</v>
      </c>
      <c r="X98">
        <f t="shared" si="55"/>
        <v>108</v>
      </c>
      <c r="Y98">
        <f t="shared" si="56"/>
        <v>49</v>
      </c>
      <c r="Z98">
        <f t="shared" si="57"/>
        <v>35</v>
      </c>
      <c r="AA98">
        <f t="shared" si="58"/>
        <v>4</v>
      </c>
      <c r="AB98">
        <f t="shared" si="59"/>
        <v>6</v>
      </c>
      <c r="AC98">
        <f t="shared" si="60"/>
        <v>147</v>
      </c>
      <c r="AD98">
        <f t="shared" si="61"/>
        <v>38</v>
      </c>
      <c r="AF98">
        <f t="shared" si="62"/>
        <v>0</v>
      </c>
      <c r="AG98">
        <f t="shared" si="63"/>
        <v>0</v>
      </c>
      <c r="AH98">
        <f t="shared" si="64"/>
        <v>0</v>
      </c>
      <c r="AI98">
        <f t="shared" si="65"/>
        <v>0</v>
      </c>
      <c r="AJ98">
        <f t="shared" si="66"/>
        <v>0</v>
      </c>
      <c r="AK98">
        <f t="shared" si="67"/>
        <v>0</v>
      </c>
      <c r="AL98">
        <f t="shared" si="68"/>
        <v>0</v>
      </c>
      <c r="AM98">
        <f t="shared" si="69"/>
        <v>0</v>
      </c>
      <c r="AN98">
        <f t="shared" si="70"/>
        <v>0</v>
      </c>
      <c r="AO98">
        <f t="shared" si="71"/>
        <v>0</v>
      </c>
      <c r="AP98">
        <f t="shared" si="72"/>
        <v>0</v>
      </c>
      <c r="AQ98">
        <f t="shared" si="73"/>
        <v>0</v>
      </c>
    </row>
    <row r="99" spans="1:43" x14ac:dyDescent="0.35">
      <c r="A99" s="51">
        <v>98</v>
      </c>
      <c r="B99" s="50" t="s">
        <v>185</v>
      </c>
      <c r="C99" s="55" t="s">
        <v>186</v>
      </c>
      <c r="D99" s="51" t="s">
        <v>54</v>
      </c>
      <c r="E99" s="67">
        <v>2503.5093621437554</v>
      </c>
      <c r="F99">
        <f t="shared" si="38"/>
        <v>0</v>
      </c>
      <c r="G99">
        <f t="shared" si="39"/>
        <v>0</v>
      </c>
      <c r="H99">
        <f t="shared" si="40"/>
        <v>0</v>
      </c>
      <c r="I99">
        <f t="shared" si="41"/>
        <v>0</v>
      </c>
      <c r="J99">
        <f t="shared" si="42"/>
        <v>0</v>
      </c>
      <c r="K99">
        <f t="shared" si="43"/>
        <v>2503.5093621437554</v>
      </c>
      <c r="L99">
        <f t="shared" si="44"/>
        <v>0</v>
      </c>
      <c r="M99">
        <f t="shared" si="45"/>
        <v>0</v>
      </c>
      <c r="N99">
        <f t="shared" si="46"/>
        <v>0</v>
      </c>
      <c r="O99">
        <f t="shared" si="47"/>
        <v>0</v>
      </c>
      <c r="P99">
        <f t="shared" si="48"/>
        <v>0</v>
      </c>
      <c r="Q99">
        <f t="shared" si="49"/>
        <v>0</v>
      </c>
      <c r="S99">
        <f t="shared" si="50"/>
        <v>57</v>
      </c>
      <c r="T99">
        <f t="shared" si="51"/>
        <v>39</v>
      </c>
      <c r="U99">
        <f t="shared" si="52"/>
        <v>32</v>
      </c>
      <c r="V99">
        <f t="shared" si="53"/>
        <v>39</v>
      </c>
      <c r="W99">
        <f t="shared" si="54"/>
        <v>115</v>
      </c>
      <c r="X99">
        <f t="shared" si="55"/>
        <v>108</v>
      </c>
      <c r="Y99">
        <f t="shared" si="56"/>
        <v>49</v>
      </c>
      <c r="Z99">
        <f t="shared" si="57"/>
        <v>35</v>
      </c>
      <c r="AA99">
        <f t="shared" si="58"/>
        <v>4</v>
      </c>
      <c r="AB99">
        <f t="shared" si="59"/>
        <v>6</v>
      </c>
      <c r="AC99">
        <f t="shared" si="60"/>
        <v>147</v>
      </c>
      <c r="AD99">
        <f t="shared" si="61"/>
        <v>38</v>
      </c>
      <c r="AF99">
        <f t="shared" si="62"/>
        <v>0</v>
      </c>
      <c r="AG99">
        <f t="shared" si="63"/>
        <v>0</v>
      </c>
      <c r="AH99">
        <f t="shared" si="64"/>
        <v>0</v>
      </c>
      <c r="AI99">
        <f t="shared" si="65"/>
        <v>0</v>
      </c>
      <c r="AJ99">
        <f t="shared" si="66"/>
        <v>0</v>
      </c>
      <c r="AK99">
        <f t="shared" si="67"/>
        <v>0</v>
      </c>
      <c r="AL99">
        <f t="shared" si="68"/>
        <v>0</v>
      </c>
      <c r="AM99">
        <f t="shared" si="69"/>
        <v>0</v>
      </c>
      <c r="AN99">
        <f t="shared" si="70"/>
        <v>0</v>
      </c>
      <c r="AO99">
        <f t="shared" si="71"/>
        <v>0</v>
      </c>
      <c r="AP99">
        <f t="shared" si="72"/>
        <v>0</v>
      </c>
      <c r="AQ99">
        <f t="shared" si="73"/>
        <v>0</v>
      </c>
    </row>
    <row r="100" spans="1:43" x14ac:dyDescent="0.35">
      <c r="A100" s="51">
        <v>99</v>
      </c>
      <c r="B100" s="50" t="s">
        <v>185</v>
      </c>
      <c r="C100" s="55" t="s">
        <v>187</v>
      </c>
      <c r="D100" s="51" t="s">
        <v>67</v>
      </c>
      <c r="E100" s="67">
        <v>2311</v>
      </c>
      <c r="F100">
        <f t="shared" si="38"/>
        <v>0</v>
      </c>
      <c r="G100">
        <f t="shared" si="39"/>
        <v>0</v>
      </c>
      <c r="H100">
        <f t="shared" si="40"/>
        <v>0</v>
      </c>
      <c r="I100">
        <f t="shared" si="41"/>
        <v>2311</v>
      </c>
      <c r="J100">
        <f t="shared" si="42"/>
        <v>0</v>
      </c>
      <c r="K100">
        <f t="shared" si="43"/>
        <v>0</v>
      </c>
      <c r="L100">
        <f t="shared" si="44"/>
        <v>0</v>
      </c>
      <c r="M100">
        <f t="shared" si="45"/>
        <v>0</v>
      </c>
      <c r="N100">
        <f t="shared" si="46"/>
        <v>0</v>
      </c>
      <c r="O100">
        <f t="shared" si="47"/>
        <v>0</v>
      </c>
      <c r="P100">
        <f t="shared" si="48"/>
        <v>0</v>
      </c>
      <c r="Q100">
        <f t="shared" si="49"/>
        <v>0</v>
      </c>
      <c r="S100">
        <f t="shared" si="50"/>
        <v>57</v>
      </c>
      <c r="T100">
        <f t="shared" si="51"/>
        <v>39</v>
      </c>
      <c r="U100">
        <f t="shared" si="52"/>
        <v>32</v>
      </c>
      <c r="V100">
        <f t="shared" si="53"/>
        <v>39</v>
      </c>
      <c r="W100">
        <f t="shared" si="54"/>
        <v>115</v>
      </c>
      <c r="X100">
        <f t="shared" si="55"/>
        <v>107</v>
      </c>
      <c r="Y100">
        <f t="shared" si="56"/>
        <v>49</v>
      </c>
      <c r="Z100">
        <f t="shared" si="57"/>
        <v>35</v>
      </c>
      <c r="AA100">
        <f t="shared" si="58"/>
        <v>4</v>
      </c>
      <c r="AB100">
        <f t="shared" si="59"/>
        <v>6</v>
      </c>
      <c r="AC100">
        <f t="shared" si="60"/>
        <v>147</v>
      </c>
      <c r="AD100">
        <f t="shared" si="61"/>
        <v>38</v>
      </c>
      <c r="AF100">
        <f t="shared" si="62"/>
        <v>0</v>
      </c>
      <c r="AG100">
        <f t="shared" si="63"/>
        <v>0</v>
      </c>
      <c r="AH100">
        <f t="shared" si="64"/>
        <v>0</v>
      </c>
      <c r="AI100">
        <f t="shared" si="65"/>
        <v>0</v>
      </c>
      <c r="AJ100">
        <f t="shared" si="66"/>
        <v>0</v>
      </c>
      <c r="AK100">
        <f t="shared" si="67"/>
        <v>0</v>
      </c>
      <c r="AL100">
        <f t="shared" si="68"/>
        <v>0</v>
      </c>
      <c r="AM100">
        <f t="shared" si="69"/>
        <v>0</v>
      </c>
      <c r="AN100">
        <f t="shared" si="70"/>
        <v>0</v>
      </c>
      <c r="AO100">
        <f t="shared" si="71"/>
        <v>0</v>
      </c>
      <c r="AP100">
        <f t="shared" si="72"/>
        <v>0</v>
      </c>
      <c r="AQ100">
        <f t="shared" si="73"/>
        <v>0</v>
      </c>
    </row>
    <row r="101" spans="1:43" x14ac:dyDescent="0.35">
      <c r="A101" s="51">
        <v>100</v>
      </c>
      <c r="B101" s="50" t="s">
        <v>185</v>
      </c>
      <c r="C101" s="55" t="s">
        <v>188</v>
      </c>
      <c r="D101" s="51" t="s">
        <v>222</v>
      </c>
      <c r="E101" s="67">
        <v>3659</v>
      </c>
      <c r="F101">
        <f t="shared" si="38"/>
        <v>0</v>
      </c>
      <c r="G101">
        <f t="shared" si="39"/>
        <v>0</v>
      </c>
      <c r="H101">
        <f t="shared" si="40"/>
        <v>0</v>
      </c>
      <c r="I101">
        <f t="shared" si="41"/>
        <v>0</v>
      </c>
      <c r="J101">
        <f t="shared" si="42"/>
        <v>0</v>
      </c>
      <c r="K101">
        <f t="shared" si="43"/>
        <v>0</v>
      </c>
      <c r="L101">
        <f t="shared" si="44"/>
        <v>0</v>
      </c>
      <c r="M101">
        <f t="shared" si="45"/>
        <v>0</v>
      </c>
      <c r="N101">
        <f t="shared" si="46"/>
        <v>0</v>
      </c>
      <c r="O101">
        <f t="shared" si="47"/>
        <v>0</v>
      </c>
      <c r="P101">
        <f t="shared" si="48"/>
        <v>0</v>
      </c>
      <c r="Q101">
        <f t="shared" si="49"/>
        <v>3659</v>
      </c>
      <c r="S101">
        <f t="shared" si="50"/>
        <v>57</v>
      </c>
      <c r="T101">
        <f t="shared" si="51"/>
        <v>39</v>
      </c>
      <c r="U101">
        <f t="shared" si="52"/>
        <v>32</v>
      </c>
      <c r="V101">
        <f t="shared" si="53"/>
        <v>38</v>
      </c>
      <c r="W101">
        <f t="shared" si="54"/>
        <v>115</v>
      </c>
      <c r="X101">
        <f t="shared" si="55"/>
        <v>107</v>
      </c>
      <c r="Y101">
        <f t="shared" si="56"/>
        <v>49</v>
      </c>
      <c r="Z101">
        <f t="shared" si="57"/>
        <v>35</v>
      </c>
      <c r="AA101">
        <f t="shared" si="58"/>
        <v>4</v>
      </c>
      <c r="AB101">
        <f t="shared" si="59"/>
        <v>6</v>
      </c>
      <c r="AC101">
        <f t="shared" si="60"/>
        <v>147</v>
      </c>
      <c r="AD101">
        <f t="shared" si="61"/>
        <v>38</v>
      </c>
      <c r="AF101">
        <f t="shared" si="62"/>
        <v>0</v>
      </c>
      <c r="AG101">
        <f t="shared" si="63"/>
        <v>0</v>
      </c>
      <c r="AH101">
        <f t="shared" si="64"/>
        <v>0</v>
      </c>
      <c r="AI101">
        <f t="shared" si="65"/>
        <v>0</v>
      </c>
      <c r="AJ101">
        <f t="shared" si="66"/>
        <v>0</v>
      </c>
      <c r="AK101">
        <f t="shared" si="67"/>
        <v>0</v>
      </c>
      <c r="AL101">
        <f t="shared" si="68"/>
        <v>0</v>
      </c>
      <c r="AM101">
        <f t="shared" si="69"/>
        <v>0</v>
      </c>
      <c r="AN101">
        <f t="shared" si="70"/>
        <v>0</v>
      </c>
      <c r="AO101">
        <f t="shared" si="71"/>
        <v>0</v>
      </c>
      <c r="AP101">
        <f t="shared" si="72"/>
        <v>0</v>
      </c>
      <c r="AQ101">
        <f t="shared" si="73"/>
        <v>0</v>
      </c>
    </row>
    <row r="102" spans="1:43" x14ac:dyDescent="0.35">
      <c r="A102" s="51">
        <v>101</v>
      </c>
      <c r="B102" s="50" t="s">
        <v>185</v>
      </c>
      <c r="C102" s="55" t="s">
        <v>189</v>
      </c>
      <c r="D102" s="51" t="s">
        <v>94</v>
      </c>
      <c r="E102" s="67">
        <v>3141</v>
      </c>
      <c r="F102">
        <f t="shared" si="38"/>
        <v>0</v>
      </c>
      <c r="G102">
        <f t="shared" si="39"/>
        <v>0</v>
      </c>
      <c r="H102">
        <f t="shared" si="40"/>
        <v>0</v>
      </c>
      <c r="I102">
        <f t="shared" si="41"/>
        <v>0</v>
      </c>
      <c r="J102">
        <f t="shared" si="42"/>
        <v>0</v>
      </c>
      <c r="K102">
        <f t="shared" si="43"/>
        <v>0</v>
      </c>
      <c r="L102">
        <f t="shared" si="44"/>
        <v>3141</v>
      </c>
      <c r="M102">
        <f t="shared" si="45"/>
        <v>0</v>
      </c>
      <c r="N102">
        <f t="shared" si="46"/>
        <v>0</v>
      </c>
      <c r="O102">
        <f t="shared" si="47"/>
        <v>0</v>
      </c>
      <c r="P102">
        <f t="shared" si="48"/>
        <v>0</v>
      </c>
      <c r="Q102">
        <f t="shared" si="49"/>
        <v>0</v>
      </c>
      <c r="S102">
        <f t="shared" si="50"/>
        <v>57</v>
      </c>
      <c r="T102">
        <f t="shared" si="51"/>
        <v>39</v>
      </c>
      <c r="U102">
        <f t="shared" si="52"/>
        <v>32</v>
      </c>
      <c r="V102">
        <f t="shared" si="53"/>
        <v>38</v>
      </c>
      <c r="W102">
        <f t="shared" si="54"/>
        <v>115</v>
      </c>
      <c r="X102">
        <f t="shared" si="55"/>
        <v>107</v>
      </c>
      <c r="Y102">
        <f t="shared" si="56"/>
        <v>49</v>
      </c>
      <c r="Z102">
        <f t="shared" si="57"/>
        <v>35</v>
      </c>
      <c r="AA102">
        <f t="shared" si="58"/>
        <v>4</v>
      </c>
      <c r="AB102">
        <f t="shared" si="59"/>
        <v>6</v>
      </c>
      <c r="AC102">
        <f t="shared" si="60"/>
        <v>147</v>
      </c>
      <c r="AD102">
        <f t="shared" si="61"/>
        <v>37</v>
      </c>
      <c r="AF102">
        <f t="shared" si="62"/>
        <v>0</v>
      </c>
      <c r="AG102">
        <f t="shared" si="63"/>
        <v>0</v>
      </c>
      <c r="AH102">
        <f t="shared" si="64"/>
        <v>0</v>
      </c>
      <c r="AI102">
        <f t="shared" si="65"/>
        <v>0</v>
      </c>
      <c r="AJ102">
        <f t="shared" si="66"/>
        <v>0</v>
      </c>
      <c r="AK102">
        <f t="shared" si="67"/>
        <v>0</v>
      </c>
      <c r="AL102">
        <f t="shared" si="68"/>
        <v>0</v>
      </c>
      <c r="AM102">
        <f t="shared" si="69"/>
        <v>0</v>
      </c>
      <c r="AN102">
        <f t="shared" si="70"/>
        <v>0</v>
      </c>
      <c r="AO102">
        <f t="shared" si="71"/>
        <v>0</v>
      </c>
      <c r="AP102">
        <f t="shared" si="72"/>
        <v>0</v>
      </c>
      <c r="AQ102">
        <f t="shared" si="73"/>
        <v>0</v>
      </c>
    </row>
    <row r="103" spans="1:43" x14ac:dyDescent="0.35">
      <c r="A103" s="51">
        <v>102</v>
      </c>
      <c r="B103" s="50" t="s">
        <v>190</v>
      </c>
      <c r="C103" s="55" t="s">
        <v>191</v>
      </c>
      <c r="D103" s="51" t="s">
        <v>54</v>
      </c>
      <c r="E103" s="67">
        <v>3650</v>
      </c>
      <c r="F103">
        <f t="shared" si="38"/>
        <v>0</v>
      </c>
      <c r="G103">
        <f t="shared" si="39"/>
        <v>0</v>
      </c>
      <c r="H103">
        <f t="shared" si="40"/>
        <v>0</v>
      </c>
      <c r="I103">
        <f t="shared" si="41"/>
        <v>0</v>
      </c>
      <c r="J103">
        <f t="shared" si="42"/>
        <v>0</v>
      </c>
      <c r="K103">
        <f t="shared" si="43"/>
        <v>3650</v>
      </c>
      <c r="L103">
        <f t="shared" si="44"/>
        <v>0</v>
      </c>
      <c r="M103">
        <f t="shared" si="45"/>
        <v>0</v>
      </c>
      <c r="N103">
        <f t="shared" si="46"/>
        <v>0</v>
      </c>
      <c r="O103">
        <f t="shared" si="47"/>
        <v>0</v>
      </c>
      <c r="P103">
        <f t="shared" si="48"/>
        <v>0</v>
      </c>
      <c r="Q103">
        <f t="shared" si="49"/>
        <v>0</v>
      </c>
      <c r="S103">
        <f t="shared" si="50"/>
        <v>57</v>
      </c>
      <c r="T103">
        <f t="shared" si="51"/>
        <v>39</v>
      </c>
      <c r="U103">
        <f t="shared" si="52"/>
        <v>32</v>
      </c>
      <c r="V103">
        <f t="shared" si="53"/>
        <v>38</v>
      </c>
      <c r="W103">
        <f t="shared" si="54"/>
        <v>115</v>
      </c>
      <c r="X103">
        <f t="shared" si="55"/>
        <v>107</v>
      </c>
      <c r="Y103">
        <f t="shared" si="56"/>
        <v>48</v>
      </c>
      <c r="Z103">
        <f t="shared" si="57"/>
        <v>35</v>
      </c>
      <c r="AA103">
        <f t="shared" si="58"/>
        <v>4</v>
      </c>
      <c r="AB103">
        <f t="shared" si="59"/>
        <v>6</v>
      </c>
      <c r="AC103">
        <f t="shared" si="60"/>
        <v>147</v>
      </c>
      <c r="AD103">
        <f t="shared" si="61"/>
        <v>37</v>
      </c>
      <c r="AF103">
        <f t="shared" si="62"/>
        <v>0</v>
      </c>
      <c r="AG103">
        <f t="shared" si="63"/>
        <v>0</v>
      </c>
      <c r="AH103">
        <f t="shared" si="64"/>
        <v>0</v>
      </c>
      <c r="AI103">
        <f t="shared" si="65"/>
        <v>0</v>
      </c>
      <c r="AJ103">
        <f t="shared" si="66"/>
        <v>0</v>
      </c>
      <c r="AK103">
        <f t="shared" si="67"/>
        <v>0</v>
      </c>
      <c r="AL103">
        <f t="shared" si="68"/>
        <v>0</v>
      </c>
      <c r="AM103">
        <f t="shared" si="69"/>
        <v>0</v>
      </c>
      <c r="AN103">
        <f t="shared" si="70"/>
        <v>0</v>
      </c>
      <c r="AO103">
        <f t="shared" si="71"/>
        <v>0</v>
      </c>
      <c r="AP103">
        <f t="shared" si="72"/>
        <v>0</v>
      </c>
      <c r="AQ103">
        <f t="shared" si="73"/>
        <v>0</v>
      </c>
    </row>
    <row r="104" spans="1:43" x14ac:dyDescent="0.35">
      <c r="A104" s="51">
        <v>103</v>
      </c>
      <c r="B104" s="50" t="s">
        <v>190</v>
      </c>
      <c r="C104" s="55" t="s">
        <v>192</v>
      </c>
      <c r="D104" s="51" t="s">
        <v>57</v>
      </c>
      <c r="E104" s="67">
        <v>3338</v>
      </c>
      <c r="F104">
        <f t="shared" si="38"/>
        <v>0</v>
      </c>
      <c r="G104">
        <f t="shared" si="39"/>
        <v>0</v>
      </c>
      <c r="H104">
        <f t="shared" si="40"/>
        <v>0</v>
      </c>
      <c r="I104">
        <f t="shared" si="41"/>
        <v>0</v>
      </c>
      <c r="J104">
        <f t="shared" si="42"/>
        <v>0</v>
      </c>
      <c r="K104">
        <f t="shared" si="43"/>
        <v>0</v>
      </c>
      <c r="L104">
        <f t="shared" si="44"/>
        <v>0</v>
      </c>
      <c r="M104">
        <f t="shared" si="45"/>
        <v>3338</v>
      </c>
      <c r="N104">
        <f t="shared" si="46"/>
        <v>0</v>
      </c>
      <c r="O104">
        <f t="shared" si="47"/>
        <v>0</v>
      </c>
      <c r="P104">
        <f t="shared" si="48"/>
        <v>0</v>
      </c>
      <c r="Q104">
        <f t="shared" si="49"/>
        <v>0</v>
      </c>
      <c r="S104">
        <f t="shared" si="50"/>
        <v>57</v>
      </c>
      <c r="T104">
        <f t="shared" si="51"/>
        <v>39</v>
      </c>
      <c r="U104">
        <f t="shared" si="52"/>
        <v>32</v>
      </c>
      <c r="V104">
        <f t="shared" si="53"/>
        <v>38</v>
      </c>
      <c r="W104">
        <f t="shared" si="54"/>
        <v>115</v>
      </c>
      <c r="X104">
        <f t="shared" si="55"/>
        <v>106</v>
      </c>
      <c r="Y104">
        <f t="shared" si="56"/>
        <v>48</v>
      </c>
      <c r="Z104">
        <f t="shared" si="57"/>
        <v>35</v>
      </c>
      <c r="AA104">
        <f t="shared" si="58"/>
        <v>4</v>
      </c>
      <c r="AB104">
        <f t="shared" si="59"/>
        <v>6</v>
      </c>
      <c r="AC104">
        <f t="shared" si="60"/>
        <v>147</v>
      </c>
      <c r="AD104">
        <f t="shared" si="61"/>
        <v>37</v>
      </c>
      <c r="AF104">
        <f t="shared" si="62"/>
        <v>0</v>
      </c>
      <c r="AG104">
        <f t="shared" si="63"/>
        <v>0</v>
      </c>
      <c r="AH104">
        <f t="shared" si="64"/>
        <v>0</v>
      </c>
      <c r="AI104">
        <f t="shared" si="65"/>
        <v>0</v>
      </c>
      <c r="AJ104">
        <f t="shared" si="66"/>
        <v>0</v>
      </c>
      <c r="AK104">
        <f t="shared" si="67"/>
        <v>0</v>
      </c>
      <c r="AL104">
        <f t="shared" si="68"/>
        <v>0</v>
      </c>
      <c r="AM104">
        <f t="shared" si="69"/>
        <v>0</v>
      </c>
      <c r="AN104">
        <f t="shared" si="70"/>
        <v>0</v>
      </c>
      <c r="AO104">
        <f t="shared" si="71"/>
        <v>0</v>
      </c>
      <c r="AP104">
        <f t="shared" si="72"/>
        <v>0</v>
      </c>
      <c r="AQ104">
        <f t="shared" si="73"/>
        <v>0</v>
      </c>
    </row>
    <row r="105" spans="1:43" x14ac:dyDescent="0.35">
      <c r="A105" s="51">
        <v>104</v>
      </c>
      <c r="B105" s="50" t="s">
        <v>190</v>
      </c>
      <c r="C105" s="55" t="s">
        <v>193</v>
      </c>
      <c r="D105" s="51" t="s">
        <v>60</v>
      </c>
      <c r="E105" s="67">
        <v>3594</v>
      </c>
      <c r="F105">
        <f t="shared" si="38"/>
        <v>0</v>
      </c>
      <c r="G105">
        <f t="shared" si="39"/>
        <v>0</v>
      </c>
      <c r="H105">
        <f t="shared" si="40"/>
        <v>0</v>
      </c>
      <c r="I105">
        <f t="shared" si="41"/>
        <v>0</v>
      </c>
      <c r="J105">
        <f t="shared" si="42"/>
        <v>3594</v>
      </c>
      <c r="K105">
        <f t="shared" si="43"/>
        <v>0</v>
      </c>
      <c r="L105">
        <f t="shared" si="44"/>
        <v>0</v>
      </c>
      <c r="M105">
        <f t="shared" si="45"/>
        <v>0</v>
      </c>
      <c r="N105">
        <f t="shared" si="46"/>
        <v>0</v>
      </c>
      <c r="O105">
        <f t="shared" si="47"/>
        <v>0</v>
      </c>
      <c r="P105">
        <f t="shared" si="48"/>
        <v>0</v>
      </c>
      <c r="Q105">
        <f t="shared" si="49"/>
        <v>0</v>
      </c>
      <c r="S105">
        <f t="shared" si="50"/>
        <v>57</v>
      </c>
      <c r="T105">
        <f t="shared" si="51"/>
        <v>39</v>
      </c>
      <c r="U105">
        <f t="shared" si="52"/>
        <v>32</v>
      </c>
      <c r="V105">
        <f t="shared" si="53"/>
        <v>38</v>
      </c>
      <c r="W105">
        <f t="shared" si="54"/>
        <v>115</v>
      </c>
      <c r="X105">
        <f t="shared" si="55"/>
        <v>106</v>
      </c>
      <c r="Y105">
        <f t="shared" si="56"/>
        <v>48</v>
      </c>
      <c r="Z105">
        <f t="shared" si="57"/>
        <v>34</v>
      </c>
      <c r="AA105">
        <f t="shared" si="58"/>
        <v>4</v>
      </c>
      <c r="AB105">
        <f t="shared" si="59"/>
        <v>6</v>
      </c>
      <c r="AC105">
        <f t="shared" si="60"/>
        <v>147</v>
      </c>
      <c r="AD105">
        <f t="shared" si="61"/>
        <v>37</v>
      </c>
      <c r="AF105">
        <f t="shared" si="62"/>
        <v>0</v>
      </c>
      <c r="AG105">
        <f t="shared" si="63"/>
        <v>0</v>
      </c>
      <c r="AH105">
        <f t="shared" si="64"/>
        <v>0</v>
      </c>
      <c r="AI105">
        <f t="shared" si="65"/>
        <v>0</v>
      </c>
      <c r="AJ105">
        <f t="shared" si="66"/>
        <v>0</v>
      </c>
      <c r="AK105">
        <f t="shared" si="67"/>
        <v>0</v>
      </c>
      <c r="AL105">
        <f t="shared" si="68"/>
        <v>0</v>
      </c>
      <c r="AM105">
        <f t="shared" si="69"/>
        <v>0</v>
      </c>
      <c r="AN105">
        <f t="shared" si="70"/>
        <v>0</v>
      </c>
      <c r="AO105">
        <f t="shared" si="71"/>
        <v>0</v>
      </c>
      <c r="AP105">
        <f t="shared" si="72"/>
        <v>0</v>
      </c>
      <c r="AQ105">
        <f t="shared" si="73"/>
        <v>0</v>
      </c>
    </row>
    <row r="106" spans="1:43" x14ac:dyDescent="0.35">
      <c r="A106" s="51">
        <v>105</v>
      </c>
      <c r="B106" s="50" t="s">
        <v>190</v>
      </c>
      <c r="C106" s="55" t="s">
        <v>194</v>
      </c>
      <c r="D106" s="51" t="s">
        <v>94</v>
      </c>
      <c r="E106" s="67">
        <v>3231</v>
      </c>
      <c r="F106">
        <f t="shared" si="38"/>
        <v>0</v>
      </c>
      <c r="G106">
        <f t="shared" si="39"/>
        <v>0</v>
      </c>
      <c r="H106">
        <f t="shared" si="40"/>
        <v>0</v>
      </c>
      <c r="I106">
        <f t="shared" si="41"/>
        <v>0</v>
      </c>
      <c r="J106">
        <f t="shared" si="42"/>
        <v>0</v>
      </c>
      <c r="K106">
        <f t="shared" si="43"/>
        <v>0</v>
      </c>
      <c r="L106">
        <f t="shared" si="44"/>
        <v>3231</v>
      </c>
      <c r="M106">
        <f t="shared" si="45"/>
        <v>0</v>
      </c>
      <c r="N106">
        <f t="shared" si="46"/>
        <v>0</v>
      </c>
      <c r="O106">
        <f t="shared" si="47"/>
        <v>0</v>
      </c>
      <c r="P106">
        <f t="shared" si="48"/>
        <v>0</v>
      </c>
      <c r="Q106">
        <f t="shared" si="49"/>
        <v>0</v>
      </c>
      <c r="S106">
        <f t="shared" si="50"/>
        <v>57</v>
      </c>
      <c r="T106">
        <f t="shared" si="51"/>
        <v>39</v>
      </c>
      <c r="U106">
        <f t="shared" si="52"/>
        <v>32</v>
      </c>
      <c r="V106">
        <f t="shared" si="53"/>
        <v>38</v>
      </c>
      <c r="W106">
        <f t="shared" si="54"/>
        <v>114</v>
      </c>
      <c r="X106">
        <f t="shared" si="55"/>
        <v>106</v>
      </c>
      <c r="Y106">
        <f t="shared" si="56"/>
        <v>48</v>
      </c>
      <c r="Z106">
        <f t="shared" si="57"/>
        <v>34</v>
      </c>
      <c r="AA106">
        <f t="shared" si="58"/>
        <v>4</v>
      </c>
      <c r="AB106">
        <f t="shared" si="59"/>
        <v>6</v>
      </c>
      <c r="AC106">
        <f t="shared" si="60"/>
        <v>147</v>
      </c>
      <c r="AD106">
        <f t="shared" si="61"/>
        <v>37</v>
      </c>
      <c r="AF106">
        <f t="shared" si="62"/>
        <v>0</v>
      </c>
      <c r="AG106">
        <f t="shared" si="63"/>
        <v>0</v>
      </c>
      <c r="AH106">
        <f t="shared" si="64"/>
        <v>0</v>
      </c>
      <c r="AI106">
        <f t="shared" si="65"/>
        <v>0</v>
      </c>
      <c r="AJ106">
        <f t="shared" si="66"/>
        <v>0</v>
      </c>
      <c r="AK106">
        <f t="shared" si="67"/>
        <v>0</v>
      </c>
      <c r="AL106">
        <f t="shared" si="68"/>
        <v>0</v>
      </c>
      <c r="AM106">
        <f t="shared" si="69"/>
        <v>0</v>
      </c>
      <c r="AN106">
        <f t="shared" si="70"/>
        <v>0</v>
      </c>
      <c r="AO106">
        <f t="shared" si="71"/>
        <v>0</v>
      </c>
      <c r="AP106">
        <f t="shared" si="72"/>
        <v>0</v>
      </c>
      <c r="AQ106">
        <f t="shared" si="73"/>
        <v>0</v>
      </c>
    </row>
    <row r="107" spans="1:43" x14ac:dyDescent="0.35">
      <c r="A107" s="51">
        <v>106</v>
      </c>
      <c r="B107" s="50" t="s">
        <v>195</v>
      </c>
      <c r="C107" s="55" t="s">
        <v>196</v>
      </c>
      <c r="D107" s="51" t="s">
        <v>54</v>
      </c>
      <c r="E107" s="67">
        <v>2603</v>
      </c>
      <c r="F107">
        <f t="shared" si="38"/>
        <v>0</v>
      </c>
      <c r="G107">
        <f t="shared" si="39"/>
        <v>0</v>
      </c>
      <c r="H107">
        <f t="shared" si="40"/>
        <v>0</v>
      </c>
      <c r="I107">
        <f t="shared" si="41"/>
        <v>0</v>
      </c>
      <c r="J107">
        <f t="shared" si="42"/>
        <v>0</v>
      </c>
      <c r="K107">
        <f t="shared" si="43"/>
        <v>2603</v>
      </c>
      <c r="L107">
        <f t="shared" si="44"/>
        <v>0</v>
      </c>
      <c r="M107">
        <f t="shared" si="45"/>
        <v>0</v>
      </c>
      <c r="N107">
        <f t="shared" si="46"/>
        <v>0</v>
      </c>
      <c r="O107">
        <f t="shared" si="47"/>
        <v>0</v>
      </c>
      <c r="P107">
        <f t="shared" si="48"/>
        <v>0</v>
      </c>
      <c r="Q107">
        <f t="shared" si="49"/>
        <v>0</v>
      </c>
      <c r="S107">
        <f t="shared" si="50"/>
        <v>57</v>
      </c>
      <c r="T107">
        <f t="shared" si="51"/>
        <v>39</v>
      </c>
      <c r="U107">
        <f t="shared" si="52"/>
        <v>32</v>
      </c>
      <c r="V107">
        <f t="shared" si="53"/>
        <v>38</v>
      </c>
      <c r="W107">
        <f t="shared" si="54"/>
        <v>114</v>
      </c>
      <c r="X107">
        <f t="shared" si="55"/>
        <v>106</v>
      </c>
      <c r="Y107">
        <f t="shared" si="56"/>
        <v>47</v>
      </c>
      <c r="Z107">
        <f t="shared" si="57"/>
        <v>34</v>
      </c>
      <c r="AA107">
        <f t="shared" si="58"/>
        <v>4</v>
      </c>
      <c r="AB107">
        <f t="shared" si="59"/>
        <v>6</v>
      </c>
      <c r="AC107">
        <f t="shared" si="60"/>
        <v>147</v>
      </c>
      <c r="AD107">
        <f t="shared" si="61"/>
        <v>37</v>
      </c>
      <c r="AF107">
        <f t="shared" si="62"/>
        <v>0</v>
      </c>
      <c r="AG107">
        <f t="shared" si="63"/>
        <v>0</v>
      </c>
      <c r="AH107">
        <f t="shared" si="64"/>
        <v>0</v>
      </c>
      <c r="AI107">
        <f t="shared" si="65"/>
        <v>0</v>
      </c>
      <c r="AJ107">
        <f t="shared" si="66"/>
        <v>0</v>
      </c>
      <c r="AK107">
        <f t="shared" si="67"/>
        <v>0</v>
      </c>
      <c r="AL107">
        <f t="shared" si="68"/>
        <v>0</v>
      </c>
      <c r="AM107">
        <f t="shared" si="69"/>
        <v>0</v>
      </c>
      <c r="AN107">
        <f t="shared" si="70"/>
        <v>0</v>
      </c>
      <c r="AO107">
        <f t="shared" si="71"/>
        <v>0</v>
      </c>
      <c r="AP107">
        <f t="shared" si="72"/>
        <v>0</v>
      </c>
      <c r="AQ107">
        <f t="shared" si="73"/>
        <v>0</v>
      </c>
    </row>
    <row r="108" spans="1:43" x14ac:dyDescent="0.35">
      <c r="A108" s="51">
        <v>107</v>
      </c>
      <c r="B108" s="50" t="s">
        <v>195</v>
      </c>
      <c r="C108" s="55" t="s">
        <v>197</v>
      </c>
      <c r="D108" s="51" t="s">
        <v>57</v>
      </c>
      <c r="E108" s="67">
        <v>3692</v>
      </c>
      <c r="F108">
        <f t="shared" si="38"/>
        <v>0</v>
      </c>
      <c r="G108">
        <f t="shared" si="39"/>
        <v>0</v>
      </c>
      <c r="H108">
        <f t="shared" si="40"/>
        <v>0</v>
      </c>
      <c r="I108">
        <f t="shared" si="41"/>
        <v>0</v>
      </c>
      <c r="J108">
        <f t="shared" si="42"/>
        <v>0</v>
      </c>
      <c r="K108">
        <f t="shared" si="43"/>
        <v>0</v>
      </c>
      <c r="L108">
        <f t="shared" si="44"/>
        <v>0</v>
      </c>
      <c r="M108">
        <f t="shared" si="45"/>
        <v>3692</v>
      </c>
      <c r="N108">
        <f t="shared" si="46"/>
        <v>0</v>
      </c>
      <c r="O108">
        <f t="shared" si="47"/>
        <v>0</v>
      </c>
      <c r="P108">
        <f t="shared" si="48"/>
        <v>0</v>
      </c>
      <c r="Q108">
        <f t="shared" si="49"/>
        <v>0</v>
      </c>
      <c r="S108">
        <f t="shared" si="50"/>
        <v>57</v>
      </c>
      <c r="T108">
        <f t="shared" si="51"/>
        <v>39</v>
      </c>
      <c r="U108">
        <f t="shared" si="52"/>
        <v>32</v>
      </c>
      <c r="V108">
        <f t="shared" si="53"/>
        <v>38</v>
      </c>
      <c r="W108">
        <f t="shared" si="54"/>
        <v>114</v>
      </c>
      <c r="X108">
        <f t="shared" si="55"/>
        <v>105</v>
      </c>
      <c r="Y108">
        <f t="shared" si="56"/>
        <v>47</v>
      </c>
      <c r="Z108">
        <f t="shared" si="57"/>
        <v>34</v>
      </c>
      <c r="AA108">
        <f t="shared" si="58"/>
        <v>4</v>
      </c>
      <c r="AB108">
        <f t="shared" si="59"/>
        <v>6</v>
      </c>
      <c r="AC108">
        <f t="shared" si="60"/>
        <v>147</v>
      </c>
      <c r="AD108">
        <f t="shared" si="61"/>
        <v>37</v>
      </c>
      <c r="AF108">
        <f t="shared" si="62"/>
        <v>0</v>
      </c>
      <c r="AG108">
        <f t="shared" si="63"/>
        <v>0</v>
      </c>
      <c r="AH108">
        <f t="shared" si="64"/>
        <v>0</v>
      </c>
      <c r="AI108">
        <f t="shared" si="65"/>
        <v>0</v>
      </c>
      <c r="AJ108">
        <f t="shared" si="66"/>
        <v>0</v>
      </c>
      <c r="AK108">
        <f t="shared" si="67"/>
        <v>0</v>
      </c>
      <c r="AL108">
        <f t="shared" si="68"/>
        <v>0</v>
      </c>
      <c r="AM108">
        <f t="shared" si="69"/>
        <v>0</v>
      </c>
      <c r="AN108">
        <f t="shared" si="70"/>
        <v>0</v>
      </c>
      <c r="AO108">
        <f t="shared" si="71"/>
        <v>0</v>
      </c>
      <c r="AP108">
        <f t="shared" si="72"/>
        <v>0</v>
      </c>
      <c r="AQ108">
        <f t="shared" si="73"/>
        <v>0</v>
      </c>
    </row>
    <row r="109" spans="1:43" x14ac:dyDescent="0.35">
      <c r="A109" s="51">
        <v>108</v>
      </c>
      <c r="B109" s="50" t="s">
        <v>195</v>
      </c>
      <c r="C109" s="55" t="s">
        <v>198</v>
      </c>
      <c r="D109" s="51" t="s">
        <v>67</v>
      </c>
      <c r="E109" s="67">
        <v>3102</v>
      </c>
      <c r="F109">
        <f t="shared" si="38"/>
        <v>0</v>
      </c>
      <c r="G109">
        <f t="shared" si="39"/>
        <v>0</v>
      </c>
      <c r="H109">
        <f t="shared" si="40"/>
        <v>0</v>
      </c>
      <c r="I109">
        <f t="shared" si="41"/>
        <v>3102</v>
      </c>
      <c r="J109">
        <f t="shared" si="42"/>
        <v>0</v>
      </c>
      <c r="K109">
        <f t="shared" si="43"/>
        <v>0</v>
      </c>
      <c r="L109">
        <f t="shared" si="44"/>
        <v>0</v>
      </c>
      <c r="M109">
        <f t="shared" si="45"/>
        <v>0</v>
      </c>
      <c r="N109">
        <f t="shared" si="46"/>
        <v>0</v>
      </c>
      <c r="O109">
        <f t="shared" si="47"/>
        <v>0</v>
      </c>
      <c r="P109">
        <f t="shared" si="48"/>
        <v>0</v>
      </c>
      <c r="Q109">
        <f t="shared" si="49"/>
        <v>0</v>
      </c>
      <c r="S109">
        <f t="shared" si="50"/>
        <v>57</v>
      </c>
      <c r="T109">
        <f t="shared" si="51"/>
        <v>39</v>
      </c>
      <c r="U109">
        <f t="shared" si="52"/>
        <v>32</v>
      </c>
      <c r="V109">
        <f t="shared" si="53"/>
        <v>38</v>
      </c>
      <c r="W109">
        <f t="shared" si="54"/>
        <v>114</v>
      </c>
      <c r="X109">
        <f t="shared" si="55"/>
        <v>105</v>
      </c>
      <c r="Y109">
        <f t="shared" si="56"/>
        <v>47</v>
      </c>
      <c r="Z109">
        <f t="shared" si="57"/>
        <v>33</v>
      </c>
      <c r="AA109">
        <f t="shared" si="58"/>
        <v>4</v>
      </c>
      <c r="AB109">
        <f t="shared" si="59"/>
        <v>6</v>
      </c>
      <c r="AC109">
        <f t="shared" si="60"/>
        <v>147</v>
      </c>
      <c r="AD109">
        <f t="shared" si="61"/>
        <v>37</v>
      </c>
      <c r="AF109">
        <f t="shared" si="62"/>
        <v>0</v>
      </c>
      <c r="AG109">
        <f t="shared" si="63"/>
        <v>0</v>
      </c>
      <c r="AH109">
        <f t="shared" si="64"/>
        <v>0</v>
      </c>
      <c r="AI109">
        <f t="shared" si="65"/>
        <v>0</v>
      </c>
      <c r="AJ109">
        <f t="shared" si="66"/>
        <v>0</v>
      </c>
      <c r="AK109">
        <f t="shared" si="67"/>
        <v>0</v>
      </c>
      <c r="AL109">
        <f t="shared" si="68"/>
        <v>0</v>
      </c>
      <c r="AM109">
        <f t="shared" si="69"/>
        <v>0</v>
      </c>
      <c r="AN109">
        <f t="shared" si="70"/>
        <v>0</v>
      </c>
      <c r="AO109">
        <f t="shared" si="71"/>
        <v>0</v>
      </c>
      <c r="AP109">
        <f t="shared" si="72"/>
        <v>0</v>
      </c>
      <c r="AQ109">
        <f t="shared" si="73"/>
        <v>0</v>
      </c>
    </row>
    <row r="110" spans="1:43" x14ac:dyDescent="0.35">
      <c r="A110" s="51">
        <v>109</v>
      </c>
      <c r="B110" s="50" t="s">
        <v>195</v>
      </c>
      <c r="C110" s="55" t="s">
        <v>199</v>
      </c>
      <c r="D110" s="51" t="s">
        <v>94</v>
      </c>
      <c r="E110" s="67">
        <v>3383</v>
      </c>
      <c r="F110">
        <f t="shared" si="38"/>
        <v>0</v>
      </c>
      <c r="G110">
        <f t="shared" si="39"/>
        <v>0</v>
      </c>
      <c r="H110">
        <f t="shared" si="40"/>
        <v>0</v>
      </c>
      <c r="I110">
        <f t="shared" si="41"/>
        <v>0</v>
      </c>
      <c r="J110">
        <f t="shared" si="42"/>
        <v>0</v>
      </c>
      <c r="K110">
        <f t="shared" si="43"/>
        <v>0</v>
      </c>
      <c r="L110">
        <f t="shared" si="44"/>
        <v>3383</v>
      </c>
      <c r="M110">
        <f t="shared" si="45"/>
        <v>0</v>
      </c>
      <c r="N110">
        <f t="shared" si="46"/>
        <v>0</v>
      </c>
      <c r="O110">
        <f t="shared" si="47"/>
        <v>0</v>
      </c>
      <c r="P110">
        <f t="shared" si="48"/>
        <v>0</v>
      </c>
      <c r="Q110">
        <f t="shared" si="49"/>
        <v>0</v>
      </c>
      <c r="S110">
        <f t="shared" si="50"/>
        <v>57</v>
      </c>
      <c r="T110">
        <f t="shared" si="51"/>
        <v>39</v>
      </c>
      <c r="U110">
        <f t="shared" si="52"/>
        <v>32</v>
      </c>
      <c r="V110">
        <f t="shared" si="53"/>
        <v>37</v>
      </c>
      <c r="W110">
        <f t="shared" si="54"/>
        <v>114</v>
      </c>
      <c r="X110">
        <f t="shared" si="55"/>
        <v>105</v>
      </c>
      <c r="Y110">
        <f t="shared" si="56"/>
        <v>47</v>
      </c>
      <c r="Z110">
        <f t="shared" si="57"/>
        <v>33</v>
      </c>
      <c r="AA110">
        <f t="shared" si="58"/>
        <v>4</v>
      </c>
      <c r="AB110">
        <f t="shared" si="59"/>
        <v>6</v>
      </c>
      <c r="AC110">
        <f t="shared" si="60"/>
        <v>147</v>
      </c>
      <c r="AD110">
        <f t="shared" si="61"/>
        <v>37</v>
      </c>
      <c r="AF110">
        <f t="shared" si="62"/>
        <v>0</v>
      </c>
      <c r="AG110">
        <f t="shared" si="63"/>
        <v>0</v>
      </c>
      <c r="AH110">
        <f t="shared" si="64"/>
        <v>0</v>
      </c>
      <c r="AI110">
        <f t="shared" si="65"/>
        <v>0</v>
      </c>
      <c r="AJ110">
        <f t="shared" si="66"/>
        <v>0</v>
      </c>
      <c r="AK110">
        <f t="shared" si="67"/>
        <v>0</v>
      </c>
      <c r="AL110">
        <f t="shared" si="68"/>
        <v>0</v>
      </c>
      <c r="AM110">
        <f t="shared" si="69"/>
        <v>0</v>
      </c>
      <c r="AN110">
        <f t="shared" si="70"/>
        <v>0</v>
      </c>
      <c r="AO110">
        <f t="shared" si="71"/>
        <v>0</v>
      </c>
      <c r="AP110">
        <f t="shared" si="72"/>
        <v>0</v>
      </c>
      <c r="AQ110">
        <f t="shared" si="73"/>
        <v>0</v>
      </c>
    </row>
    <row r="111" spans="1:43" x14ac:dyDescent="0.35">
      <c r="A111" s="51">
        <v>110</v>
      </c>
      <c r="B111" s="50" t="s">
        <v>195</v>
      </c>
      <c r="C111" s="55" t="s">
        <v>200</v>
      </c>
      <c r="D111" s="51" t="s">
        <v>60</v>
      </c>
      <c r="E111" s="67">
        <v>3391</v>
      </c>
      <c r="F111">
        <f t="shared" si="38"/>
        <v>0</v>
      </c>
      <c r="G111">
        <f t="shared" si="39"/>
        <v>0</v>
      </c>
      <c r="H111">
        <f t="shared" si="40"/>
        <v>0</v>
      </c>
      <c r="I111">
        <f t="shared" si="41"/>
        <v>0</v>
      </c>
      <c r="J111">
        <f t="shared" si="42"/>
        <v>3391</v>
      </c>
      <c r="K111">
        <f t="shared" si="43"/>
        <v>0</v>
      </c>
      <c r="L111">
        <f t="shared" si="44"/>
        <v>0</v>
      </c>
      <c r="M111">
        <f t="shared" si="45"/>
        <v>0</v>
      </c>
      <c r="N111">
        <f t="shared" si="46"/>
        <v>0</v>
      </c>
      <c r="O111">
        <f t="shared" si="47"/>
        <v>0</v>
      </c>
      <c r="P111">
        <f t="shared" si="48"/>
        <v>0</v>
      </c>
      <c r="Q111">
        <f t="shared" si="49"/>
        <v>0</v>
      </c>
      <c r="S111">
        <f t="shared" si="50"/>
        <v>57</v>
      </c>
      <c r="T111">
        <f t="shared" si="51"/>
        <v>39</v>
      </c>
      <c r="U111">
        <f t="shared" si="52"/>
        <v>32</v>
      </c>
      <c r="V111">
        <f t="shared" si="53"/>
        <v>37</v>
      </c>
      <c r="W111">
        <f t="shared" si="54"/>
        <v>114</v>
      </c>
      <c r="X111">
        <f t="shared" si="55"/>
        <v>105</v>
      </c>
      <c r="Y111">
        <f t="shared" si="56"/>
        <v>46</v>
      </c>
      <c r="Z111">
        <f t="shared" si="57"/>
        <v>33</v>
      </c>
      <c r="AA111">
        <f t="shared" si="58"/>
        <v>4</v>
      </c>
      <c r="AB111">
        <f t="shared" si="59"/>
        <v>6</v>
      </c>
      <c r="AC111">
        <f t="shared" si="60"/>
        <v>147</v>
      </c>
      <c r="AD111">
        <f t="shared" si="61"/>
        <v>37</v>
      </c>
      <c r="AF111">
        <f t="shared" si="62"/>
        <v>0</v>
      </c>
      <c r="AG111">
        <f t="shared" si="63"/>
        <v>0</v>
      </c>
      <c r="AH111">
        <f t="shared" si="64"/>
        <v>0</v>
      </c>
      <c r="AI111">
        <f t="shared" si="65"/>
        <v>0</v>
      </c>
      <c r="AJ111">
        <f t="shared" si="66"/>
        <v>0</v>
      </c>
      <c r="AK111">
        <f t="shared" si="67"/>
        <v>0</v>
      </c>
      <c r="AL111">
        <f t="shared" si="68"/>
        <v>0</v>
      </c>
      <c r="AM111">
        <f t="shared" si="69"/>
        <v>0</v>
      </c>
      <c r="AN111">
        <f t="shared" si="70"/>
        <v>0</v>
      </c>
      <c r="AO111">
        <f t="shared" si="71"/>
        <v>0</v>
      </c>
      <c r="AP111">
        <f t="shared" si="72"/>
        <v>0</v>
      </c>
      <c r="AQ111">
        <f t="shared" si="73"/>
        <v>0</v>
      </c>
    </row>
    <row r="112" spans="1:43" x14ac:dyDescent="0.35">
      <c r="A112" s="51">
        <v>111</v>
      </c>
      <c r="B112" s="50" t="s">
        <v>195</v>
      </c>
      <c r="C112" s="55" t="s">
        <v>201</v>
      </c>
      <c r="D112" s="51" t="s">
        <v>54</v>
      </c>
      <c r="E112" s="67">
        <v>2619</v>
      </c>
      <c r="F112">
        <f t="shared" si="38"/>
        <v>0</v>
      </c>
      <c r="G112">
        <f t="shared" si="39"/>
        <v>0</v>
      </c>
      <c r="H112">
        <f t="shared" si="40"/>
        <v>0</v>
      </c>
      <c r="I112">
        <f t="shared" si="41"/>
        <v>0</v>
      </c>
      <c r="J112">
        <f t="shared" si="42"/>
        <v>0</v>
      </c>
      <c r="K112">
        <f t="shared" si="43"/>
        <v>2619</v>
      </c>
      <c r="L112">
        <f t="shared" si="44"/>
        <v>0</v>
      </c>
      <c r="M112">
        <f t="shared" si="45"/>
        <v>0</v>
      </c>
      <c r="N112">
        <f t="shared" si="46"/>
        <v>0</v>
      </c>
      <c r="O112">
        <f t="shared" si="47"/>
        <v>0</v>
      </c>
      <c r="P112">
        <f t="shared" si="48"/>
        <v>0</v>
      </c>
      <c r="Q112">
        <f t="shared" si="49"/>
        <v>0</v>
      </c>
      <c r="S112">
        <f t="shared" si="50"/>
        <v>57</v>
      </c>
      <c r="T112">
        <f t="shared" si="51"/>
        <v>39</v>
      </c>
      <c r="U112">
        <f t="shared" si="52"/>
        <v>32</v>
      </c>
      <c r="V112">
        <f t="shared" si="53"/>
        <v>37</v>
      </c>
      <c r="W112">
        <f t="shared" si="54"/>
        <v>113</v>
      </c>
      <c r="X112">
        <f t="shared" si="55"/>
        <v>105</v>
      </c>
      <c r="Y112">
        <f t="shared" si="56"/>
        <v>46</v>
      </c>
      <c r="Z112">
        <f t="shared" si="57"/>
        <v>33</v>
      </c>
      <c r="AA112">
        <f t="shared" si="58"/>
        <v>4</v>
      </c>
      <c r="AB112">
        <f t="shared" si="59"/>
        <v>6</v>
      </c>
      <c r="AC112">
        <f t="shared" si="60"/>
        <v>147</v>
      </c>
      <c r="AD112">
        <f t="shared" si="61"/>
        <v>37</v>
      </c>
      <c r="AF112">
        <f t="shared" si="62"/>
        <v>0</v>
      </c>
      <c r="AG112">
        <f t="shared" si="63"/>
        <v>0</v>
      </c>
      <c r="AH112">
        <f t="shared" si="64"/>
        <v>0</v>
      </c>
      <c r="AI112">
        <f t="shared" si="65"/>
        <v>0</v>
      </c>
      <c r="AJ112">
        <f t="shared" si="66"/>
        <v>0</v>
      </c>
      <c r="AK112">
        <f t="shared" si="67"/>
        <v>0</v>
      </c>
      <c r="AL112">
        <f t="shared" si="68"/>
        <v>0</v>
      </c>
      <c r="AM112">
        <f t="shared" si="69"/>
        <v>0</v>
      </c>
      <c r="AN112">
        <f t="shared" si="70"/>
        <v>0</v>
      </c>
      <c r="AO112">
        <f t="shared" si="71"/>
        <v>0</v>
      </c>
      <c r="AP112">
        <f t="shared" si="72"/>
        <v>0</v>
      </c>
      <c r="AQ112">
        <f t="shared" si="73"/>
        <v>0</v>
      </c>
    </row>
    <row r="113" spans="1:43" x14ac:dyDescent="0.35">
      <c r="A113" s="51">
        <v>112</v>
      </c>
      <c r="B113" s="50" t="s">
        <v>195</v>
      </c>
      <c r="C113" s="55" t="s">
        <v>202</v>
      </c>
      <c r="D113" s="51" t="s">
        <v>67</v>
      </c>
      <c r="E113" s="67">
        <v>2732</v>
      </c>
      <c r="F113">
        <f t="shared" si="38"/>
        <v>0</v>
      </c>
      <c r="G113">
        <f t="shared" si="39"/>
        <v>0</v>
      </c>
      <c r="H113">
        <f t="shared" si="40"/>
        <v>0</v>
      </c>
      <c r="I113">
        <f t="shared" si="41"/>
        <v>2732</v>
      </c>
      <c r="J113">
        <f t="shared" si="42"/>
        <v>0</v>
      </c>
      <c r="K113">
        <f t="shared" si="43"/>
        <v>0</v>
      </c>
      <c r="L113">
        <f t="shared" si="44"/>
        <v>0</v>
      </c>
      <c r="M113">
        <f t="shared" si="45"/>
        <v>0</v>
      </c>
      <c r="N113">
        <f t="shared" si="46"/>
        <v>0</v>
      </c>
      <c r="O113">
        <f t="shared" si="47"/>
        <v>0</v>
      </c>
      <c r="P113">
        <f t="shared" si="48"/>
        <v>0</v>
      </c>
      <c r="Q113">
        <f t="shared" si="49"/>
        <v>0</v>
      </c>
      <c r="S113">
        <f t="shared" si="50"/>
        <v>57</v>
      </c>
      <c r="T113">
        <f t="shared" si="51"/>
        <v>39</v>
      </c>
      <c r="U113">
        <f t="shared" si="52"/>
        <v>32</v>
      </c>
      <c r="V113">
        <f t="shared" si="53"/>
        <v>37</v>
      </c>
      <c r="W113">
        <f t="shared" si="54"/>
        <v>113</v>
      </c>
      <c r="X113">
        <f t="shared" si="55"/>
        <v>104</v>
      </c>
      <c r="Y113">
        <f t="shared" si="56"/>
        <v>46</v>
      </c>
      <c r="Z113">
        <f t="shared" si="57"/>
        <v>33</v>
      </c>
      <c r="AA113">
        <f t="shared" si="58"/>
        <v>4</v>
      </c>
      <c r="AB113">
        <f t="shared" si="59"/>
        <v>6</v>
      </c>
      <c r="AC113">
        <f t="shared" si="60"/>
        <v>147</v>
      </c>
      <c r="AD113">
        <f t="shared" si="61"/>
        <v>37</v>
      </c>
      <c r="AF113">
        <f t="shared" si="62"/>
        <v>0</v>
      </c>
      <c r="AG113">
        <f t="shared" si="63"/>
        <v>0</v>
      </c>
      <c r="AH113">
        <f t="shared" si="64"/>
        <v>0</v>
      </c>
      <c r="AI113">
        <f t="shared" si="65"/>
        <v>0</v>
      </c>
      <c r="AJ113">
        <f t="shared" si="66"/>
        <v>0</v>
      </c>
      <c r="AK113">
        <f t="shared" si="67"/>
        <v>0</v>
      </c>
      <c r="AL113">
        <f t="shared" si="68"/>
        <v>0</v>
      </c>
      <c r="AM113">
        <f t="shared" si="69"/>
        <v>0</v>
      </c>
      <c r="AN113">
        <f t="shared" si="70"/>
        <v>0</v>
      </c>
      <c r="AO113">
        <f t="shared" si="71"/>
        <v>0</v>
      </c>
      <c r="AP113">
        <f t="shared" si="72"/>
        <v>0</v>
      </c>
      <c r="AQ113">
        <f t="shared" si="73"/>
        <v>0</v>
      </c>
    </row>
    <row r="114" spans="1:43" x14ac:dyDescent="0.35">
      <c r="A114" s="51"/>
      <c r="B114" s="50"/>
      <c r="C114" s="55"/>
      <c r="D114" s="51"/>
      <c r="E114" s="67"/>
      <c r="F114">
        <f t="shared" si="38"/>
        <v>0</v>
      </c>
      <c r="G114">
        <f t="shared" si="39"/>
        <v>0</v>
      </c>
      <c r="H114">
        <f t="shared" si="40"/>
        <v>0</v>
      </c>
      <c r="I114">
        <f t="shared" si="41"/>
        <v>0</v>
      </c>
      <c r="J114">
        <f t="shared" si="42"/>
        <v>0</v>
      </c>
      <c r="K114">
        <f t="shared" si="43"/>
        <v>0</v>
      </c>
      <c r="L114">
        <f t="shared" si="44"/>
        <v>0</v>
      </c>
      <c r="M114">
        <f t="shared" si="45"/>
        <v>0</v>
      </c>
      <c r="N114">
        <f t="shared" si="46"/>
        <v>0</v>
      </c>
      <c r="O114">
        <f t="shared" si="47"/>
        <v>0</v>
      </c>
      <c r="P114">
        <f t="shared" si="48"/>
        <v>0</v>
      </c>
      <c r="Q114">
        <f t="shared" si="49"/>
        <v>0</v>
      </c>
      <c r="S114">
        <f t="shared" si="50"/>
        <v>57</v>
      </c>
      <c r="T114">
        <f t="shared" si="51"/>
        <v>39</v>
      </c>
      <c r="U114">
        <f t="shared" si="52"/>
        <v>32</v>
      </c>
      <c r="V114">
        <f t="shared" si="53"/>
        <v>36</v>
      </c>
      <c r="W114">
        <f t="shared" si="54"/>
        <v>113</v>
      </c>
      <c r="X114">
        <f t="shared" si="55"/>
        <v>104</v>
      </c>
      <c r="Y114">
        <f t="shared" si="56"/>
        <v>46</v>
      </c>
      <c r="Z114">
        <f t="shared" si="57"/>
        <v>33</v>
      </c>
      <c r="AA114">
        <f t="shared" si="58"/>
        <v>4</v>
      </c>
      <c r="AB114">
        <f t="shared" si="59"/>
        <v>6</v>
      </c>
      <c r="AC114">
        <f t="shared" si="60"/>
        <v>147</v>
      </c>
      <c r="AD114">
        <f t="shared" si="61"/>
        <v>37</v>
      </c>
      <c r="AF114">
        <f t="shared" si="62"/>
        <v>0</v>
      </c>
      <c r="AG114">
        <f t="shared" si="63"/>
        <v>0</v>
      </c>
      <c r="AH114">
        <f t="shared" si="64"/>
        <v>0</v>
      </c>
      <c r="AI114">
        <f t="shared" si="65"/>
        <v>0</v>
      </c>
      <c r="AJ114">
        <f t="shared" si="66"/>
        <v>0</v>
      </c>
      <c r="AK114">
        <f t="shared" si="67"/>
        <v>0</v>
      </c>
      <c r="AL114">
        <f t="shared" si="68"/>
        <v>0</v>
      </c>
      <c r="AM114">
        <f t="shared" si="69"/>
        <v>0</v>
      </c>
      <c r="AN114">
        <f t="shared" si="70"/>
        <v>0</v>
      </c>
      <c r="AO114">
        <f t="shared" si="71"/>
        <v>0</v>
      </c>
      <c r="AP114">
        <f t="shared" si="72"/>
        <v>0</v>
      </c>
      <c r="AQ114">
        <f t="shared" si="73"/>
        <v>0</v>
      </c>
    </row>
    <row r="115" spans="1:43" x14ac:dyDescent="0.35">
      <c r="A115" s="51">
        <v>1</v>
      </c>
      <c r="B115" s="50" t="s">
        <v>203</v>
      </c>
      <c r="C115" s="55" t="s">
        <v>204</v>
      </c>
      <c r="D115" s="51" t="s">
        <v>60</v>
      </c>
      <c r="E115" s="67">
        <v>2766.7041427653749</v>
      </c>
      <c r="F115">
        <f t="shared" si="38"/>
        <v>0</v>
      </c>
      <c r="G115">
        <f t="shared" si="39"/>
        <v>0</v>
      </c>
      <c r="H115">
        <f t="shared" si="40"/>
        <v>0</v>
      </c>
      <c r="I115">
        <f t="shared" si="41"/>
        <v>0</v>
      </c>
      <c r="J115">
        <f t="shared" si="42"/>
        <v>2766.7041427653749</v>
      </c>
      <c r="K115">
        <f t="shared" si="43"/>
        <v>0</v>
      </c>
      <c r="L115">
        <f t="shared" si="44"/>
        <v>0</v>
      </c>
      <c r="M115">
        <f t="shared" si="45"/>
        <v>0</v>
      </c>
      <c r="N115">
        <f t="shared" si="46"/>
        <v>0</v>
      </c>
      <c r="O115">
        <f t="shared" si="47"/>
        <v>0</v>
      </c>
      <c r="P115">
        <f t="shared" si="48"/>
        <v>0</v>
      </c>
      <c r="Q115">
        <f t="shared" si="49"/>
        <v>0</v>
      </c>
      <c r="S115">
        <f t="shared" si="50"/>
        <v>57</v>
      </c>
      <c r="T115">
        <f t="shared" si="51"/>
        <v>39</v>
      </c>
      <c r="U115">
        <f t="shared" si="52"/>
        <v>32</v>
      </c>
      <c r="V115">
        <f t="shared" si="53"/>
        <v>36</v>
      </c>
      <c r="W115">
        <f t="shared" si="54"/>
        <v>113</v>
      </c>
      <c r="X115">
        <f t="shared" si="55"/>
        <v>104</v>
      </c>
      <c r="Y115">
        <f t="shared" si="56"/>
        <v>46</v>
      </c>
      <c r="Z115">
        <f t="shared" si="57"/>
        <v>33</v>
      </c>
      <c r="AA115">
        <f t="shared" si="58"/>
        <v>4</v>
      </c>
      <c r="AB115">
        <f t="shared" si="59"/>
        <v>6</v>
      </c>
      <c r="AC115">
        <f t="shared" si="60"/>
        <v>147</v>
      </c>
      <c r="AD115">
        <f t="shared" si="61"/>
        <v>37</v>
      </c>
      <c r="AF115">
        <f t="shared" si="62"/>
        <v>0</v>
      </c>
      <c r="AG115">
        <f t="shared" si="63"/>
        <v>0</v>
      </c>
      <c r="AH115">
        <f t="shared" si="64"/>
        <v>0</v>
      </c>
      <c r="AI115">
        <f t="shared" si="65"/>
        <v>0</v>
      </c>
      <c r="AJ115">
        <f t="shared" si="66"/>
        <v>0</v>
      </c>
      <c r="AK115">
        <f t="shared" si="67"/>
        <v>0</v>
      </c>
      <c r="AL115">
        <f t="shared" si="68"/>
        <v>0</v>
      </c>
      <c r="AM115">
        <f t="shared" si="69"/>
        <v>0</v>
      </c>
      <c r="AN115">
        <f t="shared" si="70"/>
        <v>0</v>
      </c>
      <c r="AO115">
        <f t="shared" si="71"/>
        <v>0</v>
      </c>
      <c r="AP115">
        <f t="shared" si="72"/>
        <v>0</v>
      </c>
      <c r="AQ115">
        <f t="shared" si="73"/>
        <v>0</v>
      </c>
    </row>
    <row r="116" spans="1:43" x14ac:dyDescent="0.35">
      <c r="A116" s="51">
        <v>2</v>
      </c>
      <c r="B116" s="50" t="s">
        <v>205</v>
      </c>
      <c r="C116" s="55" t="s">
        <v>206</v>
      </c>
      <c r="D116" s="51" t="s">
        <v>67</v>
      </c>
      <c r="E116" s="67">
        <v>3186.8430355167702</v>
      </c>
      <c r="F116">
        <f t="shared" si="38"/>
        <v>0</v>
      </c>
      <c r="G116">
        <f t="shared" si="39"/>
        <v>0</v>
      </c>
      <c r="H116">
        <f t="shared" si="40"/>
        <v>0</v>
      </c>
      <c r="I116">
        <f t="shared" si="41"/>
        <v>3186.8430355167702</v>
      </c>
      <c r="J116">
        <f t="shared" si="42"/>
        <v>0</v>
      </c>
      <c r="K116">
        <f t="shared" si="43"/>
        <v>0</v>
      </c>
      <c r="L116">
        <f t="shared" si="44"/>
        <v>0</v>
      </c>
      <c r="M116">
        <f t="shared" si="45"/>
        <v>0</v>
      </c>
      <c r="N116">
        <f t="shared" si="46"/>
        <v>0</v>
      </c>
      <c r="O116">
        <f t="shared" si="47"/>
        <v>0</v>
      </c>
      <c r="P116">
        <f t="shared" si="48"/>
        <v>0</v>
      </c>
      <c r="Q116">
        <f t="shared" si="49"/>
        <v>0</v>
      </c>
      <c r="S116">
        <f t="shared" si="50"/>
        <v>57</v>
      </c>
      <c r="T116">
        <f t="shared" si="51"/>
        <v>39</v>
      </c>
      <c r="U116">
        <f t="shared" si="52"/>
        <v>32</v>
      </c>
      <c r="V116">
        <f t="shared" si="53"/>
        <v>36</v>
      </c>
      <c r="W116">
        <f t="shared" si="54"/>
        <v>112</v>
      </c>
      <c r="X116">
        <f t="shared" si="55"/>
        <v>104</v>
      </c>
      <c r="Y116">
        <f t="shared" si="56"/>
        <v>46</v>
      </c>
      <c r="Z116">
        <f t="shared" si="57"/>
        <v>33</v>
      </c>
      <c r="AA116">
        <f t="shared" si="58"/>
        <v>4</v>
      </c>
      <c r="AB116">
        <f t="shared" si="59"/>
        <v>6</v>
      </c>
      <c r="AC116">
        <f t="shared" si="60"/>
        <v>147</v>
      </c>
      <c r="AD116">
        <f t="shared" si="61"/>
        <v>37</v>
      </c>
      <c r="AF116">
        <f t="shared" si="62"/>
        <v>0</v>
      </c>
      <c r="AG116">
        <f t="shared" si="63"/>
        <v>0</v>
      </c>
      <c r="AH116">
        <f t="shared" si="64"/>
        <v>0</v>
      </c>
      <c r="AI116">
        <f t="shared" si="65"/>
        <v>0</v>
      </c>
      <c r="AJ116">
        <f t="shared" si="66"/>
        <v>0</v>
      </c>
      <c r="AK116">
        <f t="shared" si="67"/>
        <v>0</v>
      </c>
      <c r="AL116">
        <f t="shared" si="68"/>
        <v>0</v>
      </c>
      <c r="AM116">
        <f t="shared" si="69"/>
        <v>0</v>
      </c>
      <c r="AN116">
        <f t="shared" si="70"/>
        <v>0</v>
      </c>
      <c r="AO116">
        <f t="shared" si="71"/>
        <v>0</v>
      </c>
      <c r="AP116">
        <f t="shared" si="72"/>
        <v>0</v>
      </c>
      <c r="AQ116">
        <f t="shared" si="73"/>
        <v>0</v>
      </c>
    </row>
    <row r="117" spans="1:43" x14ac:dyDescent="0.35">
      <c r="A117" s="51">
        <v>3</v>
      </c>
      <c r="B117" s="50" t="s">
        <v>205</v>
      </c>
      <c r="C117" s="55" t="s">
        <v>207</v>
      </c>
      <c r="D117" s="51" t="s">
        <v>228</v>
      </c>
      <c r="E117" s="67">
        <v>3029.2977799580053</v>
      </c>
      <c r="F117">
        <f t="shared" si="38"/>
        <v>0</v>
      </c>
      <c r="G117">
        <f t="shared" si="39"/>
        <v>0</v>
      </c>
      <c r="H117">
        <f t="shared" si="40"/>
        <v>0</v>
      </c>
      <c r="I117">
        <f t="shared" si="41"/>
        <v>0</v>
      </c>
      <c r="J117">
        <f t="shared" si="42"/>
        <v>0</v>
      </c>
      <c r="K117">
        <f t="shared" si="43"/>
        <v>0</v>
      </c>
      <c r="L117">
        <f t="shared" si="44"/>
        <v>0</v>
      </c>
      <c r="M117">
        <f t="shared" si="45"/>
        <v>0</v>
      </c>
      <c r="N117">
        <f t="shared" si="46"/>
        <v>0</v>
      </c>
      <c r="O117">
        <f t="shared" si="47"/>
        <v>0</v>
      </c>
      <c r="P117">
        <f t="shared" si="48"/>
        <v>3029.2977799580053</v>
      </c>
      <c r="Q117">
        <f t="shared" si="49"/>
        <v>0</v>
      </c>
      <c r="S117">
        <f t="shared" si="50"/>
        <v>57</v>
      </c>
      <c r="T117">
        <f t="shared" si="51"/>
        <v>39</v>
      </c>
      <c r="U117">
        <f t="shared" si="52"/>
        <v>32</v>
      </c>
      <c r="V117">
        <f t="shared" si="53"/>
        <v>35</v>
      </c>
      <c r="W117">
        <f t="shared" si="54"/>
        <v>112</v>
      </c>
      <c r="X117">
        <f t="shared" si="55"/>
        <v>104</v>
      </c>
      <c r="Y117">
        <f t="shared" si="56"/>
        <v>46</v>
      </c>
      <c r="Z117">
        <f t="shared" si="57"/>
        <v>33</v>
      </c>
      <c r="AA117">
        <f t="shared" si="58"/>
        <v>4</v>
      </c>
      <c r="AB117">
        <f t="shared" si="59"/>
        <v>6</v>
      </c>
      <c r="AC117">
        <f t="shared" si="60"/>
        <v>147</v>
      </c>
      <c r="AD117">
        <f t="shared" si="61"/>
        <v>37</v>
      </c>
      <c r="AF117">
        <f t="shared" si="62"/>
        <v>0</v>
      </c>
      <c r="AG117">
        <f t="shared" si="63"/>
        <v>0</v>
      </c>
      <c r="AH117">
        <f t="shared" si="64"/>
        <v>0</v>
      </c>
      <c r="AI117">
        <f t="shared" si="65"/>
        <v>0</v>
      </c>
      <c r="AJ117">
        <f t="shared" si="66"/>
        <v>0</v>
      </c>
      <c r="AK117">
        <f t="shared" si="67"/>
        <v>0</v>
      </c>
      <c r="AL117">
        <f t="shared" si="68"/>
        <v>0</v>
      </c>
      <c r="AM117">
        <f t="shared" si="69"/>
        <v>0</v>
      </c>
      <c r="AN117">
        <f t="shared" si="70"/>
        <v>0</v>
      </c>
      <c r="AO117">
        <f t="shared" si="71"/>
        <v>0</v>
      </c>
      <c r="AP117">
        <f t="shared" si="72"/>
        <v>0</v>
      </c>
      <c r="AQ117">
        <f t="shared" si="73"/>
        <v>0</v>
      </c>
    </row>
    <row r="118" spans="1:43" x14ac:dyDescent="0.35">
      <c r="A118" s="51">
        <v>4</v>
      </c>
      <c r="B118" s="50" t="s">
        <v>205</v>
      </c>
      <c r="C118" s="55" t="s">
        <v>208</v>
      </c>
      <c r="D118" s="51" t="s">
        <v>54</v>
      </c>
      <c r="E118" s="67">
        <v>2790.5397674772034</v>
      </c>
      <c r="F118">
        <f t="shared" si="38"/>
        <v>0</v>
      </c>
      <c r="G118">
        <f t="shared" si="39"/>
        <v>0</v>
      </c>
      <c r="H118">
        <f t="shared" si="40"/>
        <v>0</v>
      </c>
      <c r="I118">
        <f t="shared" si="41"/>
        <v>0</v>
      </c>
      <c r="J118">
        <f t="shared" si="42"/>
        <v>0</v>
      </c>
      <c r="K118">
        <f t="shared" si="43"/>
        <v>2790.5397674772034</v>
      </c>
      <c r="L118">
        <f t="shared" si="44"/>
        <v>0</v>
      </c>
      <c r="M118">
        <f t="shared" si="45"/>
        <v>0</v>
      </c>
      <c r="N118">
        <f t="shared" si="46"/>
        <v>0</v>
      </c>
      <c r="O118">
        <f t="shared" si="47"/>
        <v>0</v>
      </c>
      <c r="P118">
        <f t="shared" si="48"/>
        <v>0</v>
      </c>
      <c r="Q118">
        <f t="shared" si="49"/>
        <v>0</v>
      </c>
      <c r="S118">
        <f t="shared" si="50"/>
        <v>57</v>
      </c>
      <c r="T118">
        <f t="shared" si="51"/>
        <v>39</v>
      </c>
      <c r="U118">
        <f t="shared" si="52"/>
        <v>32</v>
      </c>
      <c r="V118">
        <f t="shared" si="53"/>
        <v>35</v>
      </c>
      <c r="W118">
        <f t="shared" si="54"/>
        <v>112</v>
      </c>
      <c r="X118">
        <f t="shared" si="55"/>
        <v>104</v>
      </c>
      <c r="Y118">
        <f t="shared" si="56"/>
        <v>46</v>
      </c>
      <c r="Z118">
        <f t="shared" si="57"/>
        <v>33</v>
      </c>
      <c r="AA118">
        <f t="shared" si="58"/>
        <v>4</v>
      </c>
      <c r="AB118">
        <f t="shared" si="59"/>
        <v>6</v>
      </c>
      <c r="AC118">
        <f t="shared" si="60"/>
        <v>146</v>
      </c>
      <c r="AD118">
        <f t="shared" si="61"/>
        <v>37</v>
      </c>
      <c r="AF118">
        <f t="shared" si="62"/>
        <v>0</v>
      </c>
      <c r="AG118">
        <f t="shared" si="63"/>
        <v>0</v>
      </c>
      <c r="AH118">
        <f t="shared" si="64"/>
        <v>0</v>
      </c>
      <c r="AI118">
        <f t="shared" si="65"/>
        <v>0</v>
      </c>
      <c r="AJ118">
        <f t="shared" si="66"/>
        <v>0</v>
      </c>
      <c r="AK118">
        <f t="shared" si="67"/>
        <v>0</v>
      </c>
      <c r="AL118">
        <f t="shared" si="68"/>
        <v>0</v>
      </c>
      <c r="AM118">
        <f t="shared" si="69"/>
        <v>0</v>
      </c>
      <c r="AN118">
        <f t="shared" si="70"/>
        <v>0</v>
      </c>
      <c r="AO118">
        <f t="shared" si="71"/>
        <v>0</v>
      </c>
      <c r="AP118">
        <f t="shared" si="72"/>
        <v>0</v>
      </c>
      <c r="AQ118">
        <f t="shared" si="73"/>
        <v>0</v>
      </c>
    </row>
    <row r="119" spans="1:43" x14ac:dyDescent="0.35">
      <c r="A119" s="51">
        <v>5</v>
      </c>
      <c r="B119" s="50" t="s">
        <v>205</v>
      </c>
      <c r="C119" s="55" t="s">
        <v>209</v>
      </c>
      <c r="D119" s="51" t="s">
        <v>228</v>
      </c>
      <c r="E119" s="67">
        <v>3589.6331124093726</v>
      </c>
      <c r="F119">
        <f t="shared" si="38"/>
        <v>0</v>
      </c>
      <c r="G119">
        <f t="shared" si="39"/>
        <v>0</v>
      </c>
      <c r="H119">
        <f t="shared" si="40"/>
        <v>0</v>
      </c>
      <c r="I119">
        <f t="shared" si="41"/>
        <v>0</v>
      </c>
      <c r="J119">
        <f t="shared" si="42"/>
        <v>0</v>
      </c>
      <c r="K119">
        <f t="shared" si="43"/>
        <v>0</v>
      </c>
      <c r="L119">
        <f t="shared" si="44"/>
        <v>0</v>
      </c>
      <c r="M119">
        <f t="shared" si="45"/>
        <v>0</v>
      </c>
      <c r="N119">
        <f t="shared" si="46"/>
        <v>0</v>
      </c>
      <c r="O119">
        <f t="shared" si="47"/>
        <v>0</v>
      </c>
      <c r="P119">
        <f t="shared" si="48"/>
        <v>3589.6331124093726</v>
      </c>
      <c r="Q119">
        <f t="shared" si="49"/>
        <v>0</v>
      </c>
      <c r="S119">
        <f t="shared" si="50"/>
        <v>57</v>
      </c>
      <c r="T119">
        <f t="shared" si="51"/>
        <v>39</v>
      </c>
      <c r="U119">
        <f t="shared" si="52"/>
        <v>32</v>
      </c>
      <c r="V119">
        <f t="shared" si="53"/>
        <v>35</v>
      </c>
      <c r="W119">
        <f t="shared" si="54"/>
        <v>112</v>
      </c>
      <c r="X119">
        <f t="shared" si="55"/>
        <v>103</v>
      </c>
      <c r="Y119">
        <f t="shared" si="56"/>
        <v>46</v>
      </c>
      <c r="Z119">
        <f t="shared" si="57"/>
        <v>33</v>
      </c>
      <c r="AA119">
        <f t="shared" si="58"/>
        <v>4</v>
      </c>
      <c r="AB119">
        <f t="shared" si="59"/>
        <v>6</v>
      </c>
      <c r="AC119">
        <f t="shared" si="60"/>
        <v>146</v>
      </c>
      <c r="AD119">
        <f t="shared" si="61"/>
        <v>37</v>
      </c>
      <c r="AF119">
        <f t="shared" si="62"/>
        <v>0</v>
      </c>
      <c r="AG119">
        <f t="shared" si="63"/>
        <v>0</v>
      </c>
      <c r="AH119">
        <f t="shared" si="64"/>
        <v>0</v>
      </c>
      <c r="AI119">
        <f t="shared" si="65"/>
        <v>0</v>
      </c>
      <c r="AJ119">
        <f t="shared" si="66"/>
        <v>0</v>
      </c>
      <c r="AK119">
        <f t="shared" si="67"/>
        <v>0</v>
      </c>
      <c r="AL119">
        <f t="shared" si="68"/>
        <v>0</v>
      </c>
      <c r="AM119">
        <f t="shared" si="69"/>
        <v>0</v>
      </c>
      <c r="AN119">
        <f t="shared" si="70"/>
        <v>0</v>
      </c>
      <c r="AO119">
        <f t="shared" si="71"/>
        <v>0</v>
      </c>
      <c r="AP119">
        <f t="shared" si="72"/>
        <v>0</v>
      </c>
      <c r="AQ119">
        <f t="shared" si="73"/>
        <v>0</v>
      </c>
    </row>
    <row r="120" spans="1:43" x14ac:dyDescent="0.35">
      <c r="A120" s="51">
        <v>6</v>
      </c>
      <c r="B120" s="50" t="s">
        <v>205</v>
      </c>
      <c r="C120" s="55" t="s">
        <v>61</v>
      </c>
      <c r="D120" s="51" t="s">
        <v>94</v>
      </c>
      <c r="E120" s="67">
        <v>3102.7650482092217</v>
      </c>
      <c r="F120">
        <f t="shared" si="38"/>
        <v>0</v>
      </c>
      <c r="G120">
        <f t="shared" si="39"/>
        <v>0</v>
      </c>
      <c r="H120">
        <f t="shared" si="40"/>
        <v>0</v>
      </c>
      <c r="I120">
        <f t="shared" si="41"/>
        <v>0</v>
      </c>
      <c r="J120">
        <f t="shared" si="42"/>
        <v>0</v>
      </c>
      <c r="K120">
        <f t="shared" si="43"/>
        <v>0</v>
      </c>
      <c r="L120">
        <f t="shared" si="44"/>
        <v>3102.7650482092217</v>
      </c>
      <c r="M120">
        <f t="shared" si="45"/>
        <v>0</v>
      </c>
      <c r="N120">
        <f t="shared" si="46"/>
        <v>0</v>
      </c>
      <c r="O120">
        <f t="shared" si="47"/>
        <v>0</v>
      </c>
      <c r="P120">
        <f t="shared" si="48"/>
        <v>0</v>
      </c>
      <c r="Q120">
        <f t="shared" si="49"/>
        <v>0</v>
      </c>
      <c r="S120">
        <f t="shared" si="50"/>
        <v>57</v>
      </c>
      <c r="T120">
        <f t="shared" si="51"/>
        <v>39</v>
      </c>
      <c r="U120">
        <f t="shared" si="52"/>
        <v>32</v>
      </c>
      <c r="V120">
        <f t="shared" si="53"/>
        <v>35</v>
      </c>
      <c r="W120">
        <f t="shared" si="54"/>
        <v>112</v>
      </c>
      <c r="X120">
        <f t="shared" si="55"/>
        <v>103</v>
      </c>
      <c r="Y120">
        <f t="shared" si="56"/>
        <v>46</v>
      </c>
      <c r="Z120">
        <f t="shared" si="57"/>
        <v>33</v>
      </c>
      <c r="AA120">
        <f t="shared" si="58"/>
        <v>4</v>
      </c>
      <c r="AB120">
        <f t="shared" si="59"/>
        <v>6</v>
      </c>
      <c r="AC120">
        <f t="shared" si="60"/>
        <v>145</v>
      </c>
      <c r="AD120">
        <f t="shared" si="61"/>
        <v>37</v>
      </c>
      <c r="AF120">
        <f t="shared" si="62"/>
        <v>0</v>
      </c>
      <c r="AG120">
        <f t="shared" si="63"/>
        <v>0</v>
      </c>
      <c r="AH120">
        <f t="shared" si="64"/>
        <v>0</v>
      </c>
      <c r="AI120">
        <f t="shared" si="65"/>
        <v>0</v>
      </c>
      <c r="AJ120">
        <f t="shared" si="66"/>
        <v>0</v>
      </c>
      <c r="AK120">
        <f t="shared" si="67"/>
        <v>0</v>
      </c>
      <c r="AL120">
        <f t="shared" si="68"/>
        <v>0</v>
      </c>
      <c r="AM120">
        <f t="shared" si="69"/>
        <v>0</v>
      </c>
      <c r="AN120">
        <f t="shared" si="70"/>
        <v>0</v>
      </c>
      <c r="AO120">
        <f t="shared" si="71"/>
        <v>0</v>
      </c>
      <c r="AP120">
        <f t="shared" si="72"/>
        <v>0</v>
      </c>
      <c r="AQ120">
        <f t="shared" si="73"/>
        <v>0</v>
      </c>
    </row>
    <row r="121" spans="1:43" x14ac:dyDescent="0.35">
      <c r="A121" s="51">
        <v>7</v>
      </c>
      <c r="B121" s="50" t="s">
        <v>205</v>
      </c>
      <c r="C121" s="55" t="s">
        <v>63</v>
      </c>
      <c r="D121" s="51" t="s">
        <v>67</v>
      </c>
      <c r="E121" s="67">
        <v>3049.9414978899854</v>
      </c>
      <c r="F121">
        <f t="shared" si="38"/>
        <v>0</v>
      </c>
      <c r="G121">
        <f t="shared" si="39"/>
        <v>0</v>
      </c>
      <c r="H121">
        <f t="shared" si="40"/>
        <v>0</v>
      </c>
      <c r="I121">
        <f t="shared" si="41"/>
        <v>3049.9414978899854</v>
      </c>
      <c r="J121">
        <f t="shared" si="42"/>
        <v>0</v>
      </c>
      <c r="K121">
        <f t="shared" si="43"/>
        <v>0</v>
      </c>
      <c r="L121">
        <f t="shared" si="44"/>
        <v>0</v>
      </c>
      <c r="M121">
        <f t="shared" si="45"/>
        <v>0</v>
      </c>
      <c r="N121">
        <f t="shared" si="46"/>
        <v>0</v>
      </c>
      <c r="O121">
        <f t="shared" si="47"/>
        <v>0</v>
      </c>
      <c r="P121">
        <f t="shared" si="48"/>
        <v>0</v>
      </c>
      <c r="Q121">
        <f t="shared" si="49"/>
        <v>0</v>
      </c>
      <c r="S121">
        <f t="shared" si="50"/>
        <v>57</v>
      </c>
      <c r="T121">
        <f t="shared" si="51"/>
        <v>39</v>
      </c>
      <c r="U121">
        <f t="shared" si="52"/>
        <v>32</v>
      </c>
      <c r="V121">
        <f t="shared" si="53"/>
        <v>35</v>
      </c>
      <c r="W121">
        <f t="shared" si="54"/>
        <v>112</v>
      </c>
      <c r="X121">
        <f t="shared" si="55"/>
        <v>103</v>
      </c>
      <c r="Y121">
        <f t="shared" si="56"/>
        <v>45</v>
      </c>
      <c r="Z121">
        <f t="shared" si="57"/>
        <v>33</v>
      </c>
      <c r="AA121">
        <f t="shared" si="58"/>
        <v>4</v>
      </c>
      <c r="AB121">
        <f t="shared" si="59"/>
        <v>6</v>
      </c>
      <c r="AC121">
        <f t="shared" si="60"/>
        <v>145</v>
      </c>
      <c r="AD121">
        <f t="shared" si="61"/>
        <v>37</v>
      </c>
      <c r="AF121">
        <f t="shared" si="62"/>
        <v>0</v>
      </c>
      <c r="AG121">
        <f t="shared" si="63"/>
        <v>0</v>
      </c>
      <c r="AH121">
        <f t="shared" si="64"/>
        <v>0</v>
      </c>
      <c r="AI121">
        <f t="shared" si="65"/>
        <v>0</v>
      </c>
      <c r="AJ121">
        <f t="shared" si="66"/>
        <v>0</v>
      </c>
      <c r="AK121">
        <f t="shared" si="67"/>
        <v>0</v>
      </c>
      <c r="AL121">
        <f t="shared" si="68"/>
        <v>0</v>
      </c>
      <c r="AM121">
        <f t="shared" si="69"/>
        <v>0</v>
      </c>
      <c r="AN121">
        <f t="shared" si="70"/>
        <v>0</v>
      </c>
      <c r="AO121">
        <f t="shared" si="71"/>
        <v>0</v>
      </c>
      <c r="AP121">
        <f t="shared" si="72"/>
        <v>0</v>
      </c>
      <c r="AQ121">
        <f t="shared" si="73"/>
        <v>0</v>
      </c>
    </row>
    <row r="122" spans="1:43" x14ac:dyDescent="0.35">
      <c r="A122" s="51">
        <v>8</v>
      </c>
      <c r="B122" s="50" t="s">
        <v>210</v>
      </c>
      <c r="C122" s="55" t="s">
        <v>65</v>
      </c>
      <c r="D122" s="51" t="s">
        <v>80</v>
      </c>
      <c r="E122" s="67">
        <v>3073.3648202584845</v>
      </c>
      <c r="F122">
        <f t="shared" si="38"/>
        <v>0</v>
      </c>
      <c r="G122">
        <f t="shared" si="39"/>
        <v>0</v>
      </c>
      <c r="H122">
        <f t="shared" si="40"/>
        <v>3073.3648202584845</v>
      </c>
      <c r="I122">
        <f t="shared" si="41"/>
        <v>0</v>
      </c>
      <c r="J122">
        <f t="shared" si="42"/>
        <v>0</v>
      </c>
      <c r="K122">
        <f t="shared" si="43"/>
        <v>0</v>
      </c>
      <c r="L122">
        <f t="shared" si="44"/>
        <v>0</v>
      </c>
      <c r="M122">
        <f t="shared" si="45"/>
        <v>0</v>
      </c>
      <c r="N122">
        <f t="shared" si="46"/>
        <v>0</v>
      </c>
      <c r="O122">
        <f t="shared" si="47"/>
        <v>0</v>
      </c>
      <c r="P122">
        <f t="shared" si="48"/>
        <v>0</v>
      </c>
      <c r="Q122">
        <f t="shared" si="49"/>
        <v>0</v>
      </c>
      <c r="S122">
        <f t="shared" si="50"/>
        <v>57</v>
      </c>
      <c r="T122">
        <f t="shared" si="51"/>
        <v>39</v>
      </c>
      <c r="U122">
        <f t="shared" si="52"/>
        <v>32</v>
      </c>
      <c r="V122">
        <f t="shared" si="53"/>
        <v>34</v>
      </c>
      <c r="W122">
        <f t="shared" si="54"/>
        <v>112</v>
      </c>
      <c r="X122">
        <f t="shared" si="55"/>
        <v>103</v>
      </c>
      <c r="Y122">
        <f t="shared" si="56"/>
        <v>45</v>
      </c>
      <c r="Z122">
        <f t="shared" si="57"/>
        <v>33</v>
      </c>
      <c r="AA122">
        <f t="shared" si="58"/>
        <v>4</v>
      </c>
      <c r="AB122">
        <f t="shared" si="59"/>
        <v>6</v>
      </c>
      <c r="AC122">
        <f t="shared" si="60"/>
        <v>145</v>
      </c>
      <c r="AD122">
        <f t="shared" si="61"/>
        <v>37</v>
      </c>
      <c r="AF122">
        <f t="shared" si="62"/>
        <v>0</v>
      </c>
      <c r="AG122">
        <f t="shared" si="63"/>
        <v>0</v>
      </c>
      <c r="AH122">
        <f t="shared" si="64"/>
        <v>0</v>
      </c>
      <c r="AI122">
        <f t="shared" si="65"/>
        <v>0</v>
      </c>
      <c r="AJ122">
        <f t="shared" si="66"/>
        <v>0</v>
      </c>
      <c r="AK122">
        <f t="shared" si="67"/>
        <v>0</v>
      </c>
      <c r="AL122">
        <f t="shared" si="68"/>
        <v>0</v>
      </c>
      <c r="AM122">
        <f t="shared" si="69"/>
        <v>0</v>
      </c>
      <c r="AN122">
        <f t="shared" si="70"/>
        <v>0</v>
      </c>
      <c r="AO122">
        <f t="shared" si="71"/>
        <v>0</v>
      </c>
      <c r="AP122">
        <f t="shared" si="72"/>
        <v>0</v>
      </c>
      <c r="AQ122">
        <f t="shared" si="73"/>
        <v>0</v>
      </c>
    </row>
    <row r="123" spans="1:43" x14ac:dyDescent="0.35">
      <c r="A123" s="51">
        <v>9</v>
      </c>
      <c r="B123" s="50" t="s">
        <v>210</v>
      </c>
      <c r="C123" s="55" t="s">
        <v>64</v>
      </c>
      <c r="D123" s="51" t="s">
        <v>76</v>
      </c>
      <c r="E123" s="67">
        <v>3505.5418155443672</v>
      </c>
      <c r="F123">
        <f t="shared" si="38"/>
        <v>3505.5418155443672</v>
      </c>
      <c r="G123">
        <f t="shared" si="39"/>
        <v>0</v>
      </c>
      <c r="H123">
        <f t="shared" si="40"/>
        <v>0</v>
      </c>
      <c r="I123">
        <f t="shared" si="41"/>
        <v>0</v>
      </c>
      <c r="J123">
        <f t="shared" si="42"/>
        <v>0</v>
      </c>
      <c r="K123">
        <f t="shared" si="43"/>
        <v>0</v>
      </c>
      <c r="L123">
        <f t="shared" si="44"/>
        <v>0</v>
      </c>
      <c r="M123">
        <f t="shared" si="45"/>
        <v>0</v>
      </c>
      <c r="N123">
        <f t="shared" si="46"/>
        <v>0</v>
      </c>
      <c r="O123">
        <f t="shared" si="47"/>
        <v>0</v>
      </c>
      <c r="P123">
        <f t="shared" si="48"/>
        <v>0</v>
      </c>
      <c r="Q123">
        <f t="shared" si="49"/>
        <v>0</v>
      </c>
      <c r="S123">
        <f t="shared" si="50"/>
        <v>57</v>
      </c>
      <c r="T123">
        <f t="shared" si="51"/>
        <v>39</v>
      </c>
      <c r="U123">
        <f t="shared" si="52"/>
        <v>31</v>
      </c>
      <c r="V123">
        <f t="shared" si="53"/>
        <v>34</v>
      </c>
      <c r="W123">
        <f t="shared" si="54"/>
        <v>112</v>
      </c>
      <c r="X123">
        <f t="shared" si="55"/>
        <v>103</v>
      </c>
      <c r="Y123">
        <f t="shared" si="56"/>
        <v>45</v>
      </c>
      <c r="Z123">
        <f t="shared" si="57"/>
        <v>33</v>
      </c>
      <c r="AA123">
        <f t="shared" si="58"/>
        <v>4</v>
      </c>
      <c r="AB123">
        <f t="shared" si="59"/>
        <v>6</v>
      </c>
      <c r="AC123">
        <f t="shared" si="60"/>
        <v>145</v>
      </c>
      <c r="AD123">
        <f t="shared" si="61"/>
        <v>37</v>
      </c>
      <c r="AF123">
        <f t="shared" si="62"/>
        <v>0</v>
      </c>
      <c r="AG123">
        <f t="shared" si="63"/>
        <v>0</v>
      </c>
      <c r="AH123">
        <f t="shared" si="64"/>
        <v>0</v>
      </c>
      <c r="AI123">
        <f t="shared" si="65"/>
        <v>0</v>
      </c>
      <c r="AJ123">
        <f t="shared" si="66"/>
        <v>0</v>
      </c>
      <c r="AK123">
        <f t="shared" si="67"/>
        <v>0</v>
      </c>
      <c r="AL123">
        <f t="shared" si="68"/>
        <v>0</v>
      </c>
      <c r="AM123">
        <f t="shared" si="69"/>
        <v>0</v>
      </c>
      <c r="AN123">
        <f t="shared" si="70"/>
        <v>0</v>
      </c>
      <c r="AO123">
        <f t="shared" si="71"/>
        <v>0</v>
      </c>
      <c r="AP123">
        <f t="shared" si="72"/>
        <v>0</v>
      </c>
      <c r="AQ123">
        <f t="shared" si="73"/>
        <v>0</v>
      </c>
    </row>
    <row r="124" spans="1:43" x14ac:dyDescent="0.35">
      <c r="A124" s="51">
        <v>10</v>
      </c>
      <c r="B124" s="50" t="s">
        <v>210</v>
      </c>
      <c r="C124" s="55" t="s">
        <v>211</v>
      </c>
      <c r="D124" s="51" t="s">
        <v>60</v>
      </c>
      <c r="E124" s="67">
        <v>2844.1320641791044</v>
      </c>
      <c r="F124">
        <f t="shared" si="38"/>
        <v>0</v>
      </c>
      <c r="G124">
        <f t="shared" si="39"/>
        <v>0</v>
      </c>
      <c r="H124">
        <f t="shared" si="40"/>
        <v>0</v>
      </c>
      <c r="I124">
        <f t="shared" si="41"/>
        <v>0</v>
      </c>
      <c r="J124">
        <f t="shared" si="42"/>
        <v>2844.1320641791044</v>
      </c>
      <c r="K124">
        <f t="shared" si="43"/>
        <v>0</v>
      </c>
      <c r="L124">
        <f t="shared" si="44"/>
        <v>0</v>
      </c>
      <c r="M124">
        <f t="shared" si="45"/>
        <v>0</v>
      </c>
      <c r="N124">
        <f t="shared" si="46"/>
        <v>0</v>
      </c>
      <c r="O124">
        <f t="shared" si="47"/>
        <v>0</v>
      </c>
      <c r="P124">
        <f t="shared" si="48"/>
        <v>0</v>
      </c>
      <c r="Q124">
        <f t="shared" si="49"/>
        <v>0</v>
      </c>
      <c r="S124">
        <f t="shared" si="50"/>
        <v>56</v>
      </c>
      <c r="T124">
        <f t="shared" si="51"/>
        <v>39</v>
      </c>
      <c r="U124">
        <f t="shared" si="52"/>
        <v>31</v>
      </c>
      <c r="V124">
        <f t="shared" si="53"/>
        <v>34</v>
      </c>
      <c r="W124">
        <f t="shared" si="54"/>
        <v>112</v>
      </c>
      <c r="X124">
        <f t="shared" si="55"/>
        <v>103</v>
      </c>
      <c r="Y124">
        <f t="shared" si="56"/>
        <v>45</v>
      </c>
      <c r="Z124">
        <f t="shared" si="57"/>
        <v>33</v>
      </c>
      <c r="AA124">
        <f t="shared" si="58"/>
        <v>4</v>
      </c>
      <c r="AB124">
        <f t="shared" si="59"/>
        <v>6</v>
      </c>
      <c r="AC124">
        <f t="shared" si="60"/>
        <v>145</v>
      </c>
      <c r="AD124">
        <f t="shared" si="61"/>
        <v>37</v>
      </c>
      <c r="AF124">
        <f t="shared" si="62"/>
        <v>0</v>
      </c>
      <c r="AG124">
        <f t="shared" si="63"/>
        <v>0</v>
      </c>
      <c r="AH124">
        <f t="shared" si="64"/>
        <v>0</v>
      </c>
      <c r="AI124">
        <f t="shared" si="65"/>
        <v>0</v>
      </c>
      <c r="AJ124">
        <f t="shared" si="66"/>
        <v>0</v>
      </c>
      <c r="AK124">
        <f t="shared" si="67"/>
        <v>0</v>
      </c>
      <c r="AL124">
        <f t="shared" si="68"/>
        <v>0</v>
      </c>
      <c r="AM124">
        <f t="shared" si="69"/>
        <v>0</v>
      </c>
      <c r="AN124">
        <f t="shared" si="70"/>
        <v>0</v>
      </c>
      <c r="AO124">
        <f t="shared" si="71"/>
        <v>0</v>
      </c>
      <c r="AP124">
        <f t="shared" si="72"/>
        <v>0</v>
      </c>
      <c r="AQ124">
        <f t="shared" si="73"/>
        <v>0</v>
      </c>
    </row>
    <row r="125" spans="1:43" x14ac:dyDescent="0.35">
      <c r="A125" s="51">
        <v>11</v>
      </c>
      <c r="B125" s="50" t="s">
        <v>210</v>
      </c>
      <c r="C125" s="55" t="s">
        <v>66</v>
      </c>
      <c r="D125" s="51" t="s">
        <v>67</v>
      </c>
      <c r="E125" s="67">
        <v>3020.1977886768582</v>
      </c>
      <c r="F125">
        <f t="shared" si="38"/>
        <v>0</v>
      </c>
      <c r="G125">
        <f t="shared" si="39"/>
        <v>0</v>
      </c>
      <c r="H125">
        <f t="shared" si="40"/>
        <v>0</v>
      </c>
      <c r="I125">
        <f t="shared" si="41"/>
        <v>3020.1977886768582</v>
      </c>
      <c r="J125">
        <f t="shared" si="42"/>
        <v>0</v>
      </c>
      <c r="K125">
        <f t="shared" si="43"/>
        <v>0</v>
      </c>
      <c r="L125">
        <f t="shared" si="44"/>
        <v>0</v>
      </c>
      <c r="M125">
        <f t="shared" si="45"/>
        <v>0</v>
      </c>
      <c r="N125">
        <f t="shared" si="46"/>
        <v>0</v>
      </c>
      <c r="O125">
        <f t="shared" si="47"/>
        <v>0</v>
      </c>
      <c r="P125">
        <f t="shared" si="48"/>
        <v>0</v>
      </c>
      <c r="Q125">
        <f t="shared" si="49"/>
        <v>0</v>
      </c>
      <c r="S125">
        <f t="shared" si="50"/>
        <v>56</v>
      </c>
      <c r="T125">
        <f t="shared" si="51"/>
        <v>39</v>
      </c>
      <c r="U125">
        <f t="shared" si="52"/>
        <v>31</v>
      </c>
      <c r="V125">
        <f t="shared" si="53"/>
        <v>34</v>
      </c>
      <c r="W125">
        <f t="shared" si="54"/>
        <v>111</v>
      </c>
      <c r="X125">
        <f t="shared" si="55"/>
        <v>103</v>
      </c>
      <c r="Y125">
        <f t="shared" si="56"/>
        <v>45</v>
      </c>
      <c r="Z125">
        <f t="shared" si="57"/>
        <v>33</v>
      </c>
      <c r="AA125">
        <f t="shared" si="58"/>
        <v>4</v>
      </c>
      <c r="AB125">
        <f t="shared" si="59"/>
        <v>6</v>
      </c>
      <c r="AC125">
        <f t="shared" si="60"/>
        <v>145</v>
      </c>
      <c r="AD125">
        <f t="shared" si="61"/>
        <v>37</v>
      </c>
      <c r="AF125">
        <f t="shared" si="62"/>
        <v>0</v>
      </c>
      <c r="AG125">
        <f t="shared" si="63"/>
        <v>0</v>
      </c>
      <c r="AH125">
        <f t="shared" si="64"/>
        <v>0</v>
      </c>
      <c r="AI125">
        <f t="shared" si="65"/>
        <v>0</v>
      </c>
      <c r="AJ125">
        <f t="shared" si="66"/>
        <v>0</v>
      </c>
      <c r="AK125">
        <f t="shared" si="67"/>
        <v>0</v>
      </c>
      <c r="AL125">
        <f t="shared" si="68"/>
        <v>0</v>
      </c>
      <c r="AM125">
        <f t="shared" si="69"/>
        <v>0</v>
      </c>
      <c r="AN125">
        <f t="shared" si="70"/>
        <v>0</v>
      </c>
      <c r="AO125">
        <f t="shared" si="71"/>
        <v>0</v>
      </c>
      <c r="AP125">
        <f t="shared" si="72"/>
        <v>0</v>
      </c>
      <c r="AQ125">
        <f t="shared" si="73"/>
        <v>0</v>
      </c>
    </row>
    <row r="126" spans="1:43" x14ac:dyDescent="0.35">
      <c r="A126" s="51">
        <v>12</v>
      </c>
      <c r="B126" s="50" t="s">
        <v>210</v>
      </c>
      <c r="C126" s="55" t="s">
        <v>73</v>
      </c>
      <c r="D126" s="51" t="s">
        <v>80</v>
      </c>
      <c r="E126" s="67">
        <v>2715.7526687782806</v>
      </c>
      <c r="F126">
        <f t="shared" si="38"/>
        <v>0</v>
      </c>
      <c r="G126">
        <f t="shared" si="39"/>
        <v>0</v>
      </c>
      <c r="H126">
        <f t="shared" si="40"/>
        <v>2715.7526687782806</v>
      </c>
      <c r="I126">
        <f t="shared" si="41"/>
        <v>0</v>
      </c>
      <c r="J126">
        <f t="shared" si="42"/>
        <v>0</v>
      </c>
      <c r="K126">
        <f t="shared" si="43"/>
        <v>0</v>
      </c>
      <c r="L126">
        <f t="shared" si="44"/>
        <v>0</v>
      </c>
      <c r="M126">
        <f t="shared" si="45"/>
        <v>0</v>
      </c>
      <c r="N126">
        <f t="shared" si="46"/>
        <v>0</v>
      </c>
      <c r="O126">
        <f t="shared" si="47"/>
        <v>0</v>
      </c>
      <c r="P126">
        <f t="shared" si="48"/>
        <v>0</v>
      </c>
      <c r="Q126">
        <f t="shared" si="49"/>
        <v>0</v>
      </c>
      <c r="S126">
        <f t="shared" si="50"/>
        <v>56</v>
      </c>
      <c r="T126">
        <f t="shared" si="51"/>
        <v>39</v>
      </c>
      <c r="U126">
        <f t="shared" si="52"/>
        <v>31</v>
      </c>
      <c r="V126">
        <f t="shared" si="53"/>
        <v>33</v>
      </c>
      <c r="W126">
        <f t="shared" si="54"/>
        <v>111</v>
      </c>
      <c r="X126">
        <f t="shared" si="55"/>
        <v>103</v>
      </c>
      <c r="Y126">
        <f t="shared" si="56"/>
        <v>45</v>
      </c>
      <c r="Z126">
        <f t="shared" si="57"/>
        <v>33</v>
      </c>
      <c r="AA126">
        <f t="shared" si="58"/>
        <v>4</v>
      </c>
      <c r="AB126">
        <f t="shared" si="59"/>
        <v>6</v>
      </c>
      <c r="AC126">
        <f t="shared" si="60"/>
        <v>145</v>
      </c>
      <c r="AD126">
        <f t="shared" si="61"/>
        <v>37</v>
      </c>
      <c r="AF126">
        <f t="shared" si="62"/>
        <v>0</v>
      </c>
      <c r="AG126">
        <f t="shared" si="63"/>
        <v>0</v>
      </c>
      <c r="AH126">
        <f t="shared" si="64"/>
        <v>0</v>
      </c>
      <c r="AI126">
        <f t="shared" si="65"/>
        <v>0</v>
      </c>
      <c r="AJ126">
        <f t="shared" si="66"/>
        <v>0</v>
      </c>
      <c r="AK126">
        <f t="shared" si="67"/>
        <v>0</v>
      </c>
      <c r="AL126">
        <f t="shared" si="68"/>
        <v>0</v>
      </c>
      <c r="AM126">
        <f t="shared" si="69"/>
        <v>0</v>
      </c>
      <c r="AN126">
        <f t="shared" si="70"/>
        <v>0</v>
      </c>
      <c r="AO126">
        <f t="shared" si="71"/>
        <v>0</v>
      </c>
      <c r="AP126">
        <f t="shared" si="72"/>
        <v>0</v>
      </c>
      <c r="AQ126">
        <f t="shared" si="73"/>
        <v>0</v>
      </c>
    </row>
    <row r="127" spans="1:43" x14ac:dyDescent="0.35">
      <c r="A127" s="51">
        <v>13</v>
      </c>
      <c r="B127" s="50" t="s">
        <v>210</v>
      </c>
      <c r="C127" s="55" t="s">
        <v>69</v>
      </c>
      <c r="D127" s="51" t="s">
        <v>222</v>
      </c>
      <c r="E127" s="67">
        <v>2809.6642272784411</v>
      </c>
      <c r="F127">
        <f t="shared" si="38"/>
        <v>0</v>
      </c>
      <c r="G127">
        <f t="shared" si="39"/>
        <v>0</v>
      </c>
      <c r="H127">
        <f t="shared" si="40"/>
        <v>0</v>
      </c>
      <c r="I127">
        <f t="shared" si="41"/>
        <v>0</v>
      </c>
      <c r="J127">
        <f t="shared" si="42"/>
        <v>0</v>
      </c>
      <c r="K127">
        <f t="shared" si="43"/>
        <v>0</v>
      </c>
      <c r="L127">
        <f t="shared" si="44"/>
        <v>0</v>
      </c>
      <c r="M127">
        <f t="shared" si="45"/>
        <v>0</v>
      </c>
      <c r="N127">
        <f t="shared" si="46"/>
        <v>0</v>
      </c>
      <c r="O127">
        <f t="shared" si="47"/>
        <v>0</v>
      </c>
      <c r="P127">
        <f t="shared" si="48"/>
        <v>0</v>
      </c>
      <c r="Q127">
        <f t="shared" si="49"/>
        <v>2809.6642272784411</v>
      </c>
      <c r="S127">
        <f t="shared" si="50"/>
        <v>56</v>
      </c>
      <c r="T127">
        <f t="shared" si="51"/>
        <v>39</v>
      </c>
      <c r="U127">
        <f t="shared" si="52"/>
        <v>30</v>
      </c>
      <c r="V127">
        <f t="shared" si="53"/>
        <v>33</v>
      </c>
      <c r="W127">
        <f t="shared" si="54"/>
        <v>111</v>
      </c>
      <c r="X127">
        <f t="shared" si="55"/>
        <v>103</v>
      </c>
      <c r="Y127">
        <f t="shared" si="56"/>
        <v>45</v>
      </c>
      <c r="Z127">
        <f t="shared" si="57"/>
        <v>33</v>
      </c>
      <c r="AA127">
        <f t="shared" si="58"/>
        <v>4</v>
      </c>
      <c r="AB127">
        <f t="shared" si="59"/>
        <v>6</v>
      </c>
      <c r="AC127">
        <f t="shared" si="60"/>
        <v>145</v>
      </c>
      <c r="AD127">
        <f t="shared" si="61"/>
        <v>37</v>
      </c>
      <c r="AF127">
        <f t="shared" si="62"/>
        <v>0</v>
      </c>
      <c r="AG127">
        <f t="shared" si="63"/>
        <v>0</v>
      </c>
      <c r="AH127">
        <f t="shared" si="64"/>
        <v>0</v>
      </c>
      <c r="AI127">
        <f t="shared" si="65"/>
        <v>0</v>
      </c>
      <c r="AJ127">
        <f t="shared" si="66"/>
        <v>0</v>
      </c>
      <c r="AK127">
        <f t="shared" si="67"/>
        <v>0</v>
      </c>
      <c r="AL127">
        <f t="shared" si="68"/>
        <v>0</v>
      </c>
      <c r="AM127">
        <f t="shared" si="69"/>
        <v>0</v>
      </c>
      <c r="AN127">
        <f t="shared" si="70"/>
        <v>0</v>
      </c>
      <c r="AO127">
        <f t="shared" si="71"/>
        <v>0</v>
      </c>
      <c r="AP127">
        <f t="shared" si="72"/>
        <v>0</v>
      </c>
      <c r="AQ127">
        <f t="shared" si="73"/>
        <v>0</v>
      </c>
    </row>
    <row r="128" spans="1:43" x14ac:dyDescent="0.35">
      <c r="A128" s="51">
        <v>14</v>
      </c>
      <c r="B128" s="50" t="s">
        <v>212</v>
      </c>
      <c r="C128" s="55" t="s">
        <v>72</v>
      </c>
      <c r="D128" s="51" t="s">
        <v>54</v>
      </c>
      <c r="E128" s="67">
        <v>2819.4232968654992</v>
      </c>
      <c r="F128">
        <f t="shared" si="38"/>
        <v>0</v>
      </c>
      <c r="G128">
        <f t="shared" si="39"/>
        <v>0</v>
      </c>
      <c r="H128">
        <f t="shared" si="40"/>
        <v>0</v>
      </c>
      <c r="I128">
        <f t="shared" si="41"/>
        <v>0</v>
      </c>
      <c r="J128">
        <f t="shared" si="42"/>
        <v>0</v>
      </c>
      <c r="K128">
        <f t="shared" si="43"/>
        <v>2819.4232968654992</v>
      </c>
      <c r="L128">
        <f t="shared" si="44"/>
        <v>0</v>
      </c>
      <c r="M128">
        <f t="shared" si="45"/>
        <v>0</v>
      </c>
      <c r="N128">
        <f t="shared" si="46"/>
        <v>0</v>
      </c>
      <c r="O128">
        <f t="shared" si="47"/>
        <v>0</v>
      </c>
      <c r="P128">
        <f t="shared" si="48"/>
        <v>0</v>
      </c>
      <c r="Q128">
        <f t="shared" si="49"/>
        <v>0</v>
      </c>
      <c r="S128">
        <f t="shared" si="50"/>
        <v>56</v>
      </c>
      <c r="T128">
        <f t="shared" si="51"/>
        <v>39</v>
      </c>
      <c r="U128">
        <f t="shared" si="52"/>
        <v>30</v>
      </c>
      <c r="V128">
        <f t="shared" si="53"/>
        <v>33</v>
      </c>
      <c r="W128">
        <f t="shared" si="54"/>
        <v>111</v>
      </c>
      <c r="X128">
        <f t="shared" si="55"/>
        <v>103</v>
      </c>
      <c r="Y128">
        <f t="shared" si="56"/>
        <v>45</v>
      </c>
      <c r="Z128">
        <f t="shared" si="57"/>
        <v>33</v>
      </c>
      <c r="AA128">
        <f t="shared" si="58"/>
        <v>4</v>
      </c>
      <c r="AB128">
        <f t="shared" si="59"/>
        <v>6</v>
      </c>
      <c r="AC128">
        <f t="shared" si="60"/>
        <v>145</v>
      </c>
      <c r="AD128">
        <f t="shared" si="61"/>
        <v>36</v>
      </c>
      <c r="AF128">
        <f t="shared" si="62"/>
        <v>0</v>
      </c>
      <c r="AG128">
        <f t="shared" si="63"/>
        <v>0</v>
      </c>
      <c r="AH128">
        <f t="shared" si="64"/>
        <v>0</v>
      </c>
      <c r="AI128">
        <f t="shared" si="65"/>
        <v>0</v>
      </c>
      <c r="AJ128">
        <f t="shared" si="66"/>
        <v>0</v>
      </c>
      <c r="AK128">
        <f t="shared" si="67"/>
        <v>0</v>
      </c>
      <c r="AL128">
        <f t="shared" si="68"/>
        <v>0</v>
      </c>
      <c r="AM128">
        <f t="shared" si="69"/>
        <v>0</v>
      </c>
      <c r="AN128">
        <f t="shared" si="70"/>
        <v>0</v>
      </c>
      <c r="AO128">
        <f t="shared" si="71"/>
        <v>0</v>
      </c>
      <c r="AP128">
        <f t="shared" si="72"/>
        <v>0</v>
      </c>
      <c r="AQ128">
        <f t="shared" si="73"/>
        <v>0</v>
      </c>
    </row>
    <row r="129" spans="1:43" x14ac:dyDescent="0.35">
      <c r="A129" s="51">
        <v>15</v>
      </c>
      <c r="B129" s="50" t="s">
        <v>212</v>
      </c>
      <c r="C129" s="55" t="s">
        <v>79</v>
      </c>
      <c r="D129" s="51" t="s">
        <v>67</v>
      </c>
      <c r="E129" s="67">
        <v>2985.709725818258</v>
      </c>
      <c r="F129">
        <f t="shared" si="38"/>
        <v>0</v>
      </c>
      <c r="G129">
        <f t="shared" si="39"/>
        <v>0</v>
      </c>
      <c r="H129">
        <f t="shared" si="40"/>
        <v>0</v>
      </c>
      <c r="I129">
        <f t="shared" si="41"/>
        <v>2985.709725818258</v>
      </c>
      <c r="J129">
        <f t="shared" si="42"/>
        <v>0</v>
      </c>
      <c r="K129">
        <f t="shared" si="43"/>
        <v>0</v>
      </c>
      <c r="L129">
        <f t="shared" si="44"/>
        <v>0</v>
      </c>
      <c r="M129">
        <f t="shared" si="45"/>
        <v>0</v>
      </c>
      <c r="N129">
        <f t="shared" si="46"/>
        <v>0</v>
      </c>
      <c r="O129">
        <f t="shared" si="47"/>
        <v>0</v>
      </c>
      <c r="P129">
        <f t="shared" si="48"/>
        <v>0</v>
      </c>
      <c r="Q129">
        <f t="shared" si="49"/>
        <v>0</v>
      </c>
      <c r="S129">
        <f t="shared" si="50"/>
        <v>56</v>
      </c>
      <c r="T129">
        <f t="shared" si="51"/>
        <v>39</v>
      </c>
      <c r="U129">
        <f t="shared" si="52"/>
        <v>30</v>
      </c>
      <c r="V129">
        <f t="shared" si="53"/>
        <v>33</v>
      </c>
      <c r="W129">
        <f t="shared" si="54"/>
        <v>111</v>
      </c>
      <c r="X129">
        <f t="shared" si="55"/>
        <v>102</v>
      </c>
      <c r="Y129">
        <f t="shared" si="56"/>
        <v>45</v>
      </c>
      <c r="Z129">
        <f t="shared" si="57"/>
        <v>33</v>
      </c>
      <c r="AA129">
        <f t="shared" si="58"/>
        <v>4</v>
      </c>
      <c r="AB129">
        <f t="shared" si="59"/>
        <v>6</v>
      </c>
      <c r="AC129">
        <f t="shared" si="60"/>
        <v>145</v>
      </c>
      <c r="AD129">
        <f t="shared" si="61"/>
        <v>36</v>
      </c>
      <c r="AF129">
        <f t="shared" si="62"/>
        <v>0</v>
      </c>
      <c r="AG129">
        <f t="shared" si="63"/>
        <v>0</v>
      </c>
      <c r="AH129">
        <f t="shared" si="64"/>
        <v>0</v>
      </c>
      <c r="AI129">
        <f t="shared" si="65"/>
        <v>0</v>
      </c>
      <c r="AJ129">
        <f t="shared" si="66"/>
        <v>0</v>
      </c>
      <c r="AK129">
        <f t="shared" si="67"/>
        <v>0</v>
      </c>
      <c r="AL129">
        <f t="shared" si="68"/>
        <v>0</v>
      </c>
      <c r="AM129">
        <f t="shared" si="69"/>
        <v>0</v>
      </c>
      <c r="AN129">
        <f t="shared" si="70"/>
        <v>0</v>
      </c>
      <c r="AO129">
        <f t="shared" si="71"/>
        <v>0</v>
      </c>
      <c r="AP129">
        <f t="shared" si="72"/>
        <v>0</v>
      </c>
      <c r="AQ129">
        <f t="shared" si="73"/>
        <v>0</v>
      </c>
    </row>
    <row r="130" spans="1:43" x14ac:dyDescent="0.35">
      <c r="A130" s="51">
        <v>16</v>
      </c>
      <c r="B130" s="50" t="s">
        <v>212</v>
      </c>
      <c r="C130" s="55" t="s">
        <v>75</v>
      </c>
      <c r="D130" s="51" t="s">
        <v>222</v>
      </c>
      <c r="E130" s="67">
        <v>2516.679031287958</v>
      </c>
      <c r="F130">
        <f t="shared" ref="F130:F193" si="74">IF(D130="SPUR-01",E130,0)</f>
        <v>0</v>
      </c>
      <c r="G130">
        <f t="shared" ref="G130:G193" si="75">IF(D130="SPUR-02",E130,0)</f>
        <v>0</v>
      </c>
      <c r="H130">
        <f t="shared" ref="H130:H193" si="76">IF(D130="SPUR-03",E130,0)</f>
        <v>0</v>
      </c>
      <c r="I130">
        <f t="shared" ref="I130:I193" si="77">IF(D130="SPUR-04",E130,0)</f>
        <v>0</v>
      </c>
      <c r="J130">
        <f t="shared" ref="J130:J193" si="78">IF(D130="SPUR-05",E130,0)</f>
        <v>0</v>
      </c>
      <c r="K130">
        <f t="shared" ref="K130:K193" si="79">IF(D130="SPUR-06",E130,0)</f>
        <v>0</v>
      </c>
      <c r="L130">
        <f t="shared" ref="L130:L193" si="80">IF(D130="SPUR-07",E130,0)</f>
        <v>0</v>
      </c>
      <c r="M130">
        <f t="shared" ref="M130:M193" si="81">IF(D130="SPUR-08",E130,0)</f>
        <v>0</v>
      </c>
      <c r="N130">
        <f t="shared" ref="N130:N193" si="82">IF(D130="SPUR-09",E130,0)</f>
        <v>0</v>
      </c>
      <c r="O130">
        <f t="shared" ref="O130:O193" si="83">IF(D130="SPUR-10",E130,0)</f>
        <v>0</v>
      </c>
      <c r="P130">
        <f t="shared" ref="P130:P193" si="84">IF(D130="SPUR-SILO",E130,0)</f>
        <v>0</v>
      </c>
      <c r="Q130">
        <f t="shared" ref="Q130:Q193" si="85">IF(D130="SPUR-DB",E130,0)</f>
        <v>2516.679031287958</v>
      </c>
      <c r="S130">
        <f t="shared" ref="S130:S167" si="86">IF(F130&gt;0,1,0)+S131</f>
        <v>56</v>
      </c>
      <c r="T130">
        <f t="shared" ref="T130:T167" si="87">IF(G130&gt;0,1,0)+T131</f>
        <v>39</v>
      </c>
      <c r="U130">
        <f t="shared" ref="U130:U167" si="88">IF(H130&gt;0,1,0)+U131</f>
        <v>30</v>
      </c>
      <c r="V130">
        <f t="shared" ref="V130:V167" si="89">IF(I130&gt;0,1,0)+V131</f>
        <v>32</v>
      </c>
      <c r="W130">
        <f t="shared" ref="W130:W167" si="90">IF(J130&gt;0,1,0)+W131</f>
        <v>111</v>
      </c>
      <c r="X130">
        <f t="shared" ref="X130:X167" si="91">IF(K130&gt;0,1,0)+X131</f>
        <v>102</v>
      </c>
      <c r="Y130">
        <f t="shared" ref="Y130:Y167" si="92">IF(L130&gt;0,1,0)+Y131</f>
        <v>45</v>
      </c>
      <c r="Z130">
        <f t="shared" ref="Z130:Z167" si="93">IF(M130&gt;0,1,0)+Z131</f>
        <v>33</v>
      </c>
      <c r="AA130">
        <f t="shared" ref="AA130:AA167" si="94">IF(N130&gt;0,1,0)+AA131</f>
        <v>4</v>
      </c>
      <c r="AB130">
        <f t="shared" ref="AB130:AB167" si="95">IF(O130&gt;0,1,0)+AB131</f>
        <v>6</v>
      </c>
      <c r="AC130">
        <f t="shared" ref="AC130:AC167" si="96">IF(P130&gt;0,1,0)+AC131</f>
        <v>145</v>
      </c>
      <c r="AD130">
        <f t="shared" ref="AD130:AD167" si="97">IF(Q130&gt;0,1,0)+AD131</f>
        <v>36</v>
      </c>
      <c r="AF130">
        <f t="shared" si="62"/>
        <v>0</v>
      </c>
      <c r="AG130">
        <f t="shared" si="63"/>
        <v>0</v>
      </c>
      <c r="AH130">
        <f t="shared" si="64"/>
        <v>0</v>
      </c>
      <c r="AI130">
        <f t="shared" si="65"/>
        <v>0</v>
      </c>
      <c r="AJ130">
        <f t="shared" si="66"/>
        <v>0</v>
      </c>
      <c r="AK130">
        <f t="shared" si="67"/>
        <v>0</v>
      </c>
      <c r="AL130">
        <f t="shared" si="68"/>
        <v>0</v>
      </c>
      <c r="AM130">
        <f t="shared" si="69"/>
        <v>0</v>
      </c>
      <c r="AN130">
        <f t="shared" si="70"/>
        <v>0</v>
      </c>
      <c r="AO130">
        <f t="shared" si="71"/>
        <v>0</v>
      </c>
      <c r="AP130">
        <f t="shared" si="72"/>
        <v>0</v>
      </c>
      <c r="AQ130">
        <f t="shared" si="73"/>
        <v>0</v>
      </c>
    </row>
    <row r="131" spans="1:43" x14ac:dyDescent="0.35">
      <c r="A131" s="51">
        <v>17</v>
      </c>
      <c r="B131" s="50" t="s">
        <v>213</v>
      </c>
      <c r="C131" s="55" t="s">
        <v>78</v>
      </c>
      <c r="D131" s="51" t="s">
        <v>67</v>
      </c>
      <c r="E131" s="67">
        <v>2800.2420066259992</v>
      </c>
      <c r="F131">
        <f t="shared" si="74"/>
        <v>0</v>
      </c>
      <c r="G131">
        <f t="shared" si="75"/>
        <v>0</v>
      </c>
      <c r="H131">
        <f t="shared" si="76"/>
        <v>0</v>
      </c>
      <c r="I131">
        <f t="shared" si="77"/>
        <v>2800.2420066259992</v>
      </c>
      <c r="J131">
        <f t="shared" si="78"/>
        <v>0</v>
      </c>
      <c r="K131">
        <f t="shared" si="79"/>
        <v>0</v>
      </c>
      <c r="L131">
        <f t="shared" si="80"/>
        <v>0</v>
      </c>
      <c r="M131">
        <f t="shared" si="81"/>
        <v>0</v>
      </c>
      <c r="N131">
        <f t="shared" si="82"/>
        <v>0</v>
      </c>
      <c r="O131">
        <f t="shared" si="83"/>
        <v>0</v>
      </c>
      <c r="P131">
        <f t="shared" si="84"/>
        <v>0</v>
      </c>
      <c r="Q131">
        <f t="shared" si="85"/>
        <v>0</v>
      </c>
      <c r="S131">
        <f t="shared" si="86"/>
        <v>56</v>
      </c>
      <c r="T131">
        <f t="shared" si="87"/>
        <v>39</v>
      </c>
      <c r="U131">
        <f t="shared" si="88"/>
        <v>30</v>
      </c>
      <c r="V131">
        <f t="shared" si="89"/>
        <v>32</v>
      </c>
      <c r="W131">
        <f t="shared" si="90"/>
        <v>111</v>
      </c>
      <c r="X131">
        <f t="shared" si="91"/>
        <v>102</v>
      </c>
      <c r="Y131">
        <f t="shared" si="92"/>
        <v>45</v>
      </c>
      <c r="Z131">
        <f t="shared" si="93"/>
        <v>33</v>
      </c>
      <c r="AA131">
        <f t="shared" si="94"/>
        <v>4</v>
      </c>
      <c r="AB131">
        <f t="shared" si="95"/>
        <v>6</v>
      </c>
      <c r="AC131">
        <f t="shared" si="96"/>
        <v>145</v>
      </c>
      <c r="AD131">
        <f t="shared" si="97"/>
        <v>35</v>
      </c>
      <c r="AF131">
        <f t="shared" ref="AF131:AF194" si="98">IF(S131&lt;=$AT$1,F131,0)</f>
        <v>0</v>
      </c>
      <c r="AG131">
        <f t="shared" ref="AG131:AG194" si="99">IF(T131&lt;=$AT$1,G131,0)</f>
        <v>0</v>
      </c>
      <c r="AH131">
        <f t="shared" ref="AH131:AH194" si="100">IF(U131&lt;=$AT$1,H131,0)</f>
        <v>0</v>
      </c>
      <c r="AI131">
        <f t="shared" ref="AI131:AI194" si="101">IF(V131&lt;=$AT$1,I131,0)</f>
        <v>0</v>
      </c>
      <c r="AJ131">
        <f t="shared" ref="AJ131:AJ194" si="102">IF(W131&lt;=$AT$1,J131,0)</f>
        <v>0</v>
      </c>
      <c r="AK131">
        <f t="shared" ref="AK131:AK194" si="103">IF(X131&lt;=$AT$1,K131,0)</f>
        <v>0</v>
      </c>
      <c r="AL131">
        <f t="shared" ref="AL131:AL194" si="104">IF(Y131&lt;=$AT$1,L131,0)</f>
        <v>0</v>
      </c>
      <c r="AM131">
        <f t="shared" ref="AM131:AM194" si="105">IF(Z131&lt;=$AT$1,M131,0)</f>
        <v>0</v>
      </c>
      <c r="AN131">
        <f t="shared" ref="AN131:AN194" si="106">IF(AA131&lt;=$AT$1,N131,0)</f>
        <v>0</v>
      </c>
      <c r="AO131">
        <f t="shared" ref="AO131:AO194" si="107">IF(AB131&lt;=$AT$1,O131,0)</f>
        <v>0</v>
      </c>
      <c r="AP131">
        <f t="shared" ref="AP131:AP194" si="108">IF(AC131&lt;=$AT$1,P131,0)</f>
        <v>0</v>
      </c>
      <c r="AQ131">
        <f t="shared" ref="AQ131:AQ194" si="109">IF(AD131&lt;=$AT$1,Q131,0)</f>
        <v>0</v>
      </c>
    </row>
    <row r="132" spans="1:43" x14ac:dyDescent="0.35">
      <c r="A132" s="51">
        <v>18</v>
      </c>
      <c r="B132" s="50" t="s">
        <v>213</v>
      </c>
      <c r="C132" s="55" t="s">
        <v>82</v>
      </c>
      <c r="D132" s="51" t="s">
        <v>60</v>
      </c>
      <c r="E132" s="67">
        <v>2909.2374920765028</v>
      </c>
      <c r="F132">
        <f t="shared" si="74"/>
        <v>0</v>
      </c>
      <c r="G132">
        <f t="shared" si="75"/>
        <v>0</v>
      </c>
      <c r="H132">
        <f t="shared" si="76"/>
        <v>0</v>
      </c>
      <c r="I132">
        <f t="shared" si="77"/>
        <v>0</v>
      </c>
      <c r="J132">
        <f t="shared" si="78"/>
        <v>2909.2374920765028</v>
      </c>
      <c r="K132">
        <f t="shared" si="79"/>
        <v>0</v>
      </c>
      <c r="L132">
        <f t="shared" si="80"/>
        <v>0</v>
      </c>
      <c r="M132">
        <f t="shared" si="81"/>
        <v>0</v>
      </c>
      <c r="N132">
        <f t="shared" si="82"/>
        <v>0</v>
      </c>
      <c r="O132">
        <f t="shared" si="83"/>
        <v>0</v>
      </c>
      <c r="P132">
        <f t="shared" si="84"/>
        <v>0</v>
      </c>
      <c r="Q132">
        <f t="shared" si="85"/>
        <v>0</v>
      </c>
      <c r="S132">
        <f t="shared" si="86"/>
        <v>56</v>
      </c>
      <c r="T132">
        <f t="shared" si="87"/>
        <v>39</v>
      </c>
      <c r="U132">
        <f t="shared" si="88"/>
        <v>30</v>
      </c>
      <c r="V132">
        <f t="shared" si="89"/>
        <v>31</v>
      </c>
      <c r="W132">
        <f t="shared" si="90"/>
        <v>111</v>
      </c>
      <c r="X132">
        <f t="shared" si="91"/>
        <v>102</v>
      </c>
      <c r="Y132">
        <f t="shared" si="92"/>
        <v>45</v>
      </c>
      <c r="Z132">
        <f t="shared" si="93"/>
        <v>33</v>
      </c>
      <c r="AA132">
        <f t="shared" si="94"/>
        <v>4</v>
      </c>
      <c r="AB132">
        <f t="shared" si="95"/>
        <v>6</v>
      </c>
      <c r="AC132">
        <f t="shared" si="96"/>
        <v>145</v>
      </c>
      <c r="AD132">
        <f t="shared" si="97"/>
        <v>35</v>
      </c>
      <c r="AF132">
        <f t="shared" si="98"/>
        <v>0</v>
      </c>
      <c r="AG132">
        <f t="shared" si="99"/>
        <v>0</v>
      </c>
      <c r="AH132">
        <f t="shared" si="100"/>
        <v>0</v>
      </c>
      <c r="AI132">
        <f t="shared" si="101"/>
        <v>0</v>
      </c>
      <c r="AJ132">
        <f t="shared" si="102"/>
        <v>0</v>
      </c>
      <c r="AK132">
        <f t="shared" si="103"/>
        <v>0</v>
      </c>
      <c r="AL132">
        <f t="shared" si="104"/>
        <v>0</v>
      </c>
      <c r="AM132">
        <f t="shared" si="105"/>
        <v>0</v>
      </c>
      <c r="AN132">
        <f t="shared" si="106"/>
        <v>0</v>
      </c>
      <c r="AO132">
        <f t="shared" si="107"/>
        <v>0</v>
      </c>
      <c r="AP132">
        <f t="shared" si="108"/>
        <v>0</v>
      </c>
      <c r="AQ132">
        <f t="shared" si="109"/>
        <v>0</v>
      </c>
    </row>
    <row r="133" spans="1:43" x14ac:dyDescent="0.35">
      <c r="A133" s="51">
        <v>19</v>
      </c>
      <c r="B133" s="50" t="s">
        <v>213</v>
      </c>
      <c r="C133" s="55" t="s">
        <v>77</v>
      </c>
      <c r="D133" s="51" t="s">
        <v>67</v>
      </c>
      <c r="E133" s="67">
        <v>2979.1208856708918</v>
      </c>
      <c r="F133">
        <f t="shared" si="74"/>
        <v>0</v>
      </c>
      <c r="G133">
        <f t="shared" si="75"/>
        <v>0</v>
      </c>
      <c r="H133">
        <f t="shared" si="76"/>
        <v>0</v>
      </c>
      <c r="I133">
        <f t="shared" si="77"/>
        <v>2979.1208856708918</v>
      </c>
      <c r="J133">
        <f t="shared" si="78"/>
        <v>0</v>
      </c>
      <c r="K133">
        <f t="shared" si="79"/>
        <v>0</v>
      </c>
      <c r="L133">
        <f t="shared" si="80"/>
        <v>0</v>
      </c>
      <c r="M133">
        <f t="shared" si="81"/>
        <v>0</v>
      </c>
      <c r="N133">
        <f t="shared" si="82"/>
        <v>0</v>
      </c>
      <c r="O133">
        <f t="shared" si="83"/>
        <v>0</v>
      </c>
      <c r="P133">
        <f t="shared" si="84"/>
        <v>0</v>
      </c>
      <c r="Q133">
        <f t="shared" si="85"/>
        <v>0</v>
      </c>
      <c r="S133">
        <f t="shared" si="86"/>
        <v>56</v>
      </c>
      <c r="T133">
        <f t="shared" si="87"/>
        <v>39</v>
      </c>
      <c r="U133">
        <f t="shared" si="88"/>
        <v>30</v>
      </c>
      <c r="V133">
        <f t="shared" si="89"/>
        <v>31</v>
      </c>
      <c r="W133">
        <f t="shared" si="90"/>
        <v>110</v>
      </c>
      <c r="X133">
        <f t="shared" si="91"/>
        <v>102</v>
      </c>
      <c r="Y133">
        <f t="shared" si="92"/>
        <v>45</v>
      </c>
      <c r="Z133">
        <f t="shared" si="93"/>
        <v>33</v>
      </c>
      <c r="AA133">
        <f t="shared" si="94"/>
        <v>4</v>
      </c>
      <c r="AB133">
        <f t="shared" si="95"/>
        <v>6</v>
      </c>
      <c r="AC133">
        <f t="shared" si="96"/>
        <v>145</v>
      </c>
      <c r="AD133">
        <f t="shared" si="97"/>
        <v>35</v>
      </c>
      <c r="AF133">
        <f t="shared" si="98"/>
        <v>0</v>
      </c>
      <c r="AG133">
        <f t="shared" si="99"/>
        <v>0</v>
      </c>
      <c r="AH133">
        <f t="shared" si="100"/>
        <v>0</v>
      </c>
      <c r="AI133">
        <f t="shared" si="101"/>
        <v>0</v>
      </c>
      <c r="AJ133">
        <f t="shared" si="102"/>
        <v>0</v>
      </c>
      <c r="AK133">
        <f t="shared" si="103"/>
        <v>0</v>
      </c>
      <c r="AL133">
        <f t="shared" si="104"/>
        <v>0</v>
      </c>
      <c r="AM133">
        <f t="shared" si="105"/>
        <v>0</v>
      </c>
      <c r="AN133">
        <f t="shared" si="106"/>
        <v>0</v>
      </c>
      <c r="AO133">
        <f t="shared" si="107"/>
        <v>0</v>
      </c>
      <c r="AP133">
        <f t="shared" si="108"/>
        <v>0</v>
      </c>
      <c r="AQ133">
        <f t="shared" si="109"/>
        <v>0</v>
      </c>
    </row>
    <row r="134" spans="1:43" x14ac:dyDescent="0.35">
      <c r="A134" s="51">
        <v>20</v>
      </c>
      <c r="B134" s="50" t="s">
        <v>213</v>
      </c>
      <c r="C134" s="55" t="s">
        <v>84</v>
      </c>
      <c r="D134" s="51" t="s">
        <v>80</v>
      </c>
      <c r="E134" s="67">
        <v>2729.286958623602</v>
      </c>
      <c r="F134">
        <f t="shared" si="74"/>
        <v>0</v>
      </c>
      <c r="G134">
        <f t="shared" si="75"/>
        <v>0</v>
      </c>
      <c r="H134">
        <f t="shared" si="76"/>
        <v>2729.286958623602</v>
      </c>
      <c r="I134">
        <f t="shared" si="77"/>
        <v>0</v>
      </c>
      <c r="J134">
        <f t="shared" si="78"/>
        <v>0</v>
      </c>
      <c r="K134">
        <f t="shared" si="79"/>
        <v>0</v>
      </c>
      <c r="L134">
        <f t="shared" si="80"/>
        <v>0</v>
      </c>
      <c r="M134">
        <f t="shared" si="81"/>
        <v>0</v>
      </c>
      <c r="N134">
        <f t="shared" si="82"/>
        <v>0</v>
      </c>
      <c r="O134">
        <f t="shared" si="83"/>
        <v>0</v>
      </c>
      <c r="P134">
        <f t="shared" si="84"/>
        <v>0</v>
      </c>
      <c r="Q134">
        <f t="shared" si="85"/>
        <v>0</v>
      </c>
      <c r="S134">
        <f t="shared" si="86"/>
        <v>56</v>
      </c>
      <c r="T134">
        <f t="shared" si="87"/>
        <v>39</v>
      </c>
      <c r="U134">
        <f t="shared" si="88"/>
        <v>30</v>
      </c>
      <c r="V134">
        <f t="shared" si="89"/>
        <v>30</v>
      </c>
      <c r="W134">
        <f t="shared" si="90"/>
        <v>110</v>
      </c>
      <c r="X134">
        <f t="shared" si="91"/>
        <v>102</v>
      </c>
      <c r="Y134">
        <f t="shared" si="92"/>
        <v>45</v>
      </c>
      <c r="Z134">
        <f t="shared" si="93"/>
        <v>33</v>
      </c>
      <c r="AA134">
        <f t="shared" si="94"/>
        <v>4</v>
      </c>
      <c r="AB134">
        <f t="shared" si="95"/>
        <v>6</v>
      </c>
      <c r="AC134">
        <f t="shared" si="96"/>
        <v>145</v>
      </c>
      <c r="AD134">
        <f t="shared" si="97"/>
        <v>35</v>
      </c>
      <c r="AF134">
        <f t="shared" si="98"/>
        <v>0</v>
      </c>
      <c r="AG134">
        <f t="shared" si="99"/>
        <v>0</v>
      </c>
      <c r="AH134">
        <f t="shared" si="100"/>
        <v>0</v>
      </c>
      <c r="AI134">
        <f t="shared" si="101"/>
        <v>0</v>
      </c>
      <c r="AJ134">
        <f t="shared" si="102"/>
        <v>0</v>
      </c>
      <c r="AK134">
        <f t="shared" si="103"/>
        <v>0</v>
      </c>
      <c r="AL134">
        <f t="shared" si="104"/>
        <v>0</v>
      </c>
      <c r="AM134">
        <f t="shared" si="105"/>
        <v>0</v>
      </c>
      <c r="AN134">
        <f t="shared" si="106"/>
        <v>0</v>
      </c>
      <c r="AO134">
        <f t="shared" si="107"/>
        <v>0</v>
      </c>
      <c r="AP134">
        <f t="shared" si="108"/>
        <v>0</v>
      </c>
      <c r="AQ134">
        <f t="shared" si="109"/>
        <v>0</v>
      </c>
    </row>
    <row r="135" spans="1:43" x14ac:dyDescent="0.35">
      <c r="A135" s="51">
        <v>21</v>
      </c>
      <c r="B135" s="50" t="s">
        <v>214</v>
      </c>
      <c r="C135" s="55" t="s">
        <v>86</v>
      </c>
      <c r="D135" s="51" t="s">
        <v>222</v>
      </c>
      <c r="E135" s="67">
        <v>2687.1405650964275</v>
      </c>
      <c r="F135">
        <f t="shared" si="74"/>
        <v>0</v>
      </c>
      <c r="G135">
        <f t="shared" si="75"/>
        <v>0</v>
      </c>
      <c r="H135">
        <f t="shared" si="76"/>
        <v>0</v>
      </c>
      <c r="I135">
        <f t="shared" si="77"/>
        <v>0</v>
      </c>
      <c r="J135">
        <f t="shared" si="78"/>
        <v>0</v>
      </c>
      <c r="K135">
        <f t="shared" si="79"/>
        <v>0</v>
      </c>
      <c r="L135">
        <f t="shared" si="80"/>
        <v>0</v>
      </c>
      <c r="M135">
        <f t="shared" si="81"/>
        <v>0</v>
      </c>
      <c r="N135">
        <f t="shared" si="82"/>
        <v>0</v>
      </c>
      <c r="O135">
        <f t="shared" si="83"/>
        <v>0</v>
      </c>
      <c r="P135">
        <f t="shared" si="84"/>
        <v>0</v>
      </c>
      <c r="Q135">
        <f t="shared" si="85"/>
        <v>2687.1405650964275</v>
      </c>
      <c r="S135">
        <f t="shared" si="86"/>
        <v>56</v>
      </c>
      <c r="T135">
        <f t="shared" si="87"/>
        <v>39</v>
      </c>
      <c r="U135">
        <f t="shared" si="88"/>
        <v>29</v>
      </c>
      <c r="V135">
        <f t="shared" si="89"/>
        <v>30</v>
      </c>
      <c r="W135">
        <f t="shared" si="90"/>
        <v>110</v>
      </c>
      <c r="X135">
        <f t="shared" si="91"/>
        <v>102</v>
      </c>
      <c r="Y135">
        <f t="shared" si="92"/>
        <v>45</v>
      </c>
      <c r="Z135">
        <f t="shared" si="93"/>
        <v>33</v>
      </c>
      <c r="AA135">
        <f t="shared" si="94"/>
        <v>4</v>
      </c>
      <c r="AB135">
        <f t="shared" si="95"/>
        <v>6</v>
      </c>
      <c r="AC135">
        <f t="shared" si="96"/>
        <v>145</v>
      </c>
      <c r="AD135">
        <f t="shared" si="97"/>
        <v>35</v>
      </c>
      <c r="AF135">
        <f t="shared" si="98"/>
        <v>0</v>
      </c>
      <c r="AG135">
        <f t="shared" si="99"/>
        <v>0</v>
      </c>
      <c r="AH135">
        <f t="shared" si="100"/>
        <v>0</v>
      </c>
      <c r="AI135">
        <f t="shared" si="101"/>
        <v>0</v>
      </c>
      <c r="AJ135">
        <f t="shared" si="102"/>
        <v>0</v>
      </c>
      <c r="AK135">
        <f t="shared" si="103"/>
        <v>0</v>
      </c>
      <c r="AL135">
        <f t="shared" si="104"/>
        <v>0</v>
      </c>
      <c r="AM135">
        <f t="shared" si="105"/>
        <v>0</v>
      </c>
      <c r="AN135">
        <f t="shared" si="106"/>
        <v>0</v>
      </c>
      <c r="AO135">
        <f t="shared" si="107"/>
        <v>0</v>
      </c>
      <c r="AP135">
        <f t="shared" si="108"/>
        <v>0</v>
      </c>
      <c r="AQ135">
        <f t="shared" si="109"/>
        <v>0</v>
      </c>
    </row>
    <row r="136" spans="1:43" x14ac:dyDescent="0.35">
      <c r="A136" s="51">
        <v>22</v>
      </c>
      <c r="B136" s="50" t="s">
        <v>214</v>
      </c>
      <c r="C136" s="55" t="s">
        <v>83</v>
      </c>
      <c r="D136" s="51" t="s">
        <v>80</v>
      </c>
      <c r="E136" s="67">
        <v>3416.2513740409877</v>
      </c>
      <c r="F136">
        <f t="shared" si="74"/>
        <v>0</v>
      </c>
      <c r="G136">
        <f t="shared" si="75"/>
        <v>0</v>
      </c>
      <c r="H136">
        <f t="shared" si="76"/>
        <v>3416.2513740409877</v>
      </c>
      <c r="I136">
        <f t="shared" si="77"/>
        <v>0</v>
      </c>
      <c r="J136">
        <f t="shared" si="78"/>
        <v>0</v>
      </c>
      <c r="K136">
        <f t="shared" si="79"/>
        <v>0</v>
      </c>
      <c r="L136">
        <f t="shared" si="80"/>
        <v>0</v>
      </c>
      <c r="M136">
        <f t="shared" si="81"/>
        <v>0</v>
      </c>
      <c r="N136">
        <f t="shared" si="82"/>
        <v>0</v>
      </c>
      <c r="O136">
        <f t="shared" si="83"/>
        <v>0</v>
      </c>
      <c r="P136">
        <f t="shared" si="84"/>
        <v>0</v>
      </c>
      <c r="Q136">
        <f t="shared" si="85"/>
        <v>0</v>
      </c>
      <c r="S136">
        <f t="shared" si="86"/>
        <v>56</v>
      </c>
      <c r="T136">
        <f t="shared" si="87"/>
        <v>39</v>
      </c>
      <c r="U136">
        <f t="shared" si="88"/>
        <v>29</v>
      </c>
      <c r="V136">
        <f t="shared" si="89"/>
        <v>30</v>
      </c>
      <c r="W136">
        <f t="shared" si="90"/>
        <v>110</v>
      </c>
      <c r="X136">
        <f t="shared" si="91"/>
        <v>102</v>
      </c>
      <c r="Y136">
        <f t="shared" si="92"/>
        <v>45</v>
      </c>
      <c r="Z136">
        <f t="shared" si="93"/>
        <v>33</v>
      </c>
      <c r="AA136">
        <f t="shared" si="94"/>
        <v>4</v>
      </c>
      <c r="AB136">
        <f t="shared" si="95"/>
        <v>6</v>
      </c>
      <c r="AC136">
        <f t="shared" si="96"/>
        <v>145</v>
      </c>
      <c r="AD136">
        <f t="shared" si="97"/>
        <v>34</v>
      </c>
      <c r="AF136">
        <f t="shared" si="98"/>
        <v>0</v>
      </c>
      <c r="AG136">
        <f t="shared" si="99"/>
        <v>0</v>
      </c>
      <c r="AH136">
        <f t="shared" si="100"/>
        <v>0</v>
      </c>
      <c r="AI136">
        <f t="shared" si="101"/>
        <v>0</v>
      </c>
      <c r="AJ136">
        <f t="shared" si="102"/>
        <v>0</v>
      </c>
      <c r="AK136">
        <f t="shared" si="103"/>
        <v>0</v>
      </c>
      <c r="AL136">
        <f t="shared" si="104"/>
        <v>0</v>
      </c>
      <c r="AM136">
        <f t="shared" si="105"/>
        <v>0</v>
      </c>
      <c r="AN136">
        <f t="shared" si="106"/>
        <v>0</v>
      </c>
      <c r="AO136">
        <f t="shared" si="107"/>
        <v>0</v>
      </c>
      <c r="AP136">
        <f t="shared" si="108"/>
        <v>0</v>
      </c>
      <c r="AQ136">
        <f t="shared" si="109"/>
        <v>0</v>
      </c>
    </row>
    <row r="137" spans="1:43" x14ac:dyDescent="0.35">
      <c r="A137" s="51">
        <v>23</v>
      </c>
      <c r="B137" s="50" t="s">
        <v>214</v>
      </c>
      <c r="C137" s="55" t="s">
        <v>89</v>
      </c>
      <c r="D137" s="51" t="s">
        <v>67</v>
      </c>
      <c r="E137" s="67">
        <v>3356.6649602021475</v>
      </c>
      <c r="F137">
        <f t="shared" si="74"/>
        <v>0</v>
      </c>
      <c r="G137">
        <f t="shared" si="75"/>
        <v>0</v>
      </c>
      <c r="H137">
        <f t="shared" si="76"/>
        <v>0</v>
      </c>
      <c r="I137">
        <f t="shared" si="77"/>
        <v>3356.6649602021475</v>
      </c>
      <c r="J137">
        <f t="shared" si="78"/>
        <v>0</v>
      </c>
      <c r="K137">
        <f t="shared" si="79"/>
        <v>0</v>
      </c>
      <c r="L137">
        <f t="shared" si="80"/>
        <v>0</v>
      </c>
      <c r="M137">
        <f t="shared" si="81"/>
        <v>0</v>
      </c>
      <c r="N137">
        <f t="shared" si="82"/>
        <v>0</v>
      </c>
      <c r="O137">
        <f t="shared" si="83"/>
        <v>0</v>
      </c>
      <c r="P137">
        <f t="shared" si="84"/>
        <v>0</v>
      </c>
      <c r="Q137">
        <f t="shared" si="85"/>
        <v>0</v>
      </c>
      <c r="S137">
        <f t="shared" si="86"/>
        <v>56</v>
      </c>
      <c r="T137">
        <f t="shared" si="87"/>
        <v>39</v>
      </c>
      <c r="U137">
        <f t="shared" si="88"/>
        <v>28</v>
      </c>
      <c r="V137">
        <f t="shared" si="89"/>
        <v>30</v>
      </c>
      <c r="W137">
        <f t="shared" si="90"/>
        <v>110</v>
      </c>
      <c r="X137">
        <f t="shared" si="91"/>
        <v>102</v>
      </c>
      <c r="Y137">
        <f t="shared" si="92"/>
        <v>45</v>
      </c>
      <c r="Z137">
        <f t="shared" si="93"/>
        <v>33</v>
      </c>
      <c r="AA137">
        <f t="shared" si="94"/>
        <v>4</v>
      </c>
      <c r="AB137">
        <f t="shared" si="95"/>
        <v>6</v>
      </c>
      <c r="AC137">
        <f t="shared" si="96"/>
        <v>145</v>
      </c>
      <c r="AD137">
        <f t="shared" si="97"/>
        <v>34</v>
      </c>
      <c r="AF137">
        <f t="shared" si="98"/>
        <v>0</v>
      </c>
      <c r="AG137">
        <f t="shared" si="99"/>
        <v>0</v>
      </c>
      <c r="AH137">
        <f t="shared" si="100"/>
        <v>0</v>
      </c>
      <c r="AI137">
        <f t="shared" si="101"/>
        <v>0</v>
      </c>
      <c r="AJ137">
        <f t="shared" si="102"/>
        <v>0</v>
      </c>
      <c r="AK137">
        <f t="shared" si="103"/>
        <v>0</v>
      </c>
      <c r="AL137">
        <f t="shared" si="104"/>
        <v>0</v>
      </c>
      <c r="AM137">
        <f t="shared" si="105"/>
        <v>0</v>
      </c>
      <c r="AN137">
        <f t="shared" si="106"/>
        <v>0</v>
      </c>
      <c r="AO137">
        <f t="shared" si="107"/>
        <v>0</v>
      </c>
      <c r="AP137">
        <f t="shared" si="108"/>
        <v>0</v>
      </c>
      <c r="AQ137">
        <f t="shared" si="109"/>
        <v>0</v>
      </c>
    </row>
    <row r="138" spans="1:43" x14ac:dyDescent="0.35">
      <c r="A138" s="51">
        <v>24</v>
      </c>
      <c r="B138" s="50" t="s">
        <v>215</v>
      </c>
      <c r="C138" s="55" t="s">
        <v>87</v>
      </c>
      <c r="D138" s="51" t="s">
        <v>80</v>
      </c>
      <c r="E138" s="67">
        <v>3403.7667593120805</v>
      </c>
      <c r="F138">
        <f t="shared" si="74"/>
        <v>0</v>
      </c>
      <c r="G138">
        <f t="shared" si="75"/>
        <v>0</v>
      </c>
      <c r="H138">
        <f t="shared" si="76"/>
        <v>3403.7667593120805</v>
      </c>
      <c r="I138">
        <f t="shared" si="77"/>
        <v>0</v>
      </c>
      <c r="J138">
        <f t="shared" si="78"/>
        <v>0</v>
      </c>
      <c r="K138">
        <f t="shared" si="79"/>
        <v>0</v>
      </c>
      <c r="L138">
        <f t="shared" si="80"/>
        <v>0</v>
      </c>
      <c r="M138">
        <f t="shared" si="81"/>
        <v>0</v>
      </c>
      <c r="N138">
        <f t="shared" si="82"/>
        <v>0</v>
      </c>
      <c r="O138">
        <f t="shared" si="83"/>
        <v>0</v>
      </c>
      <c r="P138">
        <f t="shared" si="84"/>
        <v>0</v>
      </c>
      <c r="Q138">
        <f t="shared" si="85"/>
        <v>0</v>
      </c>
      <c r="S138">
        <f t="shared" si="86"/>
        <v>56</v>
      </c>
      <c r="T138">
        <f t="shared" si="87"/>
        <v>39</v>
      </c>
      <c r="U138">
        <f t="shared" si="88"/>
        <v>28</v>
      </c>
      <c r="V138">
        <f t="shared" si="89"/>
        <v>29</v>
      </c>
      <c r="W138">
        <f t="shared" si="90"/>
        <v>110</v>
      </c>
      <c r="X138">
        <f t="shared" si="91"/>
        <v>102</v>
      </c>
      <c r="Y138">
        <f t="shared" si="92"/>
        <v>45</v>
      </c>
      <c r="Z138">
        <f t="shared" si="93"/>
        <v>33</v>
      </c>
      <c r="AA138">
        <f t="shared" si="94"/>
        <v>4</v>
      </c>
      <c r="AB138">
        <f t="shared" si="95"/>
        <v>6</v>
      </c>
      <c r="AC138">
        <f t="shared" si="96"/>
        <v>145</v>
      </c>
      <c r="AD138">
        <f t="shared" si="97"/>
        <v>34</v>
      </c>
      <c r="AF138">
        <f t="shared" si="98"/>
        <v>0</v>
      </c>
      <c r="AG138">
        <f t="shared" si="99"/>
        <v>0</v>
      </c>
      <c r="AH138">
        <f t="shared" si="100"/>
        <v>0</v>
      </c>
      <c r="AI138">
        <f t="shared" si="101"/>
        <v>0</v>
      </c>
      <c r="AJ138">
        <f t="shared" si="102"/>
        <v>0</v>
      </c>
      <c r="AK138">
        <f t="shared" si="103"/>
        <v>0</v>
      </c>
      <c r="AL138">
        <f t="shared" si="104"/>
        <v>0</v>
      </c>
      <c r="AM138">
        <f t="shared" si="105"/>
        <v>0</v>
      </c>
      <c r="AN138">
        <f t="shared" si="106"/>
        <v>0</v>
      </c>
      <c r="AO138">
        <f t="shared" si="107"/>
        <v>0</v>
      </c>
      <c r="AP138">
        <f t="shared" si="108"/>
        <v>0</v>
      </c>
      <c r="AQ138">
        <f t="shared" si="109"/>
        <v>0</v>
      </c>
    </row>
    <row r="139" spans="1:43" x14ac:dyDescent="0.35">
      <c r="A139" s="51">
        <v>25</v>
      </c>
      <c r="B139" s="50" t="s">
        <v>215</v>
      </c>
      <c r="C139" s="55" t="s">
        <v>88</v>
      </c>
      <c r="D139" s="51" t="s">
        <v>76</v>
      </c>
      <c r="E139" s="67">
        <v>3479.0342745574526</v>
      </c>
      <c r="F139">
        <f t="shared" si="74"/>
        <v>3479.0342745574526</v>
      </c>
      <c r="G139">
        <f t="shared" si="75"/>
        <v>0</v>
      </c>
      <c r="H139">
        <f t="shared" si="76"/>
        <v>0</v>
      </c>
      <c r="I139">
        <f t="shared" si="77"/>
        <v>0</v>
      </c>
      <c r="J139">
        <f t="shared" si="78"/>
        <v>0</v>
      </c>
      <c r="K139">
        <f t="shared" si="79"/>
        <v>0</v>
      </c>
      <c r="L139">
        <f t="shared" si="80"/>
        <v>0</v>
      </c>
      <c r="M139">
        <f t="shared" si="81"/>
        <v>0</v>
      </c>
      <c r="N139">
        <f t="shared" si="82"/>
        <v>0</v>
      </c>
      <c r="O139">
        <f t="shared" si="83"/>
        <v>0</v>
      </c>
      <c r="P139">
        <f t="shared" si="84"/>
        <v>0</v>
      </c>
      <c r="Q139">
        <f t="shared" si="85"/>
        <v>0</v>
      </c>
      <c r="S139">
        <f t="shared" si="86"/>
        <v>56</v>
      </c>
      <c r="T139">
        <f t="shared" si="87"/>
        <v>39</v>
      </c>
      <c r="U139">
        <f t="shared" si="88"/>
        <v>27</v>
      </c>
      <c r="V139">
        <f t="shared" si="89"/>
        <v>29</v>
      </c>
      <c r="W139">
        <f t="shared" si="90"/>
        <v>110</v>
      </c>
      <c r="X139">
        <f t="shared" si="91"/>
        <v>102</v>
      </c>
      <c r="Y139">
        <f t="shared" si="92"/>
        <v>45</v>
      </c>
      <c r="Z139">
        <f t="shared" si="93"/>
        <v>33</v>
      </c>
      <c r="AA139">
        <f t="shared" si="94"/>
        <v>4</v>
      </c>
      <c r="AB139">
        <f t="shared" si="95"/>
        <v>6</v>
      </c>
      <c r="AC139">
        <f t="shared" si="96"/>
        <v>145</v>
      </c>
      <c r="AD139">
        <f t="shared" si="97"/>
        <v>34</v>
      </c>
      <c r="AF139">
        <f t="shared" si="98"/>
        <v>0</v>
      </c>
      <c r="AG139">
        <f t="shared" si="99"/>
        <v>0</v>
      </c>
      <c r="AH139">
        <f t="shared" si="100"/>
        <v>0</v>
      </c>
      <c r="AI139">
        <f t="shared" si="101"/>
        <v>0</v>
      </c>
      <c r="AJ139">
        <f t="shared" si="102"/>
        <v>0</v>
      </c>
      <c r="AK139">
        <f t="shared" si="103"/>
        <v>0</v>
      </c>
      <c r="AL139">
        <f t="shared" si="104"/>
        <v>0</v>
      </c>
      <c r="AM139">
        <f t="shared" si="105"/>
        <v>0</v>
      </c>
      <c r="AN139">
        <f t="shared" si="106"/>
        <v>0</v>
      </c>
      <c r="AO139">
        <f t="shared" si="107"/>
        <v>0</v>
      </c>
      <c r="AP139">
        <f t="shared" si="108"/>
        <v>0</v>
      </c>
      <c r="AQ139">
        <f t="shared" si="109"/>
        <v>0</v>
      </c>
    </row>
    <row r="140" spans="1:43" x14ac:dyDescent="0.35">
      <c r="A140" s="51">
        <v>26</v>
      </c>
      <c r="B140" s="50" t="s">
        <v>215</v>
      </c>
      <c r="C140" s="55" t="s">
        <v>91</v>
      </c>
      <c r="D140" s="51" t="s">
        <v>67</v>
      </c>
      <c r="E140" s="67">
        <v>3291.7963829603955</v>
      </c>
      <c r="F140">
        <f t="shared" si="74"/>
        <v>0</v>
      </c>
      <c r="G140">
        <f t="shared" si="75"/>
        <v>0</v>
      </c>
      <c r="H140">
        <f t="shared" si="76"/>
        <v>0</v>
      </c>
      <c r="I140">
        <f t="shared" si="77"/>
        <v>3291.7963829603955</v>
      </c>
      <c r="J140">
        <f t="shared" si="78"/>
        <v>0</v>
      </c>
      <c r="K140">
        <f t="shared" si="79"/>
        <v>0</v>
      </c>
      <c r="L140">
        <f t="shared" si="80"/>
        <v>0</v>
      </c>
      <c r="M140">
        <f t="shared" si="81"/>
        <v>0</v>
      </c>
      <c r="N140">
        <f t="shared" si="82"/>
        <v>0</v>
      </c>
      <c r="O140">
        <f t="shared" si="83"/>
        <v>0</v>
      </c>
      <c r="P140">
        <f t="shared" si="84"/>
        <v>0</v>
      </c>
      <c r="Q140">
        <f t="shared" si="85"/>
        <v>0</v>
      </c>
      <c r="S140">
        <f t="shared" si="86"/>
        <v>55</v>
      </c>
      <c r="T140">
        <f t="shared" si="87"/>
        <v>39</v>
      </c>
      <c r="U140">
        <f t="shared" si="88"/>
        <v>27</v>
      </c>
      <c r="V140">
        <f t="shared" si="89"/>
        <v>29</v>
      </c>
      <c r="W140">
        <f t="shared" si="90"/>
        <v>110</v>
      </c>
      <c r="X140">
        <f t="shared" si="91"/>
        <v>102</v>
      </c>
      <c r="Y140">
        <f t="shared" si="92"/>
        <v>45</v>
      </c>
      <c r="Z140">
        <f t="shared" si="93"/>
        <v>33</v>
      </c>
      <c r="AA140">
        <f t="shared" si="94"/>
        <v>4</v>
      </c>
      <c r="AB140">
        <f t="shared" si="95"/>
        <v>6</v>
      </c>
      <c r="AC140">
        <f t="shared" si="96"/>
        <v>145</v>
      </c>
      <c r="AD140">
        <f t="shared" si="97"/>
        <v>34</v>
      </c>
      <c r="AF140">
        <f t="shared" si="98"/>
        <v>0</v>
      </c>
      <c r="AG140">
        <f t="shared" si="99"/>
        <v>0</v>
      </c>
      <c r="AH140">
        <f t="shared" si="100"/>
        <v>0</v>
      </c>
      <c r="AI140">
        <f t="shared" si="101"/>
        <v>0</v>
      </c>
      <c r="AJ140">
        <f t="shared" si="102"/>
        <v>0</v>
      </c>
      <c r="AK140">
        <f t="shared" si="103"/>
        <v>0</v>
      </c>
      <c r="AL140">
        <f t="shared" si="104"/>
        <v>0</v>
      </c>
      <c r="AM140">
        <f t="shared" si="105"/>
        <v>0</v>
      </c>
      <c r="AN140">
        <f t="shared" si="106"/>
        <v>0</v>
      </c>
      <c r="AO140">
        <f t="shared" si="107"/>
        <v>0</v>
      </c>
      <c r="AP140">
        <f t="shared" si="108"/>
        <v>0</v>
      </c>
      <c r="AQ140">
        <f t="shared" si="109"/>
        <v>0</v>
      </c>
    </row>
    <row r="141" spans="1:43" x14ac:dyDescent="0.35">
      <c r="A141" s="51">
        <v>27</v>
      </c>
      <c r="B141" s="50" t="s">
        <v>215</v>
      </c>
      <c r="C141" s="55" t="s">
        <v>93</v>
      </c>
      <c r="D141" s="51" t="s">
        <v>60</v>
      </c>
      <c r="E141" s="67">
        <v>3591.303715450058</v>
      </c>
      <c r="F141">
        <f t="shared" si="74"/>
        <v>0</v>
      </c>
      <c r="G141">
        <f t="shared" si="75"/>
        <v>0</v>
      </c>
      <c r="H141">
        <f t="shared" si="76"/>
        <v>0</v>
      </c>
      <c r="I141">
        <f t="shared" si="77"/>
        <v>0</v>
      </c>
      <c r="J141">
        <f t="shared" si="78"/>
        <v>3591.303715450058</v>
      </c>
      <c r="K141">
        <f t="shared" si="79"/>
        <v>0</v>
      </c>
      <c r="L141">
        <f t="shared" si="80"/>
        <v>0</v>
      </c>
      <c r="M141">
        <f t="shared" si="81"/>
        <v>0</v>
      </c>
      <c r="N141">
        <f t="shared" si="82"/>
        <v>0</v>
      </c>
      <c r="O141">
        <f t="shared" si="83"/>
        <v>0</v>
      </c>
      <c r="P141">
        <f t="shared" si="84"/>
        <v>0</v>
      </c>
      <c r="Q141">
        <f t="shared" si="85"/>
        <v>0</v>
      </c>
      <c r="S141">
        <f t="shared" si="86"/>
        <v>55</v>
      </c>
      <c r="T141">
        <f t="shared" si="87"/>
        <v>39</v>
      </c>
      <c r="U141">
        <f t="shared" si="88"/>
        <v>27</v>
      </c>
      <c r="V141">
        <f t="shared" si="89"/>
        <v>28</v>
      </c>
      <c r="W141">
        <f t="shared" si="90"/>
        <v>110</v>
      </c>
      <c r="X141">
        <f t="shared" si="91"/>
        <v>102</v>
      </c>
      <c r="Y141">
        <f t="shared" si="92"/>
        <v>45</v>
      </c>
      <c r="Z141">
        <f t="shared" si="93"/>
        <v>33</v>
      </c>
      <c r="AA141">
        <f t="shared" si="94"/>
        <v>4</v>
      </c>
      <c r="AB141">
        <f t="shared" si="95"/>
        <v>6</v>
      </c>
      <c r="AC141">
        <f t="shared" si="96"/>
        <v>145</v>
      </c>
      <c r="AD141">
        <f t="shared" si="97"/>
        <v>34</v>
      </c>
      <c r="AF141">
        <f t="shared" si="98"/>
        <v>0</v>
      </c>
      <c r="AG141">
        <f t="shared" si="99"/>
        <v>0</v>
      </c>
      <c r="AH141">
        <f t="shared" si="100"/>
        <v>0</v>
      </c>
      <c r="AI141">
        <f t="shared" si="101"/>
        <v>0</v>
      </c>
      <c r="AJ141">
        <f t="shared" si="102"/>
        <v>0</v>
      </c>
      <c r="AK141">
        <f t="shared" si="103"/>
        <v>0</v>
      </c>
      <c r="AL141">
        <f t="shared" si="104"/>
        <v>0</v>
      </c>
      <c r="AM141">
        <f t="shared" si="105"/>
        <v>0</v>
      </c>
      <c r="AN141">
        <f t="shared" si="106"/>
        <v>0</v>
      </c>
      <c r="AO141">
        <f t="shared" si="107"/>
        <v>0</v>
      </c>
      <c r="AP141">
        <f t="shared" si="108"/>
        <v>0</v>
      </c>
      <c r="AQ141">
        <f t="shared" si="109"/>
        <v>0</v>
      </c>
    </row>
    <row r="142" spans="1:43" x14ac:dyDescent="0.35">
      <c r="A142" s="51">
        <v>28</v>
      </c>
      <c r="B142" s="50" t="s">
        <v>215</v>
      </c>
      <c r="C142" s="55" t="s">
        <v>92</v>
      </c>
      <c r="D142" s="51" t="s">
        <v>222</v>
      </c>
      <c r="E142" s="67">
        <v>3272.7156103187922</v>
      </c>
      <c r="F142">
        <f t="shared" si="74"/>
        <v>0</v>
      </c>
      <c r="G142">
        <f t="shared" si="75"/>
        <v>0</v>
      </c>
      <c r="H142">
        <f t="shared" si="76"/>
        <v>0</v>
      </c>
      <c r="I142">
        <f t="shared" si="77"/>
        <v>0</v>
      </c>
      <c r="J142">
        <f t="shared" si="78"/>
        <v>0</v>
      </c>
      <c r="K142">
        <f t="shared" si="79"/>
        <v>0</v>
      </c>
      <c r="L142">
        <f t="shared" si="80"/>
        <v>0</v>
      </c>
      <c r="M142">
        <f t="shared" si="81"/>
        <v>0</v>
      </c>
      <c r="N142">
        <f t="shared" si="82"/>
        <v>0</v>
      </c>
      <c r="O142">
        <f t="shared" si="83"/>
        <v>0</v>
      </c>
      <c r="P142">
        <f t="shared" si="84"/>
        <v>0</v>
      </c>
      <c r="Q142">
        <f t="shared" si="85"/>
        <v>3272.7156103187922</v>
      </c>
      <c r="S142">
        <f t="shared" si="86"/>
        <v>55</v>
      </c>
      <c r="T142">
        <f t="shared" si="87"/>
        <v>39</v>
      </c>
      <c r="U142">
        <f t="shared" si="88"/>
        <v>27</v>
      </c>
      <c r="V142">
        <f t="shared" si="89"/>
        <v>28</v>
      </c>
      <c r="W142">
        <f t="shared" si="90"/>
        <v>109</v>
      </c>
      <c r="X142">
        <f t="shared" si="91"/>
        <v>102</v>
      </c>
      <c r="Y142">
        <f t="shared" si="92"/>
        <v>45</v>
      </c>
      <c r="Z142">
        <f t="shared" si="93"/>
        <v>33</v>
      </c>
      <c r="AA142">
        <f t="shared" si="94"/>
        <v>4</v>
      </c>
      <c r="AB142">
        <f t="shared" si="95"/>
        <v>6</v>
      </c>
      <c r="AC142">
        <f t="shared" si="96"/>
        <v>145</v>
      </c>
      <c r="AD142">
        <f t="shared" si="97"/>
        <v>34</v>
      </c>
      <c r="AF142">
        <f t="shared" si="98"/>
        <v>0</v>
      </c>
      <c r="AG142">
        <f t="shared" si="99"/>
        <v>0</v>
      </c>
      <c r="AH142">
        <f t="shared" si="100"/>
        <v>0</v>
      </c>
      <c r="AI142">
        <f t="shared" si="101"/>
        <v>0</v>
      </c>
      <c r="AJ142">
        <f t="shared" si="102"/>
        <v>0</v>
      </c>
      <c r="AK142">
        <f t="shared" si="103"/>
        <v>0</v>
      </c>
      <c r="AL142">
        <f t="shared" si="104"/>
        <v>0</v>
      </c>
      <c r="AM142">
        <f t="shared" si="105"/>
        <v>0</v>
      </c>
      <c r="AN142">
        <f t="shared" si="106"/>
        <v>0</v>
      </c>
      <c r="AO142">
        <f t="shared" si="107"/>
        <v>0</v>
      </c>
      <c r="AP142">
        <f t="shared" si="108"/>
        <v>0</v>
      </c>
      <c r="AQ142">
        <f t="shared" si="109"/>
        <v>0</v>
      </c>
    </row>
    <row r="143" spans="1:43" x14ac:dyDescent="0.35">
      <c r="A143" s="51">
        <v>29</v>
      </c>
      <c r="B143" s="50" t="s">
        <v>216</v>
      </c>
      <c r="C143" s="55" t="s">
        <v>99</v>
      </c>
      <c r="D143" s="51" t="s">
        <v>228</v>
      </c>
      <c r="E143" s="67">
        <v>3042.4550218993468</v>
      </c>
      <c r="F143">
        <f t="shared" si="74"/>
        <v>0</v>
      </c>
      <c r="G143">
        <f t="shared" si="75"/>
        <v>0</v>
      </c>
      <c r="H143">
        <f t="shared" si="76"/>
        <v>0</v>
      </c>
      <c r="I143">
        <f t="shared" si="77"/>
        <v>0</v>
      </c>
      <c r="J143">
        <f t="shared" si="78"/>
        <v>0</v>
      </c>
      <c r="K143">
        <f t="shared" si="79"/>
        <v>0</v>
      </c>
      <c r="L143">
        <f t="shared" si="80"/>
        <v>0</v>
      </c>
      <c r="M143">
        <f t="shared" si="81"/>
        <v>0</v>
      </c>
      <c r="N143">
        <f t="shared" si="82"/>
        <v>0</v>
      </c>
      <c r="O143">
        <f t="shared" si="83"/>
        <v>0</v>
      </c>
      <c r="P143">
        <f t="shared" si="84"/>
        <v>3042.4550218993468</v>
      </c>
      <c r="Q143">
        <f t="shared" si="85"/>
        <v>0</v>
      </c>
      <c r="S143">
        <f t="shared" si="86"/>
        <v>55</v>
      </c>
      <c r="T143">
        <f t="shared" si="87"/>
        <v>39</v>
      </c>
      <c r="U143">
        <f t="shared" si="88"/>
        <v>27</v>
      </c>
      <c r="V143">
        <f t="shared" si="89"/>
        <v>28</v>
      </c>
      <c r="W143">
        <f t="shared" si="90"/>
        <v>109</v>
      </c>
      <c r="X143">
        <f t="shared" si="91"/>
        <v>102</v>
      </c>
      <c r="Y143">
        <f t="shared" si="92"/>
        <v>45</v>
      </c>
      <c r="Z143">
        <f t="shared" si="93"/>
        <v>33</v>
      </c>
      <c r="AA143">
        <f t="shared" si="94"/>
        <v>4</v>
      </c>
      <c r="AB143">
        <f t="shared" si="95"/>
        <v>6</v>
      </c>
      <c r="AC143">
        <f t="shared" si="96"/>
        <v>145</v>
      </c>
      <c r="AD143">
        <f t="shared" si="97"/>
        <v>33</v>
      </c>
      <c r="AF143">
        <f t="shared" si="98"/>
        <v>0</v>
      </c>
      <c r="AG143">
        <f t="shared" si="99"/>
        <v>0</v>
      </c>
      <c r="AH143">
        <f t="shared" si="100"/>
        <v>0</v>
      </c>
      <c r="AI143">
        <f t="shared" si="101"/>
        <v>0</v>
      </c>
      <c r="AJ143">
        <f t="shared" si="102"/>
        <v>0</v>
      </c>
      <c r="AK143">
        <f t="shared" si="103"/>
        <v>0</v>
      </c>
      <c r="AL143">
        <f t="shared" si="104"/>
        <v>0</v>
      </c>
      <c r="AM143">
        <f t="shared" si="105"/>
        <v>0</v>
      </c>
      <c r="AN143">
        <f t="shared" si="106"/>
        <v>0</v>
      </c>
      <c r="AO143">
        <f t="shared" si="107"/>
        <v>0</v>
      </c>
      <c r="AP143">
        <f t="shared" si="108"/>
        <v>0</v>
      </c>
      <c r="AQ143">
        <f t="shared" si="109"/>
        <v>0</v>
      </c>
    </row>
    <row r="144" spans="1:43" x14ac:dyDescent="0.35">
      <c r="A144" s="51">
        <v>30</v>
      </c>
      <c r="B144" s="50" t="s">
        <v>217</v>
      </c>
      <c r="C144" s="55" t="s">
        <v>98</v>
      </c>
      <c r="D144" s="51" t="s">
        <v>222</v>
      </c>
      <c r="E144" s="67">
        <v>2519.2467237411588</v>
      </c>
      <c r="F144">
        <f t="shared" si="74"/>
        <v>0</v>
      </c>
      <c r="G144">
        <f t="shared" si="75"/>
        <v>0</v>
      </c>
      <c r="H144">
        <f t="shared" si="76"/>
        <v>0</v>
      </c>
      <c r="I144">
        <f t="shared" si="77"/>
        <v>0</v>
      </c>
      <c r="J144">
        <f t="shared" si="78"/>
        <v>0</v>
      </c>
      <c r="K144">
        <f t="shared" si="79"/>
        <v>0</v>
      </c>
      <c r="L144">
        <f t="shared" si="80"/>
        <v>0</v>
      </c>
      <c r="M144">
        <f t="shared" si="81"/>
        <v>0</v>
      </c>
      <c r="N144">
        <f t="shared" si="82"/>
        <v>0</v>
      </c>
      <c r="O144">
        <f t="shared" si="83"/>
        <v>0</v>
      </c>
      <c r="P144">
        <f t="shared" si="84"/>
        <v>0</v>
      </c>
      <c r="Q144">
        <f t="shared" si="85"/>
        <v>2519.2467237411588</v>
      </c>
      <c r="S144">
        <f t="shared" si="86"/>
        <v>55</v>
      </c>
      <c r="T144">
        <f t="shared" si="87"/>
        <v>39</v>
      </c>
      <c r="U144">
        <f t="shared" si="88"/>
        <v>27</v>
      </c>
      <c r="V144">
        <f t="shared" si="89"/>
        <v>28</v>
      </c>
      <c r="W144">
        <f t="shared" si="90"/>
        <v>109</v>
      </c>
      <c r="X144">
        <f t="shared" si="91"/>
        <v>102</v>
      </c>
      <c r="Y144">
        <f t="shared" si="92"/>
        <v>45</v>
      </c>
      <c r="Z144">
        <f t="shared" si="93"/>
        <v>33</v>
      </c>
      <c r="AA144">
        <f t="shared" si="94"/>
        <v>4</v>
      </c>
      <c r="AB144">
        <f t="shared" si="95"/>
        <v>6</v>
      </c>
      <c r="AC144">
        <f t="shared" si="96"/>
        <v>144</v>
      </c>
      <c r="AD144">
        <f t="shared" si="97"/>
        <v>33</v>
      </c>
      <c r="AF144">
        <f t="shared" si="98"/>
        <v>0</v>
      </c>
      <c r="AG144">
        <f t="shared" si="99"/>
        <v>0</v>
      </c>
      <c r="AH144">
        <f t="shared" si="100"/>
        <v>0</v>
      </c>
      <c r="AI144">
        <f t="shared" si="101"/>
        <v>0</v>
      </c>
      <c r="AJ144">
        <f t="shared" si="102"/>
        <v>0</v>
      </c>
      <c r="AK144">
        <f t="shared" si="103"/>
        <v>0</v>
      </c>
      <c r="AL144">
        <f t="shared" si="104"/>
        <v>0</v>
      </c>
      <c r="AM144">
        <f t="shared" si="105"/>
        <v>0</v>
      </c>
      <c r="AN144">
        <f t="shared" si="106"/>
        <v>0</v>
      </c>
      <c r="AO144">
        <f t="shared" si="107"/>
        <v>0</v>
      </c>
      <c r="AP144">
        <f t="shared" si="108"/>
        <v>0</v>
      </c>
      <c r="AQ144">
        <f t="shared" si="109"/>
        <v>0</v>
      </c>
    </row>
    <row r="145" spans="1:43" x14ac:dyDescent="0.35">
      <c r="A145" s="51">
        <v>31</v>
      </c>
      <c r="B145" s="50" t="s">
        <v>218</v>
      </c>
      <c r="C145" s="55" t="s">
        <v>95</v>
      </c>
      <c r="D145" s="51" t="s">
        <v>94</v>
      </c>
      <c r="E145" s="67">
        <v>2412.1977279865982</v>
      </c>
      <c r="F145">
        <f t="shared" si="74"/>
        <v>0</v>
      </c>
      <c r="G145">
        <f t="shared" si="75"/>
        <v>0</v>
      </c>
      <c r="H145">
        <f t="shared" si="76"/>
        <v>0</v>
      </c>
      <c r="I145">
        <f t="shared" si="77"/>
        <v>0</v>
      </c>
      <c r="J145">
        <f t="shared" si="78"/>
        <v>0</v>
      </c>
      <c r="K145">
        <f t="shared" si="79"/>
        <v>0</v>
      </c>
      <c r="L145">
        <f t="shared" si="80"/>
        <v>2412.1977279865982</v>
      </c>
      <c r="M145">
        <f t="shared" si="81"/>
        <v>0</v>
      </c>
      <c r="N145">
        <f t="shared" si="82"/>
        <v>0</v>
      </c>
      <c r="O145">
        <f t="shared" si="83"/>
        <v>0</v>
      </c>
      <c r="P145">
        <f t="shared" si="84"/>
        <v>0</v>
      </c>
      <c r="Q145">
        <f t="shared" si="85"/>
        <v>0</v>
      </c>
      <c r="S145">
        <f t="shared" si="86"/>
        <v>55</v>
      </c>
      <c r="T145">
        <f t="shared" si="87"/>
        <v>39</v>
      </c>
      <c r="U145">
        <f t="shared" si="88"/>
        <v>27</v>
      </c>
      <c r="V145">
        <f t="shared" si="89"/>
        <v>28</v>
      </c>
      <c r="W145">
        <f t="shared" si="90"/>
        <v>109</v>
      </c>
      <c r="X145">
        <f t="shared" si="91"/>
        <v>102</v>
      </c>
      <c r="Y145">
        <f t="shared" si="92"/>
        <v>45</v>
      </c>
      <c r="Z145">
        <f t="shared" si="93"/>
        <v>33</v>
      </c>
      <c r="AA145">
        <f t="shared" si="94"/>
        <v>4</v>
      </c>
      <c r="AB145">
        <f t="shared" si="95"/>
        <v>6</v>
      </c>
      <c r="AC145">
        <f t="shared" si="96"/>
        <v>144</v>
      </c>
      <c r="AD145">
        <f t="shared" si="97"/>
        <v>32</v>
      </c>
      <c r="AF145">
        <f t="shared" si="98"/>
        <v>0</v>
      </c>
      <c r="AG145">
        <f t="shared" si="99"/>
        <v>0</v>
      </c>
      <c r="AH145">
        <f t="shared" si="100"/>
        <v>0</v>
      </c>
      <c r="AI145">
        <f t="shared" si="101"/>
        <v>0</v>
      </c>
      <c r="AJ145">
        <f t="shared" si="102"/>
        <v>0</v>
      </c>
      <c r="AK145">
        <f t="shared" si="103"/>
        <v>0</v>
      </c>
      <c r="AL145">
        <f t="shared" si="104"/>
        <v>0</v>
      </c>
      <c r="AM145">
        <f t="shared" si="105"/>
        <v>0</v>
      </c>
      <c r="AN145">
        <f t="shared" si="106"/>
        <v>0</v>
      </c>
      <c r="AO145">
        <f t="shared" si="107"/>
        <v>0</v>
      </c>
      <c r="AP145">
        <f t="shared" si="108"/>
        <v>0</v>
      </c>
      <c r="AQ145">
        <f t="shared" si="109"/>
        <v>0</v>
      </c>
    </row>
    <row r="146" spans="1:43" x14ac:dyDescent="0.35">
      <c r="A146" s="51">
        <v>32</v>
      </c>
      <c r="B146" s="50" t="s">
        <v>219</v>
      </c>
      <c r="C146" s="55" t="s">
        <v>97</v>
      </c>
      <c r="D146" s="51" t="s">
        <v>67</v>
      </c>
      <c r="E146" s="67">
        <v>2813.2717021055973</v>
      </c>
      <c r="F146">
        <f t="shared" si="74"/>
        <v>0</v>
      </c>
      <c r="G146">
        <f t="shared" si="75"/>
        <v>0</v>
      </c>
      <c r="H146">
        <f t="shared" si="76"/>
        <v>0</v>
      </c>
      <c r="I146">
        <f t="shared" si="77"/>
        <v>2813.2717021055973</v>
      </c>
      <c r="J146">
        <f t="shared" si="78"/>
        <v>0</v>
      </c>
      <c r="K146">
        <f t="shared" si="79"/>
        <v>0</v>
      </c>
      <c r="L146">
        <f t="shared" si="80"/>
        <v>0</v>
      </c>
      <c r="M146">
        <f t="shared" si="81"/>
        <v>0</v>
      </c>
      <c r="N146">
        <f t="shared" si="82"/>
        <v>0</v>
      </c>
      <c r="O146">
        <f t="shared" si="83"/>
        <v>0</v>
      </c>
      <c r="P146">
        <f t="shared" si="84"/>
        <v>0</v>
      </c>
      <c r="Q146">
        <f t="shared" si="85"/>
        <v>0</v>
      </c>
      <c r="S146">
        <f t="shared" si="86"/>
        <v>55</v>
      </c>
      <c r="T146">
        <f t="shared" si="87"/>
        <v>39</v>
      </c>
      <c r="U146">
        <f t="shared" si="88"/>
        <v>27</v>
      </c>
      <c r="V146">
        <f t="shared" si="89"/>
        <v>28</v>
      </c>
      <c r="W146">
        <f t="shared" si="90"/>
        <v>109</v>
      </c>
      <c r="X146">
        <f t="shared" si="91"/>
        <v>102</v>
      </c>
      <c r="Y146">
        <f t="shared" si="92"/>
        <v>44</v>
      </c>
      <c r="Z146">
        <f t="shared" si="93"/>
        <v>33</v>
      </c>
      <c r="AA146">
        <f t="shared" si="94"/>
        <v>4</v>
      </c>
      <c r="AB146">
        <f t="shared" si="95"/>
        <v>6</v>
      </c>
      <c r="AC146">
        <f t="shared" si="96"/>
        <v>144</v>
      </c>
      <c r="AD146">
        <f t="shared" si="97"/>
        <v>32</v>
      </c>
      <c r="AF146">
        <f t="shared" si="98"/>
        <v>0</v>
      </c>
      <c r="AG146">
        <f t="shared" si="99"/>
        <v>0</v>
      </c>
      <c r="AH146">
        <f t="shared" si="100"/>
        <v>0</v>
      </c>
      <c r="AI146">
        <f t="shared" si="101"/>
        <v>0</v>
      </c>
      <c r="AJ146">
        <f t="shared" si="102"/>
        <v>0</v>
      </c>
      <c r="AK146">
        <f t="shared" si="103"/>
        <v>0</v>
      </c>
      <c r="AL146">
        <f t="shared" si="104"/>
        <v>0</v>
      </c>
      <c r="AM146">
        <f t="shared" si="105"/>
        <v>0</v>
      </c>
      <c r="AN146">
        <f t="shared" si="106"/>
        <v>0</v>
      </c>
      <c r="AO146">
        <f t="shared" si="107"/>
        <v>0</v>
      </c>
      <c r="AP146">
        <f t="shared" si="108"/>
        <v>0</v>
      </c>
      <c r="AQ146">
        <f t="shared" si="109"/>
        <v>0</v>
      </c>
    </row>
    <row r="147" spans="1:43" x14ac:dyDescent="0.35">
      <c r="A147" s="51">
        <v>33</v>
      </c>
      <c r="B147" s="50" t="s">
        <v>220</v>
      </c>
      <c r="C147" s="55" t="s">
        <v>105</v>
      </c>
      <c r="D147" s="51" t="s">
        <v>54</v>
      </c>
      <c r="E147" s="67">
        <v>3190.1767507792761</v>
      </c>
      <c r="F147">
        <f t="shared" si="74"/>
        <v>0</v>
      </c>
      <c r="G147">
        <f t="shared" si="75"/>
        <v>0</v>
      </c>
      <c r="H147">
        <f t="shared" si="76"/>
        <v>0</v>
      </c>
      <c r="I147">
        <f t="shared" si="77"/>
        <v>0</v>
      </c>
      <c r="J147">
        <f t="shared" si="78"/>
        <v>0</v>
      </c>
      <c r="K147">
        <f t="shared" si="79"/>
        <v>3190.1767507792761</v>
      </c>
      <c r="L147">
        <f t="shared" si="80"/>
        <v>0</v>
      </c>
      <c r="M147">
        <f t="shared" si="81"/>
        <v>0</v>
      </c>
      <c r="N147">
        <f t="shared" si="82"/>
        <v>0</v>
      </c>
      <c r="O147">
        <f t="shared" si="83"/>
        <v>0</v>
      </c>
      <c r="P147">
        <f t="shared" si="84"/>
        <v>0</v>
      </c>
      <c r="Q147">
        <f t="shared" si="85"/>
        <v>0</v>
      </c>
      <c r="S147">
        <f t="shared" si="86"/>
        <v>55</v>
      </c>
      <c r="T147">
        <f t="shared" si="87"/>
        <v>39</v>
      </c>
      <c r="U147">
        <f t="shared" si="88"/>
        <v>27</v>
      </c>
      <c r="V147">
        <f t="shared" si="89"/>
        <v>27</v>
      </c>
      <c r="W147">
        <f t="shared" si="90"/>
        <v>109</v>
      </c>
      <c r="X147">
        <f t="shared" si="91"/>
        <v>102</v>
      </c>
      <c r="Y147">
        <f t="shared" si="92"/>
        <v>44</v>
      </c>
      <c r="Z147">
        <f t="shared" si="93"/>
        <v>33</v>
      </c>
      <c r="AA147">
        <f t="shared" si="94"/>
        <v>4</v>
      </c>
      <c r="AB147">
        <f t="shared" si="95"/>
        <v>6</v>
      </c>
      <c r="AC147">
        <f t="shared" si="96"/>
        <v>144</v>
      </c>
      <c r="AD147">
        <f t="shared" si="97"/>
        <v>32</v>
      </c>
      <c r="AF147">
        <f t="shared" si="98"/>
        <v>0</v>
      </c>
      <c r="AG147">
        <f t="shared" si="99"/>
        <v>0</v>
      </c>
      <c r="AH147">
        <f t="shared" si="100"/>
        <v>0</v>
      </c>
      <c r="AI147">
        <f t="shared" si="101"/>
        <v>0</v>
      </c>
      <c r="AJ147">
        <f t="shared" si="102"/>
        <v>0</v>
      </c>
      <c r="AK147">
        <f t="shared" si="103"/>
        <v>0</v>
      </c>
      <c r="AL147">
        <f t="shared" si="104"/>
        <v>0</v>
      </c>
      <c r="AM147">
        <f t="shared" si="105"/>
        <v>0</v>
      </c>
      <c r="AN147">
        <f t="shared" si="106"/>
        <v>0</v>
      </c>
      <c r="AO147">
        <f t="shared" si="107"/>
        <v>0</v>
      </c>
      <c r="AP147">
        <f t="shared" si="108"/>
        <v>0</v>
      </c>
      <c r="AQ147">
        <f t="shared" si="109"/>
        <v>0</v>
      </c>
    </row>
    <row r="148" spans="1:43" x14ac:dyDescent="0.35">
      <c r="A148" s="51">
        <v>34</v>
      </c>
      <c r="B148" s="50" t="s">
        <v>220</v>
      </c>
      <c r="C148" s="55" t="s">
        <v>101</v>
      </c>
      <c r="D148" s="51" t="s">
        <v>67</v>
      </c>
      <c r="E148" s="67">
        <v>3472.5546186616402</v>
      </c>
      <c r="F148">
        <f t="shared" si="74"/>
        <v>0</v>
      </c>
      <c r="G148">
        <f t="shared" si="75"/>
        <v>0</v>
      </c>
      <c r="H148">
        <f t="shared" si="76"/>
        <v>0</v>
      </c>
      <c r="I148">
        <f t="shared" si="77"/>
        <v>3472.5546186616402</v>
      </c>
      <c r="J148">
        <f t="shared" si="78"/>
        <v>0</v>
      </c>
      <c r="K148">
        <f t="shared" si="79"/>
        <v>0</v>
      </c>
      <c r="L148">
        <f t="shared" si="80"/>
        <v>0</v>
      </c>
      <c r="M148">
        <f t="shared" si="81"/>
        <v>0</v>
      </c>
      <c r="N148">
        <f t="shared" si="82"/>
        <v>0</v>
      </c>
      <c r="O148">
        <f t="shared" si="83"/>
        <v>0</v>
      </c>
      <c r="P148">
        <f t="shared" si="84"/>
        <v>0</v>
      </c>
      <c r="Q148">
        <f t="shared" si="85"/>
        <v>0</v>
      </c>
      <c r="S148">
        <f t="shared" si="86"/>
        <v>55</v>
      </c>
      <c r="T148">
        <f t="shared" si="87"/>
        <v>39</v>
      </c>
      <c r="U148">
        <f t="shared" si="88"/>
        <v>27</v>
      </c>
      <c r="V148">
        <f t="shared" si="89"/>
        <v>27</v>
      </c>
      <c r="W148">
        <f t="shared" si="90"/>
        <v>109</v>
      </c>
      <c r="X148">
        <f t="shared" si="91"/>
        <v>101</v>
      </c>
      <c r="Y148">
        <f t="shared" si="92"/>
        <v>44</v>
      </c>
      <c r="Z148">
        <f t="shared" si="93"/>
        <v>33</v>
      </c>
      <c r="AA148">
        <f t="shared" si="94"/>
        <v>4</v>
      </c>
      <c r="AB148">
        <f t="shared" si="95"/>
        <v>6</v>
      </c>
      <c r="AC148">
        <f t="shared" si="96"/>
        <v>144</v>
      </c>
      <c r="AD148">
        <f t="shared" si="97"/>
        <v>32</v>
      </c>
      <c r="AF148">
        <f t="shared" si="98"/>
        <v>0</v>
      </c>
      <c r="AG148">
        <f t="shared" si="99"/>
        <v>0</v>
      </c>
      <c r="AH148">
        <f t="shared" si="100"/>
        <v>0</v>
      </c>
      <c r="AI148">
        <f t="shared" si="101"/>
        <v>0</v>
      </c>
      <c r="AJ148">
        <f t="shared" si="102"/>
        <v>0</v>
      </c>
      <c r="AK148">
        <f t="shared" si="103"/>
        <v>0</v>
      </c>
      <c r="AL148">
        <f t="shared" si="104"/>
        <v>0</v>
      </c>
      <c r="AM148">
        <f t="shared" si="105"/>
        <v>0</v>
      </c>
      <c r="AN148">
        <f t="shared" si="106"/>
        <v>0</v>
      </c>
      <c r="AO148">
        <f t="shared" si="107"/>
        <v>0</v>
      </c>
      <c r="AP148">
        <f t="shared" si="108"/>
        <v>0</v>
      </c>
      <c r="AQ148">
        <f t="shared" si="109"/>
        <v>0</v>
      </c>
    </row>
    <row r="149" spans="1:43" x14ac:dyDescent="0.35">
      <c r="A149" s="51">
        <v>35</v>
      </c>
      <c r="B149" s="50" t="s">
        <v>220</v>
      </c>
      <c r="C149" s="55" t="s">
        <v>107</v>
      </c>
      <c r="D149" s="51" t="s">
        <v>228</v>
      </c>
      <c r="E149" s="67">
        <v>2958.8289012060941</v>
      </c>
      <c r="F149">
        <f t="shared" si="74"/>
        <v>0</v>
      </c>
      <c r="G149">
        <f t="shared" si="75"/>
        <v>0</v>
      </c>
      <c r="H149">
        <f t="shared" si="76"/>
        <v>0</v>
      </c>
      <c r="I149">
        <f t="shared" si="77"/>
        <v>0</v>
      </c>
      <c r="J149">
        <f t="shared" si="78"/>
        <v>0</v>
      </c>
      <c r="K149">
        <f t="shared" si="79"/>
        <v>0</v>
      </c>
      <c r="L149">
        <f t="shared" si="80"/>
        <v>0</v>
      </c>
      <c r="M149">
        <f t="shared" si="81"/>
        <v>0</v>
      </c>
      <c r="N149">
        <f t="shared" si="82"/>
        <v>0</v>
      </c>
      <c r="O149">
        <f t="shared" si="83"/>
        <v>0</v>
      </c>
      <c r="P149">
        <f t="shared" si="84"/>
        <v>2958.8289012060941</v>
      </c>
      <c r="Q149">
        <f t="shared" si="85"/>
        <v>0</v>
      </c>
      <c r="S149">
        <f t="shared" si="86"/>
        <v>55</v>
      </c>
      <c r="T149">
        <f t="shared" si="87"/>
        <v>39</v>
      </c>
      <c r="U149">
        <f t="shared" si="88"/>
        <v>27</v>
      </c>
      <c r="V149">
        <f t="shared" si="89"/>
        <v>26</v>
      </c>
      <c r="W149">
        <f t="shared" si="90"/>
        <v>109</v>
      </c>
      <c r="X149">
        <f t="shared" si="91"/>
        <v>101</v>
      </c>
      <c r="Y149">
        <f t="shared" si="92"/>
        <v>44</v>
      </c>
      <c r="Z149">
        <f t="shared" si="93"/>
        <v>33</v>
      </c>
      <c r="AA149">
        <f t="shared" si="94"/>
        <v>4</v>
      </c>
      <c r="AB149">
        <f t="shared" si="95"/>
        <v>6</v>
      </c>
      <c r="AC149">
        <f t="shared" si="96"/>
        <v>144</v>
      </c>
      <c r="AD149">
        <f t="shared" si="97"/>
        <v>32</v>
      </c>
      <c r="AF149">
        <f t="shared" si="98"/>
        <v>0</v>
      </c>
      <c r="AG149">
        <f t="shared" si="99"/>
        <v>0</v>
      </c>
      <c r="AH149">
        <f t="shared" si="100"/>
        <v>0</v>
      </c>
      <c r="AI149">
        <f t="shared" si="101"/>
        <v>0</v>
      </c>
      <c r="AJ149">
        <f t="shared" si="102"/>
        <v>0</v>
      </c>
      <c r="AK149">
        <f t="shared" si="103"/>
        <v>0</v>
      </c>
      <c r="AL149">
        <f t="shared" si="104"/>
        <v>0</v>
      </c>
      <c r="AM149">
        <f t="shared" si="105"/>
        <v>0</v>
      </c>
      <c r="AN149">
        <f t="shared" si="106"/>
        <v>0</v>
      </c>
      <c r="AO149">
        <f t="shared" si="107"/>
        <v>0</v>
      </c>
      <c r="AP149">
        <f t="shared" si="108"/>
        <v>0</v>
      </c>
      <c r="AQ149">
        <f t="shared" si="109"/>
        <v>0</v>
      </c>
    </row>
    <row r="150" spans="1:43" x14ac:dyDescent="0.35">
      <c r="A150" s="51">
        <v>36</v>
      </c>
      <c r="B150" s="50" t="s">
        <v>220</v>
      </c>
      <c r="C150" s="55" t="s">
        <v>103</v>
      </c>
      <c r="D150" s="51" t="s">
        <v>94</v>
      </c>
      <c r="E150" s="67">
        <v>3084.619332650489</v>
      </c>
      <c r="F150">
        <f t="shared" si="74"/>
        <v>0</v>
      </c>
      <c r="G150">
        <f t="shared" si="75"/>
        <v>0</v>
      </c>
      <c r="H150">
        <f t="shared" si="76"/>
        <v>0</v>
      </c>
      <c r="I150">
        <f t="shared" si="77"/>
        <v>0</v>
      </c>
      <c r="J150">
        <f t="shared" si="78"/>
        <v>0</v>
      </c>
      <c r="K150">
        <f t="shared" si="79"/>
        <v>0</v>
      </c>
      <c r="L150">
        <f t="shared" si="80"/>
        <v>3084.619332650489</v>
      </c>
      <c r="M150">
        <f t="shared" si="81"/>
        <v>0</v>
      </c>
      <c r="N150">
        <f t="shared" si="82"/>
        <v>0</v>
      </c>
      <c r="O150">
        <f t="shared" si="83"/>
        <v>0</v>
      </c>
      <c r="P150">
        <f t="shared" si="84"/>
        <v>0</v>
      </c>
      <c r="Q150">
        <f t="shared" si="85"/>
        <v>0</v>
      </c>
      <c r="S150">
        <f t="shared" si="86"/>
        <v>55</v>
      </c>
      <c r="T150">
        <f t="shared" si="87"/>
        <v>39</v>
      </c>
      <c r="U150">
        <f t="shared" si="88"/>
        <v>27</v>
      </c>
      <c r="V150">
        <f t="shared" si="89"/>
        <v>26</v>
      </c>
      <c r="W150">
        <f t="shared" si="90"/>
        <v>109</v>
      </c>
      <c r="X150">
        <f t="shared" si="91"/>
        <v>101</v>
      </c>
      <c r="Y150">
        <f t="shared" si="92"/>
        <v>44</v>
      </c>
      <c r="Z150">
        <f t="shared" si="93"/>
        <v>33</v>
      </c>
      <c r="AA150">
        <f t="shared" si="94"/>
        <v>4</v>
      </c>
      <c r="AB150">
        <f t="shared" si="95"/>
        <v>6</v>
      </c>
      <c r="AC150">
        <f t="shared" si="96"/>
        <v>143</v>
      </c>
      <c r="AD150">
        <f t="shared" si="97"/>
        <v>32</v>
      </c>
      <c r="AF150">
        <f t="shared" si="98"/>
        <v>0</v>
      </c>
      <c r="AG150">
        <f t="shared" si="99"/>
        <v>0</v>
      </c>
      <c r="AH150">
        <f t="shared" si="100"/>
        <v>0</v>
      </c>
      <c r="AI150">
        <f t="shared" si="101"/>
        <v>0</v>
      </c>
      <c r="AJ150">
        <f t="shared" si="102"/>
        <v>0</v>
      </c>
      <c r="AK150">
        <f t="shared" si="103"/>
        <v>0</v>
      </c>
      <c r="AL150">
        <f t="shared" si="104"/>
        <v>0</v>
      </c>
      <c r="AM150">
        <f t="shared" si="105"/>
        <v>0</v>
      </c>
      <c r="AN150">
        <f t="shared" si="106"/>
        <v>0</v>
      </c>
      <c r="AO150">
        <f t="shared" si="107"/>
        <v>0</v>
      </c>
      <c r="AP150">
        <f t="shared" si="108"/>
        <v>0</v>
      </c>
      <c r="AQ150">
        <f t="shared" si="109"/>
        <v>0</v>
      </c>
    </row>
    <row r="151" spans="1:43" x14ac:dyDescent="0.35">
      <c r="A151" s="51">
        <v>37</v>
      </c>
      <c r="B151" s="50" t="s">
        <v>221</v>
      </c>
      <c r="C151" s="55" t="s">
        <v>104</v>
      </c>
      <c r="D151" s="51" t="s">
        <v>54</v>
      </c>
      <c r="E151" s="67">
        <v>3108.8531310541316</v>
      </c>
      <c r="F151">
        <f t="shared" si="74"/>
        <v>0</v>
      </c>
      <c r="G151">
        <f t="shared" si="75"/>
        <v>0</v>
      </c>
      <c r="H151">
        <f t="shared" si="76"/>
        <v>0</v>
      </c>
      <c r="I151">
        <f t="shared" si="77"/>
        <v>0</v>
      </c>
      <c r="J151">
        <f t="shared" si="78"/>
        <v>0</v>
      </c>
      <c r="K151">
        <f t="shared" si="79"/>
        <v>3108.8531310541316</v>
      </c>
      <c r="L151">
        <f t="shared" si="80"/>
        <v>0</v>
      </c>
      <c r="M151">
        <f t="shared" si="81"/>
        <v>0</v>
      </c>
      <c r="N151">
        <f t="shared" si="82"/>
        <v>0</v>
      </c>
      <c r="O151">
        <f t="shared" si="83"/>
        <v>0</v>
      </c>
      <c r="P151">
        <f t="shared" si="84"/>
        <v>0</v>
      </c>
      <c r="Q151">
        <f t="shared" si="85"/>
        <v>0</v>
      </c>
      <c r="S151">
        <f t="shared" si="86"/>
        <v>55</v>
      </c>
      <c r="T151">
        <f t="shared" si="87"/>
        <v>39</v>
      </c>
      <c r="U151">
        <f t="shared" si="88"/>
        <v>27</v>
      </c>
      <c r="V151">
        <f t="shared" si="89"/>
        <v>26</v>
      </c>
      <c r="W151">
        <f t="shared" si="90"/>
        <v>109</v>
      </c>
      <c r="X151">
        <f t="shared" si="91"/>
        <v>101</v>
      </c>
      <c r="Y151">
        <f t="shared" si="92"/>
        <v>43</v>
      </c>
      <c r="Z151">
        <f t="shared" si="93"/>
        <v>33</v>
      </c>
      <c r="AA151">
        <f t="shared" si="94"/>
        <v>4</v>
      </c>
      <c r="AB151">
        <f t="shared" si="95"/>
        <v>6</v>
      </c>
      <c r="AC151">
        <f t="shared" si="96"/>
        <v>143</v>
      </c>
      <c r="AD151">
        <f t="shared" si="97"/>
        <v>32</v>
      </c>
      <c r="AF151">
        <f t="shared" si="98"/>
        <v>0</v>
      </c>
      <c r="AG151">
        <f t="shared" si="99"/>
        <v>0</v>
      </c>
      <c r="AH151">
        <f t="shared" si="100"/>
        <v>0</v>
      </c>
      <c r="AI151">
        <f t="shared" si="101"/>
        <v>0</v>
      </c>
      <c r="AJ151">
        <f t="shared" si="102"/>
        <v>0</v>
      </c>
      <c r="AK151">
        <f t="shared" si="103"/>
        <v>0</v>
      </c>
      <c r="AL151">
        <f t="shared" si="104"/>
        <v>0</v>
      </c>
      <c r="AM151">
        <f t="shared" si="105"/>
        <v>0</v>
      </c>
      <c r="AN151">
        <f t="shared" si="106"/>
        <v>0</v>
      </c>
      <c r="AO151">
        <f t="shared" si="107"/>
        <v>0</v>
      </c>
      <c r="AP151">
        <f t="shared" si="108"/>
        <v>0</v>
      </c>
      <c r="AQ151">
        <f t="shared" si="109"/>
        <v>0</v>
      </c>
    </row>
    <row r="152" spans="1:43" x14ac:dyDescent="0.35">
      <c r="A152" s="51">
        <v>38</v>
      </c>
      <c r="B152" s="50" t="s">
        <v>221</v>
      </c>
      <c r="C152" s="55" t="s">
        <v>108</v>
      </c>
      <c r="D152" s="51" t="s">
        <v>80</v>
      </c>
      <c r="E152" s="67">
        <v>3190.1767507792761</v>
      </c>
      <c r="F152">
        <f t="shared" si="74"/>
        <v>0</v>
      </c>
      <c r="G152">
        <f t="shared" si="75"/>
        <v>0</v>
      </c>
      <c r="H152">
        <f t="shared" si="76"/>
        <v>3190.1767507792761</v>
      </c>
      <c r="I152">
        <f t="shared" si="77"/>
        <v>0</v>
      </c>
      <c r="J152">
        <f t="shared" si="78"/>
        <v>0</v>
      </c>
      <c r="K152">
        <f t="shared" si="79"/>
        <v>0</v>
      </c>
      <c r="L152">
        <f t="shared" si="80"/>
        <v>0</v>
      </c>
      <c r="M152">
        <f t="shared" si="81"/>
        <v>0</v>
      </c>
      <c r="N152">
        <f t="shared" si="82"/>
        <v>0</v>
      </c>
      <c r="O152">
        <f t="shared" si="83"/>
        <v>0</v>
      </c>
      <c r="P152">
        <f t="shared" si="84"/>
        <v>0</v>
      </c>
      <c r="Q152">
        <f t="shared" si="85"/>
        <v>0</v>
      </c>
      <c r="S152">
        <f t="shared" si="86"/>
        <v>55</v>
      </c>
      <c r="T152">
        <f t="shared" si="87"/>
        <v>39</v>
      </c>
      <c r="U152">
        <f t="shared" si="88"/>
        <v>27</v>
      </c>
      <c r="V152">
        <f t="shared" si="89"/>
        <v>26</v>
      </c>
      <c r="W152">
        <f t="shared" si="90"/>
        <v>109</v>
      </c>
      <c r="X152">
        <f t="shared" si="91"/>
        <v>100</v>
      </c>
      <c r="Y152">
        <f t="shared" si="92"/>
        <v>43</v>
      </c>
      <c r="Z152">
        <f t="shared" si="93"/>
        <v>33</v>
      </c>
      <c r="AA152">
        <f t="shared" si="94"/>
        <v>4</v>
      </c>
      <c r="AB152">
        <f t="shared" si="95"/>
        <v>6</v>
      </c>
      <c r="AC152">
        <f t="shared" si="96"/>
        <v>143</v>
      </c>
      <c r="AD152">
        <f t="shared" si="97"/>
        <v>32</v>
      </c>
      <c r="AF152">
        <f t="shared" si="98"/>
        <v>0</v>
      </c>
      <c r="AG152">
        <f t="shared" si="99"/>
        <v>0</v>
      </c>
      <c r="AH152">
        <f t="shared" si="100"/>
        <v>0</v>
      </c>
      <c r="AI152">
        <f t="shared" si="101"/>
        <v>0</v>
      </c>
      <c r="AJ152">
        <f t="shared" si="102"/>
        <v>0</v>
      </c>
      <c r="AK152">
        <f t="shared" si="103"/>
        <v>0</v>
      </c>
      <c r="AL152">
        <f t="shared" si="104"/>
        <v>0</v>
      </c>
      <c r="AM152">
        <f t="shared" si="105"/>
        <v>0</v>
      </c>
      <c r="AN152">
        <f t="shared" si="106"/>
        <v>0</v>
      </c>
      <c r="AO152">
        <f t="shared" si="107"/>
        <v>0</v>
      </c>
      <c r="AP152">
        <f t="shared" si="108"/>
        <v>0</v>
      </c>
      <c r="AQ152">
        <f t="shared" si="109"/>
        <v>0</v>
      </c>
    </row>
    <row r="153" spans="1:43" x14ac:dyDescent="0.35">
      <c r="A153" s="51">
        <v>39</v>
      </c>
      <c r="B153" s="50" t="s">
        <v>221</v>
      </c>
      <c r="C153" s="55" t="s">
        <v>109</v>
      </c>
      <c r="D153" s="51" t="s">
        <v>228</v>
      </c>
      <c r="E153" s="67">
        <v>3472.5546186616402</v>
      </c>
      <c r="F153">
        <f t="shared" si="74"/>
        <v>0</v>
      </c>
      <c r="G153">
        <f t="shared" si="75"/>
        <v>0</v>
      </c>
      <c r="H153">
        <f t="shared" si="76"/>
        <v>0</v>
      </c>
      <c r="I153">
        <f t="shared" si="77"/>
        <v>0</v>
      </c>
      <c r="J153">
        <f t="shared" si="78"/>
        <v>0</v>
      </c>
      <c r="K153">
        <f t="shared" si="79"/>
        <v>0</v>
      </c>
      <c r="L153">
        <f t="shared" si="80"/>
        <v>0</v>
      </c>
      <c r="M153">
        <f t="shared" si="81"/>
        <v>0</v>
      </c>
      <c r="N153">
        <f t="shared" si="82"/>
        <v>0</v>
      </c>
      <c r="O153">
        <f t="shared" si="83"/>
        <v>0</v>
      </c>
      <c r="P153">
        <f t="shared" si="84"/>
        <v>3472.5546186616402</v>
      </c>
      <c r="Q153">
        <f t="shared" si="85"/>
        <v>0</v>
      </c>
      <c r="S153">
        <f t="shared" si="86"/>
        <v>55</v>
      </c>
      <c r="T153">
        <f t="shared" si="87"/>
        <v>39</v>
      </c>
      <c r="U153">
        <f t="shared" si="88"/>
        <v>26</v>
      </c>
      <c r="V153">
        <f t="shared" si="89"/>
        <v>26</v>
      </c>
      <c r="W153">
        <f t="shared" si="90"/>
        <v>109</v>
      </c>
      <c r="X153">
        <f t="shared" si="91"/>
        <v>100</v>
      </c>
      <c r="Y153">
        <f t="shared" si="92"/>
        <v>43</v>
      </c>
      <c r="Z153">
        <f t="shared" si="93"/>
        <v>33</v>
      </c>
      <c r="AA153">
        <f t="shared" si="94"/>
        <v>4</v>
      </c>
      <c r="AB153">
        <f t="shared" si="95"/>
        <v>6</v>
      </c>
      <c r="AC153">
        <f t="shared" si="96"/>
        <v>143</v>
      </c>
      <c r="AD153">
        <f t="shared" si="97"/>
        <v>32</v>
      </c>
      <c r="AF153">
        <f t="shared" si="98"/>
        <v>0</v>
      </c>
      <c r="AG153">
        <f t="shared" si="99"/>
        <v>0</v>
      </c>
      <c r="AH153">
        <f t="shared" si="100"/>
        <v>0</v>
      </c>
      <c r="AI153">
        <f t="shared" si="101"/>
        <v>0</v>
      </c>
      <c r="AJ153">
        <f t="shared" si="102"/>
        <v>0</v>
      </c>
      <c r="AK153">
        <f t="shared" si="103"/>
        <v>0</v>
      </c>
      <c r="AL153">
        <f t="shared" si="104"/>
        <v>0</v>
      </c>
      <c r="AM153">
        <f t="shared" si="105"/>
        <v>0</v>
      </c>
      <c r="AN153">
        <f t="shared" si="106"/>
        <v>0</v>
      </c>
      <c r="AO153">
        <f t="shared" si="107"/>
        <v>0</v>
      </c>
      <c r="AP153">
        <f t="shared" si="108"/>
        <v>0</v>
      </c>
      <c r="AQ153">
        <f t="shared" si="109"/>
        <v>0</v>
      </c>
    </row>
    <row r="154" spans="1:43" x14ac:dyDescent="0.35">
      <c r="A154" s="51">
        <v>40</v>
      </c>
      <c r="B154" s="50" t="s">
        <v>221</v>
      </c>
      <c r="C154" s="55" t="s">
        <v>111</v>
      </c>
      <c r="D154" s="51" t="s">
        <v>60</v>
      </c>
      <c r="E154" s="67">
        <v>2958.8289012060941</v>
      </c>
      <c r="F154">
        <f t="shared" si="74"/>
        <v>0</v>
      </c>
      <c r="G154">
        <f t="shared" si="75"/>
        <v>0</v>
      </c>
      <c r="H154">
        <f t="shared" si="76"/>
        <v>0</v>
      </c>
      <c r="I154">
        <f t="shared" si="77"/>
        <v>0</v>
      </c>
      <c r="J154">
        <f t="shared" si="78"/>
        <v>2958.8289012060941</v>
      </c>
      <c r="K154">
        <f t="shared" si="79"/>
        <v>0</v>
      </c>
      <c r="L154">
        <f t="shared" si="80"/>
        <v>0</v>
      </c>
      <c r="M154">
        <f t="shared" si="81"/>
        <v>0</v>
      </c>
      <c r="N154">
        <f t="shared" si="82"/>
        <v>0</v>
      </c>
      <c r="O154">
        <f t="shared" si="83"/>
        <v>0</v>
      </c>
      <c r="P154">
        <f t="shared" si="84"/>
        <v>0</v>
      </c>
      <c r="Q154">
        <f t="shared" si="85"/>
        <v>0</v>
      </c>
      <c r="S154">
        <f t="shared" si="86"/>
        <v>55</v>
      </c>
      <c r="T154">
        <f t="shared" si="87"/>
        <v>39</v>
      </c>
      <c r="U154">
        <f t="shared" si="88"/>
        <v>26</v>
      </c>
      <c r="V154">
        <f t="shared" si="89"/>
        <v>26</v>
      </c>
      <c r="W154">
        <f t="shared" si="90"/>
        <v>109</v>
      </c>
      <c r="X154">
        <f t="shared" si="91"/>
        <v>100</v>
      </c>
      <c r="Y154">
        <f t="shared" si="92"/>
        <v>43</v>
      </c>
      <c r="Z154">
        <f t="shared" si="93"/>
        <v>33</v>
      </c>
      <c r="AA154">
        <f t="shared" si="94"/>
        <v>4</v>
      </c>
      <c r="AB154">
        <f t="shared" si="95"/>
        <v>6</v>
      </c>
      <c r="AC154">
        <f t="shared" si="96"/>
        <v>142</v>
      </c>
      <c r="AD154">
        <f t="shared" si="97"/>
        <v>32</v>
      </c>
      <c r="AF154">
        <f t="shared" si="98"/>
        <v>0</v>
      </c>
      <c r="AG154">
        <f t="shared" si="99"/>
        <v>0</v>
      </c>
      <c r="AH154">
        <f t="shared" si="100"/>
        <v>0</v>
      </c>
      <c r="AI154">
        <f t="shared" si="101"/>
        <v>0</v>
      </c>
      <c r="AJ154">
        <f t="shared" si="102"/>
        <v>0</v>
      </c>
      <c r="AK154">
        <f t="shared" si="103"/>
        <v>0</v>
      </c>
      <c r="AL154">
        <f t="shared" si="104"/>
        <v>0</v>
      </c>
      <c r="AM154">
        <f t="shared" si="105"/>
        <v>0</v>
      </c>
      <c r="AN154">
        <f t="shared" si="106"/>
        <v>0</v>
      </c>
      <c r="AO154">
        <f t="shared" si="107"/>
        <v>0</v>
      </c>
      <c r="AP154">
        <f t="shared" si="108"/>
        <v>0</v>
      </c>
      <c r="AQ154">
        <f t="shared" si="109"/>
        <v>0</v>
      </c>
    </row>
    <row r="155" spans="1:43" x14ac:dyDescent="0.35">
      <c r="A155" s="51">
        <v>41</v>
      </c>
      <c r="B155" s="50" t="s">
        <v>221</v>
      </c>
      <c r="C155" s="55" t="s">
        <v>112</v>
      </c>
      <c r="D155" s="51" t="s">
        <v>222</v>
      </c>
      <c r="E155" s="67">
        <v>3084.619332650489</v>
      </c>
      <c r="F155">
        <f t="shared" si="74"/>
        <v>0</v>
      </c>
      <c r="G155">
        <f t="shared" si="75"/>
        <v>0</v>
      </c>
      <c r="H155">
        <f t="shared" si="76"/>
        <v>0</v>
      </c>
      <c r="I155">
        <f t="shared" si="77"/>
        <v>0</v>
      </c>
      <c r="J155">
        <f t="shared" si="78"/>
        <v>0</v>
      </c>
      <c r="K155">
        <f t="shared" si="79"/>
        <v>0</v>
      </c>
      <c r="L155">
        <f t="shared" si="80"/>
        <v>0</v>
      </c>
      <c r="M155">
        <f t="shared" si="81"/>
        <v>0</v>
      </c>
      <c r="N155">
        <f t="shared" si="82"/>
        <v>0</v>
      </c>
      <c r="O155">
        <f t="shared" si="83"/>
        <v>0</v>
      </c>
      <c r="P155">
        <f t="shared" si="84"/>
        <v>0</v>
      </c>
      <c r="Q155">
        <f t="shared" si="85"/>
        <v>3084.619332650489</v>
      </c>
      <c r="S155">
        <f t="shared" si="86"/>
        <v>55</v>
      </c>
      <c r="T155">
        <f t="shared" si="87"/>
        <v>39</v>
      </c>
      <c r="U155">
        <f t="shared" si="88"/>
        <v>26</v>
      </c>
      <c r="V155">
        <f t="shared" si="89"/>
        <v>26</v>
      </c>
      <c r="W155">
        <f t="shared" si="90"/>
        <v>108</v>
      </c>
      <c r="X155">
        <f t="shared" si="91"/>
        <v>100</v>
      </c>
      <c r="Y155">
        <f t="shared" si="92"/>
        <v>43</v>
      </c>
      <c r="Z155">
        <f t="shared" si="93"/>
        <v>33</v>
      </c>
      <c r="AA155">
        <f t="shared" si="94"/>
        <v>4</v>
      </c>
      <c r="AB155">
        <f t="shared" si="95"/>
        <v>6</v>
      </c>
      <c r="AC155">
        <f t="shared" si="96"/>
        <v>142</v>
      </c>
      <c r="AD155">
        <f t="shared" si="97"/>
        <v>32</v>
      </c>
      <c r="AF155">
        <f t="shared" si="98"/>
        <v>0</v>
      </c>
      <c r="AG155">
        <f t="shared" si="99"/>
        <v>0</v>
      </c>
      <c r="AH155">
        <f t="shared" si="100"/>
        <v>0</v>
      </c>
      <c r="AI155">
        <f t="shared" si="101"/>
        <v>0</v>
      </c>
      <c r="AJ155">
        <f t="shared" si="102"/>
        <v>0</v>
      </c>
      <c r="AK155">
        <f t="shared" si="103"/>
        <v>0</v>
      </c>
      <c r="AL155">
        <f t="shared" si="104"/>
        <v>0</v>
      </c>
      <c r="AM155">
        <f t="shared" si="105"/>
        <v>0</v>
      </c>
      <c r="AN155">
        <f t="shared" si="106"/>
        <v>0</v>
      </c>
      <c r="AO155">
        <f t="shared" si="107"/>
        <v>0</v>
      </c>
      <c r="AP155">
        <f t="shared" si="108"/>
        <v>0</v>
      </c>
      <c r="AQ155">
        <f t="shared" si="109"/>
        <v>0</v>
      </c>
    </row>
    <row r="156" spans="1:43" x14ac:dyDescent="0.35">
      <c r="A156" s="51">
        <v>42</v>
      </c>
      <c r="B156" s="50" t="s">
        <v>221</v>
      </c>
      <c r="C156" s="55" t="s">
        <v>113</v>
      </c>
      <c r="D156" s="51" t="s">
        <v>94</v>
      </c>
      <c r="E156" s="67">
        <v>3108.8531310541316</v>
      </c>
      <c r="F156">
        <f t="shared" si="74"/>
        <v>0</v>
      </c>
      <c r="G156">
        <f t="shared" si="75"/>
        <v>0</v>
      </c>
      <c r="H156">
        <f t="shared" si="76"/>
        <v>0</v>
      </c>
      <c r="I156">
        <f t="shared" si="77"/>
        <v>0</v>
      </c>
      <c r="J156">
        <f t="shared" si="78"/>
        <v>0</v>
      </c>
      <c r="K156">
        <f t="shared" si="79"/>
        <v>0</v>
      </c>
      <c r="L156">
        <f t="shared" si="80"/>
        <v>3108.8531310541316</v>
      </c>
      <c r="M156">
        <f t="shared" si="81"/>
        <v>0</v>
      </c>
      <c r="N156">
        <f t="shared" si="82"/>
        <v>0</v>
      </c>
      <c r="O156">
        <f t="shared" si="83"/>
        <v>0</v>
      </c>
      <c r="P156">
        <f t="shared" si="84"/>
        <v>0</v>
      </c>
      <c r="Q156">
        <f t="shared" si="85"/>
        <v>0</v>
      </c>
      <c r="S156">
        <f t="shared" si="86"/>
        <v>55</v>
      </c>
      <c r="T156">
        <f t="shared" si="87"/>
        <v>39</v>
      </c>
      <c r="U156">
        <f t="shared" si="88"/>
        <v>26</v>
      </c>
      <c r="V156">
        <f t="shared" si="89"/>
        <v>26</v>
      </c>
      <c r="W156">
        <f t="shared" si="90"/>
        <v>108</v>
      </c>
      <c r="X156">
        <f t="shared" si="91"/>
        <v>100</v>
      </c>
      <c r="Y156">
        <f t="shared" si="92"/>
        <v>43</v>
      </c>
      <c r="Z156">
        <f t="shared" si="93"/>
        <v>33</v>
      </c>
      <c r="AA156">
        <f t="shared" si="94"/>
        <v>4</v>
      </c>
      <c r="AB156">
        <f t="shared" si="95"/>
        <v>6</v>
      </c>
      <c r="AC156">
        <f t="shared" si="96"/>
        <v>142</v>
      </c>
      <c r="AD156">
        <f t="shared" si="97"/>
        <v>31</v>
      </c>
      <c r="AF156">
        <f t="shared" si="98"/>
        <v>0</v>
      </c>
      <c r="AG156">
        <f t="shared" si="99"/>
        <v>0</v>
      </c>
      <c r="AH156">
        <f t="shared" si="100"/>
        <v>0</v>
      </c>
      <c r="AI156">
        <f t="shared" si="101"/>
        <v>0</v>
      </c>
      <c r="AJ156">
        <f t="shared" si="102"/>
        <v>0</v>
      </c>
      <c r="AK156">
        <f t="shared" si="103"/>
        <v>0</v>
      </c>
      <c r="AL156">
        <f t="shared" si="104"/>
        <v>0</v>
      </c>
      <c r="AM156">
        <f t="shared" si="105"/>
        <v>0</v>
      </c>
      <c r="AN156">
        <f t="shared" si="106"/>
        <v>0</v>
      </c>
      <c r="AO156">
        <f t="shared" si="107"/>
        <v>0</v>
      </c>
      <c r="AP156">
        <f t="shared" si="108"/>
        <v>0</v>
      </c>
      <c r="AQ156">
        <f t="shared" si="109"/>
        <v>0</v>
      </c>
    </row>
    <row r="157" spans="1:43" x14ac:dyDescent="0.35">
      <c r="A157" s="51">
        <v>43</v>
      </c>
      <c r="B157" s="50" t="s">
        <v>223</v>
      </c>
      <c r="C157" s="55" t="s">
        <v>115</v>
      </c>
      <c r="D157" s="51" t="s">
        <v>76</v>
      </c>
      <c r="E157" s="67">
        <v>3191.6685549610279</v>
      </c>
      <c r="F157">
        <f t="shared" si="74"/>
        <v>3191.6685549610279</v>
      </c>
      <c r="G157">
        <f t="shared" si="75"/>
        <v>0</v>
      </c>
      <c r="H157">
        <f t="shared" si="76"/>
        <v>0</v>
      </c>
      <c r="I157">
        <f t="shared" si="77"/>
        <v>0</v>
      </c>
      <c r="J157">
        <f t="shared" si="78"/>
        <v>0</v>
      </c>
      <c r="K157">
        <f t="shared" si="79"/>
        <v>0</v>
      </c>
      <c r="L157">
        <f t="shared" si="80"/>
        <v>0</v>
      </c>
      <c r="M157">
        <f t="shared" si="81"/>
        <v>0</v>
      </c>
      <c r="N157">
        <f t="shared" si="82"/>
        <v>0</v>
      </c>
      <c r="O157">
        <f t="shared" si="83"/>
        <v>0</v>
      </c>
      <c r="P157">
        <f t="shared" si="84"/>
        <v>0</v>
      </c>
      <c r="Q157">
        <f t="shared" si="85"/>
        <v>0</v>
      </c>
      <c r="S157">
        <f t="shared" si="86"/>
        <v>55</v>
      </c>
      <c r="T157">
        <f t="shared" si="87"/>
        <v>39</v>
      </c>
      <c r="U157">
        <f t="shared" si="88"/>
        <v>26</v>
      </c>
      <c r="V157">
        <f t="shared" si="89"/>
        <v>26</v>
      </c>
      <c r="W157">
        <f t="shared" si="90"/>
        <v>108</v>
      </c>
      <c r="X157">
        <f t="shared" si="91"/>
        <v>100</v>
      </c>
      <c r="Y157">
        <f t="shared" si="92"/>
        <v>42</v>
      </c>
      <c r="Z157">
        <f t="shared" si="93"/>
        <v>33</v>
      </c>
      <c r="AA157">
        <f t="shared" si="94"/>
        <v>4</v>
      </c>
      <c r="AB157">
        <f t="shared" si="95"/>
        <v>6</v>
      </c>
      <c r="AC157">
        <f t="shared" si="96"/>
        <v>142</v>
      </c>
      <c r="AD157">
        <f t="shared" si="97"/>
        <v>31</v>
      </c>
      <c r="AF157">
        <f t="shared" si="98"/>
        <v>0</v>
      </c>
      <c r="AG157">
        <f t="shared" si="99"/>
        <v>0</v>
      </c>
      <c r="AH157">
        <f t="shared" si="100"/>
        <v>0</v>
      </c>
      <c r="AI157">
        <f t="shared" si="101"/>
        <v>0</v>
      </c>
      <c r="AJ157">
        <f t="shared" si="102"/>
        <v>0</v>
      </c>
      <c r="AK157">
        <f t="shared" si="103"/>
        <v>0</v>
      </c>
      <c r="AL157">
        <f t="shared" si="104"/>
        <v>0</v>
      </c>
      <c r="AM157">
        <f t="shared" si="105"/>
        <v>0</v>
      </c>
      <c r="AN157">
        <f t="shared" si="106"/>
        <v>0</v>
      </c>
      <c r="AO157">
        <f t="shared" si="107"/>
        <v>0</v>
      </c>
      <c r="AP157">
        <f t="shared" si="108"/>
        <v>0</v>
      </c>
      <c r="AQ157">
        <f t="shared" si="109"/>
        <v>0</v>
      </c>
    </row>
    <row r="158" spans="1:43" x14ac:dyDescent="0.35">
      <c r="A158" s="51">
        <v>44</v>
      </c>
      <c r="B158" s="50" t="s">
        <v>223</v>
      </c>
      <c r="C158" s="55" t="s">
        <v>117</v>
      </c>
      <c r="D158" s="51" t="s">
        <v>76</v>
      </c>
      <c r="E158" s="67">
        <v>3719.5094723300967</v>
      </c>
      <c r="F158">
        <f t="shared" si="74"/>
        <v>3719.5094723300967</v>
      </c>
      <c r="G158">
        <f t="shared" si="75"/>
        <v>0</v>
      </c>
      <c r="H158">
        <f t="shared" si="76"/>
        <v>0</v>
      </c>
      <c r="I158">
        <f t="shared" si="77"/>
        <v>0</v>
      </c>
      <c r="J158">
        <f t="shared" si="78"/>
        <v>0</v>
      </c>
      <c r="K158">
        <f t="shared" si="79"/>
        <v>0</v>
      </c>
      <c r="L158">
        <f t="shared" si="80"/>
        <v>0</v>
      </c>
      <c r="M158">
        <f t="shared" si="81"/>
        <v>0</v>
      </c>
      <c r="N158">
        <f t="shared" si="82"/>
        <v>0</v>
      </c>
      <c r="O158">
        <f t="shared" si="83"/>
        <v>0</v>
      </c>
      <c r="P158">
        <f t="shared" si="84"/>
        <v>0</v>
      </c>
      <c r="Q158">
        <f t="shared" si="85"/>
        <v>0</v>
      </c>
      <c r="S158">
        <f t="shared" si="86"/>
        <v>54</v>
      </c>
      <c r="T158">
        <f t="shared" si="87"/>
        <v>39</v>
      </c>
      <c r="U158">
        <f t="shared" si="88"/>
        <v>26</v>
      </c>
      <c r="V158">
        <f t="shared" si="89"/>
        <v>26</v>
      </c>
      <c r="W158">
        <f t="shared" si="90"/>
        <v>108</v>
      </c>
      <c r="X158">
        <f t="shared" si="91"/>
        <v>100</v>
      </c>
      <c r="Y158">
        <f t="shared" si="92"/>
        <v>42</v>
      </c>
      <c r="Z158">
        <f t="shared" si="93"/>
        <v>33</v>
      </c>
      <c r="AA158">
        <f t="shared" si="94"/>
        <v>4</v>
      </c>
      <c r="AB158">
        <f t="shared" si="95"/>
        <v>6</v>
      </c>
      <c r="AC158">
        <f t="shared" si="96"/>
        <v>142</v>
      </c>
      <c r="AD158">
        <f t="shared" si="97"/>
        <v>31</v>
      </c>
      <c r="AF158">
        <f t="shared" si="98"/>
        <v>0</v>
      </c>
      <c r="AG158">
        <f t="shared" si="99"/>
        <v>0</v>
      </c>
      <c r="AH158">
        <f t="shared" si="100"/>
        <v>0</v>
      </c>
      <c r="AI158">
        <f t="shared" si="101"/>
        <v>0</v>
      </c>
      <c r="AJ158">
        <f t="shared" si="102"/>
        <v>0</v>
      </c>
      <c r="AK158">
        <f t="shared" si="103"/>
        <v>0</v>
      </c>
      <c r="AL158">
        <f t="shared" si="104"/>
        <v>0</v>
      </c>
      <c r="AM158">
        <f t="shared" si="105"/>
        <v>0</v>
      </c>
      <c r="AN158">
        <f t="shared" si="106"/>
        <v>0</v>
      </c>
      <c r="AO158">
        <f t="shared" si="107"/>
        <v>0</v>
      </c>
      <c r="AP158">
        <f t="shared" si="108"/>
        <v>0</v>
      </c>
      <c r="AQ158">
        <f t="shared" si="109"/>
        <v>0</v>
      </c>
    </row>
    <row r="159" spans="1:43" x14ac:dyDescent="0.35">
      <c r="A159" s="51">
        <v>45</v>
      </c>
      <c r="B159" s="50" t="s">
        <v>223</v>
      </c>
      <c r="C159" s="55" t="s">
        <v>116</v>
      </c>
      <c r="D159" s="51" t="s">
        <v>227</v>
      </c>
      <c r="E159" s="67">
        <v>3422.5354345131814</v>
      </c>
      <c r="F159">
        <f t="shared" si="74"/>
        <v>0</v>
      </c>
      <c r="G159">
        <f t="shared" si="75"/>
        <v>3422.5354345131814</v>
      </c>
      <c r="H159">
        <f t="shared" si="76"/>
        <v>0</v>
      </c>
      <c r="I159">
        <f t="shared" si="77"/>
        <v>0</v>
      </c>
      <c r="J159">
        <f t="shared" si="78"/>
        <v>0</v>
      </c>
      <c r="K159">
        <f t="shared" si="79"/>
        <v>0</v>
      </c>
      <c r="L159">
        <f t="shared" si="80"/>
        <v>0</v>
      </c>
      <c r="M159">
        <f t="shared" si="81"/>
        <v>0</v>
      </c>
      <c r="N159">
        <f t="shared" si="82"/>
        <v>0</v>
      </c>
      <c r="O159">
        <f t="shared" si="83"/>
        <v>0</v>
      </c>
      <c r="P159">
        <f t="shared" si="84"/>
        <v>0</v>
      </c>
      <c r="Q159">
        <f t="shared" si="85"/>
        <v>0</v>
      </c>
      <c r="S159">
        <f t="shared" si="86"/>
        <v>53</v>
      </c>
      <c r="T159">
        <f t="shared" si="87"/>
        <v>39</v>
      </c>
      <c r="U159">
        <f t="shared" si="88"/>
        <v>26</v>
      </c>
      <c r="V159">
        <f t="shared" si="89"/>
        <v>26</v>
      </c>
      <c r="W159">
        <f t="shared" si="90"/>
        <v>108</v>
      </c>
      <c r="X159">
        <f t="shared" si="91"/>
        <v>100</v>
      </c>
      <c r="Y159">
        <f t="shared" si="92"/>
        <v>42</v>
      </c>
      <c r="Z159">
        <f t="shared" si="93"/>
        <v>33</v>
      </c>
      <c r="AA159">
        <f t="shared" si="94"/>
        <v>4</v>
      </c>
      <c r="AB159">
        <f t="shared" si="95"/>
        <v>6</v>
      </c>
      <c r="AC159">
        <f t="shared" si="96"/>
        <v>142</v>
      </c>
      <c r="AD159">
        <f t="shared" si="97"/>
        <v>31</v>
      </c>
      <c r="AF159">
        <f t="shared" si="98"/>
        <v>0</v>
      </c>
      <c r="AG159">
        <f t="shared" si="99"/>
        <v>0</v>
      </c>
      <c r="AH159">
        <f t="shared" si="100"/>
        <v>0</v>
      </c>
      <c r="AI159">
        <f t="shared" si="101"/>
        <v>0</v>
      </c>
      <c r="AJ159">
        <f t="shared" si="102"/>
        <v>0</v>
      </c>
      <c r="AK159">
        <f t="shared" si="103"/>
        <v>0</v>
      </c>
      <c r="AL159">
        <f t="shared" si="104"/>
        <v>0</v>
      </c>
      <c r="AM159">
        <f t="shared" si="105"/>
        <v>0</v>
      </c>
      <c r="AN159">
        <f t="shared" si="106"/>
        <v>0</v>
      </c>
      <c r="AO159">
        <f t="shared" si="107"/>
        <v>0</v>
      </c>
      <c r="AP159">
        <f t="shared" si="108"/>
        <v>0</v>
      </c>
      <c r="AQ159">
        <f t="shared" si="109"/>
        <v>0</v>
      </c>
    </row>
    <row r="160" spans="1:43" x14ac:dyDescent="0.35">
      <c r="A160" s="51">
        <v>46</v>
      </c>
      <c r="B160" s="50" t="s">
        <v>223</v>
      </c>
      <c r="C160" s="55" t="s">
        <v>118</v>
      </c>
      <c r="D160" s="51" t="s">
        <v>80</v>
      </c>
      <c r="E160" s="67">
        <v>3088.0583490427098</v>
      </c>
      <c r="F160">
        <f t="shared" si="74"/>
        <v>0</v>
      </c>
      <c r="G160">
        <f t="shared" si="75"/>
        <v>0</v>
      </c>
      <c r="H160">
        <f t="shared" si="76"/>
        <v>3088.0583490427098</v>
      </c>
      <c r="I160">
        <f t="shared" si="77"/>
        <v>0</v>
      </c>
      <c r="J160">
        <f t="shared" si="78"/>
        <v>0</v>
      </c>
      <c r="K160">
        <f t="shared" si="79"/>
        <v>0</v>
      </c>
      <c r="L160">
        <f t="shared" si="80"/>
        <v>0</v>
      </c>
      <c r="M160">
        <f t="shared" si="81"/>
        <v>0</v>
      </c>
      <c r="N160">
        <f t="shared" si="82"/>
        <v>0</v>
      </c>
      <c r="O160">
        <f t="shared" si="83"/>
        <v>0</v>
      </c>
      <c r="P160">
        <f t="shared" si="84"/>
        <v>0</v>
      </c>
      <c r="Q160">
        <f t="shared" si="85"/>
        <v>0</v>
      </c>
      <c r="S160">
        <f t="shared" si="86"/>
        <v>53</v>
      </c>
      <c r="T160">
        <f t="shared" si="87"/>
        <v>38</v>
      </c>
      <c r="U160">
        <f t="shared" si="88"/>
        <v>26</v>
      </c>
      <c r="V160">
        <f t="shared" si="89"/>
        <v>26</v>
      </c>
      <c r="W160">
        <f t="shared" si="90"/>
        <v>108</v>
      </c>
      <c r="X160">
        <f t="shared" si="91"/>
        <v>100</v>
      </c>
      <c r="Y160">
        <f t="shared" si="92"/>
        <v>42</v>
      </c>
      <c r="Z160">
        <f t="shared" si="93"/>
        <v>33</v>
      </c>
      <c r="AA160">
        <f t="shared" si="94"/>
        <v>4</v>
      </c>
      <c r="AB160">
        <f t="shared" si="95"/>
        <v>6</v>
      </c>
      <c r="AC160">
        <f t="shared" si="96"/>
        <v>142</v>
      </c>
      <c r="AD160">
        <f t="shared" si="97"/>
        <v>31</v>
      </c>
      <c r="AF160">
        <f t="shared" si="98"/>
        <v>0</v>
      </c>
      <c r="AG160">
        <f t="shared" si="99"/>
        <v>0</v>
      </c>
      <c r="AH160">
        <f t="shared" si="100"/>
        <v>0</v>
      </c>
      <c r="AI160">
        <f t="shared" si="101"/>
        <v>0</v>
      </c>
      <c r="AJ160">
        <f t="shared" si="102"/>
        <v>0</v>
      </c>
      <c r="AK160">
        <f t="shared" si="103"/>
        <v>0</v>
      </c>
      <c r="AL160">
        <f t="shared" si="104"/>
        <v>0</v>
      </c>
      <c r="AM160">
        <f t="shared" si="105"/>
        <v>0</v>
      </c>
      <c r="AN160">
        <f t="shared" si="106"/>
        <v>0</v>
      </c>
      <c r="AO160">
        <f t="shared" si="107"/>
        <v>0</v>
      </c>
      <c r="AP160">
        <f t="shared" si="108"/>
        <v>0</v>
      </c>
      <c r="AQ160">
        <f t="shared" si="109"/>
        <v>0</v>
      </c>
    </row>
    <row r="161" spans="1:43" x14ac:dyDescent="0.35">
      <c r="A161" s="51">
        <v>47</v>
      </c>
      <c r="B161" s="50" t="s">
        <v>224</v>
      </c>
      <c r="C161" s="55" t="s">
        <v>120</v>
      </c>
      <c r="D161" s="51" t="s">
        <v>57</v>
      </c>
      <c r="E161" s="67">
        <v>2529.3027090966516</v>
      </c>
      <c r="F161">
        <f t="shared" si="74"/>
        <v>0</v>
      </c>
      <c r="G161">
        <f t="shared" si="75"/>
        <v>0</v>
      </c>
      <c r="H161">
        <f t="shared" si="76"/>
        <v>0</v>
      </c>
      <c r="I161">
        <f t="shared" si="77"/>
        <v>0</v>
      </c>
      <c r="J161">
        <f t="shared" si="78"/>
        <v>0</v>
      </c>
      <c r="K161">
        <f t="shared" si="79"/>
        <v>0</v>
      </c>
      <c r="L161">
        <f t="shared" si="80"/>
        <v>0</v>
      </c>
      <c r="M161">
        <f t="shared" si="81"/>
        <v>2529.3027090966516</v>
      </c>
      <c r="N161">
        <f t="shared" si="82"/>
        <v>0</v>
      </c>
      <c r="O161">
        <f t="shared" si="83"/>
        <v>0</v>
      </c>
      <c r="P161">
        <f t="shared" si="84"/>
        <v>0</v>
      </c>
      <c r="Q161">
        <f t="shared" si="85"/>
        <v>0</v>
      </c>
      <c r="S161">
        <f t="shared" si="86"/>
        <v>53</v>
      </c>
      <c r="T161">
        <f t="shared" si="87"/>
        <v>38</v>
      </c>
      <c r="U161">
        <f t="shared" si="88"/>
        <v>25</v>
      </c>
      <c r="V161">
        <f t="shared" si="89"/>
        <v>26</v>
      </c>
      <c r="W161">
        <f t="shared" si="90"/>
        <v>108</v>
      </c>
      <c r="X161">
        <f t="shared" si="91"/>
        <v>100</v>
      </c>
      <c r="Y161">
        <f t="shared" si="92"/>
        <v>42</v>
      </c>
      <c r="Z161">
        <f t="shared" si="93"/>
        <v>33</v>
      </c>
      <c r="AA161">
        <f t="shared" si="94"/>
        <v>4</v>
      </c>
      <c r="AB161">
        <f t="shared" si="95"/>
        <v>6</v>
      </c>
      <c r="AC161">
        <f t="shared" si="96"/>
        <v>142</v>
      </c>
      <c r="AD161">
        <f t="shared" si="97"/>
        <v>31</v>
      </c>
      <c r="AF161">
        <f t="shared" si="98"/>
        <v>0</v>
      </c>
      <c r="AG161">
        <f t="shared" si="99"/>
        <v>0</v>
      </c>
      <c r="AH161">
        <f t="shared" si="100"/>
        <v>0</v>
      </c>
      <c r="AI161">
        <f t="shared" si="101"/>
        <v>0</v>
      </c>
      <c r="AJ161">
        <f t="shared" si="102"/>
        <v>0</v>
      </c>
      <c r="AK161">
        <f t="shared" si="103"/>
        <v>0</v>
      </c>
      <c r="AL161">
        <f t="shared" si="104"/>
        <v>0</v>
      </c>
      <c r="AM161">
        <f t="shared" si="105"/>
        <v>0</v>
      </c>
      <c r="AN161">
        <f t="shared" si="106"/>
        <v>0</v>
      </c>
      <c r="AO161">
        <f t="shared" si="107"/>
        <v>0</v>
      </c>
      <c r="AP161">
        <f t="shared" si="108"/>
        <v>0</v>
      </c>
      <c r="AQ161">
        <f t="shared" si="109"/>
        <v>0</v>
      </c>
    </row>
    <row r="162" spans="1:43" x14ac:dyDescent="0.35">
      <c r="A162" s="51">
        <v>48</v>
      </c>
      <c r="B162" s="50" t="s">
        <v>224</v>
      </c>
      <c r="C162" s="55" t="s">
        <v>122</v>
      </c>
      <c r="D162" s="51" t="s">
        <v>60</v>
      </c>
      <c r="E162" s="67">
        <v>2415.3737611152028</v>
      </c>
      <c r="F162">
        <f t="shared" si="74"/>
        <v>0</v>
      </c>
      <c r="G162">
        <f t="shared" si="75"/>
        <v>0</v>
      </c>
      <c r="H162">
        <f t="shared" si="76"/>
        <v>0</v>
      </c>
      <c r="I162">
        <f t="shared" si="77"/>
        <v>0</v>
      </c>
      <c r="J162">
        <f t="shared" si="78"/>
        <v>2415.3737611152028</v>
      </c>
      <c r="K162">
        <f t="shared" si="79"/>
        <v>0</v>
      </c>
      <c r="L162">
        <f t="shared" si="80"/>
        <v>0</v>
      </c>
      <c r="M162">
        <f t="shared" si="81"/>
        <v>0</v>
      </c>
      <c r="N162">
        <f t="shared" si="82"/>
        <v>0</v>
      </c>
      <c r="O162">
        <f t="shared" si="83"/>
        <v>0</v>
      </c>
      <c r="P162">
        <f t="shared" si="84"/>
        <v>0</v>
      </c>
      <c r="Q162">
        <f t="shared" si="85"/>
        <v>0</v>
      </c>
      <c r="S162">
        <f t="shared" si="86"/>
        <v>53</v>
      </c>
      <c r="T162">
        <f t="shared" si="87"/>
        <v>38</v>
      </c>
      <c r="U162">
        <f t="shared" si="88"/>
        <v>25</v>
      </c>
      <c r="V162">
        <f t="shared" si="89"/>
        <v>26</v>
      </c>
      <c r="W162">
        <f t="shared" si="90"/>
        <v>108</v>
      </c>
      <c r="X162">
        <f t="shared" si="91"/>
        <v>100</v>
      </c>
      <c r="Y162">
        <f t="shared" si="92"/>
        <v>42</v>
      </c>
      <c r="Z162">
        <f t="shared" si="93"/>
        <v>32</v>
      </c>
      <c r="AA162">
        <f t="shared" si="94"/>
        <v>4</v>
      </c>
      <c r="AB162">
        <f t="shared" si="95"/>
        <v>6</v>
      </c>
      <c r="AC162">
        <f t="shared" si="96"/>
        <v>142</v>
      </c>
      <c r="AD162">
        <f t="shared" si="97"/>
        <v>31</v>
      </c>
      <c r="AF162">
        <f t="shared" si="98"/>
        <v>0</v>
      </c>
      <c r="AG162">
        <f t="shared" si="99"/>
        <v>0</v>
      </c>
      <c r="AH162">
        <f t="shared" si="100"/>
        <v>0</v>
      </c>
      <c r="AI162">
        <f t="shared" si="101"/>
        <v>0</v>
      </c>
      <c r="AJ162">
        <f t="shared" si="102"/>
        <v>0</v>
      </c>
      <c r="AK162">
        <f t="shared" si="103"/>
        <v>0</v>
      </c>
      <c r="AL162">
        <f t="shared" si="104"/>
        <v>0</v>
      </c>
      <c r="AM162">
        <f t="shared" si="105"/>
        <v>0</v>
      </c>
      <c r="AN162">
        <f t="shared" si="106"/>
        <v>0</v>
      </c>
      <c r="AO162">
        <f t="shared" si="107"/>
        <v>0</v>
      </c>
      <c r="AP162">
        <f t="shared" si="108"/>
        <v>0</v>
      </c>
      <c r="AQ162">
        <f t="shared" si="109"/>
        <v>0</v>
      </c>
    </row>
    <row r="163" spans="1:43" x14ac:dyDescent="0.35">
      <c r="A163" s="51">
        <v>49</v>
      </c>
      <c r="B163" s="50" t="s">
        <v>224</v>
      </c>
      <c r="C163" s="55" t="s">
        <v>121</v>
      </c>
      <c r="D163" s="51" t="s">
        <v>80</v>
      </c>
      <c r="E163" s="67">
        <v>2580.6972763276895</v>
      </c>
      <c r="F163">
        <f t="shared" si="74"/>
        <v>0</v>
      </c>
      <c r="G163">
        <f t="shared" si="75"/>
        <v>0</v>
      </c>
      <c r="H163">
        <f t="shared" si="76"/>
        <v>2580.6972763276895</v>
      </c>
      <c r="I163">
        <f t="shared" si="77"/>
        <v>0</v>
      </c>
      <c r="J163">
        <f t="shared" si="78"/>
        <v>0</v>
      </c>
      <c r="K163">
        <f t="shared" si="79"/>
        <v>0</v>
      </c>
      <c r="L163">
        <f t="shared" si="80"/>
        <v>0</v>
      </c>
      <c r="M163">
        <f t="shared" si="81"/>
        <v>0</v>
      </c>
      <c r="N163">
        <f t="shared" si="82"/>
        <v>0</v>
      </c>
      <c r="O163">
        <f t="shared" si="83"/>
        <v>0</v>
      </c>
      <c r="P163">
        <f t="shared" si="84"/>
        <v>0</v>
      </c>
      <c r="Q163">
        <f t="shared" si="85"/>
        <v>0</v>
      </c>
      <c r="S163">
        <f t="shared" si="86"/>
        <v>53</v>
      </c>
      <c r="T163">
        <f t="shared" si="87"/>
        <v>38</v>
      </c>
      <c r="U163">
        <f t="shared" si="88"/>
        <v>25</v>
      </c>
      <c r="V163">
        <f t="shared" si="89"/>
        <v>26</v>
      </c>
      <c r="W163">
        <f t="shared" si="90"/>
        <v>107</v>
      </c>
      <c r="X163">
        <f t="shared" si="91"/>
        <v>100</v>
      </c>
      <c r="Y163">
        <f t="shared" si="92"/>
        <v>42</v>
      </c>
      <c r="Z163">
        <f t="shared" si="93"/>
        <v>32</v>
      </c>
      <c r="AA163">
        <f t="shared" si="94"/>
        <v>4</v>
      </c>
      <c r="AB163">
        <f t="shared" si="95"/>
        <v>6</v>
      </c>
      <c r="AC163">
        <f t="shared" si="96"/>
        <v>142</v>
      </c>
      <c r="AD163">
        <f t="shared" si="97"/>
        <v>31</v>
      </c>
      <c r="AF163">
        <f t="shared" si="98"/>
        <v>0</v>
      </c>
      <c r="AG163">
        <f t="shared" si="99"/>
        <v>0</v>
      </c>
      <c r="AH163">
        <f t="shared" si="100"/>
        <v>0</v>
      </c>
      <c r="AI163">
        <f t="shared" si="101"/>
        <v>0</v>
      </c>
      <c r="AJ163">
        <f t="shared" si="102"/>
        <v>0</v>
      </c>
      <c r="AK163">
        <f t="shared" si="103"/>
        <v>0</v>
      </c>
      <c r="AL163">
        <f t="shared" si="104"/>
        <v>0</v>
      </c>
      <c r="AM163">
        <f t="shared" si="105"/>
        <v>0</v>
      </c>
      <c r="AN163">
        <f t="shared" si="106"/>
        <v>0</v>
      </c>
      <c r="AO163">
        <f t="shared" si="107"/>
        <v>0</v>
      </c>
      <c r="AP163">
        <f t="shared" si="108"/>
        <v>0</v>
      </c>
      <c r="AQ163">
        <f t="shared" si="109"/>
        <v>0</v>
      </c>
    </row>
    <row r="164" spans="1:43" x14ac:dyDescent="0.35">
      <c r="A164" s="51">
        <v>50</v>
      </c>
      <c r="B164" s="50" t="s">
        <v>225</v>
      </c>
      <c r="C164" s="55" t="s">
        <v>124</v>
      </c>
      <c r="D164" s="51" t="s">
        <v>67</v>
      </c>
      <c r="E164" s="67">
        <v>2578.6702518175116</v>
      </c>
      <c r="F164">
        <f t="shared" si="74"/>
        <v>0</v>
      </c>
      <c r="G164">
        <f t="shared" si="75"/>
        <v>0</v>
      </c>
      <c r="H164">
        <f t="shared" si="76"/>
        <v>0</v>
      </c>
      <c r="I164">
        <f t="shared" si="77"/>
        <v>2578.6702518175116</v>
      </c>
      <c r="J164">
        <f t="shared" si="78"/>
        <v>0</v>
      </c>
      <c r="K164">
        <f t="shared" si="79"/>
        <v>0</v>
      </c>
      <c r="L164">
        <f t="shared" si="80"/>
        <v>0</v>
      </c>
      <c r="M164">
        <f t="shared" si="81"/>
        <v>0</v>
      </c>
      <c r="N164">
        <f t="shared" si="82"/>
        <v>0</v>
      </c>
      <c r="O164">
        <f t="shared" si="83"/>
        <v>0</v>
      </c>
      <c r="P164">
        <f t="shared" si="84"/>
        <v>0</v>
      </c>
      <c r="Q164">
        <f t="shared" si="85"/>
        <v>0</v>
      </c>
      <c r="S164">
        <f t="shared" si="86"/>
        <v>53</v>
      </c>
      <c r="T164">
        <f t="shared" si="87"/>
        <v>38</v>
      </c>
      <c r="U164">
        <f t="shared" si="88"/>
        <v>24</v>
      </c>
      <c r="V164">
        <f t="shared" si="89"/>
        <v>26</v>
      </c>
      <c r="W164">
        <f t="shared" si="90"/>
        <v>107</v>
      </c>
      <c r="X164">
        <f t="shared" si="91"/>
        <v>100</v>
      </c>
      <c r="Y164">
        <f t="shared" si="92"/>
        <v>42</v>
      </c>
      <c r="Z164">
        <f t="shared" si="93"/>
        <v>32</v>
      </c>
      <c r="AA164">
        <f t="shared" si="94"/>
        <v>4</v>
      </c>
      <c r="AB164">
        <f t="shared" si="95"/>
        <v>6</v>
      </c>
      <c r="AC164">
        <f t="shared" si="96"/>
        <v>142</v>
      </c>
      <c r="AD164">
        <f t="shared" si="97"/>
        <v>31</v>
      </c>
      <c r="AF164">
        <f t="shared" si="98"/>
        <v>0</v>
      </c>
      <c r="AG164">
        <f t="shared" si="99"/>
        <v>0</v>
      </c>
      <c r="AH164">
        <f t="shared" si="100"/>
        <v>0</v>
      </c>
      <c r="AI164">
        <f t="shared" si="101"/>
        <v>0</v>
      </c>
      <c r="AJ164">
        <f t="shared" si="102"/>
        <v>0</v>
      </c>
      <c r="AK164">
        <f t="shared" si="103"/>
        <v>0</v>
      </c>
      <c r="AL164">
        <f t="shared" si="104"/>
        <v>0</v>
      </c>
      <c r="AM164">
        <f t="shared" si="105"/>
        <v>0</v>
      </c>
      <c r="AN164">
        <f t="shared" si="106"/>
        <v>0</v>
      </c>
      <c r="AO164">
        <f t="shared" si="107"/>
        <v>0</v>
      </c>
      <c r="AP164">
        <f t="shared" si="108"/>
        <v>0</v>
      </c>
      <c r="AQ164">
        <f t="shared" si="109"/>
        <v>0</v>
      </c>
    </row>
    <row r="165" spans="1:43" x14ac:dyDescent="0.35">
      <c r="A165" s="51">
        <v>51</v>
      </c>
      <c r="B165" s="50" t="s">
        <v>225</v>
      </c>
      <c r="C165" s="55" t="s">
        <v>126</v>
      </c>
      <c r="D165" s="51" t="s">
        <v>54</v>
      </c>
      <c r="E165" s="67">
        <v>2580.0803157545779</v>
      </c>
      <c r="F165">
        <f t="shared" si="74"/>
        <v>0</v>
      </c>
      <c r="G165">
        <f t="shared" si="75"/>
        <v>0</v>
      </c>
      <c r="H165">
        <f t="shared" si="76"/>
        <v>0</v>
      </c>
      <c r="I165">
        <f t="shared" si="77"/>
        <v>0</v>
      </c>
      <c r="J165">
        <f t="shared" si="78"/>
        <v>0</v>
      </c>
      <c r="K165">
        <f t="shared" si="79"/>
        <v>2580.0803157545779</v>
      </c>
      <c r="L165">
        <f t="shared" si="80"/>
        <v>0</v>
      </c>
      <c r="M165">
        <f t="shared" si="81"/>
        <v>0</v>
      </c>
      <c r="N165">
        <f t="shared" si="82"/>
        <v>0</v>
      </c>
      <c r="O165">
        <f t="shared" si="83"/>
        <v>0</v>
      </c>
      <c r="P165">
        <f t="shared" si="84"/>
        <v>0</v>
      </c>
      <c r="Q165">
        <f t="shared" si="85"/>
        <v>0</v>
      </c>
      <c r="S165">
        <f t="shared" si="86"/>
        <v>53</v>
      </c>
      <c r="T165">
        <f t="shared" si="87"/>
        <v>38</v>
      </c>
      <c r="U165">
        <f t="shared" si="88"/>
        <v>24</v>
      </c>
      <c r="V165">
        <f t="shared" si="89"/>
        <v>25</v>
      </c>
      <c r="W165">
        <f t="shared" si="90"/>
        <v>107</v>
      </c>
      <c r="X165">
        <f t="shared" si="91"/>
        <v>100</v>
      </c>
      <c r="Y165">
        <f t="shared" si="92"/>
        <v>42</v>
      </c>
      <c r="Z165">
        <f t="shared" si="93"/>
        <v>32</v>
      </c>
      <c r="AA165">
        <f t="shared" si="94"/>
        <v>4</v>
      </c>
      <c r="AB165">
        <f t="shared" si="95"/>
        <v>6</v>
      </c>
      <c r="AC165">
        <f t="shared" si="96"/>
        <v>142</v>
      </c>
      <c r="AD165">
        <f t="shared" si="97"/>
        <v>31</v>
      </c>
      <c r="AF165">
        <f t="shared" si="98"/>
        <v>0</v>
      </c>
      <c r="AG165">
        <f t="shared" si="99"/>
        <v>0</v>
      </c>
      <c r="AH165">
        <f t="shared" si="100"/>
        <v>0</v>
      </c>
      <c r="AI165">
        <f t="shared" si="101"/>
        <v>0</v>
      </c>
      <c r="AJ165">
        <f t="shared" si="102"/>
        <v>0</v>
      </c>
      <c r="AK165">
        <f t="shared" si="103"/>
        <v>0</v>
      </c>
      <c r="AL165">
        <f t="shared" si="104"/>
        <v>0</v>
      </c>
      <c r="AM165">
        <f t="shared" si="105"/>
        <v>0</v>
      </c>
      <c r="AN165">
        <f t="shared" si="106"/>
        <v>0</v>
      </c>
      <c r="AO165">
        <f t="shared" si="107"/>
        <v>0</v>
      </c>
      <c r="AP165">
        <f t="shared" si="108"/>
        <v>0</v>
      </c>
      <c r="AQ165">
        <f t="shared" si="109"/>
        <v>0</v>
      </c>
    </row>
    <row r="166" spans="1:43" x14ac:dyDescent="0.35">
      <c r="A166" s="51">
        <v>52</v>
      </c>
      <c r="B166" s="50" t="s">
        <v>225</v>
      </c>
      <c r="C166" s="55" t="s">
        <v>130</v>
      </c>
      <c r="D166" s="51" t="s">
        <v>228</v>
      </c>
      <c r="E166" s="67">
        <v>3394.4483465740445</v>
      </c>
      <c r="F166">
        <f t="shared" si="74"/>
        <v>0</v>
      </c>
      <c r="G166">
        <f t="shared" si="75"/>
        <v>0</v>
      </c>
      <c r="H166">
        <f t="shared" si="76"/>
        <v>0</v>
      </c>
      <c r="I166">
        <f t="shared" si="77"/>
        <v>0</v>
      </c>
      <c r="J166">
        <f t="shared" si="78"/>
        <v>0</v>
      </c>
      <c r="K166">
        <f t="shared" si="79"/>
        <v>0</v>
      </c>
      <c r="L166">
        <f t="shared" si="80"/>
        <v>0</v>
      </c>
      <c r="M166">
        <f t="shared" si="81"/>
        <v>0</v>
      </c>
      <c r="N166">
        <f t="shared" si="82"/>
        <v>0</v>
      </c>
      <c r="O166">
        <f t="shared" si="83"/>
        <v>0</v>
      </c>
      <c r="P166">
        <f t="shared" si="84"/>
        <v>3394.4483465740445</v>
      </c>
      <c r="Q166">
        <f t="shared" si="85"/>
        <v>0</v>
      </c>
      <c r="S166">
        <f t="shared" si="86"/>
        <v>53</v>
      </c>
      <c r="T166">
        <f t="shared" si="87"/>
        <v>38</v>
      </c>
      <c r="U166">
        <f t="shared" si="88"/>
        <v>24</v>
      </c>
      <c r="V166">
        <f t="shared" si="89"/>
        <v>25</v>
      </c>
      <c r="W166">
        <f t="shared" si="90"/>
        <v>107</v>
      </c>
      <c r="X166">
        <f t="shared" si="91"/>
        <v>99</v>
      </c>
      <c r="Y166">
        <f t="shared" si="92"/>
        <v>42</v>
      </c>
      <c r="Z166">
        <f t="shared" si="93"/>
        <v>32</v>
      </c>
      <c r="AA166">
        <f t="shared" si="94"/>
        <v>4</v>
      </c>
      <c r="AB166">
        <f t="shared" si="95"/>
        <v>6</v>
      </c>
      <c r="AC166">
        <f t="shared" si="96"/>
        <v>142</v>
      </c>
      <c r="AD166">
        <f t="shared" si="97"/>
        <v>31</v>
      </c>
      <c r="AF166">
        <f t="shared" si="98"/>
        <v>0</v>
      </c>
      <c r="AG166">
        <f t="shared" si="99"/>
        <v>0</v>
      </c>
      <c r="AH166">
        <f t="shared" si="100"/>
        <v>0</v>
      </c>
      <c r="AI166">
        <f t="shared" si="101"/>
        <v>0</v>
      </c>
      <c r="AJ166">
        <f t="shared" si="102"/>
        <v>0</v>
      </c>
      <c r="AK166">
        <f t="shared" si="103"/>
        <v>0</v>
      </c>
      <c r="AL166">
        <f t="shared" si="104"/>
        <v>0</v>
      </c>
      <c r="AM166">
        <f t="shared" si="105"/>
        <v>0</v>
      </c>
      <c r="AN166">
        <f t="shared" si="106"/>
        <v>0</v>
      </c>
      <c r="AO166">
        <f t="shared" si="107"/>
        <v>0</v>
      </c>
      <c r="AP166">
        <f t="shared" si="108"/>
        <v>0</v>
      </c>
      <c r="AQ166">
        <f t="shared" si="109"/>
        <v>0</v>
      </c>
    </row>
    <row r="167" spans="1:43" x14ac:dyDescent="0.35">
      <c r="A167" s="51">
        <v>53</v>
      </c>
      <c r="B167" s="50" t="s">
        <v>225</v>
      </c>
      <c r="C167" s="55" t="s">
        <v>129</v>
      </c>
      <c r="D167" s="51" t="s">
        <v>67</v>
      </c>
      <c r="E167" s="67">
        <v>3346.1075228381378</v>
      </c>
      <c r="F167">
        <f t="shared" si="74"/>
        <v>0</v>
      </c>
      <c r="G167">
        <f t="shared" si="75"/>
        <v>0</v>
      </c>
      <c r="H167">
        <f t="shared" si="76"/>
        <v>0</v>
      </c>
      <c r="I167">
        <f t="shared" si="77"/>
        <v>3346.1075228381378</v>
      </c>
      <c r="J167">
        <f t="shared" si="78"/>
        <v>0</v>
      </c>
      <c r="K167">
        <f t="shared" si="79"/>
        <v>0</v>
      </c>
      <c r="L167">
        <f t="shared" si="80"/>
        <v>0</v>
      </c>
      <c r="M167">
        <f t="shared" si="81"/>
        <v>0</v>
      </c>
      <c r="N167">
        <f t="shared" si="82"/>
        <v>0</v>
      </c>
      <c r="O167">
        <f t="shared" si="83"/>
        <v>0</v>
      </c>
      <c r="P167">
        <f t="shared" si="84"/>
        <v>0</v>
      </c>
      <c r="Q167">
        <f t="shared" si="85"/>
        <v>0</v>
      </c>
      <c r="S167">
        <f t="shared" si="86"/>
        <v>53</v>
      </c>
      <c r="T167">
        <f t="shared" si="87"/>
        <v>38</v>
      </c>
      <c r="U167">
        <f t="shared" si="88"/>
        <v>24</v>
      </c>
      <c r="V167">
        <f t="shared" si="89"/>
        <v>25</v>
      </c>
      <c r="W167">
        <f t="shared" si="90"/>
        <v>107</v>
      </c>
      <c r="X167">
        <f t="shared" si="91"/>
        <v>99</v>
      </c>
      <c r="Y167">
        <f t="shared" si="92"/>
        <v>42</v>
      </c>
      <c r="Z167">
        <f t="shared" si="93"/>
        <v>32</v>
      </c>
      <c r="AA167">
        <f t="shared" si="94"/>
        <v>4</v>
      </c>
      <c r="AB167">
        <f t="shared" si="95"/>
        <v>6</v>
      </c>
      <c r="AC167">
        <f t="shared" si="96"/>
        <v>141</v>
      </c>
      <c r="AD167">
        <f t="shared" si="97"/>
        <v>31</v>
      </c>
      <c r="AF167">
        <f t="shared" si="98"/>
        <v>0</v>
      </c>
      <c r="AG167">
        <f t="shared" si="99"/>
        <v>0</v>
      </c>
      <c r="AH167">
        <f t="shared" si="100"/>
        <v>0</v>
      </c>
      <c r="AI167">
        <f t="shared" si="101"/>
        <v>0</v>
      </c>
      <c r="AJ167">
        <f t="shared" si="102"/>
        <v>0</v>
      </c>
      <c r="AK167">
        <f t="shared" si="103"/>
        <v>0</v>
      </c>
      <c r="AL167">
        <f t="shared" si="104"/>
        <v>0</v>
      </c>
      <c r="AM167">
        <f t="shared" si="105"/>
        <v>0</v>
      </c>
      <c r="AN167">
        <f t="shared" si="106"/>
        <v>0</v>
      </c>
      <c r="AO167">
        <f t="shared" si="107"/>
        <v>0</v>
      </c>
      <c r="AP167">
        <f t="shared" si="108"/>
        <v>0</v>
      </c>
      <c r="AQ167">
        <f t="shared" si="109"/>
        <v>0</v>
      </c>
    </row>
    <row r="168" spans="1:43" x14ac:dyDescent="0.35">
      <c r="A168" s="51">
        <v>54</v>
      </c>
      <c r="B168" s="50" t="s">
        <v>226</v>
      </c>
      <c r="C168" s="55" t="s">
        <v>131</v>
      </c>
      <c r="D168" s="51" t="s">
        <v>94</v>
      </c>
      <c r="E168" s="67">
        <v>3295.7756277502895</v>
      </c>
      <c r="F168">
        <f t="shared" si="74"/>
        <v>0</v>
      </c>
      <c r="G168">
        <f t="shared" si="75"/>
        <v>0</v>
      </c>
      <c r="H168">
        <f t="shared" si="76"/>
        <v>0</v>
      </c>
      <c r="I168">
        <f t="shared" si="77"/>
        <v>0</v>
      </c>
      <c r="J168">
        <f t="shared" si="78"/>
        <v>0</v>
      </c>
      <c r="K168">
        <f t="shared" si="79"/>
        <v>0</v>
      </c>
      <c r="L168">
        <f t="shared" si="80"/>
        <v>3295.7756277502895</v>
      </c>
      <c r="M168">
        <f t="shared" si="81"/>
        <v>0</v>
      </c>
      <c r="N168">
        <f t="shared" si="82"/>
        <v>0</v>
      </c>
      <c r="O168">
        <f t="shared" si="83"/>
        <v>0</v>
      </c>
      <c r="P168">
        <f t="shared" si="84"/>
        <v>0</v>
      </c>
      <c r="Q168">
        <f t="shared" si="85"/>
        <v>0</v>
      </c>
      <c r="S168">
        <f t="shared" ref="S168:S234" si="110">IF(F168&gt;0,1,0)+S169</f>
        <v>53</v>
      </c>
      <c r="T168">
        <f t="shared" ref="T168:T234" si="111">IF(G168&gt;0,1,0)+T169</f>
        <v>38</v>
      </c>
      <c r="U168">
        <f t="shared" ref="U168:U234" si="112">IF(H168&gt;0,1,0)+U169</f>
        <v>24</v>
      </c>
      <c r="V168">
        <f t="shared" ref="V168:V234" si="113">IF(I168&gt;0,1,0)+V169</f>
        <v>24</v>
      </c>
      <c r="W168">
        <f t="shared" ref="W168:W234" si="114">IF(J168&gt;0,1,0)+W169</f>
        <v>107</v>
      </c>
      <c r="X168">
        <f t="shared" ref="X168:X234" si="115">IF(K168&gt;0,1,0)+X169</f>
        <v>99</v>
      </c>
      <c r="Y168">
        <f t="shared" ref="Y168:Y234" si="116">IF(L168&gt;0,1,0)+Y169</f>
        <v>42</v>
      </c>
      <c r="Z168">
        <f t="shared" ref="Z168:Z234" si="117">IF(M168&gt;0,1,0)+Z169</f>
        <v>32</v>
      </c>
      <c r="AA168">
        <f t="shared" ref="AA168:AA234" si="118">IF(N168&gt;0,1,0)+AA169</f>
        <v>4</v>
      </c>
      <c r="AB168">
        <f t="shared" ref="AB168:AB234" si="119">IF(O168&gt;0,1,0)+AB169</f>
        <v>6</v>
      </c>
      <c r="AC168">
        <f t="shared" ref="AC168:AC234" si="120">IF(P168&gt;0,1,0)+AC169</f>
        <v>141</v>
      </c>
      <c r="AD168">
        <f t="shared" ref="AD168:AD234" si="121">IF(Q168&gt;0,1,0)+AD169</f>
        <v>31</v>
      </c>
      <c r="AF168">
        <f t="shared" si="98"/>
        <v>0</v>
      </c>
      <c r="AG168">
        <f t="shared" si="99"/>
        <v>0</v>
      </c>
      <c r="AH168">
        <f t="shared" si="100"/>
        <v>0</v>
      </c>
      <c r="AI168">
        <f t="shared" si="101"/>
        <v>0</v>
      </c>
      <c r="AJ168">
        <f t="shared" si="102"/>
        <v>0</v>
      </c>
      <c r="AK168">
        <f t="shared" si="103"/>
        <v>0</v>
      </c>
      <c r="AL168">
        <f t="shared" si="104"/>
        <v>0</v>
      </c>
      <c r="AM168">
        <f t="shared" si="105"/>
        <v>0</v>
      </c>
      <c r="AN168">
        <f t="shared" si="106"/>
        <v>0</v>
      </c>
      <c r="AO168">
        <f t="shared" si="107"/>
        <v>0</v>
      </c>
      <c r="AP168">
        <f t="shared" si="108"/>
        <v>0</v>
      </c>
      <c r="AQ168">
        <f t="shared" si="109"/>
        <v>0</v>
      </c>
    </row>
    <row r="169" spans="1:43" x14ac:dyDescent="0.35">
      <c r="A169" s="51">
        <v>55</v>
      </c>
      <c r="B169" s="50" t="s">
        <v>226</v>
      </c>
      <c r="C169" s="55" t="s">
        <v>134</v>
      </c>
      <c r="D169" s="51" t="s">
        <v>228</v>
      </c>
      <c r="E169" s="67">
        <v>3263.5423108668206</v>
      </c>
      <c r="F169">
        <f t="shared" si="74"/>
        <v>0</v>
      </c>
      <c r="G169">
        <f t="shared" si="75"/>
        <v>0</v>
      </c>
      <c r="H169">
        <f t="shared" si="76"/>
        <v>0</v>
      </c>
      <c r="I169">
        <f t="shared" si="77"/>
        <v>0</v>
      </c>
      <c r="J169">
        <f t="shared" si="78"/>
        <v>0</v>
      </c>
      <c r="K169">
        <f t="shared" si="79"/>
        <v>0</v>
      </c>
      <c r="L169">
        <f t="shared" si="80"/>
        <v>0</v>
      </c>
      <c r="M169">
        <f t="shared" si="81"/>
        <v>0</v>
      </c>
      <c r="N169">
        <f t="shared" si="82"/>
        <v>0</v>
      </c>
      <c r="O169">
        <f t="shared" si="83"/>
        <v>0</v>
      </c>
      <c r="P169">
        <f t="shared" si="84"/>
        <v>3263.5423108668206</v>
      </c>
      <c r="Q169">
        <f t="shared" si="85"/>
        <v>0</v>
      </c>
      <c r="S169">
        <f t="shared" si="110"/>
        <v>53</v>
      </c>
      <c r="T169">
        <f t="shared" si="111"/>
        <v>38</v>
      </c>
      <c r="U169">
        <f t="shared" si="112"/>
        <v>24</v>
      </c>
      <c r="V169">
        <f t="shared" si="113"/>
        <v>24</v>
      </c>
      <c r="W169">
        <f t="shared" si="114"/>
        <v>107</v>
      </c>
      <c r="X169">
        <f t="shared" si="115"/>
        <v>99</v>
      </c>
      <c r="Y169">
        <f t="shared" si="116"/>
        <v>41</v>
      </c>
      <c r="Z169">
        <f t="shared" si="117"/>
        <v>32</v>
      </c>
      <c r="AA169">
        <f t="shared" si="118"/>
        <v>4</v>
      </c>
      <c r="AB169">
        <f t="shared" si="119"/>
        <v>6</v>
      </c>
      <c r="AC169">
        <f t="shared" si="120"/>
        <v>141</v>
      </c>
      <c r="AD169">
        <f t="shared" si="121"/>
        <v>31</v>
      </c>
      <c r="AF169">
        <f t="shared" si="98"/>
        <v>0</v>
      </c>
      <c r="AG169">
        <f t="shared" si="99"/>
        <v>0</v>
      </c>
      <c r="AH169">
        <f t="shared" si="100"/>
        <v>0</v>
      </c>
      <c r="AI169">
        <f t="shared" si="101"/>
        <v>0</v>
      </c>
      <c r="AJ169">
        <f t="shared" si="102"/>
        <v>0</v>
      </c>
      <c r="AK169">
        <f t="shared" si="103"/>
        <v>0</v>
      </c>
      <c r="AL169">
        <f t="shared" si="104"/>
        <v>0</v>
      </c>
      <c r="AM169">
        <f t="shared" si="105"/>
        <v>0</v>
      </c>
      <c r="AN169">
        <f t="shared" si="106"/>
        <v>0</v>
      </c>
      <c r="AO169">
        <f t="shared" si="107"/>
        <v>0</v>
      </c>
      <c r="AP169">
        <f t="shared" si="108"/>
        <v>0</v>
      </c>
      <c r="AQ169">
        <f t="shared" si="109"/>
        <v>0</v>
      </c>
    </row>
    <row r="170" spans="1:43" x14ac:dyDescent="0.35">
      <c r="A170" s="51">
        <v>56</v>
      </c>
      <c r="B170" s="50" t="s">
        <v>226</v>
      </c>
      <c r="C170" s="55" t="s">
        <v>133</v>
      </c>
      <c r="D170" s="51" t="s">
        <v>222</v>
      </c>
      <c r="E170" s="67">
        <v>3565.8660486235631</v>
      </c>
      <c r="F170">
        <f t="shared" si="74"/>
        <v>0</v>
      </c>
      <c r="G170">
        <f t="shared" si="75"/>
        <v>0</v>
      </c>
      <c r="H170">
        <f t="shared" si="76"/>
        <v>0</v>
      </c>
      <c r="I170">
        <f t="shared" si="77"/>
        <v>0</v>
      </c>
      <c r="J170">
        <f t="shared" si="78"/>
        <v>0</v>
      </c>
      <c r="K170">
        <f t="shared" si="79"/>
        <v>0</v>
      </c>
      <c r="L170">
        <f t="shared" si="80"/>
        <v>0</v>
      </c>
      <c r="M170">
        <f t="shared" si="81"/>
        <v>0</v>
      </c>
      <c r="N170">
        <f t="shared" si="82"/>
        <v>0</v>
      </c>
      <c r="O170">
        <f t="shared" si="83"/>
        <v>0</v>
      </c>
      <c r="P170">
        <f t="shared" si="84"/>
        <v>0</v>
      </c>
      <c r="Q170">
        <f t="shared" si="85"/>
        <v>3565.8660486235631</v>
      </c>
      <c r="S170">
        <f t="shared" si="110"/>
        <v>53</v>
      </c>
      <c r="T170">
        <f t="shared" si="111"/>
        <v>38</v>
      </c>
      <c r="U170">
        <f t="shared" si="112"/>
        <v>24</v>
      </c>
      <c r="V170">
        <f t="shared" si="113"/>
        <v>24</v>
      </c>
      <c r="W170">
        <f t="shared" si="114"/>
        <v>107</v>
      </c>
      <c r="X170">
        <f t="shared" si="115"/>
        <v>99</v>
      </c>
      <c r="Y170">
        <f t="shared" si="116"/>
        <v>41</v>
      </c>
      <c r="Z170">
        <f t="shared" si="117"/>
        <v>32</v>
      </c>
      <c r="AA170">
        <f t="shared" si="118"/>
        <v>4</v>
      </c>
      <c r="AB170">
        <f t="shared" si="119"/>
        <v>6</v>
      </c>
      <c r="AC170">
        <f t="shared" si="120"/>
        <v>140</v>
      </c>
      <c r="AD170">
        <f t="shared" si="121"/>
        <v>31</v>
      </c>
      <c r="AF170">
        <f t="shared" si="98"/>
        <v>0</v>
      </c>
      <c r="AG170">
        <f t="shared" si="99"/>
        <v>0</v>
      </c>
      <c r="AH170">
        <f t="shared" si="100"/>
        <v>0</v>
      </c>
      <c r="AI170">
        <f t="shared" si="101"/>
        <v>0</v>
      </c>
      <c r="AJ170">
        <f t="shared" si="102"/>
        <v>0</v>
      </c>
      <c r="AK170">
        <f t="shared" si="103"/>
        <v>0</v>
      </c>
      <c r="AL170">
        <f t="shared" si="104"/>
        <v>0</v>
      </c>
      <c r="AM170">
        <f t="shared" si="105"/>
        <v>0</v>
      </c>
      <c r="AN170">
        <f t="shared" si="106"/>
        <v>0</v>
      </c>
      <c r="AO170">
        <f t="shared" si="107"/>
        <v>0</v>
      </c>
      <c r="AP170">
        <f t="shared" si="108"/>
        <v>0</v>
      </c>
      <c r="AQ170">
        <f t="shared" si="109"/>
        <v>0</v>
      </c>
    </row>
    <row r="171" spans="1:43" x14ac:dyDescent="0.35">
      <c r="A171" s="51">
        <v>57</v>
      </c>
      <c r="B171" s="50" t="s">
        <v>226</v>
      </c>
      <c r="C171" s="55" t="s">
        <v>135</v>
      </c>
      <c r="D171" s="51" t="s">
        <v>54</v>
      </c>
      <c r="E171" s="67">
        <v>2975.5873758382231</v>
      </c>
      <c r="F171">
        <f t="shared" si="74"/>
        <v>0</v>
      </c>
      <c r="G171">
        <f t="shared" si="75"/>
        <v>0</v>
      </c>
      <c r="H171">
        <f t="shared" si="76"/>
        <v>0</v>
      </c>
      <c r="I171">
        <f t="shared" si="77"/>
        <v>0</v>
      </c>
      <c r="J171">
        <f t="shared" si="78"/>
        <v>0</v>
      </c>
      <c r="K171">
        <f t="shared" si="79"/>
        <v>2975.5873758382231</v>
      </c>
      <c r="L171">
        <f t="shared" si="80"/>
        <v>0</v>
      </c>
      <c r="M171">
        <f t="shared" si="81"/>
        <v>0</v>
      </c>
      <c r="N171">
        <f t="shared" si="82"/>
        <v>0</v>
      </c>
      <c r="O171">
        <f t="shared" si="83"/>
        <v>0</v>
      </c>
      <c r="P171">
        <f t="shared" si="84"/>
        <v>0</v>
      </c>
      <c r="Q171">
        <f t="shared" si="85"/>
        <v>0</v>
      </c>
      <c r="S171">
        <f t="shared" si="110"/>
        <v>53</v>
      </c>
      <c r="T171">
        <f t="shared" si="111"/>
        <v>38</v>
      </c>
      <c r="U171">
        <f t="shared" si="112"/>
        <v>24</v>
      </c>
      <c r="V171">
        <f t="shared" si="113"/>
        <v>24</v>
      </c>
      <c r="W171">
        <f t="shared" si="114"/>
        <v>107</v>
      </c>
      <c r="X171">
        <f t="shared" si="115"/>
        <v>99</v>
      </c>
      <c r="Y171">
        <f t="shared" si="116"/>
        <v>41</v>
      </c>
      <c r="Z171">
        <f t="shared" si="117"/>
        <v>32</v>
      </c>
      <c r="AA171">
        <f t="shared" si="118"/>
        <v>4</v>
      </c>
      <c r="AB171">
        <f t="shared" si="119"/>
        <v>6</v>
      </c>
      <c r="AC171">
        <f t="shared" si="120"/>
        <v>140</v>
      </c>
      <c r="AD171">
        <f t="shared" si="121"/>
        <v>30</v>
      </c>
      <c r="AF171">
        <f t="shared" si="98"/>
        <v>0</v>
      </c>
      <c r="AG171">
        <f t="shared" si="99"/>
        <v>0</v>
      </c>
      <c r="AH171">
        <f t="shared" si="100"/>
        <v>0</v>
      </c>
      <c r="AI171">
        <f t="shared" si="101"/>
        <v>0</v>
      </c>
      <c r="AJ171">
        <f t="shared" si="102"/>
        <v>0</v>
      </c>
      <c r="AK171">
        <f t="shared" si="103"/>
        <v>0</v>
      </c>
      <c r="AL171">
        <f t="shared" si="104"/>
        <v>0</v>
      </c>
      <c r="AM171">
        <f t="shared" si="105"/>
        <v>0</v>
      </c>
      <c r="AN171">
        <f t="shared" si="106"/>
        <v>0</v>
      </c>
      <c r="AO171">
        <f t="shared" si="107"/>
        <v>0</v>
      </c>
      <c r="AP171">
        <f t="shared" si="108"/>
        <v>0</v>
      </c>
      <c r="AQ171">
        <f t="shared" si="109"/>
        <v>0</v>
      </c>
    </row>
    <row r="172" spans="1:43" x14ac:dyDescent="0.35">
      <c r="A172" s="51">
        <v>58</v>
      </c>
      <c r="B172" s="50" t="s">
        <v>226</v>
      </c>
      <c r="C172" s="55" t="s">
        <v>137</v>
      </c>
      <c r="D172" s="51" t="s">
        <v>54</v>
      </c>
      <c r="E172" s="67">
        <v>3577.1600745842979</v>
      </c>
      <c r="F172">
        <f t="shared" si="74"/>
        <v>0</v>
      </c>
      <c r="G172">
        <f t="shared" si="75"/>
        <v>0</v>
      </c>
      <c r="H172">
        <f t="shared" si="76"/>
        <v>0</v>
      </c>
      <c r="I172">
        <f t="shared" si="77"/>
        <v>0</v>
      </c>
      <c r="J172">
        <f t="shared" si="78"/>
        <v>0</v>
      </c>
      <c r="K172">
        <f t="shared" si="79"/>
        <v>3577.1600745842979</v>
      </c>
      <c r="L172">
        <f t="shared" si="80"/>
        <v>0</v>
      </c>
      <c r="M172">
        <f t="shared" si="81"/>
        <v>0</v>
      </c>
      <c r="N172">
        <f t="shared" si="82"/>
        <v>0</v>
      </c>
      <c r="O172">
        <f t="shared" si="83"/>
        <v>0</v>
      </c>
      <c r="P172">
        <f t="shared" si="84"/>
        <v>0</v>
      </c>
      <c r="Q172">
        <f t="shared" si="85"/>
        <v>0</v>
      </c>
      <c r="S172">
        <f t="shared" si="110"/>
        <v>53</v>
      </c>
      <c r="T172">
        <f t="shared" si="111"/>
        <v>38</v>
      </c>
      <c r="U172">
        <f t="shared" si="112"/>
        <v>24</v>
      </c>
      <c r="V172">
        <f t="shared" si="113"/>
        <v>24</v>
      </c>
      <c r="W172">
        <f t="shared" si="114"/>
        <v>107</v>
      </c>
      <c r="X172">
        <f t="shared" si="115"/>
        <v>98</v>
      </c>
      <c r="Y172">
        <f t="shared" si="116"/>
        <v>41</v>
      </c>
      <c r="Z172">
        <f t="shared" si="117"/>
        <v>32</v>
      </c>
      <c r="AA172">
        <f t="shared" si="118"/>
        <v>4</v>
      </c>
      <c r="AB172">
        <f t="shared" si="119"/>
        <v>6</v>
      </c>
      <c r="AC172">
        <f t="shared" si="120"/>
        <v>140</v>
      </c>
      <c r="AD172">
        <f t="shared" si="121"/>
        <v>30</v>
      </c>
      <c r="AF172">
        <f t="shared" si="98"/>
        <v>0</v>
      </c>
      <c r="AG172">
        <f t="shared" si="99"/>
        <v>0</v>
      </c>
      <c r="AH172">
        <f t="shared" si="100"/>
        <v>0</v>
      </c>
      <c r="AI172">
        <f t="shared" si="101"/>
        <v>0</v>
      </c>
      <c r="AJ172">
        <f t="shared" si="102"/>
        <v>0</v>
      </c>
      <c r="AK172">
        <f t="shared" si="103"/>
        <v>0</v>
      </c>
      <c r="AL172">
        <f t="shared" si="104"/>
        <v>0</v>
      </c>
      <c r="AM172">
        <f t="shared" si="105"/>
        <v>0</v>
      </c>
      <c r="AN172">
        <f t="shared" si="106"/>
        <v>0</v>
      </c>
      <c r="AO172">
        <f t="shared" si="107"/>
        <v>0</v>
      </c>
      <c r="AP172">
        <f t="shared" si="108"/>
        <v>0</v>
      </c>
      <c r="AQ172">
        <f t="shared" si="109"/>
        <v>0</v>
      </c>
    </row>
    <row r="173" spans="1:43" x14ac:dyDescent="0.35">
      <c r="A173" s="51">
        <v>59</v>
      </c>
      <c r="B173" s="51" t="s">
        <v>249</v>
      </c>
      <c r="C173" s="62" t="s">
        <v>140</v>
      </c>
      <c r="D173" s="51" t="s">
        <v>228</v>
      </c>
      <c r="E173" s="19">
        <v>3280.3011472388766</v>
      </c>
      <c r="F173">
        <f t="shared" si="74"/>
        <v>0</v>
      </c>
      <c r="G173">
        <f t="shared" si="75"/>
        <v>0</v>
      </c>
      <c r="H173">
        <f t="shared" si="76"/>
        <v>0</v>
      </c>
      <c r="I173">
        <f t="shared" si="77"/>
        <v>0</v>
      </c>
      <c r="J173">
        <f t="shared" si="78"/>
        <v>0</v>
      </c>
      <c r="K173">
        <f t="shared" si="79"/>
        <v>0</v>
      </c>
      <c r="L173">
        <f t="shared" si="80"/>
        <v>0</v>
      </c>
      <c r="M173">
        <f t="shared" si="81"/>
        <v>0</v>
      </c>
      <c r="N173">
        <f t="shared" si="82"/>
        <v>0</v>
      </c>
      <c r="O173">
        <f t="shared" si="83"/>
        <v>0</v>
      </c>
      <c r="P173">
        <f t="shared" si="84"/>
        <v>3280.3011472388766</v>
      </c>
      <c r="Q173">
        <f t="shared" si="85"/>
        <v>0</v>
      </c>
      <c r="S173">
        <f t="shared" si="110"/>
        <v>53</v>
      </c>
      <c r="T173">
        <f t="shared" si="111"/>
        <v>38</v>
      </c>
      <c r="U173">
        <f t="shared" si="112"/>
        <v>24</v>
      </c>
      <c r="V173">
        <f t="shared" si="113"/>
        <v>24</v>
      </c>
      <c r="W173">
        <f t="shared" si="114"/>
        <v>107</v>
      </c>
      <c r="X173">
        <f t="shared" si="115"/>
        <v>97</v>
      </c>
      <c r="Y173">
        <f t="shared" si="116"/>
        <v>41</v>
      </c>
      <c r="Z173">
        <f t="shared" si="117"/>
        <v>32</v>
      </c>
      <c r="AA173">
        <f t="shared" si="118"/>
        <v>4</v>
      </c>
      <c r="AB173">
        <f t="shared" si="119"/>
        <v>6</v>
      </c>
      <c r="AC173">
        <f t="shared" si="120"/>
        <v>140</v>
      </c>
      <c r="AD173">
        <f t="shared" si="121"/>
        <v>30</v>
      </c>
      <c r="AF173">
        <f t="shared" si="98"/>
        <v>0</v>
      </c>
      <c r="AG173">
        <f t="shared" si="99"/>
        <v>0</v>
      </c>
      <c r="AH173">
        <f t="shared" si="100"/>
        <v>0</v>
      </c>
      <c r="AI173">
        <f t="shared" si="101"/>
        <v>0</v>
      </c>
      <c r="AJ173">
        <f t="shared" si="102"/>
        <v>0</v>
      </c>
      <c r="AK173">
        <f t="shared" si="103"/>
        <v>0</v>
      </c>
      <c r="AL173">
        <f t="shared" si="104"/>
        <v>0</v>
      </c>
      <c r="AM173">
        <f t="shared" si="105"/>
        <v>0</v>
      </c>
      <c r="AN173">
        <f t="shared" si="106"/>
        <v>0</v>
      </c>
      <c r="AO173">
        <f t="shared" si="107"/>
        <v>0</v>
      </c>
      <c r="AP173">
        <f t="shared" si="108"/>
        <v>0</v>
      </c>
      <c r="AQ173">
        <f t="shared" si="109"/>
        <v>0</v>
      </c>
    </row>
    <row r="174" spans="1:43" x14ac:dyDescent="0.45">
      <c r="A174" s="51">
        <v>60</v>
      </c>
      <c r="B174" s="51" t="s">
        <v>249</v>
      </c>
      <c r="C174" s="56" t="s">
        <v>138</v>
      </c>
      <c r="D174" s="50" t="s">
        <v>57</v>
      </c>
      <c r="E174" s="45">
        <v>2635.4866879478827</v>
      </c>
      <c r="F174">
        <f t="shared" si="74"/>
        <v>0</v>
      </c>
      <c r="G174">
        <f t="shared" si="75"/>
        <v>0</v>
      </c>
      <c r="H174">
        <f t="shared" si="76"/>
        <v>0</v>
      </c>
      <c r="I174">
        <f t="shared" si="77"/>
        <v>0</v>
      </c>
      <c r="J174">
        <f t="shared" si="78"/>
        <v>0</v>
      </c>
      <c r="K174">
        <f t="shared" si="79"/>
        <v>0</v>
      </c>
      <c r="L174">
        <f t="shared" si="80"/>
        <v>0</v>
      </c>
      <c r="M174">
        <f t="shared" si="81"/>
        <v>2635.4866879478827</v>
      </c>
      <c r="N174">
        <f t="shared" si="82"/>
        <v>0</v>
      </c>
      <c r="O174">
        <f t="shared" si="83"/>
        <v>0</v>
      </c>
      <c r="P174">
        <f t="shared" si="84"/>
        <v>0</v>
      </c>
      <c r="Q174">
        <f t="shared" si="85"/>
        <v>0</v>
      </c>
      <c r="S174">
        <f t="shared" si="110"/>
        <v>53</v>
      </c>
      <c r="T174">
        <f t="shared" si="111"/>
        <v>38</v>
      </c>
      <c r="U174">
        <f t="shared" si="112"/>
        <v>24</v>
      </c>
      <c r="V174">
        <f t="shared" si="113"/>
        <v>24</v>
      </c>
      <c r="W174">
        <f t="shared" si="114"/>
        <v>107</v>
      </c>
      <c r="X174">
        <f t="shared" si="115"/>
        <v>97</v>
      </c>
      <c r="Y174">
        <f t="shared" si="116"/>
        <v>41</v>
      </c>
      <c r="Z174">
        <f t="shared" si="117"/>
        <v>32</v>
      </c>
      <c r="AA174">
        <f t="shared" si="118"/>
        <v>4</v>
      </c>
      <c r="AB174">
        <f t="shared" si="119"/>
        <v>6</v>
      </c>
      <c r="AC174">
        <f t="shared" si="120"/>
        <v>139</v>
      </c>
      <c r="AD174">
        <f t="shared" si="121"/>
        <v>30</v>
      </c>
      <c r="AF174">
        <f t="shared" si="98"/>
        <v>0</v>
      </c>
      <c r="AG174">
        <f t="shared" si="99"/>
        <v>0</v>
      </c>
      <c r="AH174">
        <f t="shared" si="100"/>
        <v>0</v>
      </c>
      <c r="AI174">
        <f t="shared" si="101"/>
        <v>0</v>
      </c>
      <c r="AJ174">
        <f t="shared" si="102"/>
        <v>0</v>
      </c>
      <c r="AK174">
        <f t="shared" si="103"/>
        <v>0</v>
      </c>
      <c r="AL174">
        <f t="shared" si="104"/>
        <v>0</v>
      </c>
      <c r="AM174">
        <f t="shared" si="105"/>
        <v>0</v>
      </c>
      <c r="AN174">
        <f t="shared" si="106"/>
        <v>0</v>
      </c>
      <c r="AO174">
        <f t="shared" si="107"/>
        <v>0</v>
      </c>
      <c r="AP174">
        <f t="shared" si="108"/>
        <v>0</v>
      </c>
      <c r="AQ174">
        <f t="shared" si="109"/>
        <v>0</v>
      </c>
    </row>
    <row r="175" spans="1:43" x14ac:dyDescent="0.45">
      <c r="A175" s="51">
        <v>61</v>
      </c>
      <c r="B175" s="51" t="s">
        <v>249</v>
      </c>
      <c r="C175" s="56" t="s">
        <v>141</v>
      </c>
      <c r="D175" s="50" t="s">
        <v>80</v>
      </c>
      <c r="E175" s="45">
        <v>2402.1053286314018</v>
      </c>
      <c r="F175">
        <f t="shared" si="74"/>
        <v>0</v>
      </c>
      <c r="G175">
        <f t="shared" si="75"/>
        <v>0</v>
      </c>
      <c r="H175">
        <f t="shared" si="76"/>
        <v>2402.1053286314018</v>
      </c>
      <c r="I175">
        <f t="shared" si="77"/>
        <v>0</v>
      </c>
      <c r="J175">
        <f t="shared" si="78"/>
        <v>0</v>
      </c>
      <c r="K175">
        <f t="shared" si="79"/>
        <v>0</v>
      </c>
      <c r="L175">
        <f t="shared" si="80"/>
        <v>0</v>
      </c>
      <c r="M175">
        <f t="shared" si="81"/>
        <v>0</v>
      </c>
      <c r="N175">
        <f t="shared" si="82"/>
        <v>0</v>
      </c>
      <c r="O175">
        <f t="shared" si="83"/>
        <v>0</v>
      </c>
      <c r="P175">
        <f t="shared" si="84"/>
        <v>0</v>
      </c>
      <c r="Q175">
        <f t="shared" si="85"/>
        <v>0</v>
      </c>
      <c r="S175">
        <f t="shared" si="110"/>
        <v>53</v>
      </c>
      <c r="T175">
        <f t="shared" si="111"/>
        <v>38</v>
      </c>
      <c r="U175">
        <f t="shared" si="112"/>
        <v>24</v>
      </c>
      <c r="V175">
        <f t="shared" si="113"/>
        <v>24</v>
      </c>
      <c r="W175">
        <f t="shared" si="114"/>
        <v>107</v>
      </c>
      <c r="X175">
        <f t="shared" si="115"/>
        <v>97</v>
      </c>
      <c r="Y175">
        <f t="shared" si="116"/>
        <v>41</v>
      </c>
      <c r="Z175">
        <f t="shared" si="117"/>
        <v>31</v>
      </c>
      <c r="AA175">
        <f t="shared" si="118"/>
        <v>4</v>
      </c>
      <c r="AB175">
        <f t="shared" si="119"/>
        <v>6</v>
      </c>
      <c r="AC175">
        <f t="shared" si="120"/>
        <v>139</v>
      </c>
      <c r="AD175">
        <f t="shared" si="121"/>
        <v>30</v>
      </c>
      <c r="AF175">
        <f t="shared" si="98"/>
        <v>0</v>
      </c>
      <c r="AG175">
        <f t="shared" si="99"/>
        <v>0</v>
      </c>
      <c r="AH175">
        <f t="shared" si="100"/>
        <v>0</v>
      </c>
      <c r="AI175">
        <f t="shared" si="101"/>
        <v>0</v>
      </c>
      <c r="AJ175">
        <f t="shared" si="102"/>
        <v>0</v>
      </c>
      <c r="AK175">
        <f t="shared" si="103"/>
        <v>0</v>
      </c>
      <c r="AL175">
        <f t="shared" si="104"/>
        <v>0</v>
      </c>
      <c r="AM175">
        <f t="shared" si="105"/>
        <v>0</v>
      </c>
      <c r="AN175">
        <f t="shared" si="106"/>
        <v>0</v>
      </c>
      <c r="AO175">
        <f t="shared" si="107"/>
        <v>0</v>
      </c>
      <c r="AP175">
        <f t="shared" si="108"/>
        <v>0</v>
      </c>
      <c r="AQ175">
        <f t="shared" si="109"/>
        <v>0</v>
      </c>
    </row>
    <row r="176" spans="1:43" x14ac:dyDescent="0.35">
      <c r="A176" s="51">
        <v>62</v>
      </c>
      <c r="B176" s="51" t="s">
        <v>250</v>
      </c>
      <c r="C176" s="62" t="s">
        <v>142</v>
      </c>
      <c r="D176" s="51" t="s">
        <v>94</v>
      </c>
      <c r="E176" s="19">
        <v>3067.0418346368715</v>
      </c>
      <c r="F176">
        <f t="shared" si="74"/>
        <v>0</v>
      </c>
      <c r="G176">
        <f t="shared" si="75"/>
        <v>0</v>
      </c>
      <c r="H176">
        <f t="shared" si="76"/>
        <v>0</v>
      </c>
      <c r="I176">
        <f t="shared" si="77"/>
        <v>0</v>
      </c>
      <c r="J176">
        <f t="shared" si="78"/>
        <v>0</v>
      </c>
      <c r="K176">
        <f t="shared" si="79"/>
        <v>0</v>
      </c>
      <c r="L176">
        <f t="shared" si="80"/>
        <v>3067.0418346368715</v>
      </c>
      <c r="M176">
        <f t="shared" si="81"/>
        <v>0</v>
      </c>
      <c r="N176">
        <f t="shared" si="82"/>
        <v>0</v>
      </c>
      <c r="O176">
        <f t="shared" si="83"/>
        <v>0</v>
      </c>
      <c r="P176">
        <f t="shared" si="84"/>
        <v>0</v>
      </c>
      <c r="Q176">
        <f t="shared" si="85"/>
        <v>0</v>
      </c>
      <c r="S176">
        <f t="shared" si="110"/>
        <v>53</v>
      </c>
      <c r="T176">
        <f t="shared" si="111"/>
        <v>38</v>
      </c>
      <c r="U176">
        <f t="shared" si="112"/>
        <v>23</v>
      </c>
      <c r="V176">
        <f t="shared" si="113"/>
        <v>24</v>
      </c>
      <c r="W176">
        <f t="shared" si="114"/>
        <v>107</v>
      </c>
      <c r="X176">
        <f t="shared" si="115"/>
        <v>97</v>
      </c>
      <c r="Y176">
        <f t="shared" si="116"/>
        <v>41</v>
      </c>
      <c r="Z176">
        <f t="shared" si="117"/>
        <v>31</v>
      </c>
      <c r="AA176">
        <f t="shared" si="118"/>
        <v>4</v>
      </c>
      <c r="AB176">
        <f t="shared" si="119"/>
        <v>6</v>
      </c>
      <c r="AC176">
        <f t="shared" si="120"/>
        <v>139</v>
      </c>
      <c r="AD176">
        <f t="shared" si="121"/>
        <v>30</v>
      </c>
      <c r="AF176">
        <f t="shared" si="98"/>
        <v>0</v>
      </c>
      <c r="AG176">
        <f t="shared" si="99"/>
        <v>0</v>
      </c>
      <c r="AH176">
        <f t="shared" si="100"/>
        <v>0</v>
      </c>
      <c r="AI176">
        <f t="shared" si="101"/>
        <v>0</v>
      </c>
      <c r="AJ176">
        <f t="shared" si="102"/>
        <v>0</v>
      </c>
      <c r="AK176">
        <f t="shared" si="103"/>
        <v>0</v>
      </c>
      <c r="AL176">
        <f t="shared" si="104"/>
        <v>0</v>
      </c>
      <c r="AM176">
        <f t="shared" si="105"/>
        <v>0</v>
      </c>
      <c r="AN176">
        <f t="shared" si="106"/>
        <v>0</v>
      </c>
      <c r="AO176">
        <f t="shared" si="107"/>
        <v>0</v>
      </c>
      <c r="AP176">
        <f t="shared" si="108"/>
        <v>0</v>
      </c>
      <c r="AQ176">
        <f t="shared" si="109"/>
        <v>0</v>
      </c>
    </row>
    <row r="177" spans="1:43" x14ac:dyDescent="0.35">
      <c r="A177" s="51">
        <v>63</v>
      </c>
      <c r="B177" s="51" t="s">
        <v>250</v>
      </c>
      <c r="C177" s="55" t="s">
        <v>145</v>
      </c>
      <c r="D177" s="51" t="s">
        <v>222</v>
      </c>
      <c r="E177" s="19">
        <v>3367.5277490377534</v>
      </c>
      <c r="F177">
        <f t="shared" si="74"/>
        <v>0</v>
      </c>
      <c r="G177">
        <f t="shared" si="75"/>
        <v>0</v>
      </c>
      <c r="H177">
        <f t="shared" si="76"/>
        <v>0</v>
      </c>
      <c r="I177">
        <f t="shared" si="77"/>
        <v>0</v>
      </c>
      <c r="J177">
        <f t="shared" si="78"/>
        <v>0</v>
      </c>
      <c r="K177">
        <f t="shared" si="79"/>
        <v>0</v>
      </c>
      <c r="L177">
        <f t="shared" si="80"/>
        <v>0</v>
      </c>
      <c r="M177">
        <f t="shared" si="81"/>
        <v>0</v>
      </c>
      <c r="N177">
        <f t="shared" si="82"/>
        <v>0</v>
      </c>
      <c r="O177">
        <f t="shared" si="83"/>
        <v>0</v>
      </c>
      <c r="P177">
        <f t="shared" si="84"/>
        <v>0</v>
      </c>
      <c r="Q177">
        <f t="shared" si="85"/>
        <v>3367.5277490377534</v>
      </c>
      <c r="S177">
        <f t="shared" si="110"/>
        <v>53</v>
      </c>
      <c r="T177">
        <f t="shared" si="111"/>
        <v>38</v>
      </c>
      <c r="U177">
        <f t="shared" si="112"/>
        <v>23</v>
      </c>
      <c r="V177">
        <f t="shared" si="113"/>
        <v>24</v>
      </c>
      <c r="W177">
        <f t="shared" si="114"/>
        <v>107</v>
      </c>
      <c r="X177">
        <f t="shared" si="115"/>
        <v>97</v>
      </c>
      <c r="Y177">
        <f t="shared" si="116"/>
        <v>40</v>
      </c>
      <c r="Z177">
        <f t="shared" si="117"/>
        <v>31</v>
      </c>
      <c r="AA177">
        <f t="shared" si="118"/>
        <v>4</v>
      </c>
      <c r="AB177">
        <f t="shared" si="119"/>
        <v>6</v>
      </c>
      <c r="AC177">
        <f t="shared" si="120"/>
        <v>139</v>
      </c>
      <c r="AD177">
        <f t="shared" si="121"/>
        <v>30</v>
      </c>
      <c r="AF177">
        <f t="shared" si="98"/>
        <v>0</v>
      </c>
      <c r="AG177">
        <f t="shared" si="99"/>
        <v>0</v>
      </c>
      <c r="AH177">
        <f t="shared" si="100"/>
        <v>0</v>
      </c>
      <c r="AI177">
        <f t="shared" si="101"/>
        <v>0</v>
      </c>
      <c r="AJ177">
        <f t="shared" si="102"/>
        <v>0</v>
      </c>
      <c r="AK177">
        <f t="shared" si="103"/>
        <v>0</v>
      </c>
      <c r="AL177">
        <f t="shared" si="104"/>
        <v>0</v>
      </c>
      <c r="AM177">
        <f t="shared" si="105"/>
        <v>0</v>
      </c>
      <c r="AN177">
        <f t="shared" si="106"/>
        <v>0</v>
      </c>
      <c r="AO177">
        <f t="shared" si="107"/>
        <v>0</v>
      </c>
      <c r="AP177">
        <f t="shared" si="108"/>
        <v>0</v>
      </c>
      <c r="AQ177">
        <f t="shared" si="109"/>
        <v>0</v>
      </c>
    </row>
    <row r="178" spans="1:43" x14ac:dyDescent="0.35">
      <c r="A178" s="51">
        <v>64</v>
      </c>
      <c r="B178" s="51" t="s">
        <v>250</v>
      </c>
      <c r="C178" s="55" t="s">
        <v>143</v>
      </c>
      <c r="D178" s="51" t="s">
        <v>67</v>
      </c>
      <c r="E178" s="19">
        <v>2971.445882439692</v>
      </c>
      <c r="F178">
        <f t="shared" si="74"/>
        <v>0</v>
      </c>
      <c r="G178">
        <f t="shared" si="75"/>
        <v>0</v>
      </c>
      <c r="H178">
        <f t="shared" si="76"/>
        <v>0</v>
      </c>
      <c r="I178">
        <f t="shared" si="77"/>
        <v>2971.445882439692</v>
      </c>
      <c r="J178">
        <f t="shared" si="78"/>
        <v>0</v>
      </c>
      <c r="K178">
        <f t="shared" si="79"/>
        <v>0</v>
      </c>
      <c r="L178">
        <f t="shared" si="80"/>
        <v>0</v>
      </c>
      <c r="M178">
        <f t="shared" si="81"/>
        <v>0</v>
      </c>
      <c r="N178">
        <f t="shared" si="82"/>
        <v>0</v>
      </c>
      <c r="O178">
        <f t="shared" si="83"/>
        <v>0</v>
      </c>
      <c r="P178">
        <f t="shared" si="84"/>
        <v>0</v>
      </c>
      <c r="Q178">
        <f t="shared" si="85"/>
        <v>0</v>
      </c>
      <c r="S178">
        <f t="shared" si="110"/>
        <v>53</v>
      </c>
      <c r="T178">
        <f t="shared" si="111"/>
        <v>38</v>
      </c>
      <c r="U178">
        <f t="shared" si="112"/>
        <v>23</v>
      </c>
      <c r="V178">
        <f t="shared" si="113"/>
        <v>24</v>
      </c>
      <c r="W178">
        <f t="shared" si="114"/>
        <v>107</v>
      </c>
      <c r="X178">
        <f t="shared" si="115"/>
        <v>97</v>
      </c>
      <c r="Y178">
        <f t="shared" si="116"/>
        <v>40</v>
      </c>
      <c r="Z178">
        <f t="shared" si="117"/>
        <v>31</v>
      </c>
      <c r="AA178">
        <f t="shared" si="118"/>
        <v>4</v>
      </c>
      <c r="AB178">
        <f t="shared" si="119"/>
        <v>6</v>
      </c>
      <c r="AC178">
        <f t="shared" si="120"/>
        <v>139</v>
      </c>
      <c r="AD178">
        <f t="shared" si="121"/>
        <v>29</v>
      </c>
      <c r="AF178">
        <f t="shared" si="98"/>
        <v>0</v>
      </c>
      <c r="AG178">
        <f t="shared" si="99"/>
        <v>0</v>
      </c>
      <c r="AH178">
        <f t="shared" si="100"/>
        <v>0</v>
      </c>
      <c r="AI178">
        <f t="shared" si="101"/>
        <v>0</v>
      </c>
      <c r="AJ178">
        <f t="shared" si="102"/>
        <v>0</v>
      </c>
      <c r="AK178">
        <f t="shared" si="103"/>
        <v>0</v>
      </c>
      <c r="AL178">
        <f t="shared" si="104"/>
        <v>0</v>
      </c>
      <c r="AM178">
        <f t="shared" si="105"/>
        <v>0</v>
      </c>
      <c r="AN178">
        <f t="shared" si="106"/>
        <v>0</v>
      </c>
      <c r="AO178">
        <f t="shared" si="107"/>
        <v>0</v>
      </c>
      <c r="AP178">
        <f t="shared" si="108"/>
        <v>0</v>
      </c>
      <c r="AQ178">
        <f t="shared" si="109"/>
        <v>0</v>
      </c>
    </row>
    <row r="179" spans="1:43" x14ac:dyDescent="0.35">
      <c r="A179" s="51">
        <v>65</v>
      </c>
      <c r="B179" s="51" t="s">
        <v>251</v>
      </c>
      <c r="C179" s="62" t="s">
        <v>147</v>
      </c>
      <c r="D179" s="51" t="s">
        <v>54</v>
      </c>
      <c r="E179" s="45">
        <v>2486.997614785992</v>
      </c>
      <c r="F179">
        <f t="shared" si="74"/>
        <v>0</v>
      </c>
      <c r="G179">
        <f t="shared" si="75"/>
        <v>0</v>
      </c>
      <c r="H179">
        <f t="shared" si="76"/>
        <v>0</v>
      </c>
      <c r="I179">
        <f t="shared" si="77"/>
        <v>0</v>
      </c>
      <c r="J179">
        <f t="shared" si="78"/>
        <v>0</v>
      </c>
      <c r="K179">
        <f t="shared" si="79"/>
        <v>2486.997614785992</v>
      </c>
      <c r="L179">
        <f t="shared" si="80"/>
        <v>0</v>
      </c>
      <c r="M179">
        <f t="shared" si="81"/>
        <v>0</v>
      </c>
      <c r="N179">
        <f t="shared" si="82"/>
        <v>0</v>
      </c>
      <c r="O179">
        <f t="shared" si="83"/>
        <v>0</v>
      </c>
      <c r="P179">
        <f t="shared" si="84"/>
        <v>0</v>
      </c>
      <c r="Q179">
        <f t="shared" si="85"/>
        <v>0</v>
      </c>
      <c r="S179">
        <f t="shared" si="110"/>
        <v>53</v>
      </c>
      <c r="T179">
        <f t="shared" si="111"/>
        <v>38</v>
      </c>
      <c r="U179">
        <f t="shared" si="112"/>
        <v>23</v>
      </c>
      <c r="V179">
        <f t="shared" si="113"/>
        <v>23</v>
      </c>
      <c r="W179">
        <f t="shared" si="114"/>
        <v>107</v>
      </c>
      <c r="X179">
        <f t="shared" si="115"/>
        <v>97</v>
      </c>
      <c r="Y179">
        <f t="shared" si="116"/>
        <v>40</v>
      </c>
      <c r="Z179">
        <f t="shared" si="117"/>
        <v>31</v>
      </c>
      <c r="AA179">
        <f t="shared" si="118"/>
        <v>4</v>
      </c>
      <c r="AB179">
        <f t="shared" si="119"/>
        <v>6</v>
      </c>
      <c r="AC179">
        <f t="shared" si="120"/>
        <v>139</v>
      </c>
      <c r="AD179">
        <f t="shared" si="121"/>
        <v>29</v>
      </c>
      <c r="AF179">
        <f t="shared" si="98"/>
        <v>0</v>
      </c>
      <c r="AG179">
        <f t="shared" si="99"/>
        <v>0</v>
      </c>
      <c r="AH179">
        <f t="shared" si="100"/>
        <v>0</v>
      </c>
      <c r="AI179">
        <f t="shared" si="101"/>
        <v>0</v>
      </c>
      <c r="AJ179">
        <f t="shared" si="102"/>
        <v>0</v>
      </c>
      <c r="AK179">
        <f t="shared" si="103"/>
        <v>0</v>
      </c>
      <c r="AL179">
        <f t="shared" si="104"/>
        <v>0</v>
      </c>
      <c r="AM179">
        <f t="shared" si="105"/>
        <v>0</v>
      </c>
      <c r="AN179">
        <f t="shared" si="106"/>
        <v>0</v>
      </c>
      <c r="AO179">
        <f t="shared" si="107"/>
        <v>0</v>
      </c>
      <c r="AP179">
        <f t="shared" si="108"/>
        <v>0</v>
      </c>
      <c r="AQ179">
        <f t="shared" si="109"/>
        <v>0</v>
      </c>
    </row>
    <row r="180" spans="1:43" x14ac:dyDescent="0.35">
      <c r="A180" s="51">
        <v>66</v>
      </c>
      <c r="B180" s="51" t="s">
        <v>251</v>
      </c>
      <c r="C180" s="55" t="s">
        <v>252</v>
      </c>
      <c r="D180" s="51" t="s">
        <v>80</v>
      </c>
      <c r="E180" s="45">
        <v>2477.0620538041194</v>
      </c>
      <c r="F180">
        <f t="shared" si="74"/>
        <v>0</v>
      </c>
      <c r="G180">
        <f t="shared" si="75"/>
        <v>0</v>
      </c>
      <c r="H180">
        <f t="shared" si="76"/>
        <v>2477.0620538041194</v>
      </c>
      <c r="I180">
        <f t="shared" si="77"/>
        <v>0</v>
      </c>
      <c r="J180">
        <f t="shared" si="78"/>
        <v>0</v>
      </c>
      <c r="K180">
        <f t="shared" si="79"/>
        <v>0</v>
      </c>
      <c r="L180">
        <f t="shared" si="80"/>
        <v>0</v>
      </c>
      <c r="M180">
        <f t="shared" si="81"/>
        <v>0</v>
      </c>
      <c r="N180">
        <f t="shared" si="82"/>
        <v>0</v>
      </c>
      <c r="O180">
        <f t="shared" si="83"/>
        <v>0</v>
      </c>
      <c r="P180">
        <f t="shared" si="84"/>
        <v>0</v>
      </c>
      <c r="Q180">
        <f t="shared" si="85"/>
        <v>0</v>
      </c>
      <c r="S180">
        <f t="shared" si="110"/>
        <v>53</v>
      </c>
      <c r="T180">
        <f t="shared" si="111"/>
        <v>38</v>
      </c>
      <c r="U180">
        <f t="shared" si="112"/>
        <v>23</v>
      </c>
      <c r="V180">
        <f t="shared" si="113"/>
        <v>23</v>
      </c>
      <c r="W180">
        <f t="shared" si="114"/>
        <v>107</v>
      </c>
      <c r="X180">
        <f t="shared" si="115"/>
        <v>96</v>
      </c>
      <c r="Y180">
        <f t="shared" si="116"/>
        <v>40</v>
      </c>
      <c r="Z180">
        <f t="shared" si="117"/>
        <v>31</v>
      </c>
      <c r="AA180">
        <f t="shared" si="118"/>
        <v>4</v>
      </c>
      <c r="AB180">
        <f t="shared" si="119"/>
        <v>6</v>
      </c>
      <c r="AC180">
        <f t="shared" si="120"/>
        <v>139</v>
      </c>
      <c r="AD180">
        <f t="shared" si="121"/>
        <v>29</v>
      </c>
      <c r="AF180">
        <f t="shared" si="98"/>
        <v>0</v>
      </c>
      <c r="AG180">
        <f t="shared" si="99"/>
        <v>0</v>
      </c>
      <c r="AH180">
        <f t="shared" si="100"/>
        <v>0</v>
      </c>
      <c r="AI180">
        <f t="shared" si="101"/>
        <v>0</v>
      </c>
      <c r="AJ180">
        <f t="shared" si="102"/>
        <v>0</v>
      </c>
      <c r="AK180">
        <f t="shared" si="103"/>
        <v>0</v>
      </c>
      <c r="AL180">
        <f t="shared" si="104"/>
        <v>0</v>
      </c>
      <c r="AM180">
        <f t="shared" si="105"/>
        <v>0</v>
      </c>
      <c r="AN180">
        <f t="shared" si="106"/>
        <v>0</v>
      </c>
      <c r="AO180">
        <f t="shared" si="107"/>
        <v>0</v>
      </c>
      <c r="AP180">
        <f t="shared" si="108"/>
        <v>0</v>
      </c>
      <c r="AQ180">
        <f t="shared" si="109"/>
        <v>0</v>
      </c>
    </row>
    <row r="181" spans="1:43" x14ac:dyDescent="0.35">
      <c r="A181" s="51">
        <v>67</v>
      </c>
      <c r="B181" s="51" t="s">
        <v>251</v>
      </c>
      <c r="C181" s="55" t="s">
        <v>148</v>
      </c>
      <c r="D181" s="51" t="s">
        <v>228</v>
      </c>
      <c r="E181" s="19">
        <v>2982.0630217075486</v>
      </c>
      <c r="F181">
        <f t="shared" si="74"/>
        <v>0</v>
      </c>
      <c r="G181">
        <f t="shared" si="75"/>
        <v>0</v>
      </c>
      <c r="H181">
        <f t="shared" si="76"/>
        <v>0</v>
      </c>
      <c r="I181">
        <f t="shared" si="77"/>
        <v>0</v>
      </c>
      <c r="J181">
        <f t="shared" si="78"/>
        <v>0</v>
      </c>
      <c r="K181">
        <f t="shared" si="79"/>
        <v>0</v>
      </c>
      <c r="L181">
        <f t="shared" si="80"/>
        <v>0</v>
      </c>
      <c r="M181">
        <f t="shared" si="81"/>
        <v>0</v>
      </c>
      <c r="N181">
        <f t="shared" si="82"/>
        <v>0</v>
      </c>
      <c r="O181">
        <f t="shared" si="83"/>
        <v>0</v>
      </c>
      <c r="P181">
        <f t="shared" si="84"/>
        <v>2982.0630217075486</v>
      </c>
      <c r="Q181">
        <f t="shared" si="85"/>
        <v>0</v>
      </c>
      <c r="S181">
        <f t="shared" si="110"/>
        <v>53</v>
      </c>
      <c r="T181">
        <f t="shared" si="111"/>
        <v>38</v>
      </c>
      <c r="U181">
        <f t="shared" si="112"/>
        <v>22</v>
      </c>
      <c r="V181">
        <f t="shared" si="113"/>
        <v>23</v>
      </c>
      <c r="W181">
        <f t="shared" si="114"/>
        <v>107</v>
      </c>
      <c r="X181">
        <f t="shared" si="115"/>
        <v>96</v>
      </c>
      <c r="Y181">
        <f t="shared" si="116"/>
        <v>40</v>
      </c>
      <c r="Z181">
        <f t="shared" si="117"/>
        <v>31</v>
      </c>
      <c r="AA181">
        <f t="shared" si="118"/>
        <v>4</v>
      </c>
      <c r="AB181">
        <f t="shared" si="119"/>
        <v>6</v>
      </c>
      <c r="AC181">
        <f t="shared" si="120"/>
        <v>139</v>
      </c>
      <c r="AD181">
        <f t="shared" si="121"/>
        <v>29</v>
      </c>
      <c r="AF181">
        <f t="shared" si="98"/>
        <v>0</v>
      </c>
      <c r="AG181">
        <f t="shared" si="99"/>
        <v>0</v>
      </c>
      <c r="AH181">
        <f t="shared" si="100"/>
        <v>0</v>
      </c>
      <c r="AI181">
        <f t="shared" si="101"/>
        <v>0</v>
      </c>
      <c r="AJ181">
        <f t="shared" si="102"/>
        <v>0</v>
      </c>
      <c r="AK181">
        <f t="shared" si="103"/>
        <v>0</v>
      </c>
      <c r="AL181">
        <f t="shared" si="104"/>
        <v>0</v>
      </c>
      <c r="AM181">
        <f t="shared" si="105"/>
        <v>0</v>
      </c>
      <c r="AN181">
        <f t="shared" si="106"/>
        <v>0</v>
      </c>
      <c r="AO181">
        <f t="shared" si="107"/>
        <v>0</v>
      </c>
      <c r="AP181">
        <f t="shared" si="108"/>
        <v>0</v>
      </c>
      <c r="AQ181">
        <f t="shared" si="109"/>
        <v>0</v>
      </c>
    </row>
    <row r="182" spans="1:43" x14ac:dyDescent="0.35">
      <c r="A182" s="51">
        <v>68</v>
      </c>
      <c r="B182" s="51" t="s">
        <v>251</v>
      </c>
      <c r="C182" s="55" t="s">
        <v>150</v>
      </c>
      <c r="D182" s="51" t="s">
        <v>222</v>
      </c>
      <c r="E182" s="19">
        <v>3669.4462760351312</v>
      </c>
      <c r="F182">
        <f t="shared" si="74"/>
        <v>0</v>
      </c>
      <c r="G182">
        <f t="shared" si="75"/>
        <v>0</v>
      </c>
      <c r="H182">
        <f t="shared" si="76"/>
        <v>0</v>
      </c>
      <c r="I182">
        <f t="shared" si="77"/>
        <v>0</v>
      </c>
      <c r="J182">
        <f t="shared" si="78"/>
        <v>0</v>
      </c>
      <c r="K182">
        <f t="shared" si="79"/>
        <v>0</v>
      </c>
      <c r="L182">
        <f t="shared" si="80"/>
        <v>0</v>
      </c>
      <c r="M182">
        <f t="shared" si="81"/>
        <v>0</v>
      </c>
      <c r="N182">
        <f t="shared" si="82"/>
        <v>0</v>
      </c>
      <c r="O182">
        <f t="shared" si="83"/>
        <v>0</v>
      </c>
      <c r="P182">
        <f t="shared" si="84"/>
        <v>0</v>
      </c>
      <c r="Q182">
        <f t="shared" si="85"/>
        <v>3669.4462760351312</v>
      </c>
      <c r="S182">
        <f t="shared" si="110"/>
        <v>53</v>
      </c>
      <c r="T182">
        <f t="shared" si="111"/>
        <v>38</v>
      </c>
      <c r="U182">
        <f t="shared" si="112"/>
        <v>22</v>
      </c>
      <c r="V182">
        <f t="shared" si="113"/>
        <v>23</v>
      </c>
      <c r="W182">
        <f t="shared" si="114"/>
        <v>107</v>
      </c>
      <c r="X182">
        <f t="shared" si="115"/>
        <v>96</v>
      </c>
      <c r="Y182">
        <f t="shared" si="116"/>
        <v>40</v>
      </c>
      <c r="Z182">
        <f t="shared" si="117"/>
        <v>31</v>
      </c>
      <c r="AA182">
        <f t="shared" si="118"/>
        <v>4</v>
      </c>
      <c r="AB182">
        <f t="shared" si="119"/>
        <v>6</v>
      </c>
      <c r="AC182">
        <f t="shared" si="120"/>
        <v>138</v>
      </c>
      <c r="AD182">
        <f t="shared" si="121"/>
        <v>29</v>
      </c>
      <c r="AF182">
        <f t="shared" si="98"/>
        <v>0</v>
      </c>
      <c r="AG182">
        <f t="shared" si="99"/>
        <v>0</v>
      </c>
      <c r="AH182">
        <f t="shared" si="100"/>
        <v>0</v>
      </c>
      <c r="AI182">
        <f t="shared" si="101"/>
        <v>0</v>
      </c>
      <c r="AJ182">
        <f t="shared" si="102"/>
        <v>0</v>
      </c>
      <c r="AK182">
        <f t="shared" si="103"/>
        <v>0</v>
      </c>
      <c r="AL182">
        <f t="shared" si="104"/>
        <v>0</v>
      </c>
      <c r="AM182">
        <f t="shared" si="105"/>
        <v>0</v>
      </c>
      <c r="AN182">
        <f t="shared" si="106"/>
        <v>0</v>
      </c>
      <c r="AO182">
        <f t="shared" si="107"/>
        <v>0</v>
      </c>
      <c r="AP182">
        <f t="shared" si="108"/>
        <v>0</v>
      </c>
      <c r="AQ182">
        <f t="shared" si="109"/>
        <v>0</v>
      </c>
    </row>
    <row r="183" spans="1:43" x14ac:dyDescent="0.35">
      <c r="A183" s="51">
        <v>69</v>
      </c>
      <c r="B183" s="51" t="s">
        <v>253</v>
      </c>
      <c r="C183" s="58" t="s">
        <v>152</v>
      </c>
      <c r="D183" s="51" t="s">
        <v>60</v>
      </c>
      <c r="E183" s="19">
        <v>2966.1540340027341</v>
      </c>
      <c r="F183">
        <f t="shared" si="74"/>
        <v>0</v>
      </c>
      <c r="G183">
        <f t="shared" si="75"/>
        <v>0</v>
      </c>
      <c r="H183">
        <f t="shared" si="76"/>
        <v>0</v>
      </c>
      <c r="I183">
        <f t="shared" si="77"/>
        <v>0</v>
      </c>
      <c r="J183">
        <f t="shared" si="78"/>
        <v>2966.1540340027341</v>
      </c>
      <c r="K183">
        <f t="shared" si="79"/>
        <v>0</v>
      </c>
      <c r="L183">
        <f t="shared" si="80"/>
        <v>0</v>
      </c>
      <c r="M183">
        <f t="shared" si="81"/>
        <v>0</v>
      </c>
      <c r="N183">
        <f t="shared" si="82"/>
        <v>0</v>
      </c>
      <c r="O183">
        <f t="shared" si="83"/>
        <v>0</v>
      </c>
      <c r="P183">
        <f t="shared" si="84"/>
        <v>0</v>
      </c>
      <c r="Q183">
        <f t="shared" si="85"/>
        <v>0</v>
      </c>
      <c r="S183">
        <f t="shared" si="110"/>
        <v>53</v>
      </c>
      <c r="T183">
        <f t="shared" si="111"/>
        <v>38</v>
      </c>
      <c r="U183">
        <f t="shared" si="112"/>
        <v>22</v>
      </c>
      <c r="V183">
        <f t="shared" si="113"/>
        <v>23</v>
      </c>
      <c r="W183">
        <f t="shared" si="114"/>
        <v>107</v>
      </c>
      <c r="X183">
        <f t="shared" si="115"/>
        <v>96</v>
      </c>
      <c r="Y183">
        <f t="shared" si="116"/>
        <v>40</v>
      </c>
      <c r="Z183">
        <f t="shared" si="117"/>
        <v>31</v>
      </c>
      <c r="AA183">
        <f t="shared" si="118"/>
        <v>4</v>
      </c>
      <c r="AB183">
        <f t="shared" si="119"/>
        <v>6</v>
      </c>
      <c r="AC183">
        <f t="shared" si="120"/>
        <v>138</v>
      </c>
      <c r="AD183">
        <f t="shared" si="121"/>
        <v>28</v>
      </c>
      <c r="AF183">
        <f t="shared" si="98"/>
        <v>0</v>
      </c>
      <c r="AG183">
        <f t="shared" si="99"/>
        <v>0</v>
      </c>
      <c r="AH183">
        <f t="shared" si="100"/>
        <v>0</v>
      </c>
      <c r="AI183">
        <f t="shared" si="101"/>
        <v>0</v>
      </c>
      <c r="AJ183">
        <f t="shared" si="102"/>
        <v>0</v>
      </c>
      <c r="AK183">
        <f t="shared" si="103"/>
        <v>0</v>
      </c>
      <c r="AL183">
        <f t="shared" si="104"/>
        <v>0</v>
      </c>
      <c r="AM183">
        <f t="shared" si="105"/>
        <v>0</v>
      </c>
      <c r="AN183">
        <f t="shared" si="106"/>
        <v>0</v>
      </c>
      <c r="AO183">
        <f t="shared" si="107"/>
        <v>0</v>
      </c>
      <c r="AP183">
        <f t="shared" si="108"/>
        <v>0</v>
      </c>
      <c r="AQ183">
        <f t="shared" si="109"/>
        <v>0</v>
      </c>
    </row>
    <row r="184" spans="1:43" x14ac:dyDescent="0.35">
      <c r="A184" s="51">
        <v>70</v>
      </c>
      <c r="B184" s="51" t="s">
        <v>253</v>
      </c>
      <c r="C184" s="58" t="s">
        <v>154</v>
      </c>
      <c r="D184" s="51" t="s">
        <v>94</v>
      </c>
      <c r="E184" s="19">
        <v>3432.1125047669157</v>
      </c>
      <c r="F184">
        <f t="shared" si="74"/>
        <v>0</v>
      </c>
      <c r="G184">
        <f t="shared" si="75"/>
        <v>0</v>
      </c>
      <c r="H184">
        <f t="shared" si="76"/>
        <v>0</v>
      </c>
      <c r="I184">
        <f t="shared" si="77"/>
        <v>0</v>
      </c>
      <c r="J184">
        <f t="shared" si="78"/>
        <v>0</v>
      </c>
      <c r="K184">
        <f t="shared" si="79"/>
        <v>0</v>
      </c>
      <c r="L184">
        <f t="shared" si="80"/>
        <v>3432.1125047669157</v>
      </c>
      <c r="M184">
        <f t="shared" si="81"/>
        <v>0</v>
      </c>
      <c r="N184">
        <f t="shared" si="82"/>
        <v>0</v>
      </c>
      <c r="O184">
        <f t="shared" si="83"/>
        <v>0</v>
      </c>
      <c r="P184">
        <f t="shared" si="84"/>
        <v>0</v>
      </c>
      <c r="Q184">
        <f t="shared" si="85"/>
        <v>0</v>
      </c>
      <c r="S184">
        <f t="shared" si="110"/>
        <v>53</v>
      </c>
      <c r="T184">
        <f t="shared" si="111"/>
        <v>38</v>
      </c>
      <c r="U184">
        <f t="shared" si="112"/>
        <v>22</v>
      </c>
      <c r="V184">
        <f t="shared" si="113"/>
        <v>23</v>
      </c>
      <c r="W184">
        <f t="shared" si="114"/>
        <v>106</v>
      </c>
      <c r="X184">
        <f t="shared" si="115"/>
        <v>96</v>
      </c>
      <c r="Y184">
        <f t="shared" si="116"/>
        <v>40</v>
      </c>
      <c r="Z184">
        <f t="shared" si="117"/>
        <v>31</v>
      </c>
      <c r="AA184">
        <f t="shared" si="118"/>
        <v>4</v>
      </c>
      <c r="AB184">
        <f t="shared" si="119"/>
        <v>6</v>
      </c>
      <c r="AC184">
        <f t="shared" si="120"/>
        <v>138</v>
      </c>
      <c r="AD184">
        <f t="shared" si="121"/>
        <v>28</v>
      </c>
      <c r="AF184">
        <f t="shared" si="98"/>
        <v>0</v>
      </c>
      <c r="AG184">
        <f t="shared" si="99"/>
        <v>0</v>
      </c>
      <c r="AH184">
        <f t="shared" si="100"/>
        <v>0</v>
      </c>
      <c r="AI184">
        <f t="shared" si="101"/>
        <v>0</v>
      </c>
      <c r="AJ184">
        <f t="shared" si="102"/>
        <v>0</v>
      </c>
      <c r="AK184">
        <f t="shared" si="103"/>
        <v>0</v>
      </c>
      <c r="AL184">
        <f t="shared" si="104"/>
        <v>0</v>
      </c>
      <c r="AM184">
        <f t="shared" si="105"/>
        <v>0</v>
      </c>
      <c r="AN184">
        <f t="shared" si="106"/>
        <v>0</v>
      </c>
      <c r="AO184">
        <f t="shared" si="107"/>
        <v>0</v>
      </c>
      <c r="AP184">
        <f t="shared" si="108"/>
        <v>0</v>
      </c>
      <c r="AQ184">
        <f t="shared" si="109"/>
        <v>0</v>
      </c>
    </row>
    <row r="185" spans="1:43" x14ac:dyDescent="0.35">
      <c r="A185" s="51">
        <v>71</v>
      </c>
      <c r="B185" s="51" t="s">
        <v>253</v>
      </c>
      <c r="C185" s="58" t="s">
        <v>156</v>
      </c>
      <c r="D185" s="51" t="s">
        <v>228</v>
      </c>
      <c r="E185" s="19">
        <v>2947.4913886640097</v>
      </c>
      <c r="F185">
        <f t="shared" si="74"/>
        <v>0</v>
      </c>
      <c r="G185">
        <f t="shared" si="75"/>
        <v>0</v>
      </c>
      <c r="H185">
        <f t="shared" si="76"/>
        <v>0</v>
      </c>
      <c r="I185">
        <f t="shared" si="77"/>
        <v>0</v>
      </c>
      <c r="J185">
        <f t="shared" si="78"/>
        <v>0</v>
      </c>
      <c r="K185">
        <f t="shared" si="79"/>
        <v>0</v>
      </c>
      <c r="L185">
        <f t="shared" si="80"/>
        <v>0</v>
      </c>
      <c r="M185">
        <f t="shared" si="81"/>
        <v>0</v>
      </c>
      <c r="N185">
        <f t="shared" si="82"/>
        <v>0</v>
      </c>
      <c r="O185">
        <f t="shared" si="83"/>
        <v>0</v>
      </c>
      <c r="P185">
        <f t="shared" si="84"/>
        <v>2947.4913886640097</v>
      </c>
      <c r="Q185">
        <f t="shared" si="85"/>
        <v>0</v>
      </c>
      <c r="S185">
        <f t="shared" si="110"/>
        <v>53</v>
      </c>
      <c r="T185">
        <f t="shared" si="111"/>
        <v>38</v>
      </c>
      <c r="U185">
        <f t="shared" si="112"/>
        <v>22</v>
      </c>
      <c r="V185">
        <f t="shared" si="113"/>
        <v>23</v>
      </c>
      <c r="W185">
        <f t="shared" si="114"/>
        <v>106</v>
      </c>
      <c r="X185">
        <f t="shared" si="115"/>
        <v>96</v>
      </c>
      <c r="Y185">
        <f t="shared" si="116"/>
        <v>39</v>
      </c>
      <c r="Z185">
        <f t="shared" si="117"/>
        <v>31</v>
      </c>
      <c r="AA185">
        <f t="shared" si="118"/>
        <v>4</v>
      </c>
      <c r="AB185">
        <f t="shared" si="119"/>
        <v>6</v>
      </c>
      <c r="AC185">
        <f t="shared" si="120"/>
        <v>138</v>
      </c>
      <c r="AD185">
        <f t="shared" si="121"/>
        <v>28</v>
      </c>
      <c r="AF185">
        <f t="shared" si="98"/>
        <v>0</v>
      </c>
      <c r="AG185">
        <f t="shared" si="99"/>
        <v>0</v>
      </c>
      <c r="AH185">
        <f t="shared" si="100"/>
        <v>0</v>
      </c>
      <c r="AI185">
        <f t="shared" si="101"/>
        <v>0</v>
      </c>
      <c r="AJ185">
        <f t="shared" si="102"/>
        <v>0</v>
      </c>
      <c r="AK185">
        <f t="shared" si="103"/>
        <v>0</v>
      </c>
      <c r="AL185">
        <f t="shared" si="104"/>
        <v>0</v>
      </c>
      <c r="AM185">
        <f t="shared" si="105"/>
        <v>0</v>
      </c>
      <c r="AN185">
        <f t="shared" si="106"/>
        <v>0</v>
      </c>
      <c r="AO185">
        <f t="shared" si="107"/>
        <v>0</v>
      </c>
      <c r="AP185">
        <f t="shared" si="108"/>
        <v>0</v>
      </c>
      <c r="AQ185">
        <f t="shared" si="109"/>
        <v>0</v>
      </c>
    </row>
    <row r="186" spans="1:43" x14ac:dyDescent="0.35">
      <c r="A186" s="51">
        <v>72</v>
      </c>
      <c r="B186" s="51" t="s">
        <v>254</v>
      </c>
      <c r="C186" s="62" t="s">
        <v>153</v>
      </c>
      <c r="D186" s="50" t="s">
        <v>54</v>
      </c>
      <c r="E186" s="19">
        <v>3368.2717658916363</v>
      </c>
      <c r="F186">
        <f t="shared" si="74"/>
        <v>0</v>
      </c>
      <c r="G186">
        <f t="shared" si="75"/>
        <v>0</v>
      </c>
      <c r="H186">
        <f t="shared" si="76"/>
        <v>0</v>
      </c>
      <c r="I186">
        <f t="shared" si="77"/>
        <v>0</v>
      </c>
      <c r="J186">
        <f t="shared" si="78"/>
        <v>0</v>
      </c>
      <c r="K186">
        <f t="shared" si="79"/>
        <v>3368.2717658916363</v>
      </c>
      <c r="L186">
        <f t="shared" si="80"/>
        <v>0</v>
      </c>
      <c r="M186">
        <f t="shared" si="81"/>
        <v>0</v>
      </c>
      <c r="N186">
        <f t="shared" si="82"/>
        <v>0</v>
      </c>
      <c r="O186">
        <f t="shared" si="83"/>
        <v>0</v>
      </c>
      <c r="P186">
        <f t="shared" si="84"/>
        <v>0</v>
      </c>
      <c r="Q186">
        <f t="shared" si="85"/>
        <v>0</v>
      </c>
      <c r="S186">
        <f t="shared" si="110"/>
        <v>53</v>
      </c>
      <c r="T186">
        <f t="shared" si="111"/>
        <v>38</v>
      </c>
      <c r="U186">
        <f t="shared" si="112"/>
        <v>22</v>
      </c>
      <c r="V186">
        <f t="shared" si="113"/>
        <v>23</v>
      </c>
      <c r="W186">
        <f t="shared" si="114"/>
        <v>106</v>
      </c>
      <c r="X186">
        <f t="shared" si="115"/>
        <v>96</v>
      </c>
      <c r="Y186">
        <f t="shared" si="116"/>
        <v>39</v>
      </c>
      <c r="Z186">
        <f t="shared" si="117"/>
        <v>31</v>
      </c>
      <c r="AA186">
        <f t="shared" si="118"/>
        <v>4</v>
      </c>
      <c r="AB186">
        <f t="shared" si="119"/>
        <v>6</v>
      </c>
      <c r="AC186">
        <f t="shared" si="120"/>
        <v>137</v>
      </c>
      <c r="AD186">
        <f t="shared" si="121"/>
        <v>28</v>
      </c>
      <c r="AF186">
        <f t="shared" si="98"/>
        <v>0</v>
      </c>
      <c r="AG186">
        <f t="shared" si="99"/>
        <v>0</v>
      </c>
      <c r="AH186">
        <f t="shared" si="100"/>
        <v>0</v>
      </c>
      <c r="AI186">
        <f t="shared" si="101"/>
        <v>0</v>
      </c>
      <c r="AJ186">
        <f t="shared" si="102"/>
        <v>0</v>
      </c>
      <c r="AK186">
        <f t="shared" si="103"/>
        <v>0</v>
      </c>
      <c r="AL186">
        <f t="shared" si="104"/>
        <v>0</v>
      </c>
      <c r="AM186">
        <f t="shared" si="105"/>
        <v>0</v>
      </c>
      <c r="AN186">
        <f t="shared" si="106"/>
        <v>0</v>
      </c>
      <c r="AO186">
        <f t="shared" si="107"/>
        <v>0</v>
      </c>
      <c r="AP186">
        <f t="shared" si="108"/>
        <v>0</v>
      </c>
      <c r="AQ186">
        <f t="shared" si="109"/>
        <v>0</v>
      </c>
    </row>
    <row r="187" spans="1:43" x14ac:dyDescent="0.45">
      <c r="A187" s="51">
        <v>73</v>
      </c>
      <c r="B187" s="51" t="s">
        <v>254</v>
      </c>
      <c r="C187" s="56" t="s">
        <v>151</v>
      </c>
      <c r="D187" s="51" t="s">
        <v>94</v>
      </c>
      <c r="E187" s="19">
        <v>3521.909312976617</v>
      </c>
      <c r="F187">
        <f t="shared" si="74"/>
        <v>0</v>
      </c>
      <c r="G187">
        <f t="shared" si="75"/>
        <v>0</v>
      </c>
      <c r="H187">
        <f t="shared" si="76"/>
        <v>0</v>
      </c>
      <c r="I187">
        <f t="shared" si="77"/>
        <v>0</v>
      </c>
      <c r="J187">
        <f t="shared" si="78"/>
        <v>0</v>
      </c>
      <c r="K187">
        <f t="shared" si="79"/>
        <v>0</v>
      </c>
      <c r="L187">
        <f t="shared" si="80"/>
        <v>3521.909312976617</v>
      </c>
      <c r="M187">
        <f t="shared" si="81"/>
        <v>0</v>
      </c>
      <c r="N187">
        <f t="shared" si="82"/>
        <v>0</v>
      </c>
      <c r="O187">
        <f t="shared" si="83"/>
        <v>0</v>
      </c>
      <c r="P187">
        <f t="shared" si="84"/>
        <v>0</v>
      </c>
      <c r="Q187">
        <f t="shared" si="85"/>
        <v>0</v>
      </c>
      <c r="S187">
        <f t="shared" si="110"/>
        <v>53</v>
      </c>
      <c r="T187">
        <f t="shared" si="111"/>
        <v>38</v>
      </c>
      <c r="U187">
        <f t="shared" si="112"/>
        <v>22</v>
      </c>
      <c r="V187">
        <f t="shared" si="113"/>
        <v>23</v>
      </c>
      <c r="W187">
        <f t="shared" si="114"/>
        <v>106</v>
      </c>
      <c r="X187">
        <f t="shared" si="115"/>
        <v>95</v>
      </c>
      <c r="Y187">
        <f t="shared" si="116"/>
        <v>39</v>
      </c>
      <c r="Z187">
        <f t="shared" si="117"/>
        <v>31</v>
      </c>
      <c r="AA187">
        <f t="shared" si="118"/>
        <v>4</v>
      </c>
      <c r="AB187">
        <f t="shared" si="119"/>
        <v>6</v>
      </c>
      <c r="AC187">
        <f t="shared" si="120"/>
        <v>137</v>
      </c>
      <c r="AD187">
        <f t="shared" si="121"/>
        <v>28</v>
      </c>
      <c r="AF187">
        <f t="shared" si="98"/>
        <v>0</v>
      </c>
      <c r="AG187">
        <f t="shared" si="99"/>
        <v>0</v>
      </c>
      <c r="AH187">
        <f t="shared" si="100"/>
        <v>0</v>
      </c>
      <c r="AI187">
        <f t="shared" si="101"/>
        <v>0</v>
      </c>
      <c r="AJ187">
        <f t="shared" si="102"/>
        <v>0</v>
      </c>
      <c r="AK187">
        <f t="shared" si="103"/>
        <v>0</v>
      </c>
      <c r="AL187">
        <f t="shared" si="104"/>
        <v>0</v>
      </c>
      <c r="AM187">
        <f t="shared" si="105"/>
        <v>0</v>
      </c>
      <c r="AN187">
        <f t="shared" si="106"/>
        <v>0</v>
      </c>
      <c r="AO187">
        <f t="shared" si="107"/>
        <v>0</v>
      </c>
      <c r="AP187">
        <f t="shared" si="108"/>
        <v>0</v>
      </c>
      <c r="AQ187">
        <f t="shared" si="109"/>
        <v>0</v>
      </c>
    </row>
    <row r="188" spans="1:43" x14ac:dyDescent="0.45">
      <c r="A188" s="51">
        <v>74</v>
      </c>
      <c r="B188" s="51" t="s">
        <v>254</v>
      </c>
      <c r="C188" s="56" t="s">
        <v>158</v>
      </c>
      <c r="D188" s="50" t="s">
        <v>57</v>
      </c>
      <c r="E188" s="19">
        <v>3427.0398724704892</v>
      </c>
      <c r="F188">
        <f t="shared" si="74"/>
        <v>0</v>
      </c>
      <c r="G188">
        <f t="shared" si="75"/>
        <v>0</v>
      </c>
      <c r="H188">
        <f t="shared" si="76"/>
        <v>0</v>
      </c>
      <c r="I188">
        <f t="shared" si="77"/>
        <v>0</v>
      </c>
      <c r="J188">
        <f t="shared" si="78"/>
        <v>0</v>
      </c>
      <c r="K188">
        <f t="shared" si="79"/>
        <v>0</v>
      </c>
      <c r="L188">
        <f t="shared" si="80"/>
        <v>0</v>
      </c>
      <c r="M188">
        <f t="shared" si="81"/>
        <v>3427.0398724704892</v>
      </c>
      <c r="N188">
        <f t="shared" si="82"/>
        <v>0</v>
      </c>
      <c r="O188">
        <f t="shared" si="83"/>
        <v>0</v>
      </c>
      <c r="P188">
        <f t="shared" si="84"/>
        <v>0</v>
      </c>
      <c r="Q188">
        <f t="shared" si="85"/>
        <v>0</v>
      </c>
      <c r="S188">
        <f t="shared" si="110"/>
        <v>53</v>
      </c>
      <c r="T188">
        <f t="shared" si="111"/>
        <v>38</v>
      </c>
      <c r="U188">
        <f t="shared" si="112"/>
        <v>22</v>
      </c>
      <c r="V188">
        <f t="shared" si="113"/>
        <v>23</v>
      </c>
      <c r="W188">
        <f t="shared" si="114"/>
        <v>106</v>
      </c>
      <c r="X188">
        <f t="shared" si="115"/>
        <v>95</v>
      </c>
      <c r="Y188">
        <f t="shared" si="116"/>
        <v>38</v>
      </c>
      <c r="Z188">
        <f t="shared" si="117"/>
        <v>31</v>
      </c>
      <c r="AA188">
        <f t="shared" si="118"/>
        <v>4</v>
      </c>
      <c r="AB188">
        <f t="shared" si="119"/>
        <v>6</v>
      </c>
      <c r="AC188">
        <f t="shared" si="120"/>
        <v>137</v>
      </c>
      <c r="AD188">
        <f t="shared" si="121"/>
        <v>28</v>
      </c>
      <c r="AF188">
        <f t="shared" si="98"/>
        <v>0</v>
      </c>
      <c r="AG188">
        <f t="shared" si="99"/>
        <v>0</v>
      </c>
      <c r="AH188">
        <f t="shared" si="100"/>
        <v>0</v>
      </c>
      <c r="AI188">
        <f t="shared" si="101"/>
        <v>0</v>
      </c>
      <c r="AJ188">
        <f t="shared" si="102"/>
        <v>0</v>
      </c>
      <c r="AK188">
        <f t="shared" si="103"/>
        <v>0</v>
      </c>
      <c r="AL188">
        <f t="shared" si="104"/>
        <v>0</v>
      </c>
      <c r="AM188">
        <f t="shared" si="105"/>
        <v>0</v>
      </c>
      <c r="AN188">
        <f t="shared" si="106"/>
        <v>0</v>
      </c>
      <c r="AO188">
        <f t="shared" si="107"/>
        <v>0</v>
      </c>
      <c r="AP188">
        <f t="shared" si="108"/>
        <v>0</v>
      </c>
      <c r="AQ188">
        <f t="shared" si="109"/>
        <v>0</v>
      </c>
    </row>
    <row r="189" spans="1:43" x14ac:dyDescent="0.45">
      <c r="A189" s="51">
        <v>75</v>
      </c>
      <c r="B189" s="51" t="s">
        <v>254</v>
      </c>
      <c r="C189" s="56" t="s">
        <v>157</v>
      </c>
      <c r="D189" s="50" t="s">
        <v>54</v>
      </c>
      <c r="E189" s="19">
        <v>2571.6750346274921</v>
      </c>
      <c r="F189">
        <f t="shared" si="74"/>
        <v>0</v>
      </c>
      <c r="G189">
        <f t="shared" si="75"/>
        <v>0</v>
      </c>
      <c r="H189">
        <f t="shared" si="76"/>
        <v>0</v>
      </c>
      <c r="I189">
        <f t="shared" si="77"/>
        <v>0</v>
      </c>
      <c r="J189">
        <f t="shared" si="78"/>
        <v>0</v>
      </c>
      <c r="K189">
        <f t="shared" si="79"/>
        <v>2571.6750346274921</v>
      </c>
      <c r="L189">
        <f t="shared" si="80"/>
        <v>0</v>
      </c>
      <c r="M189">
        <f t="shared" si="81"/>
        <v>0</v>
      </c>
      <c r="N189">
        <f t="shared" si="82"/>
        <v>0</v>
      </c>
      <c r="O189">
        <f t="shared" si="83"/>
        <v>0</v>
      </c>
      <c r="P189">
        <f t="shared" si="84"/>
        <v>0</v>
      </c>
      <c r="Q189">
        <f t="shared" si="85"/>
        <v>0</v>
      </c>
      <c r="S189">
        <f t="shared" si="110"/>
        <v>53</v>
      </c>
      <c r="T189">
        <f t="shared" si="111"/>
        <v>38</v>
      </c>
      <c r="U189">
        <f t="shared" si="112"/>
        <v>22</v>
      </c>
      <c r="V189">
        <f t="shared" si="113"/>
        <v>23</v>
      </c>
      <c r="W189">
        <f t="shared" si="114"/>
        <v>106</v>
      </c>
      <c r="X189">
        <f t="shared" si="115"/>
        <v>95</v>
      </c>
      <c r="Y189">
        <f t="shared" si="116"/>
        <v>38</v>
      </c>
      <c r="Z189">
        <f t="shared" si="117"/>
        <v>30</v>
      </c>
      <c r="AA189">
        <f t="shared" si="118"/>
        <v>4</v>
      </c>
      <c r="AB189">
        <f t="shared" si="119"/>
        <v>6</v>
      </c>
      <c r="AC189">
        <f t="shared" si="120"/>
        <v>137</v>
      </c>
      <c r="AD189">
        <f t="shared" si="121"/>
        <v>28</v>
      </c>
      <c r="AF189">
        <f t="shared" si="98"/>
        <v>0</v>
      </c>
      <c r="AG189">
        <f t="shared" si="99"/>
        <v>0</v>
      </c>
      <c r="AH189">
        <f t="shared" si="100"/>
        <v>0</v>
      </c>
      <c r="AI189">
        <f t="shared" si="101"/>
        <v>0</v>
      </c>
      <c r="AJ189">
        <f t="shared" si="102"/>
        <v>0</v>
      </c>
      <c r="AK189">
        <f t="shared" si="103"/>
        <v>0</v>
      </c>
      <c r="AL189">
        <f t="shared" si="104"/>
        <v>0</v>
      </c>
      <c r="AM189">
        <f t="shared" si="105"/>
        <v>0</v>
      </c>
      <c r="AN189">
        <f t="shared" si="106"/>
        <v>0</v>
      </c>
      <c r="AO189">
        <f t="shared" si="107"/>
        <v>0</v>
      </c>
      <c r="AP189">
        <f t="shared" si="108"/>
        <v>0</v>
      </c>
      <c r="AQ189">
        <f t="shared" si="109"/>
        <v>0</v>
      </c>
    </row>
    <row r="190" spans="1:43" x14ac:dyDescent="0.45">
      <c r="A190" s="51">
        <v>76</v>
      </c>
      <c r="B190" s="51" t="s">
        <v>254</v>
      </c>
      <c r="C190" s="56" t="s">
        <v>160</v>
      </c>
      <c r="D190" s="50" t="s">
        <v>60</v>
      </c>
      <c r="E190" s="19">
        <v>2940.5731485492006</v>
      </c>
      <c r="F190">
        <f t="shared" si="74"/>
        <v>0</v>
      </c>
      <c r="G190">
        <f t="shared" si="75"/>
        <v>0</v>
      </c>
      <c r="H190">
        <f t="shared" si="76"/>
        <v>0</v>
      </c>
      <c r="I190">
        <f t="shared" si="77"/>
        <v>0</v>
      </c>
      <c r="J190">
        <f t="shared" si="78"/>
        <v>2940.5731485492006</v>
      </c>
      <c r="K190">
        <f t="shared" si="79"/>
        <v>0</v>
      </c>
      <c r="L190">
        <f t="shared" si="80"/>
        <v>0</v>
      </c>
      <c r="M190">
        <f t="shared" si="81"/>
        <v>0</v>
      </c>
      <c r="N190">
        <f t="shared" si="82"/>
        <v>0</v>
      </c>
      <c r="O190">
        <f t="shared" si="83"/>
        <v>0</v>
      </c>
      <c r="P190">
        <f t="shared" si="84"/>
        <v>0</v>
      </c>
      <c r="Q190">
        <f t="shared" si="85"/>
        <v>0</v>
      </c>
      <c r="S190">
        <f t="shared" si="110"/>
        <v>53</v>
      </c>
      <c r="T190">
        <f t="shared" si="111"/>
        <v>38</v>
      </c>
      <c r="U190">
        <f t="shared" si="112"/>
        <v>22</v>
      </c>
      <c r="V190">
        <f t="shared" si="113"/>
        <v>23</v>
      </c>
      <c r="W190">
        <f t="shared" si="114"/>
        <v>106</v>
      </c>
      <c r="X190">
        <f t="shared" si="115"/>
        <v>94</v>
      </c>
      <c r="Y190">
        <f t="shared" si="116"/>
        <v>38</v>
      </c>
      <c r="Z190">
        <f t="shared" si="117"/>
        <v>30</v>
      </c>
      <c r="AA190">
        <f t="shared" si="118"/>
        <v>4</v>
      </c>
      <c r="AB190">
        <f t="shared" si="119"/>
        <v>6</v>
      </c>
      <c r="AC190">
        <f t="shared" si="120"/>
        <v>137</v>
      </c>
      <c r="AD190">
        <f t="shared" si="121"/>
        <v>28</v>
      </c>
      <c r="AF190">
        <f t="shared" si="98"/>
        <v>0</v>
      </c>
      <c r="AG190">
        <f t="shared" si="99"/>
        <v>0</v>
      </c>
      <c r="AH190">
        <f t="shared" si="100"/>
        <v>0</v>
      </c>
      <c r="AI190">
        <f t="shared" si="101"/>
        <v>0</v>
      </c>
      <c r="AJ190">
        <f t="shared" si="102"/>
        <v>0</v>
      </c>
      <c r="AK190">
        <f t="shared" si="103"/>
        <v>0</v>
      </c>
      <c r="AL190">
        <f t="shared" si="104"/>
        <v>0</v>
      </c>
      <c r="AM190">
        <f t="shared" si="105"/>
        <v>0</v>
      </c>
      <c r="AN190">
        <f t="shared" si="106"/>
        <v>0</v>
      </c>
      <c r="AO190">
        <f t="shared" si="107"/>
        <v>0</v>
      </c>
      <c r="AP190">
        <f t="shared" si="108"/>
        <v>0</v>
      </c>
      <c r="AQ190">
        <f t="shared" si="109"/>
        <v>0</v>
      </c>
    </row>
    <row r="191" spans="1:43" x14ac:dyDescent="0.45">
      <c r="A191" s="51">
        <v>77</v>
      </c>
      <c r="B191" s="51" t="s">
        <v>254</v>
      </c>
      <c r="C191" s="56" t="s">
        <v>255</v>
      </c>
      <c r="D191" s="51" t="s">
        <v>94</v>
      </c>
      <c r="E191" s="19">
        <v>3343.3536803114807</v>
      </c>
      <c r="F191">
        <f t="shared" si="74"/>
        <v>0</v>
      </c>
      <c r="G191">
        <f t="shared" si="75"/>
        <v>0</v>
      </c>
      <c r="H191">
        <f t="shared" si="76"/>
        <v>0</v>
      </c>
      <c r="I191">
        <f t="shared" si="77"/>
        <v>0</v>
      </c>
      <c r="J191">
        <f t="shared" si="78"/>
        <v>0</v>
      </c>
      <c r="K191">
        <f t="shared" si="79"/>
        <v>0</v>
      </c>
      <c r="L191">
        <f t="shared" si="80"/>
        <v>3343.3536803114807</v>
      </c>
      <c r="M191">
        <f t="shared" si="81"/>
        <v>0</v>
      </c>
      <c r="N191">
        <f t="shared" si="82"/>
        <v>0</v>
      </c>
      <c r="O191">
        <f t="shared" si="83"/>
        <v>0</v>
      </c>
      <c r="P191">
        <f t="shared" si="84"/>
        <v>0</v>
      </c>
      <c r="Q191">
        <f t="shared" si="85"/>
        <v>0</v>
      </c>
      <c r="S191">
        <f t="shared" si="110"/>
        <v>53</v>
      </c>
      <c r="T191">
        <f t="shared" si="111"/>
        <v>38</v>
      </c>
      <c r="U191">
        <f t="shared" si="112"/>
        <v>22</v>
      </c>
      <c r="V191">
        <f t="shared" si="113"/>
        <v>23</v>
      </c>
      <c r="W191">
        <f t="shared" si="114"/>
        <v>105</v>
      </c>
      <c r="X191">
        <f t="shared" si="115"/>
        <v>94</v>
      </c>
      <c r="Y191">
        <f t="shared" si="116"/>
        <v>38</v>
      </c>
      <c r="Z191">
        <f t="shared" si="117"/>
        <v>30</v>
      </c>
      <c r="AA191">
        <f t="shared" si="118"/>
        <v>4</v>
      </c>
      <c r="AB191">
        <f t="shared" si="119"/>
        <v>6</v>
      </c>
      <c r="AC191">
        <f t="shared" si="120"/>
        <v>137</v>
      </c>
      <c r="AD191">
        <f t="shared" si="121"/>
        <v>28</v>
      </c>
      <c r="AF191">
        <f t="shared" si="98"/>
        <v>0</v>
      </c>
      <c r="AG191">
        <f t="shared" si="99"/>
        <v>0</v>
      </c>
      <c r="AH191">
        <f t="shared" si="100"/>
        <v>0</v>
      </c>
      <c r="AI191">
        <f t="shared" si="101"/>
        <v>0</v>
      </c>
      <c r="AJ191">
        <f t="shared" si="102"/>
        <v>0</v>
      </c>
      <c r="AK191">
        <f t="shared" si="103"/>
        <v>0</v>
      </c>
      <c r="AL191">
        <f t="shared" si="104"/>
        <v>0</v>
      </c>
      <c r="AM191">
        <f t="shared" si="105"/>
        <v>0</v>
      </c>
      <c r="AN191">
        <f t="shared" si="106"/>
        <v>0</v>
      </c>
      <c r="AO191">
        <f t="shared" si="107"/>
        <v>0</v>
      </c>
      <c r="AP191">
        <f t="shared" si="108"/>
        <v>0</v>
      </c>
      <c r="AQ191">
        <f t="shared" si="109"/>
        <v>0</v>
      </c>
    </row>
    <row r="192" spans="1:43" x14ac:dyDescent="0.35">
      <c r="A192" s="51">
        <v>78</v>
      </c>
      <c r="B192" s="51" t="s">
        <v>256</v>
      </c>
      <c r="C192" s="62" t="s">
        <v>162</v>
      </c>
      <c r="D192" s="51" t="s">
        <v>228</v>
      </c>
      <c r="E192" s="19">
        <v>3248.7857074837084</v>
      </c>
      <c r="F192">
        <f t="shared" si="74"/>
        <v>0</v>
      </c>
      <c r="G192">
        <f t="shared" si="75"/>
        <v>0</v>
      </c>
      <c r="H192">
        <f t="shared" si="76"/>
        <v>0</v>
      </c>
      <c r="I192">
        <f t="shared" si="77"/>
        <v>0</v>
      </c>
      <c r="J192">
        <f t="shared" si="78"/>
        <v>0</v>
      </c>
      <c r="K192">
        <f t="shared" si="79"/>
        <v>0</v>
      </c>
      <c r="L192">
        <f t="shared" si="80"/>
        <v>0</v>
      </c>
      <c r="M192">
        <f t="shared" si="81"/>
        <v>0</v>
      </c>
      <c r="N192">
        <f t="shared" si="82"/>
        <v>0</v>
      </c>
      <c r="O192">
        <f t="shared" si="83"/>
        <v>0</v>
      </c>
      <c r="P192">
        <f t="shared" si="84"/>
        <v>3248.7857074837084</v>
      </c>
      <c r="Q192">
        <f t="shared" si="85"/>
        <v>0</v>
      </c>
      <c r="S192">
        <f t="shared" si="110"/>
        <v>53</v>
      </c>
      <c r="T192">
        <f t="shared" si="111"/>
        <v>38</v>
      </c>
      <c r="U192">
        <f t="shared" si="112"/>
        <v>22</v>
      </c>
      <c r="V192">
        <f t="shared" si="113"/>
        <v>23</v>
      </c>
      <c r="W192">
        <f t="shared" si="114"/>
        <v>105</v>
      </c>
      <c r="X192">
        <f t="shared" si="115"/>
        <v>94</v>
      </c>
      <c r="Y192">
        <f t="shared" si="116"/>
        <v>37</v>
      </c>
      <c r="Z192">
        <f t="shared" si="117"/>
        <v>30</v>
      </c>
      <c r="AA192">
        <f t="shared" si="118"/>
        <v>4</v>
      </c>
      <c r="AB192">
        <f t="shared" si="119"/>
        <v>6</v>
      </c>
      <c r="AC192">
        <f t="shared" si="120"/>
        <v>137</v>
      </c>
      <c r="AD192">
        <f t="shared" si="121"/>
        <v>28</v>
      </c>
      <c r="AF192">
        <f t="shared" si="98"/>
        <v>0</v>
      </c>
      <c r="AG192">
        <f t="shared" si="99"/>
        <v>0</v>
      </c>
      <c r="AH192">
        <f t="shared" si="100"/>
        <v>0</v>
      </c>
      <c r="AI192">
        <f t="shared" si="101"/>
        <v>0</v>
      </c>
      <c r="AJ192">
        <f t="shared" si="102"/>
        <v>0</v>
      </c>
      <c r="AK192">
        <f t="shared" si="103"/>
        <v>0</v>
      </c>
      <c r="AL192">
        <f t="shared" si="104"/>
        <v>0</v>
      </c>
      <c r="AM192">
        <f t="shared" si="105"/>
        <v>0</v>
      </c>
      <c r="AN192">
        <f t="shared" si="106"/>
        <v>0</v>
      </c>
      <c r="AO192">
        <f t="shared" si="107"/>
        <v>0</v>
      </c>
      <c r="AP192">
        <f t="shared" si="108"/>
        <v>0</v>
      </c>
      <c r="AQ192">
        <f t="shared" si="109"/>
        <v>0</v>
      </c>
    </row>
    <row r="193" spans="1:43" x14ac:dyDescent="0.35">
      <c r="A193" s="51">
        <v>79</v>
      </c>
      <c r="B193" s="51" t="s">
        <v>256</v>
      </c>
      <c r="C193" s="62" t="s">
        <v>164</v>
      </c>
      <c r="D193" s="51" t="s">
        <v>60</v>
      </c>
      <c r="E193" s="19">
        <v>2528.9631700746036</v>
      </c>
      <c r="F193">
        <f t="shared" si="74"/>
        <v>0</v>
      </c>
      <c r="G193">
        <f t="shared" si="75"/>
        <v>0</v>
      </c>
      <c r="H193">
        <f t="shared" si="76"/>
        <v>0</v>
      </c>
      <c r="I193">
        <f t="shared" si="77"/>
        <v>0</v>
      </c>
      <c r="J193">
        <f t="shared" si="78"/>
        <v>2528.9631700746036</v>
      </c>
      <c r="K193">
        <f t="shared" si="79"/>
        <v>0</v>
      </c>
      <c r="L193">
        <f t="shared" si="80"/>
        <v>0</v>
      </c>
      <c r="M193">
        <f t="shared" si="81"/>
        <v>0</v>
      </c>
      <c r="N193">
        <f t="shared" si="82"/>
        <v>0</v>
      </c>
      <c r="O193">
        <f t="shared" si="83"/>
        <v>0</v>
      </c>
      <c r="P193">
        <f t="shared" si="84"/>
        <v>0</v>
      </c>
      <c r="Q193">
        <f t="shared" si="85"/>
        <v>0</v>
      </c>
      <c r="S193">
        <f t="shared" si="110"/>
        <v>53</v>
      </c>
      <c r="T193">
        <f t="shared" si="111"/>
        <v>38</v>
      </c>
      <c r="U193">
        <f t="shared" si="112"/>
        <v>22</v>
      </c>
      <c r="V193">
        <f t="shared" si="113"/>
        <v>23</v>
      </c>
      <c r="W193">
        <f t="shared" si="114"/>
        <v>105</v>
      </c>
      <c r="X193">
        <f t="shared" si="115"/>
        <v>94</v>
      </c>
      <c r="Y193">
        <f t="shared" si="116"/>
        <v>37</v>
      </c>
      <c r="Z193">
        <f t="shared" si="117"/>
        <v>30</v>
      </c>
      <c r="AA193">
        <f t="shared" si="118"/>
        <v>4</v>
      </c>
      <c r="AB193">
        <f t="shared" si="119"/>
        <v>6</v>
      </c>
      <c r="AC193">
        <f t="shared" si="120"/>
        <v>136</v>
      </c>
      <c r="AD193">
        <f t="shared" si="121"/>
        <v>28</v>
      </c>
      <c r="AF193">
        <f t="shared" si="98"/>
        <v>0</v>
      </c>
      <c r="AG193">
        <f t="shared" si="99"/>
        <v>0</v>
      </c>
      <c r="AH193">
        <f t="shared" si="100"/>
        <v>0</v>
      </c>
      <c r="AI193">
        <f t="shared" si="101"/>
        <v>0</v>
      </c>
      <c r="AJ193">
        <f t="shared" si="102"/>
        <v>0</v>
      </c>
      <c r="AK193">
        <f t="shared" si="103"/>
        <v>0</v>
      </c>
      <c r="AL193">
        <f t="shared" si="104"/>
        <v>0</v>
      </c>
      <c r="AM193">
        <f t="shared" si="105"/>
        <v>0</v>
      </c>
      <c r="AN193">
        <f t="shared" si="106"/>
        <v>0</v>
      </c>
      <c r="AO193">
        <f t="shared" si="107"/>
        <v>0</v>
      </c>
      <c r="AP193">
        <f t="shared" si="108"/>
        <v>0</v>
      </c>
      <c r="AQ193">
        <f t="shared" si="109"/>
        <v>0</v>
      </c>
    </row>
    <row r="194" spans="1:43" x14ac:dyDescent="0.45">
      <c r="A194" s="51">
        <v>80</v>
      </c>
      <c r="B194" s="51" t="s">
        <v>257</v>
      </c>
      <c r="C194" s="56" t="s">
        <v>161</v>
      </c>
      <c r="D194" s="50" t="s">
        <v>222</v>
      </c>
      <c r="E194" s="19">
        <v>3272.3482730180367</v>
      </c>
      <c r="F194">
        <f t="shared" ref="F194:F261" si="122">IF(D194="SPUR-01",E194,0)</f>
        <v>0</v>
      </c>
      <c r="G194">
        <f t="shared" ref="G194:G261" si="123">IF(D194="SPUR-02",E194,0)</f>
        <v>0</v>
      </c>
      <c r="H194">
        <f t="shared" ref="H194:H261" si="124">IF(D194="SPUR-03",E194,0)</f>
        <v>0</v>
      </c>
      <c r="I194">
        <f t="shared" ref="I194:I261" si="125">IF(D194="SPUR-04",E194,0)</f>
        <v>0</v>
      </c>
      <c r="J194">
        <f t="shared" ref="J194:J261" si="126">IF(D194="SPUR-05",E194,0)</f>
        <v>0</v>
      </c>
      <c r="K194">
        <f t="shared" ref="K194:K261" si="127">IF(D194="SPUR-06",E194,0)</f>
        <v>0</v>
      </c>
      <c r="L194">
        <f t="shared" ref="L194:L261" si="128">IF(D194="SPUR-07",E194,0)</f>
        <v>0</v>
      </c>
      <c r="M194">
        <f t="shared" ref="M194:M261" si="129">IF(D194="SPUR-08",E194,0)</f>
        <v>0</v>
      </c>
      <c r="N194">
        <f t="shared" ref="N194:N261" si="130">IF(D194="SPUR-09",E194,0)</f>
        <v>0</v>
      </c>
      <c r="O194">
        <f t="shared" ref="O194:O261" si="131">IF(D194="SPUR-10",E194,0)</f>
        <v>0</v>
      </c>
      <c r="P194">
        <f t="shared" ref="P194:P261" si="132">IF(D194="SPUR-SILO",E194,0)</f>
        <v>0</v>
      </c>
      <c r="Q194">
        <f t="shared" ref="Q194:Q261" si="133">IF(D194="SPUR-DB",E194,0)</f>
        <v>3272.3482730180367</v>
      </c>
      <c r="S194">
        <f t="shared" si="110"/>
        <v>53</v>
      </c>
      <c r="T194">
        <f t="shared" si="111"/>
        <v>38</v>
      </c>
      <c r="U194">
        <f t="shared" si="112"/>
        <v>22</v>
      </c>
      <c r="V194">
        <f t="shared" si="113"/>
        <v>23</v>
      </c>
      <c r="W194">
        <f t="shared" si="114"/>
        <v>104</v>
      </c>
      <c r="X194">
        <f t="shared" si="115"/>
        <v>94</v>
      </c>
      <c r="Y194">
        <f t="shared" si="116"/>
        <v>37</v>
      </c>
      <c r="Z194">
        <f t="shared" si="117"/>
        <v>30</v>
      </c>
      <c r="AA194">
        <f t="shared" si="118"/>
        <v>4</v>
      </c>
      <c r="AB194">
        <f t="shared" si="119"/>
        <v>6</v>
      </c>
      <c r="AC194">
        <f t="shared" si="120"/>
        <v>136</v>
      </c>
      <c r="AD194">
        <f t="shared" si="121"/>
        <v>28</v>
      </c>
      <c r="AF194">
        <f t="shared" si="98"/>
        <v>0</v>
      </c>
      <c r="AG194">
        <f t="shared" si="99"/>
        <v>0</v>
      </c>
      <c r="AH194">
        <f t="shared" si="100"/>
        <v>0</v>
      </c>
      <c r="AI194">
        <f t="shared" si="101"/>
        <v>0</v>
      </c>
      <c r="AJ194">
        <f t="shared" si="102"/>
        <v>0</v>
      </c>
      <c r="AK194">
        <f t="shared" si="103"/>
        <v>0</v>
      </c>
      <c r="AL194">
        <f t="shared" si="104"/>
        <v>0</v>
      </c>
      <c r="AM194">
        <f t="shared" si="105"/>
        <v>0</v>
      </c>
      <c r="AN194">
        <f t="shared" si="106"/>
        <v>0</v>
      </c>
      <c r="AO194">
        <f t="shared" si="107"/>
        <v>0</v>
      </c>
      <c r="AP194">
        <f t="shared" si="108"/>
        <v>0</v>
      </c>
      <c r="AQ194">
        <f t="shared" si="109"/>
        <v>0</v>
      </c>
    </row>
    <row r="195" spans="1:43" x14ac:dyDescent="0.45">
      <c r="A195" s="51">
        <v>81</v>
      </c>
      <c r="B195" s="51" t="s">
        <v>257</v>
      </c>
      <c r="C195" s="56" t="s">
        <v>166</v>
      </c>
      <c r="D195" s="50" t="s">
        <v>94</v>
      </c>
      <c r="E195" s="19">
        <v>3437.0675573992444</v>
      </c>
      <c r="F195">
        <f t="shared" si="122"/>
        <v>0</v>
      </c>
      <c r="G195">
        <f t="shared" si="123"/>
        <v>0</v>
      </c>
      <c r="H195">
        <f t="shared" si="124"/>
        <v>0</v>
      </c>
      <c r="I195">
        <f t="shared" si="125"/>
        <v>0</v>
      </c>
      <c r="J195">
        <f t="shared" si="126"/>
        <v>0</v>
      </c>
      <c r="K195">
        <f t="shared" si="127"/>
        <v>0</v>
      </c>
      <c r="L195">
        <f t="shared" si="128"/>
        <v>3437.0675573992444</v>
      </c>
      <c r="M195">
        <f t="shared" si="129"/>
        <v>0</v>
      </c>
      <c r="N195">
        <f t="shared" si="130"/>
        <v>0</v>
      </c>
      <c r="O195">
        <f t="shared" si="131"/>
        <v>0</v>
      </c>
      <c r="P195">
        <f t="shared" si="132"/>
        <v>0</v>
      </c>
      <c r="Q195">
        <f t="shared" si="133"/>
        <v>0</v>
      </c>
      <c r="S195">
        <f t="shared" si="110"/>
        <v>53</v>
      </c>
      <c r="T195">
        <f t="shared" si="111"/>
        <v>38</v>
      </c>
      <c r="U195">
        <f t="shared" si="112"/>
        <v>22</v>
      </c>
      <c r="V195">
        <f t="shared" si="113"/>
        <v>23</v>
      </c>
      <c r="W195">
        <f t="shared" si="114"/>
        <v>104</v>
      </c>
      <c r="X195">
        <f t="shared" si="115"/>
        <v>94</v>
      </c>
      <c r="Y195">
        <f t="shared" si="116"/>
        <v>37</v>
      </c>
      <c r="Z195">
        <f t="shared" si="117"/>
        <v>30</v>
      </c>
      <c r="AA195">
        <f t="shared" si="118"/>
        <v>4</v>
      </c>
      <c r="AB195">
        <f t="shared" si="119"/>
        <v>6</v>
      </c>
      <c r="AC195">
        <f t="shared" si="120"/>
        <v>136</v>
      </c>
      <c r="AD195">
        <f t="shared" si="121"/>
        <v>27</v>
      </c>
      <c r="AF195">
        <f t="shared" ref="AF195:AF262" si="134">IF(S195&lt;=$AT$1,F195,0)</f>
        <v>0</v>
      </c>
      <c r="AG195">
        <f t="shared" ref="AG195:AG262" si="135">IF(T195&lt;=$AT$1,G195,0)</f>
        <v>0</v>
      </c>
      <c r="AH195">
        <f t="shared" ref="AH195:AH262" si="136">IF(U195&lt;=$AT$1,H195,0)</f>
        <v>0</v>
      </c>
      <c r="AI195">
        <f t="shared" ref="AI195:AI262" si="137">IF(V195&lt;=$AT$1,I195,0)</f>
        <v>0</v>
      </c>
      <c r="AJ195">
        <f t="shared" ref="AJ195:AJ262" si="138">IF(W195&lt;=$AT$1,J195,0)</f>
        <v>0</v>
      </c>
      <c r="AK195">
        <f t="shared" ref="AK195:AK262" si="139">IF(X195&lt;=$AT$1,K195,0)</f>
        <v>0</v>
      </c>
      <c r="AL195">
        <f t="shared" ref="AL195:AL262" si="140">IF(Y195&lt;=$AT$1,L195,0)</f>
        <v>0</v>
      </c>
      <c r="AM195">
        <f t="shared" ref="AM195:AM262" si="141">IF(Z195&lt;=$AT$1,M195,0)</f>
        <v>0</v>
      </c>
      <c r="AN195">
        <f t="shared" ref="AN195:AN262" si="142">IF(AA195&lt;=$AT$1,N195,0)</f>
        <v>0</v>
      </c>
      <c r="AO195">
        <f t="shared" ref="AO195:AO262" si="143">IF(AB195&lt;=$AT$1,O195,0)</f>
        <v>0</v>
      </c>
      <c r="AP195">
        <f t="shared" ref="AP195:AP262" si="144">IF(AC195&lt;=$AT$1,P195,0)</f>
        <v>0</v>
      </c>
      <c r="AQ195">
        <f t="shared" ref="AQ195:AQ262" si="145">IF(AD195&lt;=$AT$1,Q195,0)</f>
        <v>0</v>
      </c>
    </row>
    <row r="196" spans="1:43" x14ac:dyDescent="0.45">
      <c r="A196" s="51">
        <v>82</v>
      </c>
      <c r="B196" s="51" t="s">
        <v>257</v>
      </c>
      <c r="C196" s="56" t="s">
        <v>167</v>
      </c>
      <c r="D196" s="50" t="s">
        <v>222</v>
      </c>
      <c r="E196" s="19">
        <v>2938.9848284163945</v>
      </c>
      <c r="F196">
        <f t="shared" si="122"/>
        <v>0</v>
      </c>
      <c r="G196">
        <f t="shared" si="123"/>
        <v>0</v>
      </c>
      <c r="H196">
        <f t="shared" si="124"/>
        <v>0</v>
      </c>
      <c r="I196">
        <f t="shared" si="125"/>
        <v>0</v>
      </c>
      <c r="J196">
        <f t="shared" si="126"/>
        <v>0</v>
      </c>
      <c r="K196">
        <f t="shared" si="127"/>
        <v>0</v>
      </c>
      <c r="L196">
        <f t="shared" si="128"/>
        <v>0</v>
      </c>
      <c r="M196">
        <f t="shared" si="129"/>
        <v>0</v>
      </c>
      <c r="N196">
        <f t="shared" si="130"/>
        <v>0</v>
      </c>
      <c r="O196">
        <f t="shared" si="131"/>
        <v>0</v>
      </c>
      <c r="P196">
        <f t="shared" si="132"/>
        <v>0</v>
      </c>
      <c r="Q196">
        <f t="shared" si="133"/>
        <v>2938.9848284163945</v>
      </c>
      <c r="S196">
        <f t="shared" si="110"/>
        <v>53</v>
      </c>
      <c r="T196">
        <f t="shared" si="111"/>
        <v>38</v>
      </c>
      <c r="U196">
        <f t="shared" si="112"/>
        <v>22</v>
      </c>
      <c r="V196">
        <f t="shared" si="113"/>
        <v>23</v>
      </c>
      <c r="W196">
        <f t="shared" si="114"/>
        <v>104</v>
      </c>
      <c r="X196">
        <f t="shared" si="115"/>
        <v>94</v>
      </c>
      <c r="Y196">
        <f t="shared" si="116"/>
        <v>36</v>
      </c>
      <c r="Z196">
        <f t="shared" si="117"/>
        <v>30</v>
      </c>
      <c r="AA196">
        <f t="shared" si="118"/>
        <v>4</v>
      </c>
      <c r="AB196">
        <f t="shared" si="119"/>
        <v>6</v>
      </c>
      <c r="AC196">
        <f t="shared" si="120"/>
        <v>136</v>
      </c>
      <c r="AD196">
        <f t="shared" si="121"/>
        <v>27</v>
      </c>
      <c r="AF196">
        <f t="shared" si="134"/>
        <v>0</v>
      </c>
      <c r="AG196">
        <f t="shared" si="135"/>
        <v>0</v>
      </c>
      <c r="AH196">
        <f t="shared" si="136"/>
        <v>0</v>
      </c>
      <c r="AI196">
        <f t="shared" si="137"/>
        <v>0</v>
      </c>
      <c r="AJ196">
        <f t="shared" si="138"/>
        <v>0</v>
      </c>
      <c r="AK196">
        <f t="shared" si="139"/>
        <v>0</v>
      </c>
      <c r="AL196">
        <f t="shared" si="140"/>
        <v>0</v>
      </c>
      <c r="AM196">
        <f t="shared" si="141"/>
        <v>0</v>
      </c>
      <c r="AN196">
        <f t="shared" si="142"/>
        <v>0</v>
      </c>
      <c r="AO196">
        <f t="shared" si="143"/>
        <v>0</v>
      </c>
      <c r="AP196">
        <f t="shared" si="144"/>
        <v>0</v>
      </c>
      <c r="AQ196">
        <f t="shared" si="145"/>
        <v>0</v>
      </c>
    </row>
    <row r="197" spans="1:43" x14ac:dyDescent="0.45">
      <c r="A197" s="51">
        <v>83</v>
      </c>
      <c r="B197" s="51" t="s">
        <v>257</v>
      </c>
      <c r="C197" s="56" t="s">
        <v>170</v>
      </c>
      <c r="D197" s="50" t="s">
        <v>228</v>
      </c>
      <c r="E197" s="19">
        <v>2920.8954053605212</v>
      </c>
      <c r="F197">
        <f t="shared" si="122"/>
        <v>0</v>
      </c>
      <c r="G197">
        <f t="shared" si="123"/>
        <v>0</v>
      </c>
      <c r="H197">
        <f t="shared" si="124"/>
        <v>0</v>
      </c>
      <c r="I197">
        <f t="shared" si="125"/>
        <v>0</v>
      </c>
      <c r="J197">
        <f t="shared" si="126"/>
        <v>0</v>
      </c>
      <c r="K197">
        <f t="shared" si="127"/>
        <v>0</v>
      </c>
      <c r="L197">
        <f t="shared" si="128"/>
        <v>0</v>
      </c>
      <c r="M197">
        <f t="shared" si="129"/>
        <v>0</v>
      </c>
      <c r="N197">
        <f t="shared" si="130"/>
        <v>0</v>
      </c>
      <c r="O197">
        <f t="shared" si="131"/>
        <v>0</v>
      </c>
      <c r="P197">
        <f t="shared" si="132"/>
        <v>2920.8954053605212</v>
      </c>
      <c r="Q197">
        <f t="shared" si="133"/>
        <v>0</v>
      </c>
      <c r="S197">
        <f t="shared" si="110"/>
        <v>53</v>
      </c>
      <c r="T197">
        <f t="shared" si="111"/>
        <v>38</v>
      </c>
      <c r="U197">
        <f t="shared" si="112"/>
        <v>22</v>
      </c>
      <c r="V197">
        <f t="shared" si="113"/>
        <v>23</v>
      </c>
      <c r="W197">
        <f t="shared" si="114"/>
        <v>104</v>
      </c>
      <c r="X197">
        <f t="shared" si="115"/>
        <v>94</v>
      </c>
      <c r="Y197">
        <f t="shared" si="116"/>
        <v>36</v>
      </c>
      <c r="Z197">
        <f t="shared" si="117"/>
        <v>30</v>
      </c>
      <c r="AA197">
        <f t="shared" si="118"/>
        <v>4</v>
      </c>
      <c r="AB197">
        <f t="shared" si="119"/>
        <v>6</v>
      </c>
      <c r="AC197">
        <f t="shared" si="120"/>
        <v>136</v>
      </c>
      <c r="AD197">
        <f t="shared" si="121"/>
        <v>26</v>
      </c>
      <c r="AF197">
        <f t="shared" si="134"/>
        <v>0</v>
      </c>
      <c r="AG197">
        <f t="shared" si="135"/>
        <v>0</v>
      </c>
      <c r="AH197">
        <f t="shared" si="136"/>
        <v>0</v>
      </c>
      <c r="AI197">
        <f t="shared" si="137"/>
        <v>0</v>
      </c>
      <c r="AJ197">
        <f t="shared" si="138"/>
        <v>0</v>
      </c>
      <c r="AK197">
        <f t="shared" si="139"/>
        <v>0</v>
      </c>
      <c r="AL197">
        <f t="shared" si="140"/>
        <v>0</v>
      </c>
      <c r="AM197">
        <f t="shared" si="141"/>
        <v>0</v>
      </c>
      <c r="AN197">
        <f t="shared" si="142"/>
        <v>0</v>
      </c>
      <c r="AO197">
        <f t="shared" si="143"/>
        <v>0</v>
      </c>
      <c r="AP197">
        <f t="shared" si="144"/>
        <v>0</v>
      </c>
      <c r="AQ197">
        <f t="shared" si="145"/>
        <v>0</v>
      </c>
    </row>
    <row r="198" spans="1:43" x14ac:dyDescent="0.45">
      <c r="A198" s="51">
        <v>84</v>
      </c>
      <c r="B198" s="51" t="s">
        <v>257</v>
      </c>
      <c r="C198" s="56" t="s">
        <v>165</v>
      </c>
      <c r="D198" s="50" t="s">
        <v>60</v>
      </c>
      <c r="E198" s="19">
        <v>2820.5273511386295</v>
      </c>
      <c r="F198">
        <f t="shared" si="122"/>
        <v>0</v>
      </c>
      <c r="G198">
        <f t="shared" si="123"/>
        <v>0</v>
      </c>
      <c r="H198">
        <f t="shared" si="124"/>
        <v>0</v>
      </c>
      <c r="I198">
        <f t="shared" si="125"/>
        <v>0</v>
      </c>
      <c r="J198">
        <f t="shared" si="126"/>
        <v>2820.5273511386295</v>
      </c>
      <c r="K198">
        <f t="shared" si="127"/>
        <v>0</v>
      </c>
      <c r="L198">
        <f t="shared" si="128"/>
        <v>0</v>
      </c>
      <c r="M198">
        <f t="shared" si="129"/>
        <v>0</v>
      </c>
      <c r="N198">
        <f t="shared" si="130"/>
        <v>0</v>
      </c>
      <c r="O198">
        <f t="shared" si="131"/>
        <v>0</v>
      </c>
      <c r="P198">
        <f t="shared" si="132"/>
        <v>0</v>
      </c>
      <c r="Q198">
        <f t="shared" si="133"/>
        <v>0</v>
      </c>
      <c r="S198">
        <f t="shared" si="110"/>
        <v>53</v>
      </c>
      <c r="T198">
        <f t="shared" si="111"/>
        <v>38</v>
      </c>
      <c r="U198">
        <f t="shared" si="112"/>
        <v>22</v>
      </c>
      <c r="V198">
        <f t="shared" si="113"/>
        <v>23</v>
      </c>
      <c r="W198">
        <f t="shared" si="114"/>
        <v>104</v>
      </c>
      <c r="X198">
        <f t="shared" si="115"/>
        <v>94</v>
      </c>
      <c r="Y198">
        <f t="shared" si="116"/>
        <v>36</v>
      </c>
      <c r="Z198">
        <f t="shared" si="117"/>
        <v>30</v>
      </c>
      <c r="AA198">
        <f t="shared" si="118"/>
        <v>4</v>
      </c>
      <c r="AB198">
        <f t="shared" si="119"/>
        <v>6</v>
      </c>
      <c r="AC198">
        <f t="shared" si="120"/>
        <v>135</v>
      </c>
      <c r="AD198">
        <f t="shared" si="121"/>
        <v>26</v>
      </c>
      <c r="AF198">
        <f t="shared" si="134"/>
        <v>0</v>
      </c>
      <c r="AG198">
        <f t="shared" si="135"/>
        <v>0</v>
      </c>
      <c r="AH198">
        <f t="shared" si="136"/>
        <v>0</v>
      </c>
      <c r="AI198">
        <f t="shared" si="137"/>
        <v>0</v>
      </c>
      <c r="AJ198">
        <f t="shared" si="138"/>
        <v>0</v>
      </c>
      <c r="AK198">
        <f t="shared" si="139"/>
        <v>0</v>
      </c>
      <c r="AL198">
        <f t="shared" si="140"/>
        <v>0</v>
      </c>
      <c r="AM198">
        <f t="shared" si="141"/>
        <v>0</v>
      </c>
      <c r="AN198">
        <f t="shared" si="142"/>
        <v>0</v>
      </c>
      <c r="AO198">
        <f t="shared" si="143"/>
        <v>0</v>
      </c>
      <c r="AP198">
        <f t="shared" si="144"/>
        <v>0</v>
      </c>
      <c r="AQ198">
        <f t="shared" si="145"/>
        <v>0</v>
      </c>
    </row>
    <row r="199" spans="1:43" x14ac:dyDescent="0.35">
      <c r="A199" s="51">
        <v>85</v>
      </c>
      <c r="B199" s="51" t="s">
        <v>258</v>
      </c>
      <c r="C199" s="62" t="s">
        <v>169</v>
      </c>
      <c r="D199" s="51" t="s">
        <v>54</v>
      </c>
      <c r="E199" s="19">
        <v>3317.0807912897121</v>
      </c>
      <c r="F199">
        <f t="shared" si="122"/>
        <v>0</v>
      </c>
      <c r="G199">
        <f t="shared" si="123"/>
        <v>0</v>
      </c>
      <c r="H199">
        <f t="shared" si="124"/>
        <v>0</v>
      </c>
      <c r="I199">
        <f t="shared" si="125"/>
        <v>0</v>
      </c>
      <c r="J199">
        <f t="shared" si="126"/>
        <v>0</v>
      </c>
      <c r="K199">
        <f t="shared" si="127"/>
        <v>3317.0807912897121</v>
      </c>
      <c r="L199">
        <f t="shared" si="128"/>
        <v>0</v>
      </c>
      <c r="M199">
        <f t="shared" si="129"/>
        <v>0</v>
      </c>
      <c r="N199">
        <f t="shared" si="130"/>
        <v>0</v>
      </c>
      <c r="O199">
        <f t="shared" si="131"/>
        <v>0</v>
      </c>
      <c r="P199">
        <f t="shared" si="132"/>
        <v>0</v>
      </c>
      <c r="Q199">
        <f t="shared" si="133"/>
        <v>0</v>
      </c>
      <c r="S199">
        <f t="shared" si="110"/>
        <v>53</v>
      </c>
      <c r="T199">
        <f t="shared" si="111"/>
        <v>38</v>
      </c>
      <c r="U199">
        <f t="shared" si="112"/>
        <v>22</v>
      </c>
      <c r="V199">
        <f t="shared" si="113"/>
        <v>23</v>
      </c>
      <c r="W199">
        <f t="shared" si="114"/>
        <v>103</v>
      </c>
      <c r="X199">
        <f t="shared" si="115"/>
        <v>94</v>
      </c>
      <c r="Y199">
        <f t="shared" si="116"/>
        <v>36</v>
      </c>
      <c r="Z199">
        <f t="shared" si="117"/>
        <v>30</v>
      </c>
      <c r="AA199">
        <f t="shared" si="118"/>
        <v>4</v>
      </c>
      <c r="AB199">
        <f t="shared" si="119"/>
        <v>6</v>
      </c>
      <c r="AC199">
        <f t="shared" si="120"/>
        <v>135</v>
      </c>
      <c r="AD199">
        <f t="shared" si="121"/>
        <v>26</v>
      </c>
      <c r="AF199">
        <f t="shared" si="134"/>
        <v>0</v>
      </c>
      <c r="AG199">
        <f t="shared" si="135"/>
        <v>0</v>
      </c>
      <c r="AH199">
        <f t="shared" si="136"/>
        <v>0</v>
      </c>
      <c r="AI199">
        <f t="shared" si="137"/>
        <v>0</v>
      </c>
      <c r="AJ199">
        <f t="shared" si="138"/>
        <v>0</v>
      </c>
      <c r="AK199">
        <f t="shared" si="139"/>
        <v>0</v>
      </c>
      <c r="AL199">
        <f t="shared" si="140"/>
        <v>0</v>
      </c>
      <c r="AM199">
        <f t="shared" si="141"/>
        <v>0</v>
      </c>
      <c r="AN199">
        <f t="shared" si="142"/>
        <v>0</v>
      </c>
      <c r="AO199">
        <f t="shared" si="143"/>
        <v>0</v>
      </c>
      <c r="AP199">
        <f t="shared" si="144"/>
        <v>0</v>
      </c>
      <c r="AQ199">
        <f t="shared" si="145"/>
        <v>0</v>
      </c>
    </row>
    <row r="200" spans="1:43" x14ac:dyDescent="0.45">
      <c r="A200" s="51">
        <v>86</v>
      </c>
      <c r="B200" s="51" t="s">
        <v>258</v>
      </c>
      <c r="C200" s="56" t="s">
        <v>172</v>
      </c>
      <c r="D200" s="50" t="s">
        <v>228</v>
      </c>
      <c r="E200" s="19">
        <v>3125.7134981607987</v>
      </c>
      <c r="F200">
        <f t="shared" si="122"/>
        <v>0</v>
      </c>
      <c r="G200">
        <f t="shared" si="123"/>
        <v>0</v>
      </c>
      <c r="H200">
        <f t="shared" si="124"/>
        <v>0</v>
      </c>
      <c r="I200">
        <f t="shared" si="125"/>
        <v>0</v>
      </c>
      <c r="J200">
        <f t="shared" si="126"/>
        <v>0</v>
      </c>
      <c r="K200">
        <f t="shared" si="127"/>
        <v>0</v>
      </c>
      <c r="L200">
        <f t="shared" si="128"/>
        <v>0</v>
      </c>
      <c r="M200">
        <f t="shared" si="129"/>
        <v>0</v>
      </c>
      <c r="N200">
        <f t="shared" si="130"/>
        <v>0</v>
      </c>
      <c r="O200">
        <f t="shared" si="131"/>
        <v>0</v>
      </c>
      <c r="P200">
        <f t="shared" si="132"/>
        <v>3125.7134981607987</v>
      </c>
      <c r="Q200">
        <f t="shared" si="133"/>
        <v>0</v>
      </c>
      <c r="S200">
        <f t="shared" si="110"/>
        <v>53</v>
      </c>
      <c r="T200">
        <f t="shared" si="111"/>
        <v>38</v>
      </c>
      <c r="U200">
        <f t="shared" si="112"/>
        <v>22</v>
      </c>
      <c r="V200">
        <f t="shared" si="113"/>
        <v>23</v>
      </c>
      <c r="W200">
        <f t="shared" si="114"/>
        <v>103</v>
      </c>
      <c r="X200">
        <f t="shared" si="115"/>
        <v>93</v>
      </c>
      <c r="Y200">
        <f t="shared" si="116"/>
        <v>36</v>
      </c>
      <c r="Z200">
        <f t="shared" si="117"/>
        <v>30</v>
      </c>
      <c r="AA200">
        <f t="shared" si="118"/>
        <v>4</v>
      </c>
      <c r="AB200">
        <f t="shared" si="119"/>
        <v>6</v>
      </c>
      <c r="AC200">
        <f t="shared" si="120"/>
        <v>135</v>
      </c>
      <c r="AD200">
        <f t="shared" si="121"/>
        <v>26</v>
      </c>
      <c r="AF200">
        <f t="shared" si="134"/>
        <v>0</v>
      </c>
      <c r="AG200">
        <f t="shared" si="135"/>
        <v>0</v>
      </c>
      <c r="AH200">
        <f t="shared" si="136"/>
        <v>0</v>
      </c>
      <c r="AI200">
        <f t="shared" si="137"/>
        <v>0</v>
      </c>
      <c r="AJ200">
        <f t="shared" si="138"/>
        <v>0</v>
      </c>
      <c r="AK200">
        <f t="shared" si="139"/>
        <v>0</v>
      </c>
      <c r="AL200">
        <f t="shared" si="140"/>
        <v>0</v>
      </c>
      <c r="AM200">
        <f t="shared" si="141"/>
        <v>0</v>
      </c>
      <c r="AN200">
        <f t="shared" si="142"/>
        <v>0</v>
      </c>
      <c r="AO200">
        <f t="shared" si="143"/>
        <v>0</v>
      </c>
      <c r="AP200">
        <f t="shared" si="144"/>
        <v>0</v>
      </c>
      <c r="AQ200">
        <f t="shared" si="145"/>
        <v>0</v>
      </c>
    </row>
    <row r="201" spans="1:43" x14ac:dyDescent="0.45">
      <c r="A201" s="51">
        <v>87</v>
      </c>
      <c r="B201" s="51" t="s">
        <v>258</v>
      </c>
      <c r="C201" s="56" t="s">
        <v>259</v>
      </c>
      <c r="D201" s="50" t="s">
        <v>228</v>
      </c>
      <c r="E201" s="19">
        <v>2864.4728780487808</v>
      </c>
      <c r="F201">
        <f t="shared" si="122"/>
        <v>0</v>
      </c>
      <c r="G201">
        <f t="shared" si="123"/>
        <v>0</v>
      </c>
      <c r="H201">
        <f t="shared" si="124"/>
        <v>0</v>
      </c>
      <c r="I201">
        <f t="shared" si="125"/>
        <v>0</v>
      </c>
      <c r="J201">
        <f t="shared" si="126"/>
        <v>0</v>
      </c>
      <c r="K201">
        <f t="shared" si="127"/>
        <v>0</v>
      </c>
      <c r="L201">
        <f t="shared" si="128"/>
        <v>0</v>
      </c>
      <c r="M201">
        <f t="shared" si="129"/>
        <v>0</v>
      </c>
      <c r="N201">
        <f t="shared" si="130"/>
        <v>0</v>
      </c>
      <c r="O201">
        <f t="shared" si="131"/>
        <v>0</v>
      </c>
      <c r="P201">
        <f t="shared" si="132"/>
        <v>2864.4728780487808</v>
      </c>
      <c r="Q201">
        <f t="shared" si="133"/>
        <v>0</v>
      </c>
      <c r="S201">
        <f t="shared" si="110"/>
        <v>53</v>
      </c>
      <c r="T201">
        <f t="shared" si="111"/>
        <v>38</v>
      </c>
      <c r="U201">
        <f t="shared" si="112"/>
        <v>22</v>
      </c>
      <c r="V201">
        <f t="shared" si="113"/>
        <v>23</v>
      </c>
      <c r="W201">
        <f t="shared" si="114"/>
        <v>103</v>
      </c>
      <c r="X201">
        <f t="shared" si="115"/>
        <v>93</v>
      </c>
      <c r="Y201">
        <f t="shared" si="116"/>
        <v>36</v>
      </c>
      <c r="Z201">
        <f t="shared" si="117"/>
        <v>30</v>
      </c>
      <c r="AA201">
        <f t="shared" si="118"/>
        <v>4</v>
      </c>
      <c r="AB201">
        <f t="shared" si="119"/>
        <v>6</v>
      </c>
      <c r="AC201">
        <f t="shared" si="120"/>
        <v>134</v>
      </c>
      <c r="AD201">
        <f t="shared" si="121"/>
        <v>26</v>
      </c>
      <c r="AF201">
        <f t="shared" si="134"/>
        <v>0</v>
      </c>
      <c r="AG201">
        <f t="shared" si="135"/>
        <v>0</v>
      </c>
      <c r="AH201">
        <f t="shared" si="136"/>
        <v>0</v>
      </c>
      <c r="AI201">
        <f t="shared" si="137"/>
        <v>0</v>
      </c>
      <c r="AJ201">
        <f t="shared" si="138"/>
        <v>0</v>
      </c>
      <c r="AK201">
        <f t="shared" si="139"/>
        <v>0</v>
      </c>
      <c r="AL201">
        <f t="shared" si="140"/>
        <v>0</v>
      </c>
      <c r="AM201">
        <f t="shared" si="141"/>
        <v>0</v>
      </c>
      <c r="AN201">
        <f t="shared" si="142"/>
        <v>0</v>
      </c>
      <c r="AO201">
        <f t="shared" si="143"/>
        <v>0</v>
      </c>
      <c r="AP201">
        <f t="shared" si="144"/>
        <v>0</v>
      </c>
      <c r="AQ201">
        <f t="shared" si="145"/>
        <v>0</v>
      </c>
    </row>
    <row r="202" spans="1:43" x14ac:dyDescent="0.35">
      <c r="A202" s="51">
        <v>88</v>
      </c>
      <c r="B202" s="51" t="s">
        <v>260</v>
      </c>
      <c r="C202" s="62" t="s">
        <v>261</v>
      </c>
      <c r="D202" s="51" t="s">
        <v>80</v>
      </c>
      <c r="E202" s="19">
        <v>2541.2250831089609</v>
      </c>
      <c r="F202">
        <f t="shared" si="122"/>
        <v>0</v>
      </c>
      <c r="G202">
        <f t="shared" si="123"/>
        <v>0</v>
      </c>
      <c r="H202">
        <f t="shared" si="124"/>
        <v>2541.2250831089609</v>
      </c>
      <c r="I202">
        <f t="shared" si="125"/>
        <v>0</v>
      </c>
      <c r="J202">
        <f t="shared" si="126"/>
        <v>0</v>
      </c>
      <c r="K202">
        <f t="shared" si="127"/>
        <v>0</v>
      </c>
      <c r="L202">
        <f t="shared" si="128"/>
        <v>0</v>
      </c>
      <c r="M202">
        <f t="shared" si="129"/>
        <v>0</v>
      </c>
      <c r="N202">
        <f t="shared" si="130"/>
        <v>0</v>
      </c>
      <c r="O202">
        <f t="shared" si="131"/>
        <v>0</v>
      </c>
      <c r="P202">
        <f t="shared" si="132"/>
        <v>0</v>
      </c>
      <c r="Q202">
        <f t="shared" si="133"/>
        <v>0</v>
      </c>
      <c r="S202">
        <f t="shared" si="110"/>
        <v>53</v>
      </c>
      <c r="T202">
        <f t="shared" si="111"/>
        <v>38</v>
      </c>
      <c r="U202">
        <f t="shared" si="112"/>
        <v>22</v>
      </c>
      <c r="V202">
        <f t="shared" si="113"/>
        <v>23</v>
      </c>
      <c r="W202">
        <f t="shared" si="114"/>
        <v>103</v>
      </c>
      <c r="X202">
        <f t="shared" si="115"/>
        <v>93</v>
      </c>
      <c r="Y202">
        <f t="shared" si="116"/>
        <v>36</v>
      </c>
      <c r="Z202">
        <f t="shared" si="117"/>
        <v>30</v>
      </c>
      <c r="AA202">
        <f t="shared" si="118"/>
        <v>4</v>
      </c>
      <c r="AB202">
        <f t="shared" si="119"/>
        <v>6</v>
      </c>
      <c r="AC202">
        <f t="shared" si="120"/>
        <v>133</v>
      </c>
      <c r="AD202">
        <f t="shared" si="121"/>
        <v>26</v>
      </c>
      <c r="AF202">
        <f t="shared" si="134"/>
        <v>0</v>
      </c>
      <c r="AG202">
        <f t="shared" si="135"/>
        <v>0</v>
      </c>
      <c r="AH202">
        <f t="shared" si="136"/>
        <v>0</v>
      </c>
      <c r="AI202">
        <f t="shared" si="137"/>
        <v>0</v>
      </c>
      <c r="AJ202">
        <f t="shared" si="138"/>
        <v>0</v>
      </c>
      <c r="AK202">
        <f t="shared" si="139"/>
        <v>0</v>
      </c>
      <c r="AL202">
        <f t="shared" si="140"/>
        <v>0</v>
      </c>
      <c r="AM202">
        <f t="shared" si="141"/>
        <v>0</v>
      </c>
      <c r="AN202">
        <f t="shared" si="142"/>
        <v>0</v>
      </c>
      <c r="AO202">
        <f t="shared" si="143"/>
        <v>0</v>
      </c>
      <c r="AP202">
        <f t="shared" si="144"/>
        <v>0</v>
      </c>
      <c r="AQ202">
        <f t="shared" si="145"/>
        <v>0</v>
      </c>
    </row>
    <row r="203" spans="1:43" x14ac:dyDescent="0.35">
      <c r="C203" s="57"/>
      <c r="D203" s="73"/>
      <c r="F203">
        <f t="shared" si="122"/>
        <v>0</v>
      </c>
      <c r="G203">
        <f t="shared" si="123"/>
        <v>0</v>
      </c>
      <c r="H203">
        <f t="shared" si="124"/>
        <v>0</v>
      </c>
      <c r="I203">
        <f t="shared" si="125"/>
        <v>0</v>
      </c>
      <c r="J203">
        <f t="shared" si="126"/>
        <v>0</v>
      </c>
      <c r="K203">
        <f t="shared" si="127"/>
        <v>0</v>
      </c>
      <c r="L203">
        <f t="shared" si="128"/>
        <v>0</v>
      </c>
      <c r="M203">
        <f t="shared" si="129"/>
        <v>0</v>
      </c>
      <c r="N203">
        <f t="shared" si="130"/>
        <v>0</v>
      </c>
      <c r="O203">
        <f t="shared" si="131"/>
        <v>0</v>
      </c>
      <c r="P203">
        <f t="shared" si="132"/>
        <v>0</v>
      </c>
      <c r="Q203">
        <f t="shared" si="133"/>
        <v>0</v>
      </c>
      <c r="S203">
        <f t="shared" si="110"/>
        <v>53</v>
      </c>
      <c r="T203">
        <f t="shared" si="111"/>
        <v>38</v>
      </c>
      <c r="U203">
        <f t="shared" si="112"/>
        <v>21</v>
      </c>
      <c r="V203">
        <f t="shared" si="113"/>
        <v>23</v>
      </c>
      <c r="W203">
        <f t="shared" si="114"/>
        <v>103</v>
      </c>
      <c r="X203">
        <f t="shared" si="115"/>
        <v>93</v>
      </c>
      <c r="Y203">
        <f t="shared" si="116"/>
        <v>36</v>
      </c>
      <c r="Z203">
        <f t="shared" si="117"/>
        <v>30</v>
      </c>
      <c r="AA203">
        <f t="shared" si="118"/>
        <v>4</v>
      </c>
      <c r="AB203">
        <f t="shared" si="119"/>
        <v>6</v>
      </c>
      <c r="AC203">
        <f t="shared" si="120"/>
        <v>133</v>
      </c>
      <c r="AD203">
        <f t="shared" si="121"/>
        <v>26</v>
      </c>
      <c r="AF203">
        <f t="shared" si="134"/>
        <v>0</v>
      </c>
      <c r="AG203">
        <f t="shared" si="135"/>
        <v>0</v>
      </c>
      <c r="AH203">
        <f t="shared" si="136"/>
        <v>0</v>
      </c>
      <c r="AI203">
        <f t="shared" si="137"/>
        <v>0</v>
      </c>
      <c r="AJ203">
        <f t="shared" si="138"/>
        <v>0</v>
      </c>
      <c r="AK203">
        <f t="shared" si="139"/>
        <v>0</v>
      </c>
      <c r="AL203">
        <f t="shared" si="140"/>
        <v>0</v>
      </c>
      <c r="AM203">
        <f t="shared" si="141"/>
        <v>0</v>
      </c>
      <c r="AN203">
        <f t="shared" si="142"/>
        <v>0</v>
      </c>
      <c r="AO203">
        <f t="shared" si="143"/>
        <v>0</v>
      </c>
      <c r="AP203">
        <f t="shared" si="144"/>
        <v>0</v>
      </c>
      <c r="AQ203">
        <f t="shared" si="145"/>
        <v>0</v>
      </c>
    </row>
    <row r="204" spans="1:43" x14ac:dyDescent="0.35">
      <c r="A204" s="51">
        <v>1</v>
      </c>
      <c r="B204" s="51" t="s">
        <v>262</v>
      </c>
      <c r="C204" s="62" t="s">
        <v>206</v>
      </c>
      <c r="D204" s="51" t="s">
        <v>263</v>
      </c>
      <c r="E204" s="19">
        <v>3021.6587384873947</v>
      </c>
      <c r="F204">
        <f t="shared" si="122"/>
        <v>0</v>
      </c>
      <c r="G204">
        <f t="shared" si="123"/>
        <v>0</v>
      </c>
      <c r="H204">
        <f t="shared" si="124"/>
        <v>0</v>
      </c>
      <c r="I204">
        <f t="shared" si="125"/>
        <v>0</v>
      </c>
      <c r="J204">
        <f t="shared" si="126"/>
        <v>0</v>
      </c>
      <c r="K204">
        <f t="shared" si="127"/>
        <v>0</v>
      </c>
      <c r="L204">
        <f t="shared" si="128"/>
        <v>0</v>
      </c>
      <c r="M204">
        <f t="shared" si="129"/>
        <v>0</v>
      </c>
      <c r="N204">
        <f t="shared" si="130"/>
        <v>0</v>
      </c>
      <c r="O204">
        <f t="shared" si="131"/>
        <v>0</v>
      </c>
      <c r="P204">
        <f t="shared" si="132"/>
        <v>0</v>
      </c>
      <c r="Q204">
        <f t="shared" si="133"/>
        <v>0</v>
      </c>
      <c r="S204">
        <f t="shared" si="110"/>
        <v>53</v>
      </c>
      <c r="T204">
        <f t="shared" si="111"/>
        <v>38</v>
      </c>
      <c r="U204">
        <f t="shared" si="112"/>
        <v>21</v>
      </c>
      <c r="V204">
        <f t="shared" si="113"/>
        <v>23</v>
      </c>
      <c r="W204">
        <f t="shared" si="114"/>
        <v>103</v>
      </c>
      <c r="X204">
        <f t="shared" si="115"/>
        <v>93</v>
      </c>
      <c r="Y204">
        <f t="shared" si="116"/>
        <v>36</v>
      </c>
      <c r="Z204">
        <f t="shared" si="117"/>
        <v>30</v>
      </c>
      <c r="AA204">
        <f t="shared" si="118"/>
        <v>4</v>
      </c>
      <c r="AB204">
        <f t="shared" si="119"/>
        <v>6</v>
      </c>
      <c r="AC204">
        <f t="shared" si="120"/>
        <v>133</v>
      </c>
      <c r="AD204">
        <f t="shared" si="121"/>
        <v>26</v>
      </c>
      <c r="AF204">
        <f t="shared" si="134"/>
        <v>0</v>
      </c>
      <c r="AG204">
        <f t="shared" si="135"/>
        <v>0</v>
      </c>
      <c r="AH204">
        <f t="shared" si="136"/>
        <v>0</v>
      </c>
      <c r="AI204">
        <f t="shared" si="137"/>
        <v>0</v>
      </c>
      <c r="AJ204">
        <f t="shared" si="138"/>
        <v>0</v>
      </c>
      <c r="AK204">
        <f t="shared" si="139"/>
        <v>0</v>
      </c>
      <c r="AL204">
        <f t="shared" si="140"/>
        <v>0</v>
      </c>
      <c r="AM204">
        <f t="shared" si="141"/>
        <v>0</v>
      </c>
      <c r="AN204">
        <f t="shared" si="142"/>
        <v>0</v>
      </c>
      <c r="AO204">
        <f t="shared" si="143"/>
        <v>0</v>
      </c>
      <c r="AP204">
        <f t="shared" si="144"/>
        <v>0</v>
      </c>
      <c r="AQ204">
        <f t="shared" si="145"/>
        <v>0</v>
      </c>
    </row>
    <row r="205" spans="1:43" x14ac:dyDescent="0.45">
      <c r="A205" s="51">
        <v>2</v>
      </c>
      <c r="B205" s="51" t="s">
        <v>262</v>
      </c>
      <c r="C205" s="56" t="s">
        <v>207</v>
      </c>
      <c r="D205" s="50" t="s">
        <v>264</v>
      </c>
      <c r="E205" s="19">
        <v>3042.349208701135</v>
      </c>
      <c r="F205">
        <f t="shared" si="122"/>
        <v>0</v>
      </c>
      <c r="G205">
        <f t="shared" si="123"/>
        <v>0</v>
      </c>
      <c r="H205">
        <f t="shared" si="124"/>
        <v>0</v>
      </c>
      <c r="I205">
        <f t="shared" si="125"/>
        <v>0</v>
      </c>
      <c r="J205">
        <f t="shared" si="126"/>
        <v>0</v>
      </c>
      <c r="K205">
        <f t="shared" si="127"/>
        <v>0</v>
      </c>
      <c r="L205">
        <f t="shared" si="128"/>
        <v>0</v>
      </c>
      <c r="M205">
        <f t="shared" si="129"/>
        <v>0</v>
      </c>
      <c r="N205">
        <f t="shared" si="130"/>
        <v>0</v>
      </c>
      <c r="O205">
        <f t="shared" si="131"/>
        <v>0</v>
      </c>
      <c r="P205">
        <f t="shared" si="132"/>
        <v>0</v>
      </c>
      <c r="Q205">
        <f t="shared" si="133"/>
        <v>0</v>
      </c>
      <c r="S205">
        <f t="shared" si="110"/>
        <v>53</v>
      </c>
      <c r="T205">
        <f t="shared" si="111"/>
        <v>38</v>
      </c>
      <c r="U205">
        <f t="shared" si="112"/>
        <v>21</v>
      </c>
      <c r="V205">
        <f t="shared" si="113"/>
        <v>23</v>
      </c>
      <c r="W205">
        <f t="shared" si="114"/>
        <v>103</v>
      </c>
      <c r="X205">
        <f t="shared" si="115"/>
        <v>93</v>
      </c>
      <c r="Y205">
        <f t="shared" si="116"/>
        <v>36</v>
      </c>
      <c r="Z205">
        <f t="shared" si="117"/>
        <v>30</v>
      </c>
      <c r="AA205">
        <f t="shared" si="118"/>
        <v>4</v>
      </c>
      <c r="AB205">
        <f t="shared" si="119"/>
        <v>6</v>
      </c>
      <c r="AC205">
        <f t="shared" si="120"/>
        <v>133</v>
      </c>
      <c r="AD205">
        <f t="shared" si="121"/>
        <v>26</v>
      </c>
      <c r="AF205">
        <f t="shared" si="134"/>
        <v>0</v>
      </c>
      <c r="AG205">
        <f t="shared" si="135"/>
        <v>0</v>
      </c>
      <c r="AH205">
        <f t="shared" si="136"/>
        <v>0</v>
      </c>
      <c r="AI205">
        <f t="shared" si="137"/>
        <v>0</v>
      </c>
      <c r="AJ205">
        <f t="shared" si="138"/>
        <v>0</v>
      </c>
      <c r="AK205">
        <f t="shared" si="139"/>
        <v>0</v>
      </c>
      <c r="AL205">
        <f t="shared" si="140"/>
        <v>0</v>
      </c>
      <c r="AM205">
        <f t="shared" si="141"/>
        <v>0</v>
      </c>
      <c r="AN205">
        <f t="shared" si="142"/>
        <v>0</v>
      </c>
      <c r="AO205">
        <f t="shared" si="143"/>
        <v>0</v>
      </c>
      <c r="AP205">
        <f t="shared" si="144"/>
        <v>0</v>
      </c>
      <c r="AQ205">
        <f t="shared" si="145"/>
        <v>0</v>
      </c>
    </row>
    <row r="206" spans="1:43" x14ac:dyDescent="0.45">
      <c r="A206" s="51">
        <v>3</v>
      </c>
      <c r="B206" s="51" t="s">
        <v>262</v>
      </c>
      <c r="C206" s="56" t="s">
        <v>204</v>
      </c>
      <c r="D206" s="50" t="s">
        <v>265</v>
      </c>
      <c r="E206" s="19">
        <v>3101.1429509255363</v>
      </c>
      <c r="F206">
        <f t="shared" si="122"/>
        <v>0</v>
      </c>
      <c r="G206">
        <f t="shared" si="123"/>
        <v>0</v>
      </c>
      <c r="H206">
        <f t="shared" si="124"/>
        <v>0</v>
      </c>
      <c r="I206">
        <f t="shared" si="125"/>
        <v>0</v>
      </c>
      <c r="J206">
        <f t="shared" si="126"/>
        <v>0</v>
      </c>
      <c r="K206">
        <f t="shared" si="127"/>
        <v>0</v>
      </c>
      <c r="L206">
        <f t="shared" si="128"/>
        <v>0</v>
      </c>
      <c r="M206">
        <f t="shared" si="129"/>
        <v>0</v>
      </c>
      <c r="N206">
        <f t="shared" si="130"/>
        <v>0</v>
      </c>
      <c r="O206">
        <f t="shared" si="131"/>
        <v>0</v>
      </c>
      <c r="P206">
        <f t="shared" si="132"/>
        <v>0</v>
      </c>
      <c r="Q206">
        <f t="shared" si="133"/>
        <v>0</v>
      </c>
      <c r="S206">
        <f t="shared" si="110"/>
        <v>53</v>
      </c>
      <c r="T206">
        <f t="shared" si="111"/>
        <v>38</v>
      </c>
      <c r="U206">
        <f t="shared" si="112"/>
        <v>21</v>
      </c>
      <c r="V206">
        <f t="shared" si="113"/>
        <v>23</v>
      </c>
      <c r="W206">
        <f t="shared" si="114"/>
        <v>103</v>
      </c>
      <c r="X206">
        <f t="shared" si="115"/>
        <v>93</v>
      </c>
      <c r="Y206">
        <f t="shared" si="116"/>
        <v>36</v>
      </c>
      <c r="Z206">
        <f t="shared" si="117"/>
        <v>30</v>
      </c>
      <c r="AA206">
        <f t="shared" si="118"/>
        <v>4</v>
      </c>
      <c r="AB206">
        <f t="shared" si="119"/>
        <v>6</v>
      </c>
      <c r="AC206">
        <f t="shared" si="120"/>
        <v>133</v>
      </c>
      <c r="AD206">
        <f t="shared" si="121"/>
        <v>26</v>
      </c>
      <c r="AF206">
        <f t="shared" si="134"/>
        <v>0</v>
      </c>
      <c r="AG206">
        <f t="shared" si="135"/>
        <v>0</v>
      </c>
      <c r="AH206">
        <f t="shared" si="136"/>
        <v>0</v>
      </c>
      <c r="AI206">
        <f t="shared" si="137"/>
        <v>0</v>
      </c>
      <c r="AJ206">
        <f t="shared" si="138"/>
        <v>0</v>
      </c>
      <c r="AK206">
        <f t="shared" si="139"/>
        <v>0</v>
      </c>
      <c r="AL206">
        <f t="shared" si="140"/>
        <v>0</v>
      </c>
      <c r="AM206">
        <f t="shared" si="141"/>
        <v>0</v>
      </c>
      <c r="AN206">
        <f t="shared" si="142"/>
        <v>0</v>
      </c>
      <c r="AO206">
        <f t="shared" si="143"/>
        <v>0</v>
      </c>
      <c r="AP206">
        <f t="shared" si="144"/>
        <v>0</v>
      </c>
      <c r="AQ206">
        <f t="shared" si="145"/>
        <v>0</v>
      </c>
    </row>
    <row r="207" spans="1:43" x14ac:dyDescent="0.45">
      <c r="A207" s="51">
        <v>4</v>
      </c>
      <c r="B207" s="51" t="s">
        <v>266</v>
      </c>
      <c r="C207" s="56" t="s">
        <v>267</v>
      </c>
      <c r="D207" s="50" t="s">
        <v>268</v>
      </c>
      <c r="E207" s="19">
        <v>3243.7420273914872</v>
      </c>
      <c r="F207">
        <f t="shared" si="122"/>
        <v>0</v>
      </c>
      <c r="G207">
        <f t="shared" si="123"/>
        <v>0</v>
      </c>
      <c r="H207">
        <f t="shared" si="124"/>
        <v>0</v>
      </c>
      <c r="I207">
        <f t="shared" si="125"/>
        <v>0</v>
      </c>
      <c r="J207">
        <f t="shared" si="126"/>
        <v>0</v>
      </c>
      <c r="K207">
        <f t="shared" si="127"/>
        <v>0</v>
      </c>
      <c r="L207">
        <f t="shared" si="128"/>
        <v>0</v>
      </c>
      <c r="M207">
        <f t="shared" si="129"/>
        <v>0</v>
      </c>
      <c r="N207">
        <f t="shared" si="130"/>
        <v>0</v>
      </c>
      <c r="O207">
        <f t="shared" si="131"/>
        <v>0</v>
      </c>
      <c r="P207">
        <f t="shared" si="132"/>
        <v>0</v>
      </c>
      <c r="Q207">
        <f t="shared" si="133"/>
        <v>0</v>
      </c>
      <c r="S207">
        <f t="shared" si="110"/>
        <v>53</v>
      </c>
      <c r="T207">
        <f t="shared" si="111"/>
        <v>38</v>
      </c>
      <c r="U207">
        <f t="shared" si="112"/>
        <v>21</v>
      </c>
      <c r="V207">
        <f t="shared" si="113"/>
        <v>23</v>
      </c>
      <c r="W207">
        <f t="shared" si="114"/>
        <v>103</v>
      </c>
      <c r="X207">
        <f t="shared" si="115"/>
        <v>93</v>
      </c>
      <c r="Y207">
        <f t="shared" si="116"/>
        <v>36</v>
      </c>
      <c r="Z207">
        <f t="shared" si="117"/>
        <v>30</v>
      </c>
      <c r="AA207">
        <f t="shared" si="118"/>
        <v>4</v>
      </c>
      <c r="AB207">
        <f t="shared" si="119"/>
        <v>6</v>
      </c>
      <c r="AC207">
        <f t="shared" si="120"/>
        <v>133</v>
      </c>
      <c r="AD207">
        <f t="shared" si="121"/>
        <v>26</v>
      </c>
      <c r="AF207">
        <f t="shared" si="134"/>
        <v>0</v>
      </c>
      <c r="AG207">
        <f t="shared" si="135"/>
        <v>0</v>
      </c>
      <c r="AH207">
        <f t="shared" si="136"/>
        <v>0</v>
      </c>
      <c r="AI207">
        <f t="shared" si="137"/>
        <v>0</v>
      </c>
      <c r="AJ207">
        <f t="shared" si="138"/>
        <v>0</v>
      </c>
      <c r="AK207">
        <f t="shared" si="139"/>
        <v>0</v>
      </c>
      <c r="AL207">
        <f t="shared" si="140"/>
        <v>0</v>
      </c>
      <c r="AM207">
        <f t="shared" si="141"/>
        <v>0</v>
      </c>
      <c r="AN207">
        <f t="shared" si="142"/>
        <v>0</v>
      </c>
      <c r="AO207">
        <f t="shared" si="143"/>
        <v>0</v>
      </c>
      <c r="AP207">
        <f t="shared" si="144"/>
        <v>0</v>
      </c>
      <c r="AQ207">
        <f t="shared" si="145"/>
        <v>0</v>
      </c>
    </row>
    <row r="208" spans="1:43" x14ac:dyDescent="0.45">
      <c r="A208" s="51">
        <v>5</v>
      </c>
      <c r="B208" s="51" t="s">
        <v>266</v>
      </c>
      <c r="C208" s="56" t="s">
        <v>269</v>
      </c>
      <c r="D208" s="50" t="s">
        <v>264</v>
      </c>
      <c r="E208" s="19">
        <v>3316.4171912057927</v>
      </c>
      <c r="F208">
        <f t="shared" si="122"/>
        <v>0</v>
      </c>
      <c r="G208">
        <f t="shared" si="123"/>
        <v>0</v>
      </c>
      <c r="H208">
        <f t="shared" si="124"/>
        <v>0</v>
      </c>
      <c r="I208">
        <f t="shared" si="125"/>
        <v>0</v>
      </c>
      <c r="J208">
        <f t="shared" si="126"/>
        <v>0</v>
      </c>
      <c r="K208">
        <f t="shared" si="127"/>
        <v>0</v>
      </c>
      <c r="L208">
        <f t="shared" si="128"/>
        <v>0</v>
      </c>
      <c r="M208">
        <f t="shared" si="129"/>
        <v>0</v>
      </c>
      <c r="N208">
        <f t="shared" si="130"/>
        <v>0</v>
      </c>
      <c r="O208">
        <f t="shared" si="131"/>
        <v>0</v>
      </c>
      <c r="P208">
        <f t="shared" si="132"/>
        <v>0</v>
      </c>
      <c r="Q208">
        <f t="shared" si="133"/>
        <v>0</v>
      </c>
      <c r="S208">
        <f t="shared" si="110"/>
        <v>53</v>
      </c>
      <c r="T208">
        <f t="shared" si="111"/>
        <v>38</v>
      </c>
      <c r="U208">
        <f t="shared" si="112"/>
        <v>21</v>
      </c>
      <c r="V208">
        <f t="shared" si="113"/>
        <v>23</v>
      </c>
      <c r="W208">
        <f t="shared" si="114"/>
        <v>103</v>
      </c>
      <c r="X208">
        <f t="shared" si="115"/>
        <v>93</v>
      </c>
      <c r="Y208">
        <f t="shared" si="116"/>
        <v>36</v>
      </c>
      <c r="Z208">
        <f t="shared" si="117"/>
        <v>30</v>
      </c>
      <c r="AA208">
        <f t="shared" si="118"/>
        <v>4</v>
      </c>
      <c r="AB208">
        <f t="shared" si="119"/>
        <v>6</v>
      </c>
      <c r="AC208">
        <f t="shared" si="120"/>
        <v>133</v>
      </c>
      <c r="AD208">
        <f t="shared" si="121"/>
        <v>26</v>
      </c>
      <c r="AF208">
        <f t="shared" si="134"/>
        <v>0</v>
      </c>
      <c r="AG208">
        <f t="shared" si="135"/>
        <v>0</v>
      </c>
      <c r="AH208">
        <f t="shared" si="136"/>
        <v>0</v>
      </c>
      <c r="AI208">
        <f t="shared" si="137"/>
        <v>0</v>
      </c>
      <c r="AJ208">
        <f t="shared" si="138"/>
        <v>0</v>
      </c>
      <c r="AK208">
        <f t="shared" si="139"/>
        <v>0</v>
      </c>
      <c r="AL208">
        <f t="shared" si="140"/>
        <v>0</v>
      </c>
      <c r="AM208">
        <f t="shared" si="141"/>
        <v>0</v>
      </c>
      <c r="AN208">
        <f t="shared" si="142"/>
        <v>0</v>
      </c>
      <c r="AO208">
        <f t="shared" si="143"/>
        <v>0</v>
      </c>
      <c r="AP208">
        <f t="shared" si="144"/>
        <v>0</v>
      </c>
      <c r="AQ208">
        <f t="shared" si="145"/>
        <v>0</v>
      </c>
    </row>
    <row r="209" spans="1:43" x14ac:dyDescent="0.45">
      <c r="A209" s="51">
        <v>6</v>
      </c>
      <c r="B209" s="51" t="s">
        <v>266</v>
      </c>
      <c r="C209" s="56" t="s">
        <v>270</v>
      </c>
      <c r="D209" s="50" t="s">
        <v>268</v>
      </c>
      <c r="E209" s="19">
        <v>3052.519367392214</v>
      </c>
      <c r="F209">
        <f t="shared" si="122"/>
        <v>0</v>
      </c>
      <c r="G209">
        <f t="shared" si="123"/>
        <v>0</v>
      </c>
      <c r="H209">
        <f t="shared" si="124"/>
        <v>0</v>
      </c>
      <c r="I209">
        <f t="shared" si="125"/>
        <v>0</v>
      </c>
      <c r="J209">
        <f t="shared" si="126"/>
        <v>0</v>
      </c>
      <c r="K209">
        <f t="shared" si="127"/>
        <v>0</v>
      </c>
      <c r="L209">
        <f t="shared" si="128"/>
        <v>0</v>
      </c>
      <c r="M209">
        <f t="shared" si="129"/>
        <v>0</v>
      </c>
      <c r="N209">
        <f t="shared" si="130"/>
        <v>0</v>
      </c>
      <c r="O209">
        <f t="shared" si="131"/>
        <v>0</v>
      </c>
      <c r="P209">
        <f t="shared" si="132"/>
        <v>0</v>
      </c>
      <c r="Q209">
        <f t="shared" si="133"/>
        <v>0</v>
      </c>
      <c r="S209">
        <f t="shared" si="110"/>
        <v>53</v>
      </c>
      <c r="T209">
        <f t="shared" si="111"/>
        <v>38</v>
      </c>
      <c r="U209">
        <f t="shared" si="112"/>
        <v>21</v>
      </c>
      <c r="V209">
        <f t="shared" si="113"/>
        <v>23</v>
      </c>
      <c r="W209">
        <f t="shared" si="114"/>
        <v>103</v>
      </c>
      <c r="X209">
        <f t="shared" si="115"/>
        <v>93</v>
      </c>
      <c r="Y209">
        <f t="shared" si="116"/>
        <v>36</v>
      </c>
      <c r="Z209">
        <f t="shared" si="117"/>
        <v>30</v>
      </c>
      <c r="AA209">
        <f t="shared" si="118"/>
        <v>4</v>
      </c>
      <c r="AB209">
        <f t="shared" si="119"/>
        <v>6</v>
      </c>
      <c r="AC209">
        <f t="shared" si="120"/>
        <v>133</v>
      </c>
      <c r="AD209">
        <f t="shared" si="121"/>
        <v>26</v>
      </c>
      <c r="AF209">
        <f t="shared" si="134"/>
        <v>0</v>
      </c>
      <c r="AG209">
        <f t="shared" si="135"/>
        <v>0</v>
      </c>
      <c r="AH209">
        <f t="shared" si="136"/>
        <v>0</v>
      </c>
      <c r="AI209">
        <f t="shared" si="137"/>
        <v>0</v>
      </c>
      <c r="AJ209">
        <f t="shared" si="138"/>
        <v>0</v>
      </c>
      <c r="AK209">
        <f t="shared" si="139"/>
        <v>0</v>
      </c>
      <c r="AL209">
        <f t="shared" si="140"/>
        <v>0</v>
      </c>
      <c r="AM209">
        <f t="shared" si="141"/>
        <v>0</v>
      </c>
      <c r="AN209">
        <f t="shared" si="142"/>
        <v>0</v>
      </c>
      <c r="AO209">
        <f t="shared" si="143"/>
        <v>0</v>
      </c>
      <c r="AP209">
        <f t="shared" si="144"/>
        <v>0</v>
      </c>
      <c r="AQ209">
        <f t="shared" si="145"/>
        <v>0</v>
      </c>
    </row>
    <row r="210" spans="1:43" x14ac:dyDescent="0.35">
      <c r="A210" s="51">
        <v>7</v>
      </c>
      <c r="B210" s="51" t="s">
        <v>271</v>
      </c>
      <c r="C210" s="62" t="s">
        <v>63</v>
      </c>
      <c r="D210" s="51" t="s">
        <v>265</v>
      </c>
      <c r="E210" s="19">
        <v>3577.8483036104112</v>
      </c>
      <c r="F210">
        <f t="shared" si="122"/>
        <v>0</v>
      </c>
      <c r="G210">
        <f t="shared" si="123"/>
        <v>0</v>
      </c>
      <c r="H210">
        <f t="shared" si="124"/>
        <v>0</v>
      </c>
      <c r="I210">
        <f t="shared" si="125"/>
        <v>0</v>
      </c>
      <c r="J210">
        <f t="shared" si="126"/>
        <v>0</v>
      </c>
      <c r="K210">
        <f t="shared" si="127"/>
        <v>0</v>
      </c>
      <c r="L210">
        <f t="shared" si="128"/>
        <v>0</v>
      </c>
      <c r="M210">
        <f t="shared" si="129"/>
        <v>0</v>
      </c>
      <c r="N210">
        <f t="shared" si="130"/>
        <v>0</v>
      </c>
      <c r="O210">
        <f t="shared" si="131"/>
        <v>0</v>
      </c>
      <c r="P210">
        <f t="shared" si="132"/>
        <v>0</v>
      </c>
      <c r="Q210">
        <f t="shared" si="133"/>
        <v>0</v>
      </c>
      <c r="S210">
        <f t="shared" si="110"/>
        <v>53</v>
      </c>
      <c r="T210">
        <f t="shared" si="111"/>
        <v>38</v>
      </c>
      <c r="U210">
        <f t="shared" si="112"/>
        <v>21</v>
      </c>
      <c r="V210">
        <f t="shared" si="113"/>
        <v>23</v>
      </c>
      <c r="W210">
        <f t="shared" si="114"/>
        <v>103</v>
      </c>
      <c r="X210">
        <f t="shared" si="115"/>
        <v>93</v>
      </c>
      <c r="Y210">
        <f t="shared" si="116"/>
        <v>36</v>
      </c>
      <c r="Z210">
        <f t="shared" si="117"/>
        <v>30</v>
      </c>
      <c r="AA210">
        <f t="shared" si="118"/>
        <v>4</v>
      </c>
      <c r="AB210">
        <f t="shared" si="119"/>
        <v>6</v>
      </c>
      <c r="AC210">
        <f t="shared" si="120"/>
        <v>133</v>
      </c>
      <c r="AD210">
        <f t="shared" si="121"/>
        <v>26</v>
      </c>
      <c r="AF210">
        <f t="shared" si="134"/>
        <v>0</v>
      </c>
      <c r="AG210">
        <f t="shared" si="135"/>
        <v>0</v>
      </c>
      <c r="AH210">
        <f t="shared" si="136"/>
        <v>0</v>
      </c>
      <c r="AI210">
        <f t="shared" si="137"/>
        <v>0</v>
      </c>
      <c r="AJ210">
        <f t="shared" si="138"/>
        <v>0</v>
      </c>
      <c r="AK210">
        <f t="shared" si="139"/>
        <v>0</v>
      </c>
      <c r="AL210">
        <f t="shared" si="140"/>
        <v>0</v>
      </c>
      <c r="AM210">
        <f t="shared" si="141"/>
        <v>0</v>
      </c>
      <c r="AN210">
        <f t="shared" si="142"/>
        <v>0</v>
      </c>
      <c r="AO210">
        <f t="shared" si="143"/>
        <v>0</v>
      </c>
      <c r="AP210">
        <f t="shared" si="144"/>
        <v>0</v>
      </c>
      <c r="AQ210">
        <f t="shared" si="145"/>
        <v>0</v>
      </c>
    </row>
    <row r="211" spans="1:43" x14ac:dyDescent="0.45">
      <c r="A211" s="51">
        <v>8</v>
      </c>
      <c r="B211" s="51" t="s">
        <v>271</v>
      </c>
      <c r="C211" s="56" t="s">
        <v>211</v>
      </c>
      <c r="D211" s="50" t="s">
        <v>263</v>
      </c>
      <c r="E211" s="19">
        <v>3264.1048664838645</v>
      </c>
      <c r="F211">
        <f t="shared" si="122"/>
        <v>0</v>
      </c>
      <c r="G211">
        <f t="shared" si="123"/>
        <v>0</v>
      </c>
      <c r="H211">
        <f t="shared" si="124"/>
        <v>0</v>
      </c>
      <c r="I211">
        <f t="shared" si="125"/>
        <v>0</v>
      </c>
      <c r="J211">
        <f t="shared" si="126"/>
        <v>0</v>
      </c>
      <c r="K211">
        <f t="shared" si="127"/>
        <v>0</v>
      </c>
      <c r="L211">
        <f t="shared" si="128"/>
        <v>0</v>
      </c>
      <c r="M211">
        <f t="shared" si="129"/>
        <v>0</v>
      </c>
      <c r="N211">
        <f t="shared" si="130"/>
        <v>0</v>
      </c>
      <c r="O211">
        <f t="shared" si="131"/>
        <v>0</v>
      </c>
      <c r="P211">
        <f t="shared" si="132"/>
        <v>0</v>
      </c>
      <c r="Q211">
        <f t="shared" si="133"/>
        <v>0</v>
      </c>
      <c r="S211">
        <f t="shared" si="110"/>
        <v>53</v>
      </c>
      <c r="T211">
        <f t="shared" si="111"/>
        <v>38</v>
      </c>
      <c r="U211">
        <f t="shared" si="112"/>
        <v>21</v>
      </c>
      <c r="V211">
        <f t="shared" si="113"/>
        <v>23</v>
      </c>
      <c r="W211">
        <f t="shared" si="114"/>
        <v>103</v>
      </c>
      <c r="X211">
        <f t="shared" si="115"/>
        <v>93</v>
      </c>
      <c r="Y211">
        <f t="shared" si="116"/>
        <v>36</v>
      </c>
      <c r="Z211">
        <f t="shared" si="117"/>
        <v>30</v>
      </c>
      <c r="AA211">
        <f t="shared" si="118"/>
        <v>4</v>
      </c>
      <c r="AB211">
        <f t="shared" si="119"/>
        <v>6</v>
      </c>
      <c r="AC211">
        <f t="shared" si="120"/>
        <v>133</v>
      </c>
      <c r="AD211">
        <f t="shared" si="121"/>
        <v>26</v>
      </c>
      <c r="AF211">
        <f t="shared" si="134"/>
        <v>0</v>
      </c>
      <c r="AG211">
        <f t="shared" si="135"/>
        <v>0</v>
      </c>
      <c r="AH211">
        <f t="shared" si="136"/>
        <v>0</v>
      </c>
      <c r="AI211">
        <f t="shared" si="137"/>
        <v>0</v>
      </c>
      <c r="AJ211">
        <f t="shared" si="138"/>
        <v>0</v>
      </c>
      <c r="AK211">
        <f t="shared" si="139"/>
        <v>0</v>
      </c>
      <c r="AL211">
        <f t="shared" si="140"/>
        <v>0</v>
      </c>
      <c r="AM211">
        <f t="shared" si="141"/>
        <v>0</v>
      </c>
      <c r="AN211">
        <f t="shared" si="142"/>
        <v>0</v>
      </c>
      <c r="AO211">
        <f t="shared" si="143"/>
        <v>0</v>
      </c>
      <c r="AP211">
        <f t="shared" si="144"/>
        <v>0</v>
      </c>
      <c r="AQ211">
        <f t="shared" si="145"/>
        <v>0</v>
      </c>
    </row>
    <row r="212" spans="1:43" x14ac:dyDescent="0.45">
      <c r="A212" s="51">
        <v>9</v>
      </c>
      <c r="B212" s="51" t="s">
        <v>271</v>
      </c>
      <c r="C212" s="56" t="s">
        <v>65</v>
      </c>
      <c r="D212" s="50" t="s">
        <v>272</v>
      </c>
      <c r="E212" s="19">
        <v>3250.7892178977268</v>
      </c>
      <c r="F212">
        <f t="shared" si="122"/>
        <v>0</v>
      </c>
      <c r="G212">
        <f t="shared" si="123"/>
        <v>0</v>
      </c>
      <c r="H212">
        <f t="shared" si="124"/>
        <v>0</v>
      </c>
      <c r="I212">
        <f t="shared" si="125"/>
        <v>0</v>
      </c>
      <c r="J212">
        <f t="shared" si="126"/>
        <v>0</v>
      </c>
      <c r="K212">
        <f t="shared" si="127"/>
        <v>0</v>
      </c>
      <c r="L212">
        <f t="shared" si="128"/>
        <v>0</v>
      </c>
      <c r="M212">
        <f t="shared" si="129"/>
        <v>0</v>
      </c>
      <c r="N212">
        <f t="shared" si="130"/>
        <v>0</v>
      </c>
      <c r="O212">
        <f t="shared" si="131"/>
        <v>0</v>
      </c>
      <c r="P212">
        <f t="shared" si="132"/>
        <v>0</v>
      </c>
      <c r="Q212">
        <f t="shared" si="133"/>
        <v>0</v>
      </c>
      <c r="S212">
        <f t="shared" si="110"/>
        <v>53</v>
      </c>
      <c r="T212">
        <f t="shared" si="111"/>
        <v>38</v>
      </c>
      <c r="U212">
        <f t="shared" si="112"/>
        <v>21</v>
      </c>
      <c r="V212">
        <f t="shared" si="113"/>
        <v>23</v>
      </c>
      <c r="W212">
        <f t="shared" si="114"/>
        <v>103</v>
      </c>
      <c r="X212">
        <f t="shared" si="115"/>
        <v>93</v>
      </c>
      <c r="Y212">
        <f t="shared" si="116"/>
        <v>36</v>
      </c>
      <c r="Z212">
        <f t="shared" si="117"/>
        <v>30</v>
      </c>
      <c r="AA212">
        <f t="shared" si="118"/>
        <v>4</v>
      </c>
      <c r="AB212">
        <f t="shared" si="119"/>
        <v>6</v>
      </c>
      <c r="AC212">
        <f t="shared" si="120"/>
        <v>133</v>
      </c>
      <c r="AD212">
        <f t="shared" si="121"/>
        <v>26</v>
      </c>
      <c r="AF212">
        <f t="shared" si="134"/>
        <v>0</v>
      </c>
      <c r="AG212">
        <f t="shared" si="135"/>
        <v>0</v>
      </c>
      <c r="AH212">
        <f t="shared" si="136"/>
        <v>0</v>
      </c>
      <c r="AI212">
        <f t="shared" si="137"/>
        <v>0</v>
      </c>
      <c r="AJ212">
        <f t="shared" si="138"/>
        <v>0</v>
      </c>
      <c r="AK212">
        <f t="shared" si="139"/>
        <v>0</v>
      </c>
      <c r="AL212">
        <f t="shared" si="140"/>
        <v>0</v>
      </c>
      <c r="AM212">
        <f t="shared" si="141"/>
        <v>0</v>
      </c>
      <c r="AN212">
        <f t="shared" si="142"/>
        <v>0</v>
      </c>
      <c r="AO212">
        <f t="shared" si="143"/>
        <v>0</v>
      </c>
      <c r="AP212">
        <f t="shared" si="144"/>
        <v>0</v>
      </c>
      <c r="AQ212">
        <f t="shared" si="145"/>
        <v>0</v>
      </c>
    </row>
    <row r="213" spans="1:43" x14ac:dyDescent="0.45">
      <c r="A213" s="51">
        <v>10</v>
      </c>
      <c r="B213" s="51" t="s">
        <v>273</v>
      </c>
      <c r="C213" s="56" t="s">
        <v>66</v>
      </c>
      <c r="D213" s="50" t="s">
        <v>222</v>
      </c>
      <c r="E213" s="19">
        <v>3389.4309565217391</v>
      </c>
      <c r="F213">
        <f t="shared" si="122"/>
        <v>0</v>
      </c>
      <c r="G213">
        <f t="shared" si="123"/>
        <v>0</v>
      </c>
      <c r="H213">
        <f t="shared" si="124"/>
        <v>0</v>
      </c>
      <c r="I213">
        <f t="shared" si="125"/>
        <v>0</v>
      </c>
      <c r="J213">
        <f t="shared" si="126"/>
        <v>0</v>
      </c>
      <c r="K213">
        <f t="shared" si="127"/>
        <v>0</v>
      </c>
      <c r="L213">
        <f t="shared" si="128"/>
        <v>0</v>
      </c>
      <c r="M213">
        <f t="shared" si="129"/>
        <v>0</v>
      </c>
      <c r="N213">
        <f t="shared" si="130"/>
        <v>0</v>
      </c>
      <c r="O213">
        <f t="shared" si="131"/>
        <v>0</v>
      </c>
      <c r="P213">
        <f t="shared" si="132"/>
        <v>0</v>
      </c>
      <c r="Q213">
        <f t="shared" si="133"/>
        <v>3389.4309565217391</v>
      </c>
      <c r="S213">
        <f t="shared" ref="S213:AD213" si="146">IF(F213&gt;0,1,0)+S217</f>
        <v>53</v>
      </c>
      <c r="T213">
        <f t="shared" si="146"/>
        <v>38</v>
      </c>
      <c r="U213">
        <f t="shared" si="146"/>
        <v>21</v>
      </c>
      <c r="V213">
        <f t="shared" si="146"/>
        <v>23</v>
      </c>
      <c r="W213">
        <f t="shared" si="146"/>
        <v>103</v>
      </c>
      <c r="X213">
        <f t="shared" si="146"/>
        <v>93</v>
      </c>
      <c r="Y213">
        <f t="shared" si="146"/>
        <v>36</v>
      </c>
      <c r="Z213">
        <f t="shared" si="146"/>
        <v>30</v>
      </c>
      <c r="AA213">
        <f t="shared" si="146"/>
        <v>4</v>
      </c>
      <c r="AB213">
        <f t="shared" si="146"/>
        <v>6</v>
      </c>
      <c r="AC213">
        <f t="shared" si="146"/>
        <v>133</v>
      </c>
      <c r="AD213">
        <f t="shared" si="146"/>
        <v>26</v>
      </c>
      <c r="AF213">
        <f t="shared" si="134"/>
        <v>0</v>
      </c>
      <c r="AG213">
        <f t="shared" si="135"/>
        <v>0</v>
      </c>
      <c r="AH213">
        <f t="shared" si="136"/>
        <v>0</v>
      </c>
      <c r="AI213">
        <f t="shared" si="137"/>
        <v>0</v>
      </c>
      <c r="AJ213">
        <f t="shared" si="138"/>
        <v>0</v>
      </c>
      <c r="AK213">
        <f t="shared" si="139"/>
        <v>0</v>
      </c>
      <c r="AL213">
        <f t="shared" si="140"/>
        <v>0</v>
      </c>
      <c r="AM213">
        <f t="shared" si="141"/>
        <v>0</v>
      </c>
      <c r="AN213">
        <f t="shared" si="142"/>
        <v>0</v>
      </c>
      <c r="AO213">
        <f t="shared" si="143"/>
        <v>0</v>
      </c>
      <c r="AP213">
        <f t="shared" si="144"/>
        <v>0</v>
      </c>
      <c r="AQ213">
        <f t="shared" si="145"/>
        <v>0</v>
      </c>
    </row>
    <row r="214" spans="1:43" x14ac:dyDescent="0.35">
      <c r="A214" s="51">
        <v>11</v>
      </c>
      <c r="B214" s="51" t="s">
        <v>273</v>
      </c>
      <c r="C214" s="62" t="s">
        <v>72</v>
      </c>
      <c r="D214" s="51" t="s">
        <v>60</v>
      </c>
      <c r="E214" s="19">
        <v>2941.4984583464816</v>
      </c>
    </row>
    <row r="215" spans="1:43" x14ac:dyDescent="0.45">
      <c r="A215" s="51">
        <v>12</v>
      </c>
      <c r="B215" s="51" t="s">
        <v>273</v>
      </c>
      <c r="C215" s="56" t="s">
        <v>69</v>
      </c>
      <c r="D215" s="50" t="s">
        <v>222</v>
      </c>
      <c r="E215" s="19">
        <v>3159.075175084246</v>
      </c>
    </row>
    <row r="216" spans="1:43" x14ac:dyDescent="0.45">
      <c r="A216" s="51">
        <v>13</v>
      </c>
      <c r="B216" s="51" t="s">
        <v>273</v>
      </c>
      <c r="C216" s="56" t="s">
        <v>73</v>
      </c>
      <c r="D216" s="50" t="s">
        <v>228</v>
      </c>
      <c r="E216" s="19">
        <v>3451.0426443724527</v>
      </c>
    </row>
    <row r="217" spans="1:43" x14ac:dyDescent="0.35">
      <c r="A217" s="51">
        <v>14</v>
      </c>
      <c r="B217" s="51" t="s">
        <v>275</v>
      </c>
      <c r="C217" s="62" t="s">
        <v>79</v>
      </c>
      <c r="D217" s="51" t="s">
        <v>268</v>
      </c>
      <c r="E217" s="19">
        <v>2931.4890323232325</v>
      </c>
      <c r="F217">
        <f t="shared" si="122"/>
        <v>0</v>
      </c>
      <c r="G217">
        <f t="shared" si="123"/>
        <v>0</v>
      </c>
      <c r="H217">
        <f t="shared" si="124"/>
        <v>0</v>
      </c>
      <c r="I217">
        <f t="shared" si="125"/>
        <v>0</v>
      </c>
      <c r="J217">
        <f t="shared" si="126"/>
        <v>0</v>
      </c>
      <c r="K217">
        <f t="shared" si="127"/>
        <v>0</v>
      </c>
      <c r="L217">
        <f t="shared" si="128"/>
        <v>0</v>
      </c>
      <c r="M217">
        <f t="shared" si="129"/>
        <v>0</v>
      </c>
      <c r="N217">
        <f t="shared" si="130"/>
        <v>0</v>
      </c>
      <c r="O217">
        <f t="shared" si="131"/>
        <v>0</v>
      </c>
      <c r="P217">
        <f t="shared" si="132"/>
        <v>0</v>
      </c>
      <c r="Q217">
        <f t="shared" si="133"/>
        <v>0</v>
      </c>
      <c r="S217">
        <f t="shared" si="110"/>
        <v>53</v>
      </c>
      <c r="T217">
        <f t="shared" si="111"/>
        <v>38</v>
      </c>
      <c r="U217">
        <f t="shared" si="112"/>
        <v>21</v>
      </c>
      <c r="V217">
        <f t="shared" si="113"/>
        <v>23</v>
      </c>
      <c r="W217">
        <f t="shared" si="114"/>
        <v>103</v>
      </c>
      <c r="X217">
        <f t="shared" si="115"/>
        <v>93</v>
      </c>
      <c r="Y217">
        <f t="shared" si="116"/>
        <v>36</v>
      </c>
      <c r="Z217">
        <f t="shared" si="117"/>
        <v>30</v>
      </c>
      <c r="AA217">
        <f t="shared" si="118"/>
        <v>4</v>
      </c>
      <c r="AB217">
        <f t="shared" si="119"/>
        <v>6</v>
      </c>
      <c r="AC217">
        <f t="shared" si="120"/>
        <v>133</v>
      </c>
      <c r="AD217">
        <f t="shared" si="121"/>
        <v>25</v>
      </c>
      <c r="AF217">
        <f t="shared" si="134"/>
        <v>0</v>
      </c>
      <c r="AG217">
        <f t="shared" si="135"/>
        <v>0</v>
      </c>
      <c r="AH217">
        <f t="shared" si="136"/>
        <v>0</v>
      </c>
      <c r="AI217">
        <f t="shared" si="137"/>
        <v>0</v>
      </c>
      <c r="AJ217">
        <f t="shared" si="138"/>
        <v>0</v>
      </c>
      <c r="AK217">
        <f t="shared" si="139"/>
        <v>0</v>
      </c>
      <c r="AL217">
        <f t="shared" si="140"/>
        <v>0</v>
      </c>
      <c r="AM217">
        <f t="shared" si="141"/>
        <v>0</v>
      </c>
      <c r="AN217">
        <f t="shared" si="142"/>
        <v>0</v>
      </c>
      <c r="AO217">
        <f t="shared" si="143"/>
        <v>0</v>
      </c>
      <c r="AP217">
        <f t="shared" si="144"/>
        <v>0</v>
      </c>
      <c r="AQ217">
        <f t="shared" si="145"/>
        <v>0</v>
      </c>
    </row>
    <row r="218" spans="1:43" x14ac:dyDescent="0.45">
      <c r="A218" s="51">
        <v>15</v>
      </c>
      <c r="B218" s="51" t="s">
        <v>275</v>
      </c>
      <c r="C218" s="56" t="s">
        <v>75</v>
      </c>
      <c r="D218" s="50" t="s">
        <v>228</v>
      </c>
      <c r="E218" s="44">
        <v>3185.6690814332246</v>
      </c>
      <c r="F218">
        <f t="shared" si="122"/>
        <v>0</v>
      </c>
      <c r="G218">
        <f t="shared" si="123"/>
        <v>0</v>
      </c>
      <c r="H218">
        <f t="shared" si="124"/>
        <v>0</v>
      </c>
      <c r="I218">
        <f t="shared" si="125"/>
        <v>0</v>
      </c>
      <c r="J218">
        <f t="shared" si="126"/>
        <v>0</v>
      </c>
      <c r="K218">
        <f t="shared" si="127"/>
        <v>0</v>
      </c>
      <c r="L218">
        <f t="shared" si="128"/>
        <v>0</v>
      </c>
      <c r="M218">
        <f t="shared" si="129"/>
        <v>0</v>
      </c>
      <c r="N218">
        <f t="shared" si="130"/>
        <v>0</v>
      </c>
      <c r="O218">
        <f t="shared" si="131"/>
        <v>0</v>
      </c>
      <c r="P218">
        <f t="shared" si="132"/>
        <v>3185.6690814332246</v>
      </c>
      <c r="Q218">
        <f t="shared" si="133"/>
        <v>0</v>
      </c>
      <c r="S218">
        <f t="shared" si="110"/>
        <v>53</v>
      </c>
      <c r="T218">
        <f t="shared" si="111"/>
        <v>38</v>
      </c>
      <c r="U218">
        <f t="shared" si="112"/>
        <v>21</v>
      </c>
      <c r="V218">
        <f t="shared" si="113"/>
        <v>23</v>
      </c>
      <c r="W218">
        <f t="shared" si="114"/>
        <v>103</v>
      </c>
      <c r="X218">
        <f t="shared" si="115"/>
        <v>93</v>
      </c>
      <c r="Y218">
        <f t="shared" si="116"/>
        <v>36</v>
      </c>
      <c r="Z218">
        <f t="shared" si="117"/>
        <v>30</v>
      </c>
      <c r="AA218">
        <f t="shared" si="118"/>
        <v>4</v>
      </c>
      <c r="AB218">
        <f t="shared" si="119"/>
        <v>6</v>
      </c>
      <c r="AC218">
        <f t="shared" si="120"/>
        <v>133</v>
      </c>
      <c r="AD218">
        <f t="shared" si="121"/>
        <v>25</v>
      </c>
      <c r="AF218">
        <f t="shared" si="134"/>
        <v>0</v>
      </c>
      <c r="AG218">
        <f t="shared" si="135"/>
        <v>0</v>
      </c>
      <c r="AH218">
        <f t="shared" si="136"/>
        <v>0</v>
      </c>
      <c r="AI218">
        <f t="shared" si="137"/>
        <v>0</v>
      </c>
      <c r="AJ218">
        <f t="shared" si="138"/>
        <v>0</v>
      </c>
      <c r="AK218">
        <f t="shared" si="139"/>
        <v>0</v>
      </c>
      <c r="AL218">
        <f t="shared" si="140"/>
        <v>0</v>
      </c>
      <c r="AM218">
        <f t="shared" si="141"/>
        <v>0</v>
      </c>
      <c r="AN218">
        <f t="shared" si="142"/>
        <v>0</v>
      </c>
      <c r="AO218">
        <f t="shared" si="143"/>
        <v>0</v>
      </c>
      <c r="AP218">
        <f t="shared" si="144"/>
        <v>0</v>
      </c>
      <c r="AQ218">
        <f t="shared" si="145"/>
        <v>0</v>
      </c>
    </row>
    <row r="219" spans="1:43" x14ac:dyDescent="0.45">
      <c r="A219" s="51">
        <v>16</v>
      </c>
      <c r="B219" s="51" t="s">
        <v>275</v>
      </c>
      <c r="C219" s="56" t="s">
        <v>78</v>
      </c>
      <c r="D219" s="50" t="s">
        <v>222</v>
      </c>
      <c r="E219" s="19">
        <v>3088.6689110481589</v>
      </c>
      <c r="F219">
        <f t="shared" si="122"/>
        <v>0</v>
      </c>
      <c r="G219">
        <f t="shared" si="123"/>
        <v>0</v>
      </c>
      <c r="H219">
        <f t="shared" si="124"/>
        <v>0</v>
      </c>
      <c r="I219">
        <f t="shared" si="125"/>
        <v>0</v>
      </c>
      <c r="J219">
        <f t="shared" si="126"/>
        <v>0</v>
      </c>
      <c r="K219">
        <f t="shared" si="127"/>
        <v>0</v>
      </c>
      <c r="L219">
        <f t="shared" si="128"/>
        <v>0</v>
      </c>
      <c r="M219">
        <f t="shared" si="129"/>
        <v>0</v>
      </c>
      <c r="N219">
        <f t="shared" si="130"/>
        <v>0</v>
      </c>
      <c r="O219">
        <f t="shared" si="131"/>
        <v>0</v>
      </c>
      <c r="P219">
        <f t="shared" si="132"/>
        <v>0</v>
      </c>
      <c r="Q219">
        <f t="shared" si="133"/>
        <v>3088.6689110481589</v>
      </c>
      <c r="S219">
        <f t="shared" si="110"/>
        <v>53</v>
      </c>
      <c r="T219">
        <f t="shared" si="111"/>
        <v>38</v>
      </c>
      <c r="U219">
        <f t="shared" si="112"/>
        <v>21</v>
      </c>
      <c r="V219">
        <f t="shared" si="113"/>
        <v>23</v>
      </c>
      <c r="W219">
        <f t="shared" si="114"/>
        <v>103</v>
      </c>
      <c r="X219">
        <f t="shared" si="115"/>
        <v>93</v>
      </c>
      <c r="Y219">
        <f t="shared" si="116"/>
        <v>36</v>
      </c>
      <c r="Z219">
        <f t="shared" si="117"/>
        <v>30</v>
      </c>
      <c r="AA219">
        <f t="shared" si="118"/>
        <v>4</v>
      </c>
      <c r="AB219">
        <f t="shared" si="119"/>
        <v>6</v>
      </c>
      <c r="AC219">
        <f t="shared" si="120"/>
        <v>132</v>
      </c>
      <c r="AD219">
        <f t="shared" si="121"/>
        <v>25</v>
      </c>
      <c r="AF219">
        <f t="shared" si="134"/>
        <v>0</v>
      </c>
      <c r="AG219">
        <f t="shared" si="135"/>
        <v>0</v>
      </c>
      <c r="AH219">
        <f t="shared" si="136"/>
        <v>0</v>
      </c>
      <c r="AI219">
        <f t="shared" si="137"/>
        <v>0</v>
      </c>
      <c r="AJ219">
        <f t="shared" si="138"/>
        <v>0</v>
      </c>
      <c r="AK219">
        <f t="shared" si="139"/>
        <v>0</v>
      </c>
      <c r="AL219">
        <f t="shared" si="140"/>
        <v>0</v>
      </c>
      <c r="AM219">
        <f t="shared" si="141"/>
        <v>0</v>
      </c>
      <c r="AN219">
        <f t="shared" si="142"/>
        <v>0</v>
      </c>
      <c r="AO219">
        <f t="shared" si="143"/>
        <v>0</v>
      </c>
      <c r="AP219">
        <f t="shared" si="144"/>
        <v>0</v>
      </c>
      <c r="AQ219">
        <f t="shared" si="145"/>
        <v>0</v>
      </c>
    </row>
    <row r="220" spans="1:43" x14ac:dyDescent="0.35">
      <c r="A220" s="51">
        <v>17</v>
      </c>
      <c r="B220" s="51" t="s">
        <v>276</v>
      </c>
      <c r="C220" s="62" t="s">
        <v>82</v>
      </c>
      <c r="D220" s="51" t="s">
        <v>54</v>
      </c>
      <c r="E220" s="19">
        <v>3199.0782557404673</v>
      </c>
      <c r="F220">
        <f t="shared" si="122"/>
        <v>0</v>
      </c>
      <c r="G220">
        <f t="shared" si="123"/>
        <v>0</v>
      </c>
      <c r="H220">
        <f t="shared" si="124"/>
        <v>0</v>
      </c>
      <c r="I220">
        <f t="shared" si="125"/>
        <v>0</v>
      </c>
      <c r="J220">
        <f t="shared" si="126"/>
        <v>0</v>
      </c>
      <c r="K220">
        <f t="shared" si="127"/>
        <v>3199.0782557404673</v>
      </c>
      <c r="L220">
        <f t="shared" si="128"/>
        <v>0</v>
      </c>
      <c r="M220">
        <f t="shared" si="129"/>
        <v>0</v>
      </c>
      <c r="N220">
        <f t="shared" si="130"/>
        <v>0</v>
      </c>
      <c r="O220">
        <f t="shared" si="131"/>
        <v>0</v>
      </c>
      <c r="P220">
        <f t="shared" si="132"/>
        <v>0</v>
      </c>
      <c r="Q220">
        <f t="shared" si="133"/>
        <v>0</v>
      </c>
      <c r="S220">
        <f t="shared" si="110"/>
        <v>53</v>
      </c>
      <c r="T220">
        <f t="shared" si="111"/>
        <v>38</v>
      </c>
      <c r="U220">
        <f t="shared" si="112"/>
        <v>21</v>
      </c>
      <c r="V220">
        <f t="shared" si="113"/>
        <v>23</v>
      </c>
      <c r="W220">
        <f t="shared" si="114"/>
        <v>103</v>
      </c>
      <c r="X220">
        <f t="shared" si="115"/>
        <v>93</v>
      </c>
      <c r="Y220">
        <f t="shared" si="116"/>
        <v>36</v>
      </c>
      <c r="Z220">
        <f t="shared" si="117"/>
        <v>30</v>
      </c>
      <c r="AA220">
        <f t="shared" si="118"/>
        <v>4</v>
      </c>
      <c r="AB220">
        <f t="shared" si="119"/>
        <v>6</v>
      </c>
      <c r="AC220">
        <f t="shared" si="120"/>
        <v>132</v>
      </c>
      <c r="AD220">
        <f t="shared" si="121"/>
        <v>24</v>
      </c>
      <c r="AF220">
        <f t="shared" si="134"/>
        <v>0</v>
      </c>
      <c r="AG220">
        <f t="shared" si="135"/>
        <v>0</v>
      </c>
      <c r="AH220">
        <f t="shared" si="136"/>
        <v>0</v>
      </c>
      <c r="AI220">
        <f t="shared" si="137"/>
        <v>0</v>
      </c>
      <c r="AJ220">
        <f t="shared" si="138"/>
        <v>0</v>
      </c>
      <c r="AK220">
        <f t="shared" si="139"/>
        <v>0</v>
      </c>
      <c r="AL220">
        <f t="shared" si="140"/>
        <v>0</v>
      </c>
      <c r="AM220">
        <f t="shared" si="141"/>
        <v>0</v>
      </c>
      <c r="AN220">
        <f t="shared" si="142"/>
        <v>0</v>
      </c>
      <c r="AO220">
        <f t="shared" si="143"/>
        <v>0</v>
      </c>
      <c r="AP220">
        <f t="shared" si="144"/>
        <v>0</v>
      </c>
      <c r="AQ220">
        <f t="shared" si="145"/>
        <v>0</v>
      </c>
    </row>
    <row r="221" spans="1:43" x14ac:dyDescent="0.45">
      <c r="A221" s="51">
        <v>18</v>
      </c>
      <c r="B221" s="51" t="s">
        <v>276</v>
      </c>
      <c r="C221" s="56" t="s">
        <v>77</v>
      </c>
      <c r="D221" s="50" t="s">
        <v>228</v>
      </c>
      <c r="E221" s="19">
        <v>3247.129604457527</v>
      </c>
      <c r="F221">
        <f t="shared" si="122"/>
        <v>0</v>
      </c>
      <c r="G221">
        <f t="shared" si="123"/>
        <v>0</v>
      </c>
      <c r="H221">
        <f t="shared" si="124"/>
        <v>0</v>
      </c>
      <c r="I221">
        <f t="shared" si="125"/>
        <v>0</v>
      </c>
      <c r="J221">
        <f t="shared" si="126"/>
        <v>0</v>
      </c>
      <c r="K221">
        <f t="shared" si="127"/>
        <v>0</v>
      </c>
      <c r="L221">
        <f t="shared" si="128"/>
        <v>0</v>
      </c>
      <c r="M221">
        <f t="shared" si="129"/>
        <v>0</v>
      </c>
      <c r="N221">
        <f t="shared" si="130"/>
        <v>0</v>
      </c>
      <c r="O221">
        <f t="shared" si="131"/>
        <v>0</v>
      </c>
      <c r="P221">
        <f t="shared" si="132"/>
        <v>3247.129604457527</v>
      </c>
      <c r="Q221">
        <f t="shared" si="133"/>
        <v>0</v>
      </c>
      <c r="S221">
        <f t="shared" si="110"/>
        <v>53</v>
      </c>
      <c r="T221">
        <f t="shared" si="111"/>
        <v>38</v>
      </c>
      <c r="U221">
        <f t="shared" si="112"/>
        <v>21</v>
      </c>
      <c r="V221">
        <f t="shared" si="113"/>
        <v>23</v>
      </c>
      <c r="W221">
        <f t="shared" si="114"/>
        <v>103</v>
      </c>
      <c r="X221">
        <f t="shared" si="115"/>
        <v>92</v>
      </c>
      <c r="Y221">
        <f t="shared" si="116"/>
        <v>36</v>
      </c>
      <c r="Z221">
        <f t="shared" si="117"/>
        <v>30</v>
      </c>
      <c r="AA221">
        <f t="shared" si="118"/>
        <v>4</v>
      </c>
      <c r="AB221">
        <f t="shared" si="119"/>
        <v>6</v>
      </c>
      <c r="AC221">
        <f t="shared" si="120"/>
        <v>132</v>
      </c>
      <c r="AD221">
        <f t="shared" si="121"/>
        <v>24</v>
      </c>
      <c r="AF221">
        <f t="shared" si="134"/>
        <v>0</v>
      </c>
      <c r="AG221">
        <f t="shared" si="135"/>
        <v>0</v>
      </c>
      <c r="AH221">
        <f t="shared" si="136"/>
        <v>0</v>
      </c>
      <c r="AI221">
        <f t="shared" si="137"/>
        <v>0</v>
      </c>
      <c r="AJ221">
        <f t="shared" si="138"/>
        <v>0</v>
      </c>
      <c r="AK221">
        <f t="shared" si="139"/>
        <v>0</v>
      </c>
      <c r="AL221">
        <f t="shared" si="140"/>
        <v>0</v>
      </c>
      <c r="AM221">
        <f t="shared" si="141"/>
        <v>0</v>
      </c>
      <c r="AN221">
        <f t="shared" si="142"/>
        <v>0</v>
      </c>
      <c r="AO221">
        <f t="shared" si="143"/>
        <v>0</v>
      </c>
      <c r="AP221">
        <f t="shared" si="144"/>
        <v>0</v>
      </c>
      <c r="AQ221">
        <f t="shared" si="145"/>
        <v>0</v>
      </c>
    </row>
    <row r="222" spans="1:43" x14ac:dyDescent="0.45">
      <c r="A222" s="51">
        <v>19</v>
      </c>
      <c r="B222" s="51" t="s">
        <v>276</v>
      </c>
      <c r="C222" s="56" t="s">
        <v>84</v>
      </c>
      <c r="D222" s="50" t="s">
        <v>222</v>
      </c>
      <c r="E222" s="19">
        <v>3465.9836086270384</v>
      </c>
      <c r="F222">
        <f t="shared" si="122"/>
        <v>0</v>
      </c>
      <c r="G222">
        <f t="shared" si="123"/>
        <v>0</v>
      </c>
      <c r="H222">
        <f t="shared" si="124"/>
        <v>0</v>
      </c>
      <c r="I222">
        <f t="shared" si="125"/>
        <v>0</v>
      </c>
      <c r="J222">
        <f t="shared" si="126"/>
        <v>0</v>
      </c>
      <c r="K222">
        <f t="shared" si="127"/>
        <v>0</v>
      </c>
      <c r="L222">
        <f t="shared" si="128"/>
        <v>0</v>
      </c>
      <c r="M222">
        <f t="shared" si="129"/>
        <v>0</v>
      </c>
      <c r="N222">
        <f t="shared" si="130"/>
        <v>0</v>
      </c>
      <c r="O222">
        <f t="shared" si="131"/>
        <v>0</v>
      </c>
      <c r="P222">
        <f t="shared" si="132"/>
        <v>0</v>
      </c>
      <c r="Q222">
        <f t="shared" si="133"/>
        <v>3465.9836086270384</v>
      </c>
      <c r="S222">
        <f t="shared" si="110"/>
        <v>53</v>
      </c>
      <c r="T222">
        <f t="shared" si="111"/>
        <v>38</v>
      </c>
      <c r="U222">
        <f t="shared" si="112"/>
        <v>21</v>
      </c>
      <c r="V222">
        <f t="shared" si="113"/>
        <v>23</v>
      </c>
      <c r="W222">
        <f t="shared" si="114"/>
        <v>103</v>
      </c>
      <c r="X222">
        <f t="shared" si="115"/>
        <v>92</v>
      </c>
      <c r="Y222">
        <f t="shared" si="116"/>
        <v>36</v>
      </c>
      <c r="Z222">
        <f t="shared" si="117"/>
        <v>30</v>
      </c>
      <c r="AA222">
        <f t="shared" si="118"/>
        <v>4</v>
      </c>
      <c r="AB222">
        <f t="shared" si="119"/>
        <v>6</v>
      </c>
      <c r="AC222">
        <f t="shared" si="120"/>
        <v>131</v>
      </c>
      <c r="AD222">
        <f t="shared" si="121"/>
        <v>24</v>
      </c>
      <c r="AF222">
        <f t="shared" si="134"/>
        <v>0</v>
      </c>
      <c r="AG222">
        <f t="shared" si="135"/>
        <v>0</v>
      </c>
      <c r="AH222">
        <f t="shared" si="136"/>
        <v>0</v>
      </c>
      <c r="AI222">
        <f t="shared" si="137"/>
        <v>0</v>
      </c>
      <c r="AJ222">
        <f t="shared" si="138"/>
        <v>0</v>
      </c>
      <c r="AK222">
        <f t="shared" si="139"/>
        <v>0</v>
      </c>
      <c r="AL222">
        <f t="shared" si="140"/>
        <v>0</v>
      </c>
      <c r="AM222">
        <f t="shared" si="141"/>
        <v>0</v>
      </c>
      <c r="AN222">
        <f t="shared" si="142"/>
        <v>0</v>
      </c>
      <c r="AO222">
        <f t="shared" si="143"/>
        <v>0</v>
      </c>
      <c r="AP222">
        <f t="shared" si="144"/>
        <v>0</v>
      </c>
      <c r="AQ222">
        <f t="shared" si="145"/>
        <v>0</v>
      </c>
    </row>
    <row r="223" spans="1:43" x14ac:dyDescent="0.35">
      <c r="A223" s="51">
        <v>20</v>
      </c>
      <c r="B223" s="51" t="s">
        <v>278</v>
      </c>
      <c r="C223" s="62" t="s">
        <v>83</v>
      </c>
      <c r="D223" s="51" t="s">
        <v>57</v>
      </c>
      <c r="E223" s="19">
        <v>3640.7988998735245</v>
      </c>
      <c r="F223">
        <f t="shared" si="122"/>
        <v>0</v>
      </c>
      <c r="G223">
        <f t="shared" si="123"/>
        <v>0</v>
      </c>
      <c r="H223">
        <f t="shared" si="124"/>
        <v>0</v>
      </c>
      <c r="I223">
        <f t="shared" si="125"/>
        <v>0</v>
      </c>
      <c r="J223">
        <f t="shared" si="126"/>
        <v>0</v>
      </c>
      <c r="K223">
        <f t="shared" si="127"/>
        <v>0</v>
      </c>
      <c r="L223">
        <f t="shared" si="128"/>
        <v>0</v>
      </c>
      <c r="M223">
        <f t="shared" si="129"/>
        <v>3640.7988998735245</v>
      </c>
      <c r="N223">
        <f t="shared" si="130"/>
        <v>0</v>
      </c>
      <c r="O223">
        <f t="shared" si="131"/>
        <v>0</v>
      </c>
      <c r="P223">
        <f t="shared" si="132"/>
        <v>0</v>
      </c>
      <c r="Q223">
        <f t="shared" si="133"/>
        <v>0</v>
      </c>
      <c r="S223">
        <f t="shared" si="110"/>
        <v>53</v>
      </c>
      <c r="T223">
        <f t="shared" si="111"/>
        <v>38</v>
      </c>
      <c r="U223">
        <f t="shared" si="112"/>
        <v>21</v>
      </c>
      <c r="V223">
        <f t="shared" si="113"/>
        <v>23</v>
      </c>
      <c r="W223">
        <f t="shared" si="114"/>
        <v>103</v>
      </c>
      <c r="X223">
        <f t="shared" si="115"/>
        <v>92</v>
      </c>
      <c r="Y223">
        <f t="shared" si="116"/>
        <v>36</v>
      </c>
      <c r="Z223">
        <f t="shared" si="117"/>
        <v>30</v>
      </c>
      <c r="AA223">
        <f t="shared" si="118"/>
        <v>4</v>
      </c>
      <c r="AB223">
        <f t="shared" si="119"/>
        <v>6</v>
      </c>
      <c r="AC223">
        <f t="shared" si="120"/>
        <v>131</v>
      </c>
      <c r="AD223">
        <f t="shared" si="121"/>
        <v>23</v>
      </c>
      <c r="AF223">
        <f t="shared" si="134"/>
        <v>0</v>
      </c>
      <c r="AG223">
        <f t="shared" si="135"/>
        <v>0</v>
      </c>
      <c r="AH223">
        <f t="shared" si="136"/>
        <v>0</v>
      </c>
      <c r="AI223">
        <f t="shared" si="137"/>
        <v>0</v>
      </c>
      <c r="AJ223">
        <f t="shared" si="138"/>
        <v>0</v>
      </c>
      <c r="AK223">
        <f t="shared" si="139"/>
        <v>0</v>
      </c>
      <c r="AL223">
        <f t="shared" si="140"/>
        <v>0</v>
      </c>
      <c r="AM223">
        <f t="shared" si="141"/>
        <v>0</v>
      </c>
      <c r="AN223">
        <f t="shared" si="142"/>
        <v>0</v>
      </c>
      <c r="AO223">
        <f t="shared" si="143"/>
        <v>0</v>
      </c>
      <c r="AP223">
        <f t="shared" si="144"/>
        <v>0</v>
      </c>
      <c r="AQ223">
        <f t="shared" si="145"/>
        <v>0</v>
      </c>
    </row>
    <row r="224" spans="1:43" x14ac:dyDescent="0.35">
      <c r="A224" s="51">
        <v>21</v>
      </c>
      <c r="B224" s="51" t="s">
        <v>278</v>
      </c>
      <c r="C224" s="62" t="s">
        <v>86</v>
      </c>
      <c r="D224" s="51" t="s">
        <v>94</v>
      </c>
      <c r="E224" s="19">
        <v>3217.5587392357093</v>
      </c>
      <c r="F224">
        <f t="shared" si="122"/>
        <v>0</v>
      </c>
      <c r="G224">
        <f t="shared" si="123"/>
        <v>0</v>
      </c>
      <c r="H224">
        <f t="shared" si="124"/>
        <v>0</v>
      </c>
      <c r="I224">
        <f t="shared" si="125"/>
        <v>0</v>
      </c>
      <c r="J224">
        <f t="shared" si="126"/>
        <v>0</v>
      </c>
      <c r="K224">
        <f t="shared" si="127"/>
        <v>0</v>
      </c>
      <c r="L224">
        <f t="shared" si="128"/>
        <v>3217.5587392357093</v>
      </c>
      <c r="M224">
        <f t="shared" si="129"/>
        <v>0</v>
      </c>
      <c r="N224">
        <f t="shared" si="130"/>
        <v>0</v>
      </c>
      <c r="O224">
        <f t="shared" si="131"/>
        <v>0</v>
      </c>
      <c r="P224">
        <f t="shared" si="132"/>
        <v>0</v>
      </c>
      <c r="Q224">
        <f t="shared" si="133"/>
        <v>0</v>
      </c>
      <c r="S224">
        <f t="shared" si="110"/>
        <v>53</v>
      </c>
      <c r="T224">
        <f t="shared" si="111"/>
        <v>38</v>
      </c>
      <c r="U224">
        <f t="shared" si="112"/>
        <v>21</v>
      </c>
      <c r="V224">
        <f t="shared" si="113"/>
        <v>23</v>
      </c>
      <c r="W224">
        <f t="shared" si="114"/>
        <v>103</v>
      </c>
      <c r="X224">
        <f t="shared" si="115"/>
        <v>92</v>
      </c>
      <c r="Y224">
        <f t="shared" si="116"/>
        <v>36</v>
      </c>
      <c r="Z224">
        <f t="shared" si="117"/>
        <v>29</v>
      </c>
      <c r="AA224">
        <f t="shared" si="118"/>
        <v>4</v>
      </c>
      <c r="AB224">
        <f t="shared" si="119"/>
        <v>6</v>
      </c>
      <c r="AC224">
        <f t="shared" si="120"/>
        <v>131</v>
      </c>
      <c r="AD224">
        <f t="shared" si="121"/>
        <v>23</v>
      </c>
      <c r="AF224">
        <f t="shared" si="134"/>
        <v>0</v>
      </c>
      <c r="AG224">
        <f t="shared" si="135"/>
        <v>0</v>
      </c>
      <c r="AH224">
        <f t="shared" si="136"/>
        <v>0</v>
      </c>
      <c r="AI224">
        <f t="shared" si="137"/>
        <v>0</v>
      </c>
      <c r="AJ224">
        <f t="shared" si="138"/>
        <v>0</v>
      </c>
      <c r="AK224">
        <f t="shared" si="139"/>
        <v>0</v>
      </c>
      <c r="AL224">
        <f t="shared" si="140"/>
        <v>0</v>
      </c>
      <c r="AM224">
        <f t="shared" si="141"/>
        <v>0</v>
      </c>
      <c r="AN224">
        <f t="shared" si="142"/>
        <v>0</v>
      </c>
      <c r="AO224">
        <f t="shared" si="143"/>
        <v>0</v>
      </c>
      <c r="AP224">
        <f t="shared" si="144"/>
        <v>0</v>
      </c>
      <c r="AQ224">
        <f t="shared" si="145"/>
        <v>0</v>
      </c>
    </row>
    <row r="225" spans="1:43" x14ac:dyDescent="0.45">
      <c r="A225" s="51">
        <v>22</v>
      </c>
      <c r="B225" s="51" t="s">
        <v>278</v>
      </c>
      <c r="C225" s="56" t="s">
        <v>87</v>
      </c>
      <c r="D225" s="50" t="s">
        <v>60</v>
      </c>
      <c r="E225" s="19">
        <v>3616.0362765937202</v>
      </c>
      <c r="F225">
        <f t="shared" si="122"/>
        <v>0</v>
      </c>
      <c r="G225">
        <f t="shared" si="123"/>
        <v>0</v>
      </c>
      <c r="H225">
        <f t="shared" si="124"/>
        <v>0</v>
      </c>
      <c r="I225">
        <f t="shared" si="125"/>
        <v>0</v>
      </c>
      <c r="J225">
        <f t="shared" si="126"/>
        <v>3616.0362765937202</v>
      </c>
      <c r="K225">
        <f t="shared" si="127"/>
        <v>0</v>
      </c>
      <c r="L225">
        <f t="shared" si="128"/>
        <v>0</v>
      </c>
      <c r="M225">
        <f t="shared" si="129"/>
        <v>0</v>
      </c>
      <c r="N225">
        <f t="shared" si="130"/>
        <v>0</v>
      </c>
      <c r="O225">
        <f t="shared" si="131"/>
        <v>0</v>
      </c>
      <c r="P225">
        <f t="shared" si="132"/>
        <v>0</v>
      </c>
      <c r="Q225">
        <f t="shared" si="133"/>
        <v>0</v>
      </c>
      <c r="S225">
        <f t="shared" si="110"/>
        <v>53</v>
      </c>
      <c r="T225">
        <f t="shared" si="111"/>
        <v>38</v>
      </c>
      <c r="U225">
        <f t="shared" si="112"/>
        <v>21</v>
      </c>
      <c r="V225">
        <f t="shared" si="113"/>
        <v>23</v>
      </c>
      <c r="W225">
        <f t="shared" si="114"/>
        <v>103</v>
      </c>
      <c r="X225">
        <f t="shared" si="115"/>
        <v>92</v>
      </c>
      <c r="Y225">
        <f t="shared" si="116"/>
        <v>35</v>
      </c>
      <c r="Z225">
        <f t="shared" si="117"/>
        <v>29</v>
      </c>
      <c r="AA225">
        <f t="shared" si="118"/>
        <v>4</v>
      </c>
      <c r="AB225">
        <f t="shared" si="119"/>
        <v>6</v>
      </c>
      <c r="AC225">
        <f t="shared" si="120"/>
        <v>131</v>
      </c>
      <c r="AD225">
        <f t="shared" si="121"/>
        <v>23</v>
      </c>
      <c r="AF225">
        <f t="shared" si="134"/>
        <v>0</v>
      </c>
      <c r="AG225">
        <f t="shared" si="135"/>
        <v>0</v>
      </c>
      <c r="AH225">
        <f t="shared" si="136"/>
        <v>0</v>
      </c>
      <c r="AI225">
        <f t="shared" si="137"/>
        <v>0</v>
      </c>
      <c r="AJ225">
        <f t="shared" si="138"/>
        <v>0</v>
      </c>
      <c r="AK225">
        <f t="shared" si="139"/>
        <v>0</v>
      </c>
      <c r="AL225">
        <f t="shared" si="140"/>
        <v>0</v>
      </c>
      <c r="AM225">
        <f t="shared" si="141"/>
        <v>0</v>
      </c>
      <c r="AN225">
        <f t="shared" si="142"/>
        <v>0</v>
      </c>
      <c r="AO225">
        <f t="shared" si="143"/>
        <v>0</v>
      </c>
      <c r="AP225">
        <f t="shared" si="144"/>
        <v>0</v>
      </c>
      <c r="AQ225">
        <f t="shared" si="145"/>
        <v>0</v>
      </c>
    </row>
    <row r="226" spans="1:43" x14ac:dyDescent="0.45">
      <c r="A226" s="51">
        <v>23</v>
      </c>
      <c r="B226" s="51" t="s">
        <v>278</v>
      </c>
      <c r="C226" s="56" t="s">
        <v>89</v>
      </c>
      <c r="D226" s="50" t="s">
        <v>222</v>
      </c>
      <c r="E226" s="45">
        <v>2721.7873896032829</v>
      </c>
      <c r="F226">
        <f t="shared" si="122"/>
        <v>0</v>
      </c>
      <c r="G226">
        <f t="shared" si="123"/>
        <v>0</v>
      </c>
      <c r="H226">
        <f t="shared" si="124"/>
        <v>0</v>
      </c>
      <c r="I226">
        <f t="shared" si="125"/>
        <v>0</v>
      </c>
      <c r="J226">
        <f t="shared" si="126"/>
        <v>0</v>
      </c>
      <c r="K226">
        <f t="shared" si="127"/>
        <v>0</v>
      </c>
      <c r="L226">
        <f t="shared" si="128"/>
        <v>0</v>
      </c>
      <c r="M226">
        <f t="shared" si="129"/>
        <v>0</v>
      </c>
      <c r="N226">
        <f t="shared" si="130"/>
        <v>0</v>
      </c>
      <c r="O226">
        <f t="shared" si="131"/>
        <v>0</v>
      </c>
      <c r="P226">
        <f t="shared" si="132"/>
        <v>0</v>
      </c>
      <c r="Q226">
        <f t="shared" si="133"/>
        <v>2721.7873896032829</v>
      </c>
      <c r="S226">
        <f t="shared" si="110"/>
        <v>53</v>
      </c>
      <c r="T226">
        <f t="shared" si="111"/>
        <v>38</v>
      </c>
      <c r="U226">
        <f t="shared" si="112"/>
        <v>21</v>
      </c>
      <c r="V226">
        <f t="shared" si="113"/>
        <v>23</v>
      </c>
      <c r="W226">
        <f t="shared" si="114"/>
        <v>102</v>
      </c>
      <c r="X226">
        <f t="shared" si="115"/>
        <v>92</v>
      </c>
      <c r="Y226">
        <f t="shared" si="116"/>
        <v>35</v>
      </c>
      <c r="Z226">
        <f t="shared" si="117"/>
        <v>29</v>
      </c>
      <c r="AA226">
        <f t="shared" si="118"/>
        <v>4</v>
      </c>
      <c r="AB226">
        <f t="shared" si="119"/>
        <v>6</v>
      </c>
      <c r="AC226">
        <f t="shared" si="120"/>
        <v>131</v>
      </c>
      <c r="AD226">
        <f t="shared" si="121"/>
        <v>23</v>
      </c>
      <c r="AF226">
        <f t="shared" si="134"/>
        <v>0</v>
      </c>
      <c r="AG226">
        <f t="shared" si="135"/>
        <v>0</v>
      </c>
      <c r="AH226">
        <f t="shared" si="136"/>
        <v>0</v>
      </c>
      <c r="AI226">
        <f t="shared" si="137"/>
        <v>0</v>
      </c>
      <c r="AJ226">
        <f t="shared" si="138"/>
        <v>0</v>
      </c>
      <c r="AK226">
        <f t="shared" si="139"/>
        <v>0</v>
      </c>
      <c r="AL226">
        <f t="shared" si="140"/>
        <v>0</v>
      </c>
      <c r="AM226">
        <f t="shared" si="141"/>
        <v>0</v>
      </c>
      <c r="AN226">
        <f t="shared" si="142"/>
        <v>0</v>
      </c>
      <c r="AO226">
        <f t="shared" si="143"/>
        <v>0</v>
      </c>
      <c r="AP226">
        <f t="shared" si="144"/>
        <v>0</v>
      </c>
      <c r="AQ226">
        <f t="shared" si="145"/>
        <v>0</v>
      </c>
    </row>
    <row r="227" spans="1:43" x14ac:dyDescent="0.45">
      <c r="A227" s="51">
        <v>24</v>
      </c>
      <c r="B227" s="51" t="s">
        <v>278</v>
      </c>
      <c r="C227" s="56" t="s">
        <v>274</v>
      </c>
      <c r="D227" s="50" t="s">
        <v>280</v>
      </c>
      <c r="E227" s="19">
        <v>3512.4441600000005</v>
      </c>
      <c r="F227">
        <f t="shared" si="122"/>
        <v>0</v>
      </c>
      <c r="G227">
        <f t="shared" si="123"/>
        <v>0</v>
      </c>
      <c r="H227">
        <f t="shared" si="124"/>
        <v>0</v>
      </c>
      <c r="I227">
        <f t="shared" si="125"/>
        <v>0</v>
      </c>
      <c r="J227">
        <f t="shared" si="126"/>
        <v>0</v>
      </c>
      <c r="K227">
        <f t="shared" si="127"/>
        <v>0</v>
      </c>
      <c r="L227">
        <f t="shared" si="128"/>
        <v>0</v>
      </c>
      <c r="M227">
        <f t="shared" si="129"/>
        <v>0</v>
      </c>
      <c r="N227">
        <f t="shared" si="130"/>
        <v>0</v>
      </c>
      <c r="O227">
        <f t="shared" si="131"/>
        <v>0</v>
      </c>
      <c r="P227">
        <f t="shared" si="132"/>
        <v>0</v>
      </c>
      <c r="Q227">
        <f t="shared" si="133"/>
        <v>0</v>
      </c>
      <c r="S227">
        <f t="shared" si="110"/>
        <v>53</v>
      </c>
      <c r="T227">
        <f t="shared" si="111"/>
        <v>38</v>
      </c>
      <c r="U227">
        <f t="shared" si="112"/>
        <v>21</v>
      </c>
      <c r="V227">
        <f t="shared" si="113"/>
        <v>23</v>
      </c>
      <c r="W227">
        <f t="shared" si="114"/>
        <v>102</v>
      </c>
      <c r="X227">
        <f t="shared" si="115"/>
        <v>92</v>
      </c>
      <c r="Y227">
        <f t="shared" si="116"/>
        <v>35</v>
      </c>
      <c r="Z227">
        <f t="shared" si="117"/>
        <v>29</v>
      </c>
      <c r="AA227">
        <f t="shared" si="118"/>
        <v>4</v>
      </c>
      <c r="AB227">
        <f t="shared" si="119"/>
        <v>6</v>
      </c>
      <c r="AC227">
        <f t="shared" si="120"/>
        <v>131</v>
      </c>
      <c r="AD227">
        <f t="shared" si="121"/>
        <v>22</v>
      </c>
      <c r="AF227">
        <f t="shared" si="134"/>
        <v>0</v>
      </c>
      <c r="AG227">
        <f t="shared" si="135"/>
        <v>0</v>
      </c>
      <c r="AH227">
        <f t="shared" si="136"/>
        <v>0</v>
      </c>
      <c r="AI227">
        <f t="shared" si="137"/>
        <v>0</v>
      </c>
      <c r="AJ227">
        <f t="shared" si="138"/>
        <v>0</v>
      </c>
      <c r="AK227">
        <f t="shared" si="139"/>
        <v>0</v>
      </c>
      <c r="AL227">
        <f t="shared" si="140"/>
        <v>0</v>
      </c>
      <c r="AM227">
        <f t="shared" si="141"/>
        <v>0</v>
      </c>
      <c r="AN227">
        <f t="shared" si="142"/>
        <v>0</v>
      </c>
      <c r="AO227">
        <f t="shared" si="143"/>
        <v>0</v>
      </c>
      <c r="AP227">
        <f t="shared" si="144"/>
        <v>0</v>
      </c>
      <c r="AQ227">
        <f t="shared" si="145"/>
        <v>0</v>
      </c>
    </row>
    <row r="228" spans="1:43" x14ac:dyDescent="0.45">
      <c r="A228" s="51">
        <v>25</v>
      </c>
      <c r="B228" s="51" t="s">
        <v>279</v>
      </c>
      <c r="C228" s="56" t="s">
        <v>91</v>
      </c>
      <c r="D228" s="50" t="s">
        <v>57</v>
      </c>
      <c r="E228" s="19">
        <v>3214.8162184434409</v>
      </c>
      <c r="F228">
        <f t="shared" si="122"/>
        <v>0</v>
      </c>
      <c r="G228">
        <f t="shared" si="123"/>
        <v>0</v>
      </c>
      <c r="H228">
        <f t="shared" si="124"/>
        <v>0</v>
      </c>
      <c r="I228">
        <f t="shared" si="125"/>
        <v>0</v>
      </c>
      <c r="J228">
        <f t="shared" si="126"/>
        <v>0</v>
      </c>
      <c r="K228">
        <f t="shared" si="127"/>
        <v>0</v>
      </c>
      <c r="L228">
        <f t="shared" si="128"/>
        <v>0</v>
      </c>
      <c r="M228">
        <f t="shared" si="129"/>
        <v>3214.8162184434409</v>
      </c>
      <c r="N228">
        <f t="shared" si="130"/>
        <v>0</v>
      </c>
      <c r="O228">
        <f t="shared" si="131"/>
        <v>0</v>
      </c>
      <c r="P228">
        <f t="shared" si="132"/>
        <v>0</v>
      </c>
      <c r="Q228">
        <f t="shared" si="133"/>
        <v>0</v>
      </c>
      <c r="S228">
        <f t="shared" si="110"/>
        <v>53</v>
      </c>
      <c r="T228">
        <f t="shared" si="111"/>
        <v>38</v>
      </c>
      <c r="U228">
        <f t="shared" si="112"/>
        <v>21</v>
      </c>
      <c r="V228">
        <f t="shared" si="113"/>
        <v>23</v>
      </c>
      <c r="W228">
        <f t="shared" si="114"/>
        <v>102</v>
      </c>
      <c r="X228">
        <f t="shared" si="115"/>
        <v>92</v>
      </c>
      <c r="Y228">
        <f t="shared" si="116"/>
        <v>35</v>
      </c>
      <c r="Z228">
        <f t="shared" si="117"/>
        <v>29</v>
      </c>
      <c r="AA228">
        <f t="shared" si="118"/>
        <v>4</v>
      </c>
      <c r="AB228">
        <f t="shared" si="119"/>
        <v>6</v>
      </c>
      <c r="AC228">
        <f t="shared" si="120"/>
        <v>131</v>
      </c>
      <c r="AD228">
        <f t="shared" si="121"/>
        <v>22</v>
      </c>
      <c r="AF228">
        <f t="shared" si="134"/>
        <v>0</v>
      </c>
      <c r="AG228">
        <f t="shared" si="135"/>
        <v>0</v>
      </c>
      <c r="AH228">
        <f t="shared" si="136"/>
        <v>0</v>
      </c>
      <c r="AI228">
        <f t="shared" si="137"/>
        <v>0</v>
      </c>
      <c r="AJ228">
        <f t="shared" si="138"/>
        <v>0</v>
      </c>
      <c r="AK228">
        <f t="shared" si="139"/>
        <v>0</v>
      </c>
      <c r="AL228">
        <f t="shared" si="140"/>
        <v>0</v>
      </c>
      <c r="AM228">
        <f t="shared" si="141"/>
        <v>0</v>
      </c>
      <c r="AN228">
        <f t="shared" si="142"/>
        <v>0</v>
      </c>
      <c r="AO228">
        <f t="shared" si="143"/>
        <v>0</v>
      </c>
      <c r="AP228">
        <f t="shared" si="144"/>
        <v>0</v>
      </c>
      <c r="AQ228">
        <f t="shared" si="145"/>
        <v>0</v>
      </c>
    </row>
    <row r="229" spans="1:43" x14ac:dyDescent="0.45">
      <c r="A229" s="51">
        <v>26</v>
      </c>
      <c r="B229" s="51" t="s">
        <v>279</v>
      </c>
      <c r="C229" s="56" t="s">
        <v>88</v>
      </c>
      <c r="D229" s="50" t="s">
        <v>54</v>
      </c>
      <c r="E229" s="19">
        <v>3333.2979307741052</v>
      </c>
      <c r="F229">
        <f t="shared" si="122"/>
        <v>0</v>
      </c>
      <c r="G229">
        <f t="shared" si="123"/>
        <v>0</v>
      </c>
      <c r="H229">
        <f t="shared" si="124"/>
        <v>0</v>
      </c>
      <c r="I229">
        <f t="shared" si="125"/>
        <v>0</v>
      </c>
      <c r="J229">
        <f t="shared" si="126"/>
        <v>0</v>
      </c>
      <c r="K229">
        <f t="shared" si="127"/>
        <v>3333.2979307741052</v>
      </c>
      <c r="L229">
        <f t="shared" si="128"/>
        <v>0</v>
      </c>
      <c r="M229">
        <f t="shared" si="129"/>
        <v>0</v>
      </c>
      <c r="N229">
        <f t="shared" si="130"/>
        <v>0</v>
      </c>
      <c r="O229">
        <f t="shared" si="131"/>
        <v>0</v>
      </c>
      <c r="P229">
        <f t="shared" si="132"/>
        <v>0</v>
      </c>
      <c r="Q229">
        <f t="shared" si="133"/>
        <v>0</v>
      </c>
      <c r="S229">
        <f t="shared" si="110"/>
        <v>53</v>
      </c>
      <c r="T229">
        <f t="shared" si="111"/>
        <v>38</v>
      </c>
      <c r="U229">
        <f t="shared" si="112"/>
        <v>21</v>
      </c>
      <c r="V229">
        <f t="shared" si="113"/>
        <v>23</v>
      </c>
      <c r="W229">
        <f t="shared" si="114"/>
        <v>102</v>
      </c>
      <c r="X229">
        <f t="shared" si="115"/>
        <v>92</v>
      </c>
      <c r="Y229">
        <f t="shared" si="116"/>
        <v>35</v>
      </c>
      <c r="Z229">
        <f t="shared" si="117"/>
        <v>28</v>
      </c>
      <c r="AA229">
        <f t="shared" si="118"/>
        <v>4</v>
      </c>
      <c r="AB229">
        <f t="shared" si="119"/>
        <v>6</v>
      </c>
      <c r="AC229">
        <f t="shared" si="120"/>
        <v>131</v>
      </c>
      <c r="AD229">
        <f t="shared" si="121"/>
        <v>22</v>
      </c>
      <c r="AF229">
        <f t="shared" si="134"/>
        <v>0</v>
      </c>
      <c r="AG229">
        <f t="shared" si="135"/>
        <v>0</v>
      </c>
      <c r="AH229">
        <f t="shared" si="136"/>
        <v>0</v>
      </c>
      <c r="AI229">
        <f t="shared" si="137"/>
        <v>0</v>
      </c>
      <c r="AJ229">
        <f t="shared" si="138"/>
        <v>0</v>
      </c>
      <c r="AK229">
        <f t="shared" si="139"/>
        <v>0</v>
      </c>
      <c r="AL229">
        <f t="shared" si="140"/>
        <v>0</v>
      </c>
      <c r="AM229">
        <f t="shared" si="141"/>
        <v>0</v>
      </c>
      <c r="AN229">
        <f t="shared" si="142"/>
        <v>0</v>
      </c>
      <c r="AO229">
        <f t="shared" si="143"/>
        <v>0</v>
      </c>
      <c r="AP229">
        <f t="shared" si="144"/>
        <v>0</v>
      </c>
      <c r="AQ229">
        <f t="shared" si="145"/>
        <v>0</v>
      </c>
    </row>
    <row r="230" spans="1:43" x14ac:dyDescent="0.35">
      <c r="A230" s="51">
        <v>27</v>
      </c>
      <c r="B230" s="51" t="s">
        <v>281</v>
      </c>
      <c r="C230" s="62" t="s">
        <v>92</v>
      </c>
      <c r="D230" s="51" t="s">
        <v>54</v>
      </c>
      <c r="E230" s="19">
        <v>2710.398566764954</v>
      </c>
      <c r="F230">
        <f t="shared" si="122"/>
        <v>0</v>
      </c>
      <c r="G230">
        <f t="shared" si="123"/>
        <v>0</v>
      </c>
      <c r="H230">
        <f t="shared" si="124"/>
        <v>0</v>
      </c>
      <c r="I230">
        <f t="shared" si="125"/>
        <v>0</v>
      </c>
      <c r="J230">
        <f t="shared" si="126"/>
        <v>0</v>
      </c>
      <c r="K230">
        <f t="shared" si="127"/>
        <v>2710.398566764954</v>
      </c>
      <c r="L230">
        <f t="shared" si="128"/>
        <v>0</v>
      </c>
      <c r="M230">
        <f t="shared" si="129"/>
        <v>0</v>
      </c>
      <c r="N230">
        <f t="shared" si="130"/>
        <v>0</v>
      </c>
      <c r="O230">
        <f t="shared" si="131"/>
        <v>0</v>
      </c>
      <c r="P230">
        <f t="shared" si="132"/>
        <v>0</v>
      </c>
      <c r="Q230">
        <f t="shared" si="133"/>
        <v>0</v>
      </c>
      <c r="S230">
        <f t="shared" si="110"/>
        <v>53</v>
      </c>
      <c r="T230">
        <f t="shared" si="111"/>
        <v>38</v>
      </c>
      <c r="U230">
        <f t="shared" si="112"/>
        <v>21</v>
      </c>
      <c r="V230">
        <f t="shared" si="113"/>
        <v>23</v>
      </c>
      <c r="W230">
        <f t="shared" si="114"/>
        <v>102</v>
      </c>
      <c r="X230">
        <f t="shared" si="115"/>
        <v>91</v>
      </c>
      <c r="Y230">
        <f t="shared" si="116"/>
        <v>35</v>
      </c>
      <c r="Z230">
        <f t="shared" si="117"/>
        <v>28</v>
      </c>
      <c r="AA230">
        <f t="shared" si="118"/>
        <v>4</v>
      </c>
      <c r="AB230">
        <f t="shared" si="119"/>
        <v>6</v>
      </c>
      <c r="AC230">
        <f t="shared" si="120"/>
        <v>131</v>
      </c>
      <c r="AD230">
        <f t="shared" si="121"/>
        <v>22</v>
      </c>
      <c r="AF230">
        <f t="shared" si="134"/>
        <v>0</v>
      </c>
      <c r="AG230">
        <f t="shared" si="135"/>
        <v>0</v>
      </c>
      <c r="AH230">
        <f t="shared" si="136"/>
        <v>0</v>
      </c>
      <c r="AI230">
        <f t="shared" si="137"/>
        <v>0</v>
      </c>
      <c r="AJ230">
        <f t="shared" si="138"/>
        <v>0</v>
      </c>
      <c r="AK230">
        <f t="shared" si="139"/>
        <v>0</v>
      </c>
      <c r="AL230">
        <f t="shared" si="140"/>
        <v>0</v>
      </c>
      <c r="AM230">
        <f t="shared" si="141"/>
        <v>0</v>
      </c>
      <c r="AN230">
        <f t="shared" si="142"/>
        <v>0</v>
      </c>
      <c r="AO230">
        <f t="shared" si="143"/>
        <v>0</v>
      </c>
      <c r="AP230">
        <f t="shared" si="144"/>
        <v>0</v>
      </c>
      <c r="AQ230">
        <f t="shared" si="145"/>
        <v>0</v>
      </c>
    </row>
    <row r="231" spans="1:43" x14ac:dyDescent="0.45">
      <c r="A231" s="51">
        <v>28</v>
      </c>
      <c r="B231" s="51" t="s">
        <v>281</v>
      </c>
      <c r="C231" s="56" t="s">
        <v>93</v>
      </c>
      <c r="D231" s="50" t="s">
        <v>57</v>
      </c>
      <c r="E231" s="19">
        <v>2624.465887492117</v>
      </c>
      <c r="F231">
        <f t="shared" si="122"/>
        <v>0</v>
      </c>
      <c r="G231">
        <f t="shared" si="123"/>
        <v>0</v>
      </c>
      <c r="H231">
        <f t="shared" si="124"/>
        <v>0</v>
      </c>
      <c r="I231">
        <f t="shared" si="125"/>
        <v>0</v>
      </c>
      <c r="J231">
        <f t="shared" si="126"/>
        <v>0</v>
      </c>
      <c r="K231">
        <f t="shared" si="127"/>
        <v>0</v>
      </c>
      <c r="L231">
        <f t="shared" si="128"/>
        <v>0</v>
      </c>
      <c r="M231">
        <f t="shared" si="129"/>
        <v>2624.465887492117</v>
      </c>
      <c r="N231">
        <f t="shared" si="130"/>
        <v>0</v>
      </c>
      <c r="O231">
        <f t="shared" si="131"/>
        <v>0</v>
      </c>
      <c r="P231">
        <f t="shared" si="132"/>
        <v>0</v>
      </c>
      <c r="Q231">
        <f t="shared" si="133"/>
        <v>0</v>
      </c>
      <c r="S231">
        <f t="shared" si="110"/>
        <v>53</v>
      </c>
      <c r="T231">
        <f t="shared" si="111"/>
        <v>38</v>
      </c>
      <c r="U231">
        <f t="shared" si="112"/>
        <v>21</v>
      </c>
      <c r="V231">
        <f t="shared" si="113"/>
        <v>23</v>
      </c>
      <c r="W231">
        <f t="shared" si="114"/>
        <v>102</v>
      </c>
      <c r="X231">
        <f t="shared" si="115"/>
        <v>90</v>
      </c>
      <c r="Y231">
        <f t="shared" si="116"/>
        <v>35</v>
      </c>
      <c r="Z231">
        <f t="shared" si="117"/>
        <v>28</v>
      </c>
      <c r="AA231">
        <f t="shared" si="118"/>
        <v>4</v>
      </c>
      <c r="AB231">
        <f t="shared" si="119"/>
        <v>6</v>
      </c>
      <c r="AC231">
        <f t="shared" si="120"/>
        <v>131</v>
      </c>
      <c r="AD231">
        <f t="shared" si="121"/>
        <v>22</v>
      </c>
      <c r="AF231">
        <f t="shared" si="134"/>
        <v>0</v>
      </c>
      <c r="AG231">
        <f t="shared" si="135"/>
        <v>0</v>
      </c>
      <c r="AH231">
        <f t="shared" si="136"/>
        <v>0</v>
      </c>
      <c r="AI231">
        <f t="shared" si="137"/>
        <v>0</v>
      </c>
      <c r="AJ231">
        <f t="shared" si="138"/>
        <v>0</v>
      </c>
      <c r="AK231">
        <f t="shared" si="139"/>
        <v>0</v>
      </c>
      <c r="AL231">
        <f t="shared" si="140"/>
        <v>0</v>
      </c>
      <c r="AM231">
        <f t="shared" si="141"/>
        <v>0</v>
      </c>
      <c r="AN231">
        <f t="shared" si="142"/>
        <v>0</v>
      </c>
      <c r="AO231">
        <f t="shared" si="143"/>
        <v>0</v>
      </c>
      <c r="AP231">
        <f t="shared" si="144"/>
        <v>0</v>
      </c>
      <c r="AQ231">
        <f t="shared" si="145"/>
        <v>0</v>
      </c>
    </row>
    <row r="232" spans="1:43" x14ac:dyDescent="0.45">
      <c r="A232" s="51">
        <v>29</v>
      </c>
      <c r="B232" s="51" t="s">
        <v>281</v>
      </c>
      <c r="C232" s="56" t="s">
        <v>95</v>
      </c>
      <c r="D232" s="50" t="s">
        <v>222</v>
      </c>
      <c r="E232" s="19">
        <v>3144.4123818621779</v>
      </c>
      <c r="F232">
        <f t="shared" si="122"/>
        <v>0</v>
      </c>
      <c r="G232">
        <f t="shared" si="123"/>
        <v>0</v>
      </c>
      <c r="H232">
        <f t="shared" si="124"/>
        <v>0</v>
      </c>
      <c r="I232">
        <f t="shared" si="125"/>
        <v>0</v>
      </c>
      <c r="J232">
        <f t="shared" si="126"/>
        <v>0</v>
      </c>
      <c r="K232">
        <f t="shared" si="127"/>
        <v>0</v>
      </c>
      <c r="L232">
        <f t="shared" si="128"/>
        <v>0</v>
      </c>
      <c r="M232">
        <f t="shared" si="129"/>
        <v>0</v>
      </c>
      <c r="N232">
        <f t="shared" si="130"/>
        <v>0</v>
      </c>
      <c r="O232">
        <f t="shared" si="131"/>
        <v>0</v>
      </c>
      <c r="P232">
        <f t="shared" si="132"/>
        <v>0</v>
      </c>
      <c r="Q232">
        <f t="shared" si="133"/>
        <v>3144.4123818621779</v>
      </c>
      <c r="S232">
        <f t="shared" si="110"/>
        <v>53</v>
      </c>
      <c r="T232">
        <f t="shared" si="111"/>
        <v>38</v>
      </c>
      <c r="U232">
        <f t="shared" si="112"/>
        <v>21</v>
      </c>
      <c r="V232">
        <f t="shared" si="113"/>
        <v>23</v>
      </c>
      <c r="W232">
        <f t="shared" si="114"/>
        <v>102</v>
      </c>
      <c r="X232">
        <f t="shared" si="115"/>
        <v>90</v>
      </c>
      <c r="Y232">
        <f t="shared" si="116"/>
        <v>35</v>
      </c>
      <c r="Z232">
        <f t="shared" si="117"/>
        <v>27</v>
      </c>
      <c r="AA232">
        <f t="shared" si="118"/>
        <v>4</v>
      </c>
      <c r="AB232">
        <f t="shared" si="119"/>
        <v>6</v>
      </c>
      <c r="AC232">
        <f t="shared" si="120"/>
        <v>131</v>
      </c>
      <c r="AD232">
        <f t="shared" si="121"/>
        <v>22</v>
      </c>
      <c r="AF232">
        <f t="shared" si="134"/>
        <v>0</v>
      </c>
      <c r="AG232">
        <f t="shared" si="135"/>
        <v>0</v>
      </c>
      <c r="AH232">
        <f t="shared" si="136"/>
        <v>0</v>
      </c>
      <c r="AI232">
        <f t="shared" si="137"/>
        <v>0</v>
      </c>
      <c r="AJ232">
        <f t="shared" si="138"/>
        <v>0</v>
      </c>
      <c r="AK232">
        <f t="shared" si="139"/>
        <v>0</v>
      </c>
      <c r="AL232">
        <f t="shared" si="140"/>
        <v>0</v>
      </c>
      <c r="AM232">
        <f t="shared" si="141"/>
        <v>0</v>
      </c>
      <c r="AN232">
        <f t="shared" si="142"/>
        <v>0</v>
      </c>
      <c r="AO232">
        <f t="shared" si="143"/>
        <v>0</v>
      </c>
      <c r="AP232">
        <f t="shared" si="144"/>
        <v>0</v>
      </c>
      <c r="AQ232">
        <f t="shared" si="145"/>
        <v>0</v>
      </c>
    </row>
    <row r="233" spans="1:43" x14ac:dyDescent="0.45">
      <c r="A233" s="51">
        <v>30</v>
      </c>
      <c r="B233" s="51" t="s">
        <v>281</v>
      </c>
      <c r="C233" s="56" t="s">
        <v>277</v>
      </c>
      <c r="D233" s="50" t="s">
        <v>280</v>
      </c>
      <c r="E233" s="19">
        <v>3487.412175994109</v>
      </c>
      <c r="F233">
        <f t="shared" si="122"/>
        <v>0</v>
      </c>
      <c r="G233">
        <f t="shared" si="123"/>
        <v>0</v>
      </c>
      <c r="H233">
        <f t="shared" si="124"/>
        <v>0</v>
      </c>
      <c r="I233">
        <f t="shared" si="125"/>
        <v>0</v>
      </c>
      <c r="J233">
        <f t="shared" si="126"/>
        <v>0</v>
      </c>
      <c r="K233">
        <f t="shared" si="127"/>
        <v>0</v>
      </c>
      <c r="L233">
        <f t="shared" si="128"/>
        <v>0</v>
      </c>
      <c r="M233">
        <f t="shared" si="129"/>
        <v>0</v>
      </c>
      <c r="N233">
        <f t="shared" si="130"/>
        <v>0</v>
      </c>
      <c r="O233">
        <f t="shared" si="131"/>
        <v>0</v>
      </c>
      <c r="P233">
        <f t="shared" si="132"/>
        <v>0</v>
      </c>
      <c r="Q233">
        <f t="shared" si="133"/>
        <v>0</v>
      </c>
      <c r="S233">
        <f t="shared" si="110"/>
        <v>53</v>
      </c>
      <c r="T233">
        <f t="shared" si="111"/>
        <v>38</v>
      </c>
      <c r="U233">
        <f t="shared" si="112"/>
        <v>21</v>
      </c>
      <c r="V233">
        <f t="shared" si="113"/>
        <v>23</v>
      </c>
      <c r="W233">
        <f t="shared" si="114"/>
        <v>102</v>
      </c>
      <c r="X233">
        <f t="shared" si="115"/>
        <v>90</v>
      </c>
      <c r="Y233">
        <f t="shared" si="116"/>
        <v>35</v>
      </c>
      <c r="Z233">
        <f t="shared" si="117"/>
        <v>27</v>
      </c>
      <c r="AA233">
        <f t="shared" si="118"/>
        <v>4</v>
      </c>
      <c r="AB233">
        <f t="shared" si="119"/>
        <v>6</v>
      </c>
      <c r="AC233">
        <f t="shared" si="120"/>
        <v>131</v>
      </c>
      <c r="AD233">
        <f t="shared" si="121"/>
        <v>21</v>
      </c>
      <c r="AF233">
        <f t="shared" si="134"/>
        <v>0</v>
      </c>
      <c r="AG233">
        <f t="shared" si="135"/>
        <v>0</v>
      </c>
      <c r="AH233">
        <f t="shared" si="136"/>
        <v>0</v>
      </c>
      <c r="AI233">
        <f t="shared" si="137"/>
        <v>0</v>
      </c>
      <c r="AJ233">
        <f t="shared" si="138"/>
        <v>0</v>
      </c>
      <c r="AK233">
        <f t="shared" si="139"/>
        <v>0</v>
      </c>
      <c r="AL233">
        <f t="shared" si="140"/>
        <v>0</v>
      </c>
      <c r="AM233">
        <f t="shared" si="141"/>
        <v>0</v>
      </c>
      <c r="AN233">
        <f t="shared" si="142"/>
        <v>0</v>
      </c>
      <c r="AO233">
        <f t="shared" si="143"/>
        <v>0</v>
      </c>
      <c r="AP233">
        <f t="shared" si="144"/>
        <v>0</v>
      </c>
      <c r="AQ233">
        <f t="shared" si="145"/>
        <v>0</v>
      </c>
    </row>
    <row r="234" spans="1:43" x14ac:dyDescent="0.35">
      <c r="A234" s="51">
        <v>31</v>
      </c>
      <c r="B234" s="51" t="s">
        <v>282</v>
      </c>
      <c r="C234" s="62" t="s">
        <v>98</v>
      </c>
      <c r="D234" s="51" t="s">
        <v>228</v>
      </c>
      <c r="E234" s="19">
        <v>2843.2799759805989</v>
      </c>
      <c r="F234">
        <f t="shared" si="122"/>
        <v>0</v>
      </c>
      <c r="G234">
        <f t="shared" si="123"/>
        <v>0</v>
      </c>
      <c r="H234">
        <f t="shared" si="124"/>
        <v>0</v>
      </c>
      <c r="I234">
        <f t="shared" si="125"/>
        <v>0</v>
      </c>
      <c r="J234">
        <f t="shared" si="126"/>
        <v>0</v>
      </c>
      <c r="K234">
        <f t="shared" si="127"/>
        <v>0</v>
      </c>
      <c r="L234">
        <f t="shared" si="128"/>
        <v>0</v>
      </c>
      <c r="M234">
        <f t="shared" si="129"/>
        <v>0</v>
      </c>
      <c r="N234">
        <f t="shared" si="130"/>
        <v>0</v>
      </c>
      <c r="O234">
        <f t="shared" si="131"/>
        <v>0</v>
      </c>
      <c r="P234">
        <f t="shared" si="132"/>
        <v>2843.2799759805989</v>
      </c>
      <c r="Q234">
        <f t="shared" si="133"/>
        <v>0</v>
      </c>
      <c r="S234">
        <f t="shared" si="110"/>
        <v>53</v>
      </c>
      <c r="T234">
        <f t="shared" si="111"/>
        <v>38</v>
      </c>
      <c r="U234">
        <f t="shared" si="112"/>
        <v>21</v>
      </c>
      <c r="V234">
        <f t="shared" si="113"/>
        <v>23</v>
      </c>
      <c r="W234">
        <f t="shared" si="114"/>
        <v>102</v>
      </c>
      <c r="X234">
        <f t="shared" si="115"/>
        <v>90</v>
      </c>
      <c r="Y234">
        <f t="shared" si="116"/>
        <v>35</v>
      </c>
      <c r="Z234">
        <f t="shared" si="117"/>
        <v>27</v>
      </c>
      <c r="AA234">
        <f t="shared" si="118"/>
        <v>4</v>
      </c>
      <c r="AB234">
        <f t="shared" si="119"/>
        <v>6</v>
      </c>
      <c r="AC234">
        <f t="shared" si="120"/>
        <v>131</v>
      </c>
      <c r="AD234">
        <f t="shared" si="121"/>
        <v>21</v>
      </c>
      <c r="AF234">
        <f t="shared" si="134"/>
        <v>0</v>
      </c>
      <c r="AG234">
        <f t="shared" si="135"/>
        <v>0</v>
      </c>
      <c r="AH234">
        <f t="shared" si="136"/>
        <v>0</v>
      </c>
      <c r="AI234">
        <f t="shared" si="137"/>
        <v>0</v>
      </c>
      <c r="AJ234">
        <f t="shared" si="138"/>
        <v>0</v>
      </c>
      <c r="AK234">
        <f t="shared" si="139"/>
        <v>0</v>
      </c>
      <c r="AL234">
        <f t="shared" si="140"/>
        <v>0</v>
      </c>
      <c r="AM234">
        <f t="shared" si="141"/>
        <v>0</v>
      </c>
      <c r="AN234">
        <f t="shared" si="142"/>
        <v>0</v>
      </c>
      <c r="AO234">
        <f t="shared" si="143"/>
        <v>0</v>
      </c>
      <c r="AP234">
        <f t="shared" si="144"/>
        <v>0</v>
      </c>
      <c r="AQ234">
        <f t="shared" si="145"/>
        <v>0</v>
      </c>
    </row>
    <row r="235" spans="1:43" x14ac:dyDescent="0.45">
      <c r="A235" s="51">
        <v>32</v>
      </c>
      <c r="B235" s="51" t="s">
        <v>282</v>
      </c>
      <c r="C235" s="56" t="s">
        <v>97</v>
      </c>
      <c r="D235" s="50" t="s">
        <v>222</v>
      </c>
      <c r="E235" s="19">
        <v>3284.8172716097251</v>
      </c>
      <c r="F235">
        <f t="shared" si="122"/>
        <v>0</v>
      </c>
      <c r="G235">
        <f t="shared" si="123"/>
        <v>0</v>
      </c>
      <c r="H235">
        <f t="shared" si="124"/>
        <v>0</v>
      </c>
      <c r="I235">
        <f t="shared" si="125"/>
        <v>0</v>
      </c>
      <c r="J235">
        <f t="shared" si="126"/>
        <v>0</v>
      </c>
      <c r="K235">
        <f t="shared" si="127"/>
        <v>0</v>
      </c>
      <c r="L235">
        <f t="shared" si="128"/>
        <v>0</v>
      </c>
      <c r="M235">
        <f t="shared" si="129"/>
        <v>0</v>
      </c>
      <c r="N235">
        <f t="shared" si="130"/>
        <v>0</v>
      </c>
      <c r="O235">
        <f t="shared" si="131"/>
        <v>0</v>
      </c>
      <c r="P235">
        <f t="shared" si="132"/>
        <v>0</v>
      </c>
      <c r="Q235">
        <f t="shared" si="133"/>
        <v>3284.8172716097251</v>
      </c>
      <c r="S235">
        <f t="shared" ref="S235:S300" si="147">IF(F235&gt;0,1,0)+S236</f>
        <v>53</v>
      </c>
      <c r="T235">
        <f t="shared" ref="T235:T300" si="148">IF(G235&gt;0,1,0)+T236</f>
        <v>38</v>
      </c>
      <c r="U235">
        <f t="shared" ref="U235:U300" si="149">IF(H235&gt;0,1,0)+U236</f>
        <v>21</v>
      </c>
      <c r="V235">
        <f t="shared" ref="V235:V300" si="150">IF(I235&gt;0,1,0)+V236</f>
        <v>23</v>
      </c>
      <c r="W235">
        <f t="shared" ref="W235:W300" si="151">IF(J235&gt;0,1,0)+W236</f>
        <v>102</v>
      </c>
      <c r="X235">
        <f t="shared" ref="X235:X300" si="152">IF(K235&gt;0,1,0)+X236</f>
        <v>90</v>
      </c>
      <c r="Y235">
        <f t="shared" ref="Y235:Y300" si="153">IF(L235&gt;0,1,0)+Y236</f>
        <v>35</v>
      </c>
      <c r="Z235">
        <f t="shared" ref="Z235:Z300" si="154">IF(M235&gt;0,1,0)+Z236</f>
        <v>27</v>
      </c>
      <c r="AA235">
        <f t="shared" ref="AA235:AA300" si="155">IF(N235&gt;0,1,0)+AA236</f>
        <v>4</v>
      </c>
      <c r="AB235">
        <f t="shared" ref="AB235:AB300" si="156">IF(O235&gt;0,1,0)+AB236</f>
        <v>6</v>
      </c>
      <c r="AC235">
        <f t="shared" ref="AC235:AC300" si="157">IF(P235&gt;0,1,0)+AC236</f>
        <v>130</v>
      </c>
      <c r="AD235">
        <f t="shared" ref="AD235:AD300" si="158">IF(Q235&gt;0,1,0)+AD236</f>
        <v>21</v>
      </c>
      <c r="AF235">
        <f t="shared" si="134"/>
        <v>0</v>
      </c>
      <c r="AG235">
        <f t="shared" si="135"/>
        <v>0</v>
      </c>
      <c r="AH235">
        <f t="shared" si="136"/>
        <v>0</v>
      </c>
      <c r="AI235">
        <f t="shared" si="137"/>
        <v>0</v>
      </c>
      <c r="AJ235">
        <f t="shared" si="138"/>
        <v>0</v>
      </c>
      <c r="AK235">
        <f t="shared" si="139"/>
        <v>0</v>
      </c>
      <c r="AL235">
        <f t="shared" si="140"/>
        <v>0</v>
      </c>
      <c r="AM235">
        <f t="shared" si="141"/>
        <v>0</v>
      </c>
      <c r="AN235">
        <f t="shared" si="142"/>
        <v>0</v>
      </c>
      <c r="AO235">
        <f t="shared" si="143"/>
        <v>0</v>
      </c>
      <c r="AP235">
        <f t="shared" si="144"/>
        <v>0</v>
      </c>
      <c r="AQ235">
        <f t="shared" si="145"/>
        <v>0</v>
      </c>
    </row>
    <row r="236" spans="1:43" x14ac:dyDescent="0.35">
      <c r="A236" s="51">
        <v>33</v>
      </c>
      <c r="B236" s="51" t="s">
        <v>284</v>
      </c>
      <c r="C236" s="62" t="s">
        <v>101</v>
      </c>
      <c r="D236" s="51" t="s">
        <v>76</v>
      </c>
      <c r="E236" s="19">
        <v>3219.9721380368096</v>
      </c>
      <c r="F236">
        <f t="shared" si="122"/>
        <v>3219.9721380368096</v>
      </c>
      <c r="G236">
        <f t="shared" si="123"/>
        <v>0</v>
      </c>
      <c r="H236">
        <f t="shared" si="124"/>
        <v>0</v>
      </c>
      <c r="I236">
        <f t="shared" si="125"/>
        <v>0</v>
      </c>
      <c r="J236">
        <f t="shared" si="126"/>
        <v>0</v>
      </c>
      <c r="K236">
        <f t="shared" si="127"/>
        <v>0</v>
      </c>
      <c r="L236">
        <f t="shared" si="128"/>
        <v>0</v>
      </c>
      <c r="M236">
        <f t="shared" si="129"/>
        <v>0</v>
      </c>
      <c r="N236">
        <f t="shared" si="130"/>
        <v>0</v>
      </c>
      <c r="O236">
        <f t="shared" si="131"/>
        <v>0</v>
      </c>
      <c r="P236">
        <f t="shared" si="132"/>
        <v>0</v>
      </c>
      <c r="Q236">
        <f t="shared" si="133"/>
        <v>0</v>
      </c>
      <c r="S236">
        <f t="shared" si="147"/>
        <v>53</v>
      </c>
      <c r="T236">
        <f t="shared" si="148"/>
        <v>38</v>
      </c>
      <c r="U236">
        <f t="shared" si="149"/>
        <v>21</v>
      </c>
      <c r="V236">
        <f t="shared" si="150"/>
        <v>23</v>
      </c>
      <c r="W236">
        <f t="shared" si="151"/>
        <v>102</v>
      </c>
      <c r="X236">
        <f t="shared" si="152"/>
        <v>90</v>
      </c>
      <c r="Y236">
        <f t="shared" si="153"/>
        <v>35</v>
      </c>
      <c r="Z236">
        <f t="shared" si="154"/>
        <v>27</v>
      </c>
      <c r="AA236">
        <f t="shared" si="155"/>
        <v>4</v>
      </c>
      <c r="AB236">
        <f t="shared" si="156"/>
        <v>6</v>
      </c>
      <c r="AC236">
        <f t="shared" si="157"/>
        <v>130</v>
      </c>
      <c r="AD236">
        <f t="shared" si="158"/>
        <v>20</v>
      </c>
      <c r="AF236">
        <f t="shared" si="134"/>
        <v>0</v>
      </c>
      <c r="AG236">
        <f t="shared" si="135"/>
        <v>0</v>
      </c>
      <c r="AH236">
        <f t="shared" si="136"/>
        <v>0</v>
      </c>
      <c r="AI236">
        <f t="shared" si="137"/>
        <v>0</v>
      </c>
      <c r="AJ236">
        <f t="shared" si="138"/>
        <v>0</v>
      </c>
      <c r="AK236">
        <f t="shared" si="139"/>
        <v>0</v>
      </c>
      <c r="AL236">
        <f t="shared" si="140"/>
        <v>0</v>
      </c>
      <c r="AM236">
        <f t="shared" si="141"/>
        <v>0</v>
      </c>
      <c r="AN236">
        <f t="shared" si="142"/>
        <v>0</v>
      </c>
      <c r="AO236">
        <f t="shared" si="143"/>
        <v>0</v>
      </c>
      <c r="AP236">
        <f t="shared" si="144"/>
        <v>0</v>
      </c>
      <c r="AQ236">
        <f t="shared" si="145"/>
        <v>0</v>
      </c>
    </row>
    <row r="237" spans="1:43" x14ac:dyDescent="0.45">
      <c r="A237" s="51">
        <v>34</v>
      </c>
      <c r="B237" s="51" t="s">
        <v>284</v>
      </c>
      <c r="C237" s="56" t="s">
        <v>99</v>
      </c>
      <c r="D237" s="50" t="s">
        <v>94</v>
      </c>
      <c r="E237" s="19">
        <v>3569.2047807340414</v>
      </c>
      <c r="F237">
        <f t="shared" si="122"/>
        <v>0</v>
      </c>
      <c r="G237">
        <f t="shared" si="123"/>
        <v>0</v>
      </c>
      <c r="H237">
        <f t="shared" si="124"/>
        <v>0</v>
      </c>
      <c r="I237">
        <f t="shared" si="125"/>
        <v>0</v>
      </c>
      <c r="J237">
        <f t="shared" si="126"/>
        <v>0</v>
      </c>
      <c r="K237">
        <f t="shared" si="127"/>
        <v>0</v>
      </c>
      <c r="L237">
        <f t="shared" si="128"/>
        <v>3569.2047807340414</v>
      </c>
      <c r="M237">
        <f t="shared" si="129"/>
        <v>0</v>
      </c>
      <c r="N237">
        <f t="shared" si="130"/>
        <v>0</v>
      </c>
      <c r="O237">
        <f t="shared" si="131"/>
        <v>0</v>
      </c>
      <c r="P237">
        <f t="shared" si="132"/>
        <v>0</v>
      </c>
      <c r="Q237">
        <f t="shared" si="133"/>
        <v>0</v>
      </c>
      <c r="S237">
        <f t="shared" si="147"/>
        <v>52</v>
      </c>
      <c r="T237">
        <f t="shared" si="148"/>
        <v>38</v>
      </c>
      <c r="U237">
        <f t="shared" si="149"/>
        <v>21</v>
      </c>
      <c r="V237">
        <f t="shared" si="150"/>
        <v>23</v>
      </c>
      <c r="W237">
        <f t="shared" si="151"/>
        <v>102</v>
      </c>
      <c r="X237">
        <f t="shared" si="152"/>
        <v>90</v>
      </c>
      <c r="Y237">
        <f t="shared" si="153"/>
        <v>35</v>
      </c>
      <c r="Z237">
        <f t="shared" si="154"/>
        <v>27</v>
      </c>
      <c r="AA237">
        <f t="shared" si="155"/>
        <v>4</v>
      </c>
      <c r="AB237">
        <f t="shared" si="156"/>
        <v>6</v>
      </c>
      <c r="AC237">
        <f t="shared" si="157"/>
        <v>130</v>
      </c>
      <c r="AD237">
        <f t="shared" si="158"/>
        <v>20</v>
      </c>
      <c r="AF237">
        <f t="shared" si="134"/>
        <v>0</v>
      </c>
      <c r="AG237">
        <f t="shared" si="135"/>
        <v>0</v>
      </c>
      <c r="AH237">
        <f t="shared" si="136"/>
        <v>0</v>
      </c>
      <c r="AI237">
        <f t="shared" si="137"/>
        <v>0</v>
      </c>
      <c r="AJ237">
        <f t="shared" si="138"/>
        <v>0</v>
      </c>
      <c r="AK237">
        <f t="shared" si="139"/>
        <v>0</v>
      </c>
      <c r="AL237">
        <f t="shared" si="140"/>
        <v>0</v>
      </c>
      <c r="AM237">
        <f t="shared" si="141"/>
        <v>0</v>
      </c>
      <c r="AN237">
        <f t="shared" si="142"/>
        <v>0</v>
      </c>
      <c r="AO237">
        <f t="shared" si="143"/>
        <v>0</v>
      </c>
      <c r="AP237">
        <f t="shared" si="144"/>
        <v>0</v>
      </c>
      <c r="AQ237">
        <f t="shared" si="145"/>
        <v>0</v>
      </c>
    </row>
    <row r="238" spans="1:43" x14ac:dyDescent="0.45">
      <c r="A238" s="51">
        <v>35</v>
      </c>
      <c r="B238" s="51" t="s">
        <v>284</v>
      </c>
      <c r="C238" s="56" t="s">
        <v>105</v>
      </c>
      <c r="D238" s="50" t="s">
        <v>57</v>
      </c>
      <c r="E238" s="19">
        <v>3354.4707243928196</v>
      </c>
      <c r="F238">
        <f t="shared" si="122"/>
        <v>0</v>
      </c>
      <c r="G238">
        <f t="shared" si="123"/>
        <v>0</v>
      </c>
      <c r="H238">
        <f t="shared" si="124"/>
        <v>0</v>
      </c>
      <c r="I238">
        <f t="shared" si="125"/>
        <v>0</v>
      </c>
      <c r="J238">
        <f t="shared" si="126"/>
        <v>0</v>
      </c>
      <c r="K238">
        <f t="shared" si="127"/>
        <v>0</v>
      </c>
      <c r="L238">
        <f t="shared" si="128"/>
        <v>0</v>
      </c>
      <c r="M238">
        <f t="shared" si="129"/>
        <v>3354.4707243928196</v>
      </c>
      <c r="N238">
        <f t="shared" si="130"/>
        <v>0</v>
      </c>
      <c r="O238">
        <f t="shared" si="131"/>
        <v>0</v>
      </c>
      <c r="P238">
        <f t="shared" si="132"/>
        <v>0</v>
      </c>
      <c r="Q238">
        <f t="shared" si="133"/>
        <v>0</v>
      </c>
      <c r="S238">
        <f t="shared" si="147"/>
        <v>52</v>
      </c>
      <c r="T238">
        <f t="shared" si="148"/>
        <v>38</v>
      </c>
      <c r="U238">
        <f t="shared" si="149"/>
        <v>21</v>
      </c>
      <c r="V238">
        <f t="shared" si="150"/>
        <v>23</v>
      </c>
      <c r="W238">
        <f t="shared" si="151"/>
        <v>102</v>
      </c>
      <c r="X238">
        <f t="shared" si="152"/>
        <v>90</v>
      </c>
      <c r="Y238">
        <f t="shared" si="153"/>
        <v>34</v>
      </c>
      <c r="Z238">
        <f t="shared" si="154"/>
        <v>27</v>
      </c>
      <c r="AA238">
        <f t="shared" si="155"/>
        <v>4</v>
      </c>
      <c r="AB238">
        <f t="shared" si="156"/>
        <v>6</v>
      </c>
      <c r="AC238">
        <f t="shared" si="157"/>
        <v>130</v>
      </c>
      <c r="AD238">
        <f t="shared" si="158"/>
        <v>20</v>
      </c>
      <c r="AF238">
        <f t="shared" si="134"/>
        <v>0</v>
      </c>
      <c r="AG238">
        <f t="shared" si="135"/>
        <v>0</v>
      </c>
      <c r="AH238">
        <f t="shared" si="136"/>
        <v>0</v>
      </c>
      <c r="AI238">
        <f t="shared" si="137"/>
        <v>0</v>
      </c>
      <c r="AJ238">
        <f t="shared" si="138"/>
        <v>0</v>
      </c>
      <c r="AK238">
        <f t="shared" si="139"/>
        <v>0</v>
      </c>
      <c r="AL238">
        <f t="shared" si="140"/>
        <v>0</v>
      </c>
      <c r="AM238">
        <f t="shared" si="141"/>
        <v>0</v>
      </c>
      <c r="AN238">
        <f t="shared" si="142"/>
        <v>0</v>
      </c>
      <c r="AO238">
        <f t="shared" si="143"/>
        <v>0</v>
      </c>
      <c r="AP238">
        <f t="shared" si="144"/>
        <v>0</v>
      </c>
      <c r="AQ238">
        <f t="shared" si="145"/>
        <v>0</v>
      </c>
    </row>
    <row r="239" spans="1:43" x14ac:dyDescent="0.45">
      <c r="A239" s="51">
        <v>36</v>
      </c>
      <c r="B239" s="51" t="s">
        <v>284</v>
      </c>
      <c r="C239" s="56" t="s">
        <v>103</v>
      </c>
      <c r="D239" s="50" t="s">
        <v>57</v>
      </c>
      <c r="E239" s="19">
        <v>2840.7082828760649</v>
      </c>
      <c r="F239">
        <f t="shared" si="122"/>
        <v>0</v>
      </c>
      <c r="G239">
        <f t="shared" si="123"/>
        <v>0</v>
      </c>
      <c r="H239">
        <f t="shared" si="124"/>
        <v>0</v>
      </c>
      <c r="I239">
        <f t="shared" si="125"/>
        <v>0</v>
      </c>
      <c r="J239">
        <f t="shared" si="126"/>
        <v>0</v>
      </c>
      <c r="K239">
        <f t="shared" si="127"/>
        <v>0</v>
      </c>
      <c r="L239">
        <f t="shared" si="128"/>
        <v>0</v>
      </c>
      <c r="M239">
        <f t="shared" si="129"/>
        <v>2840.7082828760649</v>
      </c>
      <c r="N239">
        <f t="shared" si="130"/>
        <v>0</v>
      </c>
      <c r="O239">
        <f t="shared" si="131"/>
        <v>0</v>
      </c>
      <c r="P239">
        <f t="shared" si="132"/>
        <v>0</v>
      </c>
      <c r="Q239">
        <f t="shared" si="133"/>
        <v>0</v>
      </c>
      <c r="S239">
        <f t="shared" si="147"/>
        <v>52</v>
      </c>
      <c r="T239">
        <f t="shared" si="148"/>
        <v>38</v>
      </c>
      <c r="U239">
        <f t="shared" si="149"/>
        <v>21</v>
      </c>
      <c r="V239">
        <f t="shared" si="150"/>
        <v>23</v>
      </c>
      <c r="W239">
        <f t="shared" si="151"/>
        <v>102</v>
      </c>
      <c r="X239">
        <f t="shared" si="152"/>
        <v>90</v>
      </c>
      <c r="Y239">
        <f t="shared" si="153"/>
        <v>34</v>
      </c>
      <c r="Z239">
        <f t="shared" si="154"/>
        <v>26</v>
      </c>
      <c r="AA239">
        <f t="shared" si="155"/>
        <v>4</v>
      </c>
      <c r="AB239">
        <f t="shared" si="156"/>
        <v>6</v>
      </c>
      <c r="AC239">
        <f t="shared" si="157"/>
        <v>130</v>
      </c>
      <c r="AD239">
        <f t="shared" si="158"/>
        <v>20</v>
      </c>
      <c r="AF239">
        <f t="shared" si="134"/>
        <v>0</v>
      </c>
      <c r="AG239">
        <f t="shared" si="135"/>
        <v>0</v>
      </c>
      <c r="AH239">
        <f t="shared" si="136"/>
        <v>0</v>
      </c>
      <c r="AI239">
        <f t="shared" si="137"/>
        <v>0</v>
      </c>
      <c r="AJ239">
        <f t="shared" si="138"/>
        <v>0</v>
      </c>
      <c r="AK239">
        <f t="shared" si="139"/>
        <v>0</v>
      </c>
      <c r="AL239">
        <f t="shared" si="140"/>
        <v>0</v>
      </c>
      <c r="AM239">
        <f t="shared" si="141"/>
        <v>0</v>
      </c>
      <c r="AN239">
        <f t="shared" si="142"/>
        <v>0</v>
      </c>
      <c r="AO239">
        <f t="shared" si="143"/>
        <v>0</v>
      </c>
      <c r="AP239">
        <f t="shared" si="144"/>
        <v>0</v>
      </c>
      <c r="AQ239">
        <f t="shared" si="145"/>
        <v>0</v>
      </c>
    </row>
    <row r="240" spans="1:43" x14ac:dyDescent="0.45">
      <c r="A240" s="51">
        <v>37</v>
      </c>
      <c r="B240" s="51" t="s">
        <v>284</v>
      </c>
      <c r="C240" s="56" t="s">
        <v>285</v>
      </c>
      <c r="D240" s="50" t="s">
        <v>280</v>
      </c>
      <c r="E240" s="19">
        <v>3510.0397660178851</v>
      </c>
      <c r="F240">
        <f t="shared" si="122"/>
        <v>0</v>
      </c>
      <c r="G240">
        <f t="shared" si="123"/>
        <v>0</v>
      </c>
      <c r="H240">
        <f t="shared" si="124"/>
        <v>0</v>
      </c>
      <c r="I240">
        <f t="shared" si="125"/>
        <v>0</v>
      </c>
      <c r="J240">
        <f t="shared" si="126"/>
        <v>0</v>
      </c>
      <c r="K240">
        <f t="shared" si="127"/>
        <v>0</v>
      </c>
      <c r="L240">
        <f t="shared" si="128"/>
        <v>0</v>
      </c>
      <c r="M240">
        <f t="shared" si="129"/>
        <v>0</v>
      </c>
      <c r="N240">
        <f t="shared" si="130"/>
        <v>0</v>
      </c>
      <c r="O240">
        <f t="shared" si="131"/>
        <v>0</v>
      </c>
      <c r="P240">
        <f t="shared" si="132"/>
        <v>0</v>
      </c>
      <c r="Q240">
        <f t="shared" si="133"/>
        <v>0</v>
      </c>
      <c r="S240">
        <f t="shared" si="147"/>
        <v>52</v>
      </c>
      <c r="T240">
        <f t="shared" si="148"/>
        <v>38</v>
      </c>
      <c r="U240">
        <f t="shared" si="149"/>
        <v>21</v>
      </c>
      <c r="V240">
        <f t="shared" si="150"/>
        <v>23</v>
      </c>
      <c r="W240">
        <f t="shared" si="151"/>
        <v>102</v>
      </c>
      <c r="X240">
        <f t="shared" si="152"/>
        <v>90</v>
      </c>
      <c r="Y240">
        <f t="shared" si="153"/>
        <v>34</v>
      </c>
      <c r="Z240">
        <f t="shared" si="154"/>
        <v>25</v>
      </c>
      <c r="AA240">
        <f t="shared" si="155"/>
        <v>4</v>
      </c>
      <c r="AB240">
        <f t="shared" si="156"/>
        <v>6</v>
      </c>
      <c r="AC240">
        <f t="shared" si="157"/>
        <v>130</v>
      </c>
      <c r="AD240">
        <f t="shared" si="158"/>
        <v>20</v>
      </c>
      <c r="AF240">
        <f t="shared" si="134"/>
        <v>0</v>
      </c>
      <c r="AG240">
        <f t="shared" si="135"/>
        <v>0</v>
      </c>
      <c r="AH240">
        <f t="shared" si="136"/>
        <v>0</v>
      </c>
      <c r="AI240">
        <f t="shared" si="137"/>
        <v>0</v>
      </c>
      <c r="AJ240">
        <f t="shared" si="138"/>
        <v>0</v>
      </c>
      <c r="AK240">
        <f t="shared" si="139"/>
        <v>0</v>
      </c>
      <c r="AL240">
        <f t="shared" si="140"/>
        <v>0</v>
      </c>
      <c r="AM240">
        <f t="shared" si="141"/>
        <v>0</v>
      </c>
      <c r="AN240">
        <f t="shared" si="142"/>
        <v>0</v>
      </c>
      <c r="AO240">
        <f t="shared" si="143"/>
        <v>0</v>
      </c>
      <c r="AP240">
        <f t="shared" si="144"/>
        <v>0</v>
      </c>
      <c r="AQ240">
        <f t="shared" si="145"/>
        <v>0</v>
      </c>
    </row>
    <row r="241" spans="1:43" x14ac:dyDescent="0.35">
      <c r="A241" s="51">
        <v>38</v>
      </c>
      <c r="B241" s="51" t="s">
        <v>286</v>
      </c>
      <c r="C241" s="62" t="s">
        <v>104</v>
      </c>
      <c r="D241" s="51" t="s">
        <v>228</v>
      </c>
      <c r="E241" s="19">
        <v>2780.2793641327175</v>
      </c>
      <c r="F241">
        <f t="shared" si="122"/>
        <v>0</v>
      </c>
      <c r="G241">
        <f t="shared" si="123"/>
        <v>0</v>
      </c>
      <c r="H241">
        <f t="shared" si="124"/>
        <v>0</v>
      </c>
      <c r="I241">
        <f t="shared" si="125"/>
        <v>0</v>
      </c>
      <c r="J241">
        <f t="shared" si="126"/>
        <v>0</v>
      </c>
      <c r="K241">
        <f t="shared" si="127"/>
        <v>0</v>
      </c>
      <c r="L241">
        <f t="shared" si="128"/>
        <v>0</v>
      </c>
      <c r="M241">
        <f t="shared" si="129"/>
        <v>0</v>
      </c>
      <c r="N241">
        <f t="shared" si="130"/>
        <v>0</v>
      </c>
      <c r="O241">
        <f t="shared" si="131"/>
        <v>0</v>
      </c>
      <c r="P241">
        <f t="shared" si="132"/>
        <v>2780.2793641327175</v>
      </c>
      <c r="Q241">
        <f t="shared" si="133"/>
        <v>0</v>
      </c>
      <c r="S241">
        <f t="shared" si="147"/>
        <v>52</v>
      </c>
      <c r="T241">
        <f t="shared" si="148"/>
        <v>38</v>
      </c>
      <c r="U241">
        <f t="shared" si="149"/>
        <v>21</v>
      </c>
      <c r="V241">
        <f t="shared" si="150"/>
        <v>23</v>
      </c>
      <c r="W241">
        <f t="shared" si="151"/>
        <v>102</v>
      </c>
      <c r="X241">
        <f t="shared" si="152"/>
        <v>90</v>
      </c>
      <c r="Y241">
        <f t="shared" si="153"/>
        <v>34</v>
      </c>
      <c r="Z241">
        <f t="shared" si="154"/>
        <v>25</v>
      </c>
      <c r="AA241">
        <f t="shared" si="155"/>
        <v>4</v>
      </c>
      <c r="AB241">
        <f t="shared" si="156"/>
        <v>6</v>
      </c>
      <c r="AC241">
        <f t="shared" si="157"/>
        <v>130</v>
      </c>
      <c r="AD241">
        <f t="shared" si="158"/>
        <v>20</v>
      </c>
      <c r="AF241">
        <f t="shared" si="134"/>
        <v>0</v>
      </c>
      <c r="AG241">
        <f t="shared" si="135"/>
        <v>0</v>
      </c>
      <c r="AH241">
        <f t="shared" si="136"/>
        <v>0</v>
      </c>
      <c r="AI241">
        <f t="shared" si="137"/>
        <v>0</v>
      </c>
      <c r="AJ241">
        <f t="shared" si="138"/>
        <v>0</v>
      </c>
      <c r="AK241">
        <f t="shared" si="139"/>
        <v>0</v>
      </c>
      <c r="AL241">
        <f t="shared" si="140"/>
        <v>0</v>
      </c>
      <c r="AM241">
        <f t="shared" si="141"/>
        <v>0</v>
      </c>
      <c r="AN241">
        <f t="shared" si="142"/>
        <v>0</v>
      </c>
      <c r="AO241">
        <f t="shared" si="143"/>
        <v>0</v>
      </c>
      <c r="AP241">
        <f t="shared" si="144"/>
        <v>0</v>
      </c>
      <c r="AQ241">
        <f t="shared" si="145"/>
        <v>0</v>
      </c>
    </row>
    <row r="242" spans="1:43" x14ac:dyDescent="0.45">
      <c r="A242" s="51">
        <v>39</v>
      </c>
      <c r="B242" s="51" t="s">
        <v>286</v>
      </c>
      <c r="C242" s="56" t="s">
        <v>108</v>
      </c>
      <c r="D242" s="50" t="s">
        <v>80</v>
      </c>
      <c r="E242" s="19">
        <v>3030.1541477303704</v>
      </c>
      <c r="F242">
        <f t="shared" si="122"/>
        <v>0</v>
      </c>
      <c r="G242">
        <f t="shared" si="123"/>
        <v>0</v>
      </c>
      <c r="H242">
        <f t="shared" si="124"/>
        <v>3030.1541477303704</v>
      </c>
      <c r="I242">
        <f t="shared" si="125"/>
        <v>0</v>
      </c>
      <c r="J242">
        <f t="shared" si="126"/>
        <v>0</v>
      </c>
      <c r="K242">
        <f t="shared" si="127"/>
        <v>0</v>
      </c>
      <c r="L242">
        <f t="shared" si="128"/>
        <v>0</v>
      </c>
      <c r="M242">
        <f t="shared" si="129"/>
        <v>0</v>
      </c>
      <c r="N242">
        <f t="shared" si="130"/>
        <v>0</v>
      </c>
      <c r="O242">
        <f t="shared" si="131"/>
        <v>0</v>
      </c>
      <c r="P242">
        <f t="shared" si="132"/>
        <v>0</v>
      </c>
      <c r="Q242">
        <f t="shared" si="133"/>
        <v>0</v>
      </c>
      <c r="S242">
        <f t="shared" si="147"/>
        <v>52</v>
      </c>
      <c r="T242">
        <f t="shared" si="148"/>
        <v>38</v>
      </c>
      <c r="U242">
        <f t="shared" si="149"/>
        <v>21</v>
      </c>
      <c r="V242">
        <f t="shared" si="150"/>
        <v>23</v>
      </c>
      <c r="W242">
        <f t="shared" si="151"/>
        <v>102</v>
      </c>
      <c r="X242">
        <f t="shared" si="152"/>
        <v>90</v>
      </c>
      <c r="Y242">
        <f t="shared" si="153"/>
        <v>34</v>
      </c>
      <c r="Z242">
        <f t="shared" si="154"/>
        <v>25</v>
      </c>
      <c r="AA242">
        <f t="shared" si="155"/>
        <v>4</v>
      </c>
      <c r="AB242">
        <f t="shared" si="156"/>
        <v>6</v>
      </c>
      <c r="AC242">
        <f t="shared" si="157"/>
        <v>129</v>
      </c>
      <c r="AD242">
        <f t="shared" si="158"/>
        <v>20</v>
      </c>
      <c r="AF242">
        <f t="shared" si="134"/>
        <v>0</v>
      </c>
      <c r="AG242">
        <f t="shared" si="135"/>
        <v>0</v>
      </c>
      <c r="AH242">
        <f t="shared" si="136"/>
        <v>0</v>
      </c>
      <c r="AI242">
        <f t="shared" si="137"/>
        <v>0</v>
      </c>
      <c r="AJ242">
        <f t="shared" si="138"/>
        <v>0</v>
      </c>
      <c r="AK242">
        <f t="shared" si="139"/>
        <v>0</v>
      </c>
      <c r="AL242">
        <f t="shared" si="140"/>
        <v>0</v>
      </c>
      <c r="AM242">
        <f t="shared" si="141"/>
        <v>0</v>
      </c>
      <c r="AN242">
        <f t="shared" si="142"/>
        <v>0</v>
      </c>
      <c r="AO242">
        <f t="shared" si="143"/>
        <v>0</v>
      </c>
      <c r="AP242">
        <f t="shared" si="144"/>
        <v>0</v>
      </c>
      <c r="AQ242">
        <f t="shared" si="145"/>
        <v>0</v>
      </c>
    </row>
    <row r="243" spans="1:43" x14ac:dyDescent="0.45">
      <c r="A243" s="51">
        <v>40</v>
      </c>
      <c r="B243" s="51" t="s">
        <v>286</v>
      </c>
      <c r="C243" s="56" t="s">
        <v>107</v>
      </c>
      <c r="D243" s="50" t="s">
        <v>222</v>
      </c>
      <c r="E243" s="19">
        <v>2798.6832344143577</v>
      </c>
      <c r="F243">
        <f t="shared" si="122"/>
        <v>0</v>
      </c>
      <c r="G243">
        <f t="shared" si="123"/>
        <v>0</v>
      </c>
      <c r="H243">
        <f t="shared" si="124"/>
        <v>0</v>
      </c>
      <c r="I243">
        <f t="shared" si="125"/>
        <v>0</v>
      </c>
      <c r="J243">
        <f t="shared" si="126"/>
        <v>0</v>
      </c>
      <c r="K243">
        <f t="shared" si="127"/>
        <v>0</v>
      </c>
      <c r="L243">
        <f t="shared" si="128"/>
        <v>0</v>
      </c>
      <c r="M243">
        <f t="shared" si="129"/>
        <v>0</v>
      </c>
      <c r="N243">
        <f t="shared" si="130"/>
        <v>0</v>
      </c>
      <c r="O243">
        <f t="shared" si="131"/>
        <v>0</v>
      </c>
      <c r="P243">
        <f t="shared" si="132"/>
        <v>0</v>
      </c>
      <c r="Q243">
        <f t="shared" si="133"/>
        <v>2798.6832344143577</v>
      </c>
      <c r="S243">
        <f t="shared" si="147"/>
        <v>52</v>
      </c>
      <c r="T243">
        <f t="shared" si="148"/>
        <v>38</v>
      </c>
      <c r="U243">
        <f t="shared" si="149"/>
        <v>20</v>
      </c>
      <c r="V243">
        <f t="shared" si="150"/>
        <v>23</v>
      </c>
      <c r="W243">
        <f t="shared" si="151"/>
        <v>102</v>
      </c>
      <c r="X243">
        <f t="shared" si="152"/>
        <v>90</v>
      </c>
      <c r="Y243">
        <f t="shared" si="153"/>
        <v>34</v>
      </c>
      <c r="Z243">
        <f t="shared" si="154"/>
        <v>25</v>
      </c>
      <c r="AA243">
        <f t="shared" si="155"/>
        <v>4</v>
      </c>
      <c r="AB243">
        <f t="shared" si="156"/>
        <v>6</v>
      </c>
      <c r="AC243">
        <f t="shared" si="157"/>
        <v>129</v>
      </c>
      <c r="AD243">
        <f t="shared" si="158"/>
        <v>20</v>
      </c>
      <c r="AF243">
        <f t="shared" si="134"/>
        <v>0</v>
      </c>
      <c r="AG243">
        <f t="shared" si="135"/>
        <v>0</v>
      </c>
      <c r="AH243">
        <f t="shared" si="136"/>
        <v>0</v>
      </c>
      <c r="AI243">
        <f t="shared" si="137"/>
        <v>0</v>
      </c>
      <c r="AJ243">
        <f t="shared" si="138"/>
        <v>0</v>
      </c>
      <c r="AK243">
        <f t="shared" si="139"/>
        <v>0</v>
      </c>
      <c r="AL243">
        <f t="shared" si="140"/>
        <v>0</v>
      </c>
      <c r="AM243">
        <f t="shared" si="141"/>
        <v>0</v>
      </c>
      <c r="AN243">
        <f t="shared" si="142"/>
        <v>0</v>
      </c>
      <c r="AO243">
        <f t="shared" si="143"/>
        <v>0</v>
      </c>
      <c r="AP243">
        <f t="shared" si="144"/>
        <v>0</v>
      </c>
      <c r="AQ243">
        <f t="shared" si="145"/>
        <v>0</v>
      </c>
    </row>
    <row r="244" spans="1:43" x14ac:dyDescent="0.35">
      <c r="A244" s="51">
        <v>41</v>
      </c>
      <c r="B244" s="51" t="s">
        <v>287</v>
      </c>
      <c r="C244" s="62" t="s">
        <v>109</v>
      </c>
      <c r="D244" s="51" t="s">
        <v>222</v>
      </c>
      <c r="E244" s="19">
        <v>3171.5515737656592</v>
      </c>
      <c r="F244">
        <f t="shared" si="122"/>
        <v>0</v>
      </c>
      <c r="G244">
        <f t="shared" si="123"/>
        <v>0</v>
      </c>
      <c r="H244">
        <f t="shared" si="124"/>
        <v>0</v>
      </c>
      <c r="I244">
        <f t="shared" si="125"/>
        <v>0</v>
      </c>
      <c r="J244">
        <f t="shared" si="126"/>
        <v>0</v>
      </c>
      <c r="K244">
        <f t="shared" si="127"/>
        <v>0</v>
      </c>
      <c r="L244">
        <f t="shared" si="128"/>
        <v>0</v>
      </c>
      <c r="M244">
        <f t="shared" si="129"/>
        <v>0</v>
      </c>
      <c r="N244">
        <f t="shared" si="130"/>
        <v>0</v>
      </c>
      <c r="O244">
        <f t="shared" si="131"/>
        <v>0</v>
      </c>
      <c r="P244">
        <f t="shared" si="132"/>
        <v>0</v>
      </c>
      <c r="Q244">
        <f t="shared" si="133"/>
        <v>3171.5515737656592</v>
      </c>
      <c r="S244">
        <f t="shared" si="147"/>
        <v>52</v>
      </c>
      <c r="T244">
        <f t="shared" si="148"/>
        <v>38</v>
      </c>
      <c r="U244">
        <f t="shared" si="149"/>
        <v>20</v>
      </c>
      <c r="V244">
        <f t="shared" si="150"/>
        <v>23</v>
      </c>
      <c r="W244">
        <f t="shared" si="151"/>
        <v>102</v>
      </c>
      <c r="X244">
        <f t="shared" si="152"/>
        <v>90</v>
      </c>
      <c r="Y244">
        <f t="shared" si="153"/>
        <v>34</v>
      </c>
      <c r="Z244">
        <f t="shared" si="154"/>
        <v>25</v>
      </c>
      <c r="AA244">
        <f t="shared" si="155"/>
        <v>4</v>
      </c>
      <c r="AB244">
        <f t="shared" si="156"/>
        <v>6</v>
      </c>
      <c r="AC244">
        <f t="shared" si="157"/>
        <v>129</v>
      </c>
      <c r="AD244">
        <f t="shared" si="158"/>
        <v>19</v>
      </c>
      <c r="AF244">
        <f t="shared" si="134"/>
        <v>0</v>
      </c>
      <c r="AG244">
        <f t="shared" si="135"/>
        <v>0</v>
      </c>
      <c r="AH244">
        <f t="shared" si="136"/>
        <v>0</v>
      </c>
      <c r="AI244">
        <f t="shared" si="137"/>
        <v>0</v>
      </c>
      <c r="AJ244">
        <f t="shared" si="138"/>
        <v>0</v>
      </c>
      <c r="AK244">
        <f t="shared" si="139"/>
        <v>0</v>
      </c>
      <c r="AL244">
        <f t="shared" si="140"/>
        <v>0</v>
      </c>
      <c r="AM244">
        <f t="shared" si="141"/>
        <v>0</v>
      </c>
      <c r="AN244">
        <f t="shared" si="142"/>
        <v>0</v>
      </c>
      <c r="AO244">
        <f t="shared" si="143"/>
        <v>0</v>
      </c>
      <c r="AP244">
        <f t="shared" si="144"/>
        <v>0</v>
      </c>
      <c r="AQ244">
        <f t="shared" si="145"/>
        <v>0</v>
      </c>
    </row>
    <row r="245" spans="1:43" x14ac:dyDescent="0.45">
      <c r="A245" s="51">
        <v>42</v>
      </c>
      <c r="B245" s="51" t="s">
        <v>287</v>
      </c>
      <c r="C245" s="56" t="s">
        <v>111</v>
      </c>
      <c r="D245" s="50" t="s">
        <v>94</v>
      </c>
      <c r="E245" s="19">
        <v>3317.7797436436222</v>
      </c>
      <c r="F245">
        <f t="shared" si="122"/>
        <v>0</v>
      </c>
      <c r="G245">
        <f t="shared" si="123"/>
        <v>0</v>
      </c>
      <c r="H245">
        <f t="shared" si="124"/>
        <v>0</v>
      </c>
      <c r="I245">
        <f t="shared" si="125"/>
        <v>0</v>
      </c>
      <c r="J245">
        <f t="shared" si="126"/>
        <v>0</v>
      </c>
      <c r="K245">
        <f t="shared" si="127"/>
        <v>0</v>
      </c>
      <c r="L245">
        <f t="shared" si="128"/>
        <v>3317.7797436436222</v>
      </c>
      <c r="M245">
        <f t="shared" si="129"/>
        <v>0</v>
      </c>
      <c r="N245">
        <f t="shared" si="130"/>
        <v>0</v>
      </c>
      <c r="O245">
        <f t="shared" si="131"/>
        <v>0</v>
      </c>
      <c r="P245">
        <f t="shared" si="132"/>
        <v>0</v>
      </c>
      <c r="Q245">
        <f t="shared" si="133"/>
        <v>0</v>
      </c>
      <c r="S245">
        <f t="shared" si="147"/>
        <v>52</v>
      </c>
      <c r="T245">
        <f t="shared" si="148"/>
        <v>38</v>
      </c>
      <c r="U245">
        <f t="shared" si="149"/>
        <v>20</v>
      </c>
      <c r="V245">
        <f t="shared" si="150"/>
        <v>23</v>
      </c>
      <c r="W245">
        <f t="shared" si="151"/>
        <v>102</v>
      </c>
      <c r="X245">
        <f t="shared" si="152"/>
        <v>90</v>
      </c>
      <c r="Y245">
        <f t="shared" si="153"/>
        <v>34</v>
      </c>
      <c r="Z245">
        <f t="shared" si="154"/>
        <v>25</v>
      </c>
      <c r="AA245">
        <f t="shared" si="155"/>
        <v>4</v>
      </c>
      <c r="AB245">
        <f t="shared" si="156"/>
        <v>6</v>
      </c>
      <c r="AC245">
        <f t="shared" si="157"/>
        <v>129</v>
      </c>
      <c r="AD245">
        <f t="shared" si="158"/>
        <v>18</v>
      </c>
      <c r="AF245">
        <f t="shared" si="134"/>
        <v>0</v>
      </c>
      <c r="AG245">
        <f t="shared" si="135"/>
        <v>0</v>
      </c>
      <c r="AH245">
        <f t="shared" si="136"/>
        <v>0</v>
      </c>
      <c r="AI245">
        <f t="shared" si="137"/>
        <v>0</v>
      </c>
      <c r="AJ245">
        <f t="shared" si="138"/>
        <v>0</v>
      </c>
      <c r="AK245">
        <f t="shared" si="139"/>
        <v>0</v>
      </c>
      <c r="AL245">
        <f t="shared" si="140"/>
        <v>0</v>
      </c>
      <c r="AM245">
        <f t="shared" si="141"/>
        <v>0</v>
      </c>
      <c r="AN245">
        <f t="shared" si="142"/>
        <v>0</v>
      </c>
      <c r="AO245">
        <f t="shared" si="143"/>
        <v>0</v>
      </c>
      <c r="AP245">
        <f t="shared" si="144"/>
        <v>0</v>
      </c>
      <c r="AQ245">
        <f t="shared" si="145"/>
        <v>0</v>
      </c>
    </row>
    <row r="246" spans="1:43" x14ac:dyDescent="0.35">
      <c r="A246" s="51">
        <v>43</v>
      </c>
      <c r="B246" s="51" t="s">
        <v>288</v>
      </c>
      <c r="C246" s="62" t="s">
        <v>112</v>
      </c>
      <c r="D246" s="51" t="s">
        <v>222</v>
      </c>
      <c r="E246" s="45">
        <v>2617.0358972307044</v>
      </c>
      <c r="F246">
        <f t="shared" si="122"/>
        <v>0</v>
      </c>
      <c r="G246">
        <f t="shared" si="123"/>
        <v>0</v>
      </c>
      <c r="H246">
        <f t="shared" si="124"/>
        <v>0</v>
      </c>
      <c r="I246">
        <f t="shared" si="125"/>
        <v>0</v>
      </c>
      <c r="J246">
        <f t="shared" si="126"/>
        <v>0</v>
      </c>
      <c r="K246">
        <f t="shared" si="127"/>
        <v>0</v>
      </c>
      <c r="L246">
        <f t="shared" si="128"/>
        <v>0</v>
      </c>
      <c r="M246">
        <f t="shared" si="129"/>
        <v>0</v>
      </c>
      <c r="N246">
        <f t="shared" si="130"/>
        <v>0</v>
      </c>
      <c r="O246">
        <f t="shared" si="131"/>
        <v>0</v>
      </c>
      <c r="P246">
        <f t="shared" si="132"/>
        <v>0</v>
      </c>
      <c r="Q246">
        <f t="shared" si="133"/>
        <v>2617.0358972307044</v>
      </c>
      <c r="S246">
        <f t="shared" si="147"/>
        <v>52</v>
      </c>
      <c r="T246">
        <f t="shared" si="148"/>
        <v>38</v>
      </c>
      <c r="U246">
        <f t="shared" si="149"/>
        <v>20</v>
      </c>
      <c r="V246">
        <f t="shared" si="150"/>
        <v>23</v>
      </c>
      <c r="W246">
        <f t="shared" si="151"/>
        <v>102</v>
      </c>
      <c r="X246">
        <f t="shared" si="152"/>
        <v>90</v>
      </c>
      <c r="Y246">
        <f t="shared" si="153"/>
        <v>33</v>
      </c>
      <c r="Z246">
        <f t="shared" si="154"/>
        <v>25</v>
      </c>
      <c r="AA246">
        <f t="shared" si="155"/>
        <v>4</v>
      </c>
      <c r="AB246">
        <f t="shared" si="156"/>
        <v>6</v>
      </c>
      <c r="AC246">
        <f t="shared" si="157"/>
        <v>129</v>
      </c>
      <c r="AD246">
        <f t="shared" si="158"/>
        <v>18</v>
      </c>
      <c r="AF246">
        <f t="shared" si="134"/>
        <v>0</v>
      </c>
      <c r="AG246">
        <f t="shared" si="135"/>
        <v>0</v>
      </c>
      <c r="AH246">
        <f t="shared" si="136"/>
        <v>0</v>
      </c>
      <c r="AI246">
        <f t="shared" si="137"/>
        <v>0</v>
      </c>
      <c r="AJ246">
        <f t="shared" si="138"/>
        <v>0</v>
      </c>
      <c r="AK246">
        <f t="shared" si="139"/>
        <v>0</v>
      </c>
      <c r="AL246">
        <f t="shared" si="140"/>
        <v>0</v>
      </c>
      <c r="AM246">
        <f t="shared" si="141"/>
        <v>0</v>
      </c>
      <c r="AN246">
        <f t="shared" si="142"/>
        <v>0</v>
      </c>
      <c r="AO246">
        <f t="shared" si="143"/>
        <v>0</v>
      </c>
      <c r="AP246">
        <f t="shared" si="144"/>
        <v>0</v>
      </c>
      <c r="AQ246">
        <f t="shared" si="145"/>
        <v>0</v>
      </c>
    </row>
    <row r="247" spans="1:43" x14ac:dyDescent="0.45">
      <c r="A247" s="51">
        <v>44</v>
      </c>
      <c r="B247" s="51" t="s">
        <v>288</v>
      </c>
      <c r="C247" s="56" t="s">
        <v>113</v>
      </c>
      <c r="D247" s="50" t="s">
        <v>57</v>
      </c>
      <c r="E247" s="19">
        <v>3180.6532312460736</v>
      </c>
      <c r="F247">
        <f t="shared" si="122"/>
        <v>0</v>
      </c>
      <c r="G247">
        <f t="shared" si="123"/>
        <v>0</v>
      </c>
      <c r="H247">
        <f t="shared" si="124"/>
        <v>0</v>
      </c>
      <c r="I247">
        <f t="shared" si="125"/>
        <v>0</v>
      </c>
      <c r="J247">
        <f t="shared" si="126"/>
        <v>0</v>
      </c>
      <c r="K247">
        <f t="shared" si="127"/>
        <v>0</v>
      </c>
      <c r="L247">
        <f t="shared" si="128"/>
        <v>0</v>
      </c>
      <c r="M247">
        <f t="shared" si="129"/>
        <v>3180.6532312460736</v>
      </c>
      <c r="N247">
        <f t="shared" si="130"/>
        <v>0</v>
      </c>
      <c r="O247">
        <f t="shared" si="131"/>
        <v>0</v>
      </c>
      <c r="P247">
        <f t="shared" si="132"/>
        <v>0</v>
      </c>
      <c r="Q247">
        <f t="shared" si="133"/>
        <v>0</v>
      </c>
      <c r="S247">
        <f t="shared" si="147"/>
        <v>52</v>
      </c>
      <c r="T247">
        <f t="shared" si="148"/>
        <v>38</v>
      </c>
      <c r="U247">
        <f t="shared" si="149"/>
        <v>20</v>
      </c>
      <c r="V247">
        <f t="shared" si="150"/>
        <v>23</v>
      </c>
      <c r="W247">
        <f t="shared" si="151"/>
        <v>102</v>
      </c>
      <c r="X247">
        <f t="shared" si="152"/>
        <v>90</v>
      </c>
      <c r="Y247">
        <f t="shared" si="153"/>
        <v>33</v>
      </c>
      <c r="Z247">
        <f t="shared" si="154"/>
        <v>25</v>
      </c>
      <c r="AA247">
        <f t="shared" si="155"/>
        <v>4</v>
      </c>
      <c r="AB247">
        <f t="shared" si="156"/>
        <v>6</v>
      </c>
      <c r="AC247">
        <f t="shared" si="157"/>
        <v>129</v>
      </c>
      <c r="AD247">
        <f t="shared" si="158"/>
        <v>17</v>
      </c>
      <c r="AF247">
        <f t="shared" si="134"/>
        <v>0</v>
      </c>
      <c r="AG247">
        <f t="shared" si="135"/>
        <v>0</v>
      </c>
      <c r="AH247">
        <f t="shared" si="136"/>
        <v>0</v>
      </c>
      <c r="AI247">
        <f t="shared" si="137"/>
        <v>0</v>
      </c>
      <c r="AJ247">
        <f t="shared" si="138"/>
        <v>0</v>
      </c>
      <c r="AK247">
        <f t="shared" si="139"/>
        <v>0</v>
      </c>
      <c r="AL247">
        <f t="shared" si="140"/>
        <v>0</v>
      </c>
      <c r="AM247">
        <f t="shared" si="141"/>
        <v>0</v>
      </c>
      <c r="AN247">
        <f t="shared" si="142"/>
        <v>0</v>
      </c>
      <c r="AO247">
        <f t="shared" si="143"/>
        <v>0</v>
      </c>
      <c r="AP247">
        <f t="shared" si="144"/>
        <v>0</v>
      </c>
      <c r="AQ247">
        <f t="shared" si="145"/>
        <v>0</v>
      </c>
    </row>
    <row r="248" spans="1:43" x14ac:dyDescent="0.45">
      <c r="A248" s="51">
        <v>45</v>
      </c>
      <c r="B248" s="51" t="s">
        <v>288</v>
      </c>
      <c r="C248" s="56" t="s">
        <v>115</v>
      </c>
      <c r="D248" s="50" t="s">
        <v>67</v>
      </c>
      <c r="E248" s="19">
        <v>3271.7611623246494</v>
      </c>
      <c r="F248">
        <f t="shared" si="122"/>
        <v>0</v>
      </c>
      <c r="G248">
        <f t="shared" si="123"/>
        <v>0</v>
      </c>
      <c r="H248">
        <f t="shared" si="124"/>
        <v>0</v>
      </c>
      <c r="I248">
        <f t="shared" si="125"/>
        <v>3271.7611623246494</v>
      </c>
      <c r="J248">
        <f t="shared" si="126"/>
        <v>0</v>
      </c>
      <c r="K248">
        <f t="shared" si="127"/>
        <v>0</v>
      </c>
      <c r="L248">
        <f t="shared" si="128"/>
        <v>0</v>
      </c>
      <c r="M248">
        <f t="shared" si="129"/>
        <v>0</v>
      </c>
      <c r="N248">
        <f t="shared" si="130"/>
        <v>0</v>
      </c>
      <c r="O248">
        <f t="shared" si="131"/>
        <v>0</v>
      </c>
      <c r="P248">
        <f t="shared" si="132"/>
        <v>0</v>
      </c>
      <c r="Q248">
        <f t="shared" si="133"/>
        <v>0</v>
      </c>
      <c r="S248">
        <f t="shared" ref="S248:AD248" si="159">IF(F248&gt;0,1,0)+S250</f>
        <v>52</v>
      </c>
      <c r="T248">
        <f t="shared" si="159"/>
        <v>38</v>
      </c>
      <c r="U248">
        <f t="shared" si="159"/>
        <v>20</v>
      </c>
      <c r="V248">
        <f t="shared" si="159"/>
        <v>23</v>
      </c>
      <c r="W248">
        <f t="shared" si="159"/>
        <v>102</v>
      </c>
      <c r="X248">
        <f t="shared" si="159"/>
        <v>90</v>
      </c>
      <c r="Y248">
        <f t="shared" si="159"/>
        <v>33</v>
      </c>
      <c r="Z248">
        <f t="shared" si="159"/>
        <v>24</v>
      </c>
      <c r="AA248">
        <f t="shared" si="159"/>
        <v>4</v>
      </c>
      <c r="AB248">
        <f t="shared" si="159"/>
        <v>6</v>
      </c>
      <c r="AC248">
        <f t="shared" si="159"/>
        <v>129</v>
      </c>
      <c r="AD248">
        <f t="shared" si="159"/>
        <v>17</v>
      </c>
      <c r="AF248">
        <f t="shared" si="134"/>
        <v>0</v>
      </c>
      <c r="AG248">
        <f t="shared" si="135"/>
        <v>0</v>
      </c>
      <c r="AH248">
        <f t="shared" si="136"/>
        <v>0</v>
      </c>
      <c r="AI248">
        <f t="shared" si="137"/>
        <v>0</v>
      </c>
      <c r="AJ248">
        <f t="shared" si="138"/>
        <v>0</v>
      </c>
      <c r="AK248">
        <f t="shared" si="139"/>
        <v>0</v>
      </c>
      <c r="AL248">
        <f t="shared" si="140"/>
        <v>0</v>
      </c>
      <c r="AM248">
        <f t="shared" si="141"/>
        <v>0</v>
      </c>
      <c r="AN248">
        <f t="shared" si="142"/>
        <v>0</v>
      </c>
      <c r="AO248">
        <f t="shared" si="143"/>
        <v>0</v>
      </c>
      <c r="AP248">
        <f t="shared" si="144"/>
        <v>0</v>
      </c>
      <c r="AQ248">
        <f t="shared" si="145"/>
        <v>0</v>
      </c>
    </row>
    <row r="249" spans="1:43" x14ac:dyDescent="0.45">
      <c r="A249" s="51">
        <v>46</v>
      </c>
      <c r="B249" s="51" t="s">
        <v>288</v>
      </c>
      <c r="C249" s="56" t="s">
        <v>283</v>
      </c>
      <c r="D249" s="50" t="s">
        <v>280</v>
      </c>
      <c r="E249" s="19">
        <v>3433.4132722466961</v>
      </c>
    </row>
    <row r="250" spans="1:43" x14ac:dyDescent="0.35">
      <c r="A250" s="51">
        <v>47</v>
      </c>
      <c r="B250" s="51" t="s">
        <v>289</v>
      </c>
      <c r="C250" s="62" t="s">
        <v>116</v>
      </c>
      <c r="D250" s="51" t="s">
        <v>67</v>
      </c>
      <c r="E250" s="19">
        <v>3072.7819567135948</v>
      </c>
      <c r="F250">
        <f t="shared" si="122"/>
        <v>0</v>
      </c>
      <c r="G250">
        <f t="shared" si="123"/>
        <v>0</v>
      </c>
      <c r="H250">
        <f t="shared" si="124"/>
        <v>0</v>
      </c>
      <c r="I250">
        <f t="shared" si="125"/>
        <v>3072.7819567135948</v>
      </c>
      <c r="J250">
        <f t="shared" si="126"/>
        <v>0</v>
      </c>
      <c r="K250">
        <f t="shared" si="127"/>
        <v>0</v>
      </c>
      <c r="L250">
        <f t="shared" si="128"/>
        <v>0</v>
      </c>
      <c r="M250">
        <f t="shared" si="129"/>
        <v>0</v>
      </c>
      <c r="N250">
        <f t="shared" si="130"/>
        <v>0</v>
      </c>
      <c r="O250">
        <f t="shared" si="131"/>
        <v>0</v>
      </c>
      <c r="P250">
        <f t="shared" si="132"/>
        <v>0</v>
      </c>
      <c r="Q250">
        <f t="shared" si="133"/>
        <v>0</v>
      </c>
      <c r="S250">
        <f t="shared" si="147"/>
        <v>52</v>
      </c>
      <c r="T250">
        <f t="shared" si="148"/>
        <v>38</v>
      </c>
      <c r="U250">
        <f t="shared" si="149"/>
        <v>20</v>
      </c>
      <c r="V250">
        <f t="shared" si="150"/>
        <v>22</v>
      </c>
      <c r="W250">
        <f t="shared" si="151"/>
        <v>102</v>
      </c>
      <c r="X250">
        <f t="shared" si="152"/>
        <v>90</v>
      </c>
      <c r="Y250">
        <f t="shared" si="153"/>
        <v>33</v>
      </c>
      <c r="Z250">
        <f t="shared" si="154"/>
        <v>24</v>
      </c>
      <c r="AA250">
        <f t="shared" si="155"/>
        <v>4</v>
      </c>
      <c r="AB250">
        <f t="shared" si="156"/>
        <v>6</v>
      </c>
      <c r="AC250">
        <f t="shared" si="157"/>
        <v>129</v>
      </c>
      <c r="AD250">
        <f t="shared" si="158"/>
        <v>17</v>
      </c>
      <c r="AF250">
        <f t="shared" si="134"/>
        <v>0</v>
      </c>
      <c r="AG250">
        <f t="shared" si="135"/>
        <v>0</v>
      </c>
      <c r="AH250">
        <f t="shared" si="136"/>
        <v>0</v>
      </c>
      <c r="AI250">
        <f t="shared" si="137"/>
        <v>0</v>
      </c>
      <c r="AJ250">
        <f t="shared" si="138"/>
        <v>0</v>
      </c>
      <c r="AK250">
        <f t="shared" si="139"/>
        <v>0</v>
      </c>
      <c r="AL250">
        <f t="shared" si="140"/>
        <v>0</v>
      </c>
      <c r="AM250">
        <f t="shared" si="141"/>
        <v>0</v>
      </c>
      <c r="AN250">
        <f t="shared" si="142"/>
        <v>0</v>
      </c>
      <c r="AO250">
        <f t="shared" si="143"/>
        <v>0</v>
      </c>
      <c r="AP250">
        <f t="shared" si="144"/>
        <v>0</v>
      </c>
      <c r="AQ250">
        <f t="shared" si="145"/>
        <v>0</v>
      </c>
    </row>
    <row r="251" spans="1:43" x14ac:dyDescent="0.45">
      <c r="A251" s="51">
        <v>48</v>
      </c>
      <c r="B251" s="51" t="s">
        <v>289</v>
      </c>
      <c r="C251" s="56" t="s">
        <v>117</v>
      </c>
      <c r="D251" s="51" t="s">
        <v>228</v>
      </c>
      <c r="E251" s="19">
        <v>3383.6429020879232</v>
      </c>
      <c r="F251">
        <f t="shared" si="122"/>
        <v>0</v>
      </c>
      <c r="G251">
        <f t="shared" si="123"/>
        <v>0</v>
      </c>
      <c r="H251">
        <f t="shared" si="124"/>
        <v>0</v>
      </c>
      <c r="I251">
        <f t="shared" si="125"/>
        <v>0</v>
      </c>
      <c r="J251">
        <f t="shared" si="126"/>
        <v>0</v>
      </c>
      <c r="K251">
        <f t="shared" si="127"/>
        <v>0</v>
      </c>
      <c r="L251">
        <f t="shared" si="128"/>
        <v>0</v>
      </c>
      <c r="M251">
        <f t="shared" si="129"/>
        <v>0</v>
      </c>
      <c r="N251">
        <f t="shared" si="130"/>
        <v>0</v>
      </c>
      <c r="O251">
        <f t="shared" si="131"/>
        <v>0</v>
      </c>
      <c r="P251">
        <f t="shared" si="132"/>
        <v>3383.6429020879232</v>
      </c>
      <c r="Q251">
        <f t="shared" si="133"/>
        <v>0</v>
      </c>
      <c r="S251">
        <f t="shared" si="147"/>
        <v>52</v>
      </c>
      <c r="T251">
        <f t="shared" si="148"/>
        <v>38</v>
      </c>
      <c r="U251">
        <f t="shared" si="149"/>
        <v>20</v>
      </c>
      <c r="V251">
        <f t="shared" si="150"/>
        <v>21</v>
      </c>
      <c r="W251">
        <f t="shared" si="151"/>
        <v>102</v>
      </c>
      <c r="X251">
        <f t="shared" si="152"/>
        <v>90</v>
      </c>
      <c r="Y251">
        <f t="shared" si="153"/>
        <v>33</v>
      </c>
      <c r="Z251">
        <f t="shared" si="154"/>
        <v>24</v>
      </c>
      <c r="AA251">
        <f t="shared" si="155"/>
        <v>4</v>
      </c>
      <c r="AB251">
        <f t="shared" si="156"/>
        <v>6</v>
      </c>
      <c r="AC251">
        <f t="shared" si="157"/>
        <v>129</v>
      </c>
      <c r="AD251">
        <f t="shared" si="158"/>
        <v>17</v>
      </c>
      <c r="AF251">
        <f t="shared" si="134"/>
        <v>0</v>
      </c>
      <c r="AG251">
        <f t="shared" si="135"/>
        <v>0</v>
      </c>
      <c r="AH251">
        <f t="shared" si="136"/>
        <v>0</v>
      </c>
      <c r="AI251">
        <f t="shared" si="137"/>
        <v>0</v>
      </c>
      <c r="AJ251">
        <f t="shared" si="138"/>
        <v>0</v>
      </c>
      <c r="AK251">
        <f t="shared" si="139"/>
        <v>0</v>
      </c>
      <c r="AL251">
        <f t="shared" si="140"/>
        <v>0</v>
      </c>
      <c r="AM251">
        <f t="shared" si="141"/>
        <v>0</v>
      </c>
      <c r="AN251">
        <f t="shared" si="142"/>
        <v>0</v>
      </c>
      <c r="AO251">
        <f t="shared" si="143"/>
        <v>0</v>
      </c>
      <c r="AP251">
        <f t="shared" si="144"/>
        <v>0</v>
      </c>
      <c r="AQ251">
        <f t="shared" si="145"/>
        <v>0</v>
      </c>
    </row>
    <row r="252" spans="1:43" x14ac:dyDescent="0.45">
      <c r="A252" s="51">
        <v>49</v>
      </c>
      <c r="B252" s="51" t="s">
        <v>289</v>
      </c>
      <c r="C252" s="56" t="s">
        <v>118</v>
      </c>
      <c r="D252" s="50" t="s">
        <v>222</v>
      </c>
      <c r="E252" s="19">
        <v>3288.8937438863254</v>
      </c>
      <c r="F252">
        <f t="shared" si="122"/>
        <v>0</v>
      </c>
      <c r="G252">
        <f t="shared" si="123"/>
        <v>0</v>
      </c>
      <c r="H252">
        <f t="shared" si="124"/>
        <v>0</v>
      </c>
      <c r="I252">
        <f t="shared" si="125"/>
        <v>0</v>
      </c>
      <c r="J252">
        <f t="shared" si="126"/>
        <v>0</v>
      </c>
      <c r="K252">
        <f t="shared" si="127"/>
        <v>0</v>
      </c>
      <c r="L252">
        <f t="shared" si="128"/>
        <v>0</v>
      </c>
      <c r="M252">
        <f t="shared" si="129"/>
        <v>0</v>
      </c>
      <c r="N252">
        <f t="shared" si="130"/>
        <v>0</v>
      </c>
      <c r="O252">
        <f t="shared" si="131"/>
        <v>0</v>
      </c>
      <c r="P252">
        <f t="shared" si="132"/>
        <v>0</v>
      </c>
      <c r="Q252">
        <f t="shared" si="133"/>
        <v>3288.8937438863254</v>
      </c>
      <c r="S252">
        <f t="shared" si="147"/>
        <v>52</v>
      </c>
      <c r="T252">
        <f t="shared" si="148"/>
        <v>38</v>
      </c>
      <c r="U252">
        <f t="shared" si="149"/>
        <v>20</v>
      </c>
      <c r="V252">
        <f t="shared" si="150"/>
        <v>21</v>
      </c>
      <c r="W252">
        <f t="shared" si="151"/>
        <v>102</v>
      </c>
      <c r="X252">
        <f t="shared" si="152"/>
        <v>90</v>
      </c>
      <c r="Y252">
        <f t="shared" si="153"/>
        <v>33</v>
      </c>
      <c r="Z252">
        <f t="shared" si="154"/>
        <v>24</v>
      </c>
      <c r="AA252">
        <f t="shared" si="155"/>
        <v>4</v>
      </c>
      <c r="AB252">
        <f t="shared" si="156"/>
        <v>6</v>
      </c>
      <c r="AC252">
        <f t="shared" si="157"/>
        <v>128</v>
      </c>
      <c r="AD252">
        <f t="shared" si="158"/>
        <v>17</v>
      </c>
      <c r="AF252">
        <f t="shared" si="134"/>
        <v>0</v>
      </c>
      <c r="AG252">
        <f t="shared" si="135"/>
        <v>0</v>
      </c>
      <c r="AH252">
        <f t="shared" si="136"/>
        <v>0</v>
      </c>
      <c r="AI252">
        <f t="shared" si="137"/>
        <v>0</v>
      </c>
      <c r="AJ252">
        <f t="shared" si="138"/>
        <v>0</v>
      </c>
      <c r="AK252">
        <f t="shared" si="139"/>
        <v>0</v>
      </c>
      <c r="AL252">
        <f t="shared" si="140"/>
        <v>0</v>
      </c>
      <c r="AM252">
        <f t="shared" si="141"/>
        <v>0</v>
      </c>
      <c r="AN252">
        <f t="shared" si="142"/>
        <v>0</v>
      </c>
      <c r="AO252">
        <f t="shared" si="143"/>
        <v>0</v>
      </c>
      <c r="AP252">
        <f t="shared" si="144"/>
        <v>0</v>
      </c>
      <c r="AQ252">
        <f t="shared" si="145"/>
        <v>0</v>
      </c>
    </row>
    <row r="253" spans="1:43" x14ac:dyDescent="0.35">
      <c r="A253" s="51">
        <v>50</v>
      </c>
      <c r="B253" s="51" t="s">
        <v>290</v>
      </c>
      <c r="C253" s="62" t="s">
        <v>121</v>
      </c>
      <c r="D253" s="51" t="s">
        <v>54</v>
      </c>
      <c r="E253" s="45">
        <v>2779.8658071023319</v>
      </c>
      <c r="F253">
        <f t="shared" si="122"/>
        <v>0</v>
      </c>
      <c r="G253">
        <f t="shared" si="123"/>
        <v>0</v>
      </c>
      <c r="H253">
        <f t="shared" si="124"/>
        <v>0</v>
      </c>
      <c r="I253">
        <f t="shared" si="125"/>
        <v>0</v>
      </c>
      <c r="J253">
        <f t="shared" si="126"/>
        <v>0</v>
      </c>
      <c r="K253">
        <f t="shared" si="127"/>
        <v>2779.8658071023319</v>
      </c>
      <c r="L253">
        <f t="shared" si="128"/>
        <v>0</v>
      </c>
      <c r="M253">
        <f t="shared" si="129"/>
        <v>0</v>
      </c>
      <c r="N253">
        <f t="shared" si="130"/>
        <v>0</v>
      </c>
      <c r="O253">
        <f t="shared" si="131"/>
        <v>0</v>
      </c>
      <c r="P253">
        <f t="shared" si="132"/>
        <v>0</v>
      </c>
      <c r="Q253">
        <f t="shared" si="133"/>
        <v>0</v>
      </c>
      <c r="S253">
        <f t="shared" si="147"/>
        <v>52</v>
      </c>
      <c r="T253">
        <f t="shared" si="148"/>
        <v>38</v>
      </c>
      <c r="U253">
        <f t="shared" si="149"/>
        <v>20</v>
      </c>
      <c r="V253">
        <f t="shared" si="150"/>
        <v>21</v>
      </c>
      <c r="W253">
        <f t="shared" si="151"/>
        <v>102</v>
      </c>
      <c r="X253">
        <f t="shared" si="152"/>
        <v>90</v>
      </c>
      <c r="Y253">
        <f t="shared" si="153"/>
        <v>33</v>
      </c>
      <c r="Z253">
        <f t="shared" si="154"/>
        <v>24</v>
      </c>
      <c r="AA253">
        <f t="shared" si="155"/>
        <v>4</v>
      </c>
      <c r="AB253">
        <f t="shared" si="156"/>
        <v>6</v>
      </c>
      <c r="AC253">
        <f t="shared" si="157"/>
        <v>128</v>
      </c>
      <c r="AD253">
        <f t="shared" si="158"/>
        <v>16</v>
      </c>
      <c r="AF253">
        <f t="shared" si="134"/>
        <v>0</v>
      </c>
      <c r="AG253">
        <f t="shared" si="135"/>
        <v>0</v>
      </c>
      <c r="AH253">
        <f t="shared" si="136"/>
        <v>0</v>
      </c>
      <c r="AI253">
        <f t="shared" si="137"/>
        <v>0</v>
      </c>
      <c r="AJ253">
        <f t="shared" si="138"/>
        <v>0</v>
      </c>
      <c r="AK253">
        <f t="shared" si="139"/>
        <v>0</v>
      </c>
      <c r="AL253">
        <f t="shared" si="140"/>
        <v>0</v>
      </c>
      <c r="AM253">
        <f t="shared" si="141"/>
        <v>0</v>
      </c>
      <c r="AN253">
        <f t="shared" si="142"/>
        <v>0</v>
      </c>
      <c r="AO253">
        <f t="shared" si="143"/>
        <v>0</v>
      </c>
      <c r="AP253">
        <f t="shared" si="144"/>
        <v>0</v>
      </c>
      <c r="AQ253">
        <f t="shared" si="145"/>
        <v>0</v>
      </c>
    </row>
    <row r="254" spans="1:43" x14ac:dyDescent="0.45">
      <c r="A254" s="51">
        <v>51</v>
      </c>
      <c r="B254" s="51" t="s">
        <v>290</v>
      </c>
      <c r="C254" s="56" t="s">
        <v>122</v>
      </c>
      <c r="D254" s="50" t="s">
        <v>228</v>
      </c>
      <c r="E254" s="19">
        <v>3243.4817307740987</v>
      </c>
      <c r="F254">
        <f t="shared" si="122"/>
        <v>0</v>
      </c>
      <c r="G254">
        <f t="shared" si="123"/>
        <v>0</v>
      </c>
      <c r="H254">
        <f t="shared" si="124"/>
        <v>0</v>
      </c>
      <c r="I254">
        <f t="shared" si="125"/>
        <v>0</v>
      </c>
      <c r="J254">
        <f t="shared" si="126"/>
        <v>0</v>
      </c>
      <c r="K254">
        <f t="shared" si="127"/>
        <v>0</v>
      </c>
      <c r="L254">
        <f t="shared" si="128"/>
        <v>0</v>
      </c>
      <c r="M254">
        <f t="shared" si="129"/>
        <v>0</v>
      </c>
      <c r="N254">
        <f t="shared" si="130"/>
        <v>0</v>
      </c>
      <c r="O254">
        <f t="shared" si="131"/>
        <v>0</v>
      </c>
      <c r="P254">
        <f t="shared" si="132"/>
        <v>3243.4817307740987</v>
      </c>
      <c r="Q254">
        <f t="shared" si="133"/>
        <v>0</v>
      </c>
      <c r="S254">
        <f t="shared" si="147"/>
        <v>52</v>
      </c>
      <c r="T254">
        <f t="shared" si="148"/>
        <v>38</v>
      </c>
      <c r="U254">
        <f t="shared" si="149"/>
        <v>20</v>
      </c>
      <c r="V254">
        <f t="shared" si="150"/>
        <v>21</v>
      </c>
      <c r="W254">
        <f t="shared" si="151"/>
        <v>102</v>
      </c>
      <c r="X254">
        <f t="shared" si="152"/>
        <v>89</v>
      </c>
      <c r="Y254">
        <f t="shared" si="153"/>
        <v>33</v>
      </c>
      <c r="Z254">
        <f t="shared" si="154"/>
        <v>24</v>
      </c>
      <c r="AA254">
        <f t="shared" si="155"/>
        <v>4</v>
      </c>
      <c r="AB254">
        <f t="shared" si="156"/>
        <v>6</v>
      </c>
      <c r="AC254">
        <f t="shared" si="157"/>
        <v>128</v>
      </c>
      <c r="AD254">
        <f t="shared" si="158"/>
        <v>16</v>
      </c>
      <c r="AF254">
        <f t="shared" si="134"/>
        <v>0</v>
      </c>
      <c r="AG254">
        <f t="shared" si="135"/>
        <v>0</v>
      </c>
      <c r="AH254">
        <f t="shared" si="136"/>
        <v>0</v>
      </c>
      <c r="AI254">
        <f t="shared" si="137"/>
        <v>0</v>
      </c>
      <c r="AJ254">
        <f t="shared" si="138"/>
        <v>0</v>
      </c>
      <c r="AK254">
        <f t="shared" si="139"/>
        <v>0</v>
      </c>
      <c r="AL254">
        <f t="shared" si="140"/>
        <v>0</v>
      </c>
      <c r="AM254">
        <f t="shared" si="141"/>
        <v>0</v>
      </c>
      <c r="AN254">
        <f t="shared" si="142"/>
        <v>0</v>
      </c>
      <c r="AO254">
        <f t="shared" si="143"/>
        <v>0</v>
      </c>
      <c r="AP254">
        <f t="shared" si="144"/>
        <v>0</v>
      </c>
      <c r="AQ254">
        <f t="shared" si="145"/>
        <v>0</v>
      </c>
    </row>
    <row r="255" spans="1:43" x14ac:dyDescent="0.45">
      <c r="A255" s="51">
        <v>52</v>
      </c>
      <c r="B255" s="51" t="s">
        <v>290</v>
      </c>
      <c r="C255" s="56" t="s">
        <v>120</v>
      </c>
      <c r="D255" s="50" t="s">
        <v>80</v>
      </c>
      <c r="E255" s="45">
        <v>2449.999620649774</v>
      </c>
      <c r="F255">
        <f t="shared" si="122"/>
        <v>0</v>
      </c>
      <c r="G255">
        <f t="shared" si="123"/>
        <v>0</v>
      </c>
      <c r="H255">
        <f t="shared" si="124"/>
        <v>2449.999620649774</v>
      </c>
      <c r="I255">
        <f t="shared" si="125"/>
        <v>0</v>
      </c>
      <c r="J255">
        <f t="shared" si="126"/>
        <v>0</v>
      </c>
      <c r="K255">
        <f t="shared" si="127"/>
        <v>0</v>
      </c>
      <c r="L255">
        <f t="shared" si="128"/>
        <v>0</v>
      </c>
      <c r="M255">
        <f t="shared" si="129"/>
        <v>0</v>
      </c>
      <c r="N255">
        <f t="shared" si="130"/>
        <v>0</v>
      </c>
      <c r="O255">
        <f t="shared" si="131"/>
        <v>0</v>
      </c>
      <c r="P255">
        <f t="shared" si="132"/>
        <v>0</v>
      </c>
      <c r="Q255">
        <f t="shared" si="133"/>
        <v>0</v>
      </c>
      <c r="S255">
        <f t="shared" si="147"/>
        <v>52</v>
      </c>
      <c r="T255">
        <f t="shared" si="148"/>
        <v>38</v>
      </c>
      <c r="U255">
        <f t="shared" si="149"/>
        <v>20</v>
      </c>
      <c r="V255">
        <f t="shared" si="150"/>
        <v>21</v>
      </c>
      <c r="W255">
        <f t="shared" si="151"/>
        <v>102</v>
      </c>
      <c r="X255">
        <f t="shared" si="152"/>
        <v>89</v>
      </c>
      <c r="Y255">
        <f t="shared" si="153"/>
        <v>33</v>
      </c>
      <c r="Z255">
        <f t="shared" si="154"/>
        <v>24</v>
      </c>
      <c r="AA255">
        <f t="shared" si="155"/>
        <v>4</v>
      </c>
      <c r="AB255">
        <f t="shared" si="156"/>
        <v>6</v>
      </c>
      <c r="AC255">
        <f t="shared" si="157"/>
        <v>127</v>
      </c>
      <c r="AD255">
        <f t="shared" si="158"/>
        <v>16</v>
      </c>
      <c r="AF255">
        <f t="shared" si="134"/>
        <v>0</v>
      </c>
      <c r="AG255">
        <f t="shared" si="135"/>
        <v>0</v>
      </c>
      <c r="AH255">
        <f t="shared" si="136"/>
        <v>0</v>
      </c>
      <c r="AI255">
        <f t="shared" si="137"/>
        <v>0</v>
      </c>
      <c r="AJ255">
        <f t="shared" si="138"/>
        <v>0</v>
      </c>
      <c r="AK255">
        <f t="shared" si="139"/>
        <v>0</v>
      </c>
      <c r="AL255">
        <f t="shared" si="140"/>
        <v>0</v>
      </c>
      <c r="AM255">
        <f t="shared" si="141"/>
        <v>0</v>
      </c>
      <c r="AN255">
        <f t="shared" si="142"/>
        <v>0</v>
      </c>
      <c r="AO255">
        <f t="shared" si="143"/>
        <v>0</v>
      </c>
      <c r="AP255">
        <f t="shared" si="144"/>
        <v>0</v>
      </c>
      <c r="AQ255">
        <f t="shared" si="145"/>
        <v>0</v>
      </c>
    </row>
    <row r="256" spans="1:43" x14ac:dyDescent="0.35">
      <c r="A256" s="51">
        <v>53</v>
      </c>
      <c r="B256" s="51" t="s">
        <v>291</v>
      </c>
      <c r="C256" s="62" t="s">
        <v>125</v>
      </c>
      <c r="D256" s="51" t="s">
        <v>54</v>
      </c>
      <c r="E256" s="45">
        <v>2533.5154963178097</v>
      </c>
      <c r="F256">
        <f t="shared" si="122"/>
        <v>0</v>
      </c>
      <c r="G256">
        <f t="shared" si="123"/>
        <v>0</v>
      </c>
      <c r="H256">
        <f t="shared" si="124"/>
        <v>0</v>
      </c>
      <c r="I256">
        <f t="shared" si="125"/>
        <v>0</v>
      </c>
      <c r="J256">
        <f t="shared" si="126"/>
        <v>0</v>
      </c>
      <c r="K256">
        <f t="shared" si="127"/>
        <v>2533.5154963178097</v>
      </c>
      <c r="L256">
        <f t="shared" si="128"/>
        <v>0</v>
      </c>
      <c r="M256">
        <f t="shared" si="129"/>
        <v>0</v>
      </c>
      <c r="N256">
        <f t="shared" si="130"/>
        <v>0</v>
      </c>
      <c r="O256">
        <f t="shared" si="131"/>
        <v>0</v>
      </c>
      <c r="P256">
        <f t="shared" si="132"/>
        <v>0</v>
      </c>
      <c r="Q256">
        <f t="shared" si="133"/>
        <v>0</v>
      </c>
      <c r="S256">
        <f t="shared" si="147"/>
        <v>52</v>
      </c>
      <c r="T256">
        <f t="shared" si="148"/>
        <v>38</v>
      </c>
      <c r="U256">
        <f t="shared" si="149"/>
        <v>19</v>
      </c>
      <c r="V256">
        <f t="shared" si="150"/>
        <v>21</v>
      </c>
      <c r="W256">
        <f t="shared" si="151"/>
        <v>102</v>
      </c>
      <c r="X256">
        <f t="shared" si="152"/>
        <v>89</v>
      </c>
      <c r="Y256">
        <f t="shared" si="153"/>
        <v>33</v>
      </c>
      <c r="Z256">
        <f t="shared" si="154"/>
        <v>24</v>
      </c>
      <c r="AA256">
        <f t="shared" si="155"/>
        <v>4</v>
      </c>
      <c r="AB256">
        <f t="shared" si="156"/>
        <v>6</v>
      </c>
      <c r="AC256">
        <f t="shared" si="157"/>
        <v>127</v>
      </c>
      <c r="AD256">
        <f t="shared" si="158"/>
        <v>16</v>
      </c>
      <c r="AF256">
        <f t="shared" si="134"/>
        <v>0</v>
      </c>
      <c r="AG256">
        <f t="shared" si="135"/>
        <v>0</v>
      </c>
      <c r="AH256">
        <f t="shared" si="136"/>
        <v>0</v>
      </c>
      <c r="AI256">
        <f t="shared" si="137"/>
        <v>0</v>
      </c>
      <c r="AJ256">
        <f t="shared" si="138"/>
        <v>0</v>
      </c>
      <c r="AK256">
        <f t="shared" si="139"/>
        <v>0</v>
      </c>
      <c r="AL256">
        <f t="shared" si="140"/>
        <v>0</v>
      </c>
      <c r="AM256">
        <f t="shared" si="141"/>
        <v>0</v>
      </c>
      <c r="AN256">
        <f t="shared" si="142"/>
        <v>0</v>
      </c>
      <c r="AO256">
        <f t="shared" si="143"/>
        <v>0</v>
      </c>
      <c r="AP256">
        <f t="shared" si="144"/>
        <v>0</v>
      </c>
      <c r="AQ256">
        <f t="shared" si="145"/>
        <v>0</v>
      </c>
    </row>
    <row r="257" spans="1:43" x14ac:dyDescent="0.45">
      <c r="A257" s="51">
        <v>54</v>
      </c>
      <c r="B257" s="51" t="s">
        <v>291</v>
      </c>
      <c r="C257" s="56" t="s">
        <v>126</v>
      </c>
      <c r="D257" s="50" t="s">
        <v>94</v>
      </c>
      <c r="E257" s="19">
        <v>3692.9463019645113</v>
      </c>
      <c r="F257">
        <f t="shared" si="122"/>
        <v>0</v>
      </c>
      <c r="G257">
        <f t="shared" si="123"/>
        <v>0</v>
      </c>
      <c r="H257">
        <f t="shared" si="124"/>
        <v>0</v>
      </c>
      <c r="I257">
        <f t="shared" si="125"/>
        <v>0</v>
      </c>
      <c r="J257">
        <f t="shared" si="126"/>
        <v>0</v>
      </c>
      <c r="K257">
        <f t="shared" si="127"/>
        <v>0</v>
      </c>
      <c r="L257">
        <f t="shared" si="128"/>
        <v>3692.9463019645113</v>
      </c>
      <c r="M257">
        <f t="shared" si="129"/>
        <v>0</v>
      </c>
      <c r="N257">
        <f t="shared" si="130"/>
        <v>0</v>
      </c>
      <c r="O257">
        <f t="shared" si="131"/>
        <v>0</v>
      </c>
      <c r="P257">
        <f t="shared" si="132"/>
        <v>0</v>
      </c>
      <c r="Q257">
        <f t="shared" si="133"/>
        <v>0</v>
      </c>
      <c r="S257">
        <f t="shared" si="147"/>
        <v>52</v>
      </c>
      <c r="T257">
        <f t="shared" si="148"/>
        <v>38</v>
      </c>
      <c r="U257">
        <f t="shared" si="149"/>
        <v>19</v>
      </c>
      <c r="V257">
        <f t="shared" si="150"/>
        <v>21</v>
      </c>
      <c r="W257">
        <f t="shared" si="151"/>
        <v>102</v>
      </c>
      <c r="X257">
        <f t="shared" si="152"/>
        <v>88</v>
      </c>
      <c r="Y257">
        <f t="shared" si="153"/>
        <v>33</v>
      </c>
      <c r="Z257">
        <f t="shared" si="154"/>
        <v>24</v>
      </c>
      <c r="AA257">
        <f t="shared" si="155"/>
        <v>4</v>
      </c>
      <c r="AB257">
        <f t="shared" si="156"/>
        <v>6</v>
      </c>
      <c r="AC257">
        <f t="shared" si="157"/>
        <v>127</v>
      </c>
      <c r="AD257">
        <f t="shared" si="158"/>
        <v>16</v>
      </c>
      <c r="AF257">
        <f t="shared" si="134"/>
        <v>0</v>
      </c>
      <c r="AG257">
        <f t="shared" si="135"/>
        <v>0</v>
      </c>
      <c r="AH257">
        <f t="shared" si="136"/>
        <v>0</v>
      </c>
      <c r="AI257">
        <f t="shared" si="137"/>
        <v>0</v>
      </c>
      <c r="AJ257">
        <f t="shared" si="138"/>
        <v>0</v>
      </c>
      <c r="AK257">
        <f t="shared" si="139"/>
        <v>0</v>
      </c>
      <c r="AL257">
        <f t="shared" si="140"/>
        <v>0</v>
      </c>
      <c r="AM257">
        <f t="shared" si="141"/>
        <v>0</v>
      </c>
      <c r="AN257">
        <f t="shared" si="142"/>
        <v>0</v>
      </c>
      <c r="AO257">
        <f t="shared" si="143"/>
        <v>0</v>
      </c>
      <c r="AP257">
        <f t="shared" si="144"/>
        <v>0</v>
      </c>
      <c r="AQ257">
        <f t="shared" si="145"/>
        <v>0</v>
      </c>
    </row>
    <row r="258" spans="1:43" x14ac:dyDescent="0.35">
      <c r="A258" s="51">
        <v>55</v>
      </c>
      <c r="B258" s="51" t="s">
        <v>291</v>
      </c>
      <c r="C258" s="62" t="s">
        <v>124</v>
      </c>
      <c r="D258" s="51" t="s">
        <v>57</v>
      </c>
      <c r="E258" s="19">
        <v>3165.2615439501214</v>
      </c>
      <c r="F258">
        <f t="shared" si="122"/>
        <v>0</v>
      </c>
      <c r="G258">
        <f t="shared" si="123"/>
        <v>0</v>
      </c>
      <c r="H258">
        <f t="shared" si="124"/>
        <v>0</v>
      </c>
      <c r="I258">
        <f t="shared" si="125"/>
        <v>0</v>
      </c>
      <c r="J258">
        <f t="shared" si="126"/>
        <v>0</v>
      </c>
      <c r="K258">
        <f t="shared" si="127"/>
        <v>0</v>
      </c>
      <c r="L258">
        <f t="shared" si="128"/>
        <v>0</v>
      </c>
      <c r="M258">
        <f t="shared" si="129"/>
        <v>3165.2615439501214</v>
      </c>
      <c r="N258">
        <f t="shared" si="130"/>
        <v>0</v>
      </c>
      <c r="O258">
        <f t="shared" si="131"/>
        <v>0</v>
      </c>
      <c r="P258">
        <f t="shared" si="132"/>
        <v>0</v>
      </c>
      <c r="Q258">
        <f t="shared" si="133"/>
        <v>0</v>
      </c>
      <c r="S258">
        <f t="shared" si="147"/>
        <v>52</v>
      </c>
      <c r="T258">
        <f t="shared" si="148"/>
        <v>38</v>
      </c>
      <c r="U258">
        <f t="shared" si="149"/>
        <v>19</v>
      </c>
      <c r="V258">
        <f t="shared" si="150"/>
        <v>21</v>
      </c>
      <c r="W258">
        <f t="shared" si="151"/>
        <v>102</v>
      </c>
      <c r="X258">
        <f t="shared" si="152"/>
        <v>88</v>
      </c>
      <c r="Y258">
        <f t="shared" si="153"/>
        <v>32</v>
      </c>
      <c r="Z258">
        <f t="shared" si="154"/>
        <v>24</v>
      </c>
      <c r="AA258">
        <f t="shared" si="155"/>
        <v>4</v>
      </c>
      <c r="AB258">
        <f t="shared" si="156"/>
        <v>6</v>
      </c>
      <c r="AC258">
        <f t="shared" si="157"/>
        <v>127</v>
      </c>
      <c r="AD258">
        <f t="shared" si="158"/>
        <v>16</v>
      </c>
      <c r="AF258">
        <f t="shared" si="134"/>
        <v>0</v>
      </c>
      <c r="AG258">
        <f t="shared" si="135"/>
        <v>0</v>
      </c>
      <c r="AH258">
        <f t="shared" si="136"/>
        <v>0</v>
      </c>
      <c r="AI258">
        <f t="shared" si="137"/>
        <v>0</v>
      </c>
      <c r="AJ258">
        <f t="shared" si="138"/>
        <v>0</v>
      </c>
      <c r="AK258">
        <f t="shared" si="139"/>
        <v>0</v>
      </c>
      <c r="AL258">
        <f t="shared" si="140"/>
        <v>0</v>
      </c>
      <c r="AM258">
        <f t="shared" si="141"/>
        <v>0</v>
      </c>
      <c r="AN258">
        <f t="shared" si="142"/>
        <v>0</v>
      </c>
      <c r="AO258">
        <f t="shared" si="143"/>
        <v>0</v>
      </c>
      <c r="AP258">
        <f t="shared" si="144"/>
        <v>0</v>
      </c>
      <c r="AQ258">
        <f t="shared" si="145"/>
        <v>0</v>
      </c>
    </row>
    <row r="259" spans="1:43" x14ac:dyDescent="0.45">
      <c r="A259" s="51">
        <v>56</v>
      </c>
      <c r="B259" s="51" t="s">
        <v>292</v>
      </c>
      <c r="C259" s="56" t="s">
        <v>130</v>
      </c>
      <c r="D259" s="50" t="s">
        <v>228</v>
      </c>
      <c r="E259" s="19">
        <v>3395.5869945343702</v>
      </c>
      <c r="F259">
        <f t="shared" si="122"/>
        <v>0</v>
      </c>
      <c r="G259">
        <f t="shared" si="123"/>
        <v>0</v>
      </c>
      <c r="H259">
        <f t="shared" si="124"/>
        <v>0</v>
      </c>
      <c r="I259">
        <f t="shared" si="125"/>
        <v>0</v>
      </c>
      <c r="J259">
        <f t="shared" si="126"/>
        <v>0</v>
      </c>
      <c r="K259">
        <f t="shared" si="127"/>
        <v>0</v>
      </c>
      <c r="L259">
        <f t="shared" si="128"/>
        <v>0</v>
      </c>
      <c r="M259">
        <f t="shared" si="129"/>
        <v>0</v>
      </c>
      <c r="N259">
        <f t="shared" si="130"/>
        <v>0</v>
      </c>
      <c r="O259">
        <f t="shared" si="131"/>
        <v>0</v>
      </c>
      <c r="P259">
        <f t="shared" si="132"/>
        <v>3395.5869945343702</v>
      </c>
      <c r="Q259">
        <f t="shared" si="133"/>
        <v>0</v>
      </c>
      <c r="S259">
        <f t="shared" si="147"/>
        <v>52</v>
      </c>
      <c r="T259">
        <f t="shared" si="148"/>
        <v>38</v>
      </c>
      <c r="U259">
        <f t="shared" si="149"/>
        <v>19</v>
      </c>
      <c r="V259">
        <f t="shared" si="150"/>
        <v>21</v>
      </c>
      <c r="W259">
        <f t="shared" si="151"/>
        <v>102</v>
      </c>
      <c r="X259">
        <f t="shared" si="152"/>
        <v>88</v>
      </c>
      <c r="Y259">
        <f t="shared" si="153"/>
        <v>32</v>
      </c>
      <c r="Z259">
        <f t="shared" si="154"/>
        <v>23</v>
      </c>
      <c r="AA259">
        <f t="shared" si="155"/>
        <v>4</v>
      </c>
      <c r="AB259">
        <f t="shared" si="156"/>
        <v>6</v>
      </c>
      <c r="AC259">
        <f t="shared" si="157"/>
        <v>127</v>
      </c>
      <c r="AD259">
        <f t="shared" si="158"/>
        <v>16</v>
      </c>
      <c r="AF259">
        <f t="shared" si="134"/>
        <v>0</v>
      </c>
      <c r="AG259">
        <f t="shared" si="135"/>
        <v>0</v>
      </c>
      <c r="AH259">
        <f t="shared" si="136"/>
        <v>0</v>
      </c>
      <c r="AI259">
        <f t="shared" si="137"/>
        <v>0</v>
      </c>
      <c r="AJ259">
        <f t="shared" si="138"/>
        <v>0</v>
      </c>
      <c r="AK259">
        <f t="shared" si="139"/>
        <v>0</v>
      </c>
      <c r="AL259">
        <f t="shared" si="140"/>
        <v>0</v>
      </c>
      <c r="AM259">
        <f t="shared" si="141"/>
        <v>0</v>
      </c>
      <c r="AN259">
        <f t="shared" si="142"/>
        <v>0</v>
      </c>
      <c r="AO259">
        <f t="shared" si="143"/>
        <v>0</v>
      </c>
      <c r="AP259">
        <f t="shared" si="144"/>
        <v>0</v>
      </c>
      <c r="AQ259">
        <f t="shared" si="145"/>
        <v>0</v>
      </c>
    </row>
    <row r="260" spans="1:43" x14ac:dyDescent="0.45">
      <c r="A260" s="51">
        <v>57</v>
      </c>
      <c r="B260" s="51" t="s">
        <v>292</v>
      </c>
      <c r="C260" s="56" t="s">
        <v>128</v>
      </c>
      <c r="D260" s="50" t="s">
        <v>94</v>
      </c>
      <c r="E260" s="19">
        <v>3580.9756911190798</v>
      </c>
      <c r="F260">
        <f t="shared" si="122"/>
        <v>0</v>
      </c>
      <c r="G260">
        <f t="shared" si="123"/>
        <v>0</v>
      </c>
      <c r="H260">
        <f t="shared" si="124"/>
        <v>0</v>
      </c>
      <c r="I260">
        <f t="shared" si="125"/>
        <v>0</v>
      </c>
      <c r="J260">
        <f t="shared" si="126"/>
        <v>0</v>
      </c>
      <c r="K260">
        <f t="shared" si="127"/>
        <v>0</v>
      </c>
      <c r="L260">
        <f t="shared" si="128"/>
        <v>3580.9756911190798</v>
      </c>
      <c r="M260">
        <f t="shared" si="129"/>
        <v>0</v>
      </c>
      <c r="N260">
        <f t="shared" si="130"/>
        <v>0</v>
      </c>
      <c r="O260">
        <f t="shared" si="131"/>
        <v>0</v>
      </c>
      <c r="P260">
        <f t="shared" si="132"/>
        <v>0</v>
      </c>
      <c r="Q260">
        <f t="shared" si="133"/>
        <v>0</v>
      </c>
      <c r="S260">
        <f t="shared" si="147"/>
        <v>52</v>
      </c>
      <c r="T260">
        <f t="shared" si="148"/>
        <v>38</v>
      </c>
      <c r="U260">
        <f t="shared" si="149"/>
        <v>19</v>
      </c>
      <c r="V260">
        <f t="shared" si="150"/>
        <v>21</v>
      </c>
      <c r="W260">
        <f t="shared" si="151"/>
        <v>102</v>
      </c>
      <c r="X260">
        <f t="shared" si="152"/>
        <v>88</v>
      </c>
      <c r="Y260">
        <f t="shared" si="153"/>
        <v>32</v>
      </c>
      <c r="Z260">
        <f t="shared" si="154"/>
        <v>23</v>
      </c>
      <c r="AA260">
        <f t="shared" si="155"/>
        <v>4</v>
      </c>
      <c r="AB260">
        <f t="shared" si="156"/>
        <v>6</v>
      </c>
      <c r="AC260">
        <f t="shared" si="157"/>
        <v>126</v>
      </c>
      <c r="AD260">
        <f t="shared" si="158"/>
        <v>16</v>
      </c>
      <c r="AF260">
        <f t="shared" si="134"/>
        <v>0</v>
      </c>
      <c r="AG260">
        <f t="shared" si="135"/>
        <v>0</v>
      </c>
      <c r="AH260">
        <f t="shared" si="136"/>
        <v>0</v>
      </c>
      <c r="AI260">
        <f t="shared" si="137"/>
        <v>0</v>
      </c>
      <c r="AJ260">
        <f t="shared" si="138"/>
        <v>0</v>
      </c>
      <c r="AK260">
        <f t="shared" si="139"/>
        <v>0</v>
      </c>
      <c r="AL260">
        <f t="shared" si="140"/>
        <v>0</v>
      </c>
      <c r="AM260">
        <f t="shared" si="141"/>
        <v>0</v>
      </c>
      <c r="AN260">
        <f t="shared" si="142"/>
        <v>0</v>
      </c>
      <c r="AO260">
        <f t="shared" si="143"/>
        <v>0</v>
      </c>
      <c r="AP260">
        <f t="shared" si="144"/>
        <v>0</v>
      </c>
      <c r="AQ260">
        <f t="shared" si="145"/>
        <v>0</v>
      </c>
    </row>
    <row r="261" spans="1:43" x14ac:dyDescent="0.45">
      <c r="A261" s="51">
        <v>58</v>
      </c>
      <c r="B261" s="51" t="s">
        <v>292</v>
      </c>
      <c r="C261" s="56" t="s">
        <v>129</v>
      </c>
      <c r="D261" s="50" t="s">
        <v>60</v>
      </c>
      <c r="E261" s="19">
        <v>2939.4969916850855</v>
      </c>
      <c r="F261">
        <f t="shared" si="122"/>
        <v>0</v>
      </c>
      <c r="G261">
        <f t="shared" si="123"/>
        <v>0</v>
      </c>
      <c r="H261">
        <f t="shared" si="124"/>
        <v>0</v>
      </c>
      <c r="I261">
        <f t="shared" si="125"/>
        <v>0</v>
      </c>
      <c r="J261">
        <f t="shared" si="126"/>
        <v>2939.4969916850855</v>
      </c>
      <c r="K261">
        <f t="shared" si="127"/>
        <v>0</v>
      </c>
      <c r="L261">
        <f t="shared" si="128"/>
        <v>0</v>
      </c>
      <c r="M261">
        <f t="shared" si="129"/>
        <v>0</v>
      </c>
      <c r="N261">
        <f t="shared" si="130"/>
        <v>0</v>
      </c>
      <c r="O261">
        <f t="shared" si="131"/>
        <v>0</v>
      </c>
      <c r="P261">
        <f t="shared" si="132"/>
        <v>0</v>
      </c>
      <c r="Q261">
        <f t="shared" si="133"/>
        <v>0</v>
      </c>
      <c r="S261">
        <f t="shared" si="147"/>
        <v>52</v>
      </c>
      <c r="T261">
        <f t="shared" si="148"/>
        <v>38</v>
      </c>
      <c r="U261">
        <f t="shared" si="149"/>
        <v>19</v>
      </c>
      <c r="V261">
        <f t="shared" si="150"/>
        <v>21</v>
      </c>
      <c r="W261">
        <f t="shared" si="151"/>
        <v>102</v>
      </c>
      <c r="X261">
        <f t="shared" si="152"/>
        <v>88</v>
      </c>
      <c r="Y261">
        <f t="shared" si="153"/>
        <v>31</v>
      </c>
      <c r="Z261">
        <f t="shared" si="154"/>
        <v>23</v>
      </c>
      <c r="AA261">
        <f t="shared" si="155"/>
        <v>4</v>
      </c>
      <c r="AB261">
        <f t="shared" si="156"/>
        <v>6</v>
      </c>
      <c r="AC261">
        <f t="shared" si="157"/>
        <v>126</v>
      </c>
      <c r="AD261">
        <f t="shared" si="158"/>
        <v>16</v>
      </c>
      <c r="AF261">
        <f t="shared" si="134"/>
        <v>0</v>
      </c>
      <c r="AG261">
        <f t="shared" si="135"/>
        <v>0</v>
      </c>
      <c r="AH261">
        <f t="shared" si="136"/>
        <v>0</v>
      </c>
      <c r="AI261">
        <f t="shared" si="137"/>
        <v>0</v>
      </c>
      <c r="AJ261">
        <f t="shared" si="138"/>
        <v>0</v>
      </c>
      <c r="AK261">
        <f t="shared" si="139"/>
        <v>0</v>
      </c>
      <c r="AL261">
        <f t="shared" si="140"/>
        <v>0</v>
      </c>
      <c r="AM261">
        <f t="shared" si="141"/>
        <v>0</v>
      </c>
      <c r="AN261">
        <f t="shared" si="142"/>
        <v>0</v>
      </c>
      <c r="AO261">
        <f t="shared" si="143"/>
        <v>0</v>
      </c>
      <c r="AP261">
        <f t="shared" si="144"/>
        <v>0</v>
      </c>
      <c r="AQ261">
        <f t="shared" si="145"/>
        <v>0</v>
      </c>
    </row>
    <row r="262" spans="1:43" x14ac:dyDescent="0.35">
      <c r="A262" s="51">
        <v>59</v>
      </c>
      <c r="B262" s="51" t="s">
        <v>293</v>
      </c>
      <c r="C262" s="62" t="s">
        <v>131</v>
      </c>
      <c r="D262" s="51" t="s">
        <v>80</v>
      </c>
      <c r="E262" s="45">
        <v>2682.8638634504459</v>
      </c>
      <c r="F262">
        <f t="shared" ref="F262:F326" si="160">IF(D262="SPUR-01",E262,0)</f>
        <v>0</v>
      </c>
      <c r="G262">
        <f t="shared" ref="G262:G326" si="161">IF(D262="SPUR-02",E262,0)</f>
        <v>0</v>
      </c>
      <c r="H262">
        <f t="shared" ref="H262:H326" si="162">IF(D262="SPUR-03",E262,0)</f>
        <v>2682.8638634504459</v>
      </c>
      <c r="I262">
        <f t="shared" ref="I262:I326" si="163">IF(D262="SPUR-04",E262,0)</f>
        <v>0</v>
      </c>
      <c r="J262">
        <f t="shared" ref="J262:J326" si="164">IF(D262="SPUR-05",E262,0)</f>
        <v>0</v>
      </c>
      <c r="K262">
        <f t="shared" ref="K262:K326" si="165">IF(D262="SPUR-06",E262,0)</f>
        <v>0</v>
      </c>
      <c r="L262">
        <f t="shared" ref="L262:L326" si="166">IF(D262="SPUR-07",E262,0)</f>
        <v>0</v>
      </c>
      <c r="M262">
        <f t="shared" ref="M262:M326" si="167">IF(D262="SPUR-08",E262,0)</f>
        <v>0</v>
      </c>
      <c r="N262">
        <f t="shared" ref="N262:N326" si="168">IF(D262="SPUR-09",E262,0)</f>
        <v>0</v>
      </c>
      <c r="O262">
        <f t="shared" ref="O262:O326" si="169">IF(D262="SPUR-10",E262,0)</f>
        <v>0</v>
      </c>
      <c r="P262">
        <f t="shared" ref="P262:P326" si="170">IF(D262="SPUR-SILO",E262,0)</f>
        <v>0</v>
      </c>
      <c r="Q262">
        <f t="shared" ref="Q262:Q326" si="171">IF(D262="SPUR-DB",E262,0)</f>
        <v>0</v>
      </c>
      <c r="S262">
        <f t="shared" si="147"/>
        <v>52</v>
      </c>
      <c r="T262">
        <f t="shared" si="148"/>
        <v>38</v>
      </c>
      <c r="U262">
        <f t="shared" si="149"/>
        <v>19</v>
      </c>
      <c r="V262">
        <f t="shared" si="150"/>
        <v>21</v>
      </c>
      <c r="W262">
        <f t="shared" si="151"/>
        <v>101</v>
      </c>
      <c r="X262">
        <f t="shared" si="152"/>
        <v>88</v>
      </c>
      <c r="Y262">
        <f t="shared" si="153"/>
        <v>31</v>
      </c>
      <c r="Z262">
        <f t="shared" si="154"/>
        <v>23</v>
      </c>
      <c r="AA262">
        <f t="shared" si="155"/>
        <v>4</v>
      </c>
      <c r="AB262">
        <f t="shared" si="156"/>
        <v>6</v>
      </c>
      <c r="AC262">
        <f t="shared" si="157"/>
        <v>126</v>
      </c>
      <c r="AD262">
        <f t="shared" si="158"/>
        <v>16</v>
      </c>
      <c r="AF262">
        <f t="shared" si="134"/>
        <v>0</v>
      </c>
      <c r="AG262">
        <f t="shared" si="135"/>
        <v>0</v>
      </c>
      <c r="AH262">
        <f t="shared" si="136"/>
        <v>0</v>
      </c>
      <c r="AI262">
        <f t="shared" si="137"/>
        <v>0</v>
      </c>
      <c r="AJ262">
        <f t="shared" si="138"/>
        <v>0</v>
      </c>
      <c r="AK262">
        <f t="shared" si="139"/>
        <v>0</v>
      </c>
      <c r="AL262">
        <f t="shared" si="140"/>
        <v>0</v>
      </c>
      <c r="AM262">
        <f t="shared" si="141"/>
        <v>0</v>
      </c>
      <c r="AN262">
        <f t="shared" si="142"/>
        <v>0</v>
      </c>
      <c r="AO262">
        <f t="shared" si="143"/>
        <v>0</v>
      </c>
      <c r="AP262">
        <f t="shared" si="144"/>
        <v>0</v>
      </c>
      <c r="AQ262">
        <f t="shared" si="145"/>
        <v>0</v>
      </c>
    </row>
    <row r="263" spans="1:43" x14ac:dyDescent="0.45">
      <c r="A263" s="51">
        <v>60</v>
      </c>
      <c r="B263" s="51" t="s">
        <v>293</v>
      </c>
      <c r="C263" s="56" t="s">
        <v>133</v>
      </c>
      <c r="D263" s="50" t="s">
        <v>222</v>
      </c>
      <c r="E263" s="19">
        <v>3390.208728550374</v>
      </c>
      <c r="F263">
        <f t="shared" si="160"/>
        <v>0</v>
      </c>
      <c r="G263">
        <f t="shared" si="161"/>
        <v>0</v>
      </c>
      <c r="H263">
        <f t="shared" si="162"/>
        <v>0</v>
      </c>
      <c r="I263">
        <f t="shared" si="163"/>
        <v>0</v>
      </c>
      <c r="J263">
        <f t="shared" si="164"/>
        <v>0</v>
      </c>
      <c r="K263">
        <f t="shared" si="165"/>
        <v>0</v>
      </c>
      <c r="L263">
        <f t="shared" si="166"/>
        <v>0</v>
      </c>
      <c r="M263">
        <f t="shared" si="167"/>
        <v>0</v>
      </c>
      <c r="N263">
        <f t="shared" si="168"/>
        <v>0</v>
      </c>
      <c r="O263">
        <f t="shared" si="169"/>
        <v>0</v>
      </c>
      <c r="P263">
        <f t="shared" si="170"/>
        <v>0</v>
      </c>
      <c r="Q263">
        <f t="shared" si="171"/>
        <v>3390.208728550374</v>
      </c>
      <c r="S263">
        <f t="shared" si="147"/>
        <v>52</v>
      </c>
      <c r="T263">
        <f t="shared" si="148"/>
        <v>38</v>
      </c>
      <c r="U263">
        <f t="shared" si="149"/>
        <v>18</v>
      </c>
      <c r="V263">
        <f t="shared" si="150"/>
        <v>21</v>
      </c>
      <c r="W263">
        <f t="shared" si="151"/>
        <v>101</v>
      </c>
      <c r="X263">
        <f t="shared" si="152"/>
        <v>88</v>
      </c>
      <c r="Y263">
        <f t="shared" si="153"/>
        <v>31</v>
      </c>
      <c r="Z263">
        <f t="shared" si="154"/>
        <v>23</v>
      </c>
      <c r="AA263">
        <f t="shared" si="155"/>
        <v>4</v>
      </c>
      <c r="AB263">
        <f t="shared" si="156"/>
        <v>6</v>
      </c>
      <c r="AC263">
        <f t="shared" si="157"/>
        <v>126</v>
      </c>
      <c r="AD263">
        <f t="shared" si="158"/>
        <v>16</v>
      </c>
      <c r="AF263">
        <f t="shared" ref="AF263:AF327" si="172">IF(S263&lt;=$AT$1,F263,0)</f>
        <v>0</v>
      </c>
      <c r="AG263">
        <f t="shared" ref="AG263:AG327" si="173">IF(T263&lt;=$AT$1,G263,0)</f>
        <v>0</v>
      </c>
      <c r="AH263">
        <f t="shared" ref="AH263:AH327" si="174">IF(U263&lt;=$AT$1,H263,0)</f>
        <v>0</v>
      </c>
      <c r="AI263">
        <f t="shared" ref="AI263:AI327" si="175">IF(V263&lt;=$AT$1,I263,0)</f>
        <v>0</v>
      </c>
      <c r="AJ263">
        <f t="shared" ref="AJ263:AJ327" si="176">IF(W263&lt;=$AT$1,J263,0)</f>
        <v>0</v>
      </c>
      <c r="AK263">
        <f t="shared" ref="AK263:AK327" si="177">IF(X263&lt;=$AT$1,K263,0)</f>
        <v>0</v>
      </c>
      <c r="AL263">
        <f t="shared" ref="AL263:AL327" si="178">IF(Y263&lt;=$AT$1,L263,0)</f>
        <v>0</v>
      </c>
      <c r="AM263">
        <f t="shared" ref="AM263:AM327" si="179">IF(Z263&lt;=$AT$1,M263,0)</f>
        <v>0</v>
      </c>
      <c r="AN263">
        <f t="shared" ref="AN263:AN327" si="180">IF(AA263&lt;=$AT$1,N263,0)</f>
        <v>0</v>
      </c>
      <c r="AO263">
        <f t="shared" ref="AO263:AO327" si="181">IF(AB263&lt;=$AT$1,O263,0)</f>
        <v>0</v>
      </c>
      <c r="AP263">
        <f t="shared" ref="AP263:AP327" si="182">IF(AC263&lt;=$AT$1,P263,0)</f>
        <v>0</v>
      </c>
      <c r="AQ263">
        <f t="shared" ref="AQ263:AQ327" si="183">IF(AD263&lt;=$AT$1,Q263,0)</f>
        <v>0</v>
      </c>
    </row>
    <row r="264" spans="1:43" x14ac:dyDescent="0.45">
      <c r="A264" s="51">
        <v>61</v>
      </c>
      <c r="B264" s="51" t="s">
        <v>293</v>
      </c>
      <c r="C264" s="56" t="s">
        <v>135</v>
      </c>
      <c r="D264" s="50" t="s">
        <v>54</v>
      </c>
      <c r="E264" s="19">
        <v>2924.9029420682418</v>
      </c>
      <c r="F264">
        <f t="shared" si="160"/>
        <v>0</v>
      </c>
      <c r="G264">
        <f t="shared" si="161"/>
        <v>0</v>
      </c>
      <c r="H264">
        <f t="shared" si="162"/>
        <v>0</v>
      </c>
      <c r="I264">
        <f t="shared" si="163"/>
        <v>0</v>
      </c>
      <c r="J264">
        <f t="shared" si="164"/>
        <v>0</v>
      </c>
      <c r="K264">
        <f t="shared" si="165"/>
        <v>2924.9029420682418</v>
      </c>
      <c r="L264">
        <f t="shared" si="166"/>
        <v>0</v>
      </c>
      <c r="M264">
        <f t="shared" si="167"/>
        <v>0</v>
      </c>
      <c r="N264">
        <f t="shared" si="168"/>
        <v>0</v>
      </c>
      <c r="O264">
        <f t="shared" si="169"/>
        <v>0</v>
      </c>
      <c r="P264">
        <f t="shared" si="170"/>
        <v>0</v>
      </c>
      <c r="Q264">
        <f t="shared" si="171"/>
        <v>0</v>
      </c>
      <c r="S264">
        <f t="shared" si="147"/>
        <v>52</v>
      </c>
      <c r="T264">
        <f t="shared" si="148"/>
        <v>38</v>
      </c>
      <c r="U264">
        <f t="shared" si="149"/>
        <v>18</v>
      </c>
      <c r="V264">
        <f t="shared" si="150"/>
        <v>21</v>
      </c>
      <c r="W264">
        <f t="shared" si="151"/>
        <v>101</v>
      </c>
      <c r="X264">
        <f t="shared" si="152"/>
        <v>88</v>
      </c>
      <c r="Y264">
        <f t="shared" si="153"/>
        <v>31</v>
      </c>
      <c r="Z264">
        <f t="shared" si="154"/>
        <v>23</v>
      </c>
      <c r="AA264">
        <f t="shared" si="155"/>
        <v>4</v>
      </c>
      <c r="AB264">
        <f t="shared" si="156"/>
        <v>6</v>
      </c>
      <c r="AC264">
        <f t="shared" si="157"/>
        <v>126</v>
      </c>
      <c r="AD264">
        <f t="shared" si="158"/>
        <v>15</v>
      </c>
      <c r="AF264">
        <f t="shared" si="172"/>
        <v>0</v>
      </c>
      <c r="AG264">
        <f t="shared" si="173"/>
        <v>0</v>
      </c>
      <c r="AH264">
        <f t="shared" si="174"/>
        <v>0</v>
      </c>
      <c r="AI264">
        <f t="shared" si="175"/>
        <v>0</v>
      </c>
      <c r="AJ264">
        <f t="shared" si="176"/>
        <v>0</v>
      </c>
      <c r="AK264">
        <f t="shared" si="177"/>
        <v>0</v>
      </c>
      <c r="AL264">
        <f t="shared" si="178"/>
        <v>0</v>
      </c>
      <c r="AM264">
        <f t="shared" si="179"/>
        <v>0</v>
      </c>
      <c r="AN264">
        <f t="shared" si="180"/>
        <v>0</v>
      </c>
      <c r="AO264">
        <f t="shared" si="181"/>
        <v>0</v>
      </c>
      <c r="AP264">
        <f t="shared" si="182"/>
        <v>0</v>
      </c>
      <c r="AQ264">
        <f t="shared" si="183"/>
        <v>0</v>
      </c>
    </row>
    <row r="265" spans="1:43" x14ac:dyDescent="0.45">
      <c r="A265" s="51">
        <v>62</v>
      </c>
      <c r="B265" s="51" t="s">
        <v>293</v>
      </c>
      <c r="C265" s="56" t="s">
        <v>134</v>
      </c>
      <c r="D265" s="50" t="s">
        <v>57</v>
      </c>
      <c r="E265" s="19">
        <v>3244.1570597722962</v>
      </c>
      <c r="F265">
        <f t="shared" si="160"/>
        <v>0</v>
      </c>
      <c r="G265">
        <f t="shared" si="161"/>
        <v>0</v>
      </c>
      <c r="H265">
        <f t="shared" si="162"/>
        <v>0</v>
      </c>
      <c r="I265">
        <f t="shared" si="163"/>
        <v>0</v>
      </c>
      <c r="J265">
        <f t="shared" si="164"/>
        <v>0</v>
      </c>
      <c r="K265">
        <f t="shared" si="165"/>
        <v>0</v>
      </c>
      <c r="L265">
        <f t="shared" si="166"/>
        <v>0</v>
      </c>
      <c r="M265">
        <f t="shared" si="167"/>
        <v>3244.1570597722962</v>
      </c>
      <c r="N265">
        <f t="shared" si="168"/>
        <v>0</v>
      </c>
      <c r="O265">
        <f t="shared" si="169"/>
        <v>0</v>
      </c>
      <c r="P265">
        <f t="shared" si="170"/>
        <v>0</v>
      </c>
      <c r="Q265">
        <f t="shared" si="171"/>
        <v>0</v>
      </c>
      <c r="S265">
        <f t="shared" si="147"/>
        <v>52</v>
      </c>
      <c r="T265">
        <f t="shared" si="148"/>
        <v>38</v>
      </c>
      <c r="U265">
        <f t="shared" si="149"/>
        <v>18</v>
      </c>
      <c r="V265">
        <f t="shared" si="150"/>
        <v>21</v>
      </c>
      <c r="W265">
        <f t="shared" si="151"/>
        <v>101</v>
      </c>
      <c r="X265">
        <f t="shared" si="152"/>
        <v>87</v>
      </c>
      <c r="Y265">
        <f t="shared" si="153"/>
        <v>31</v>
      </c>
      <c r="Z265">
        <f t="shared" si="154"/>
        <v>23</v>
      </c>
      <c r="AA265">
        <f t="shared" si="155"/>
        <v>4</v>
      </c>
      <c r="AB265">
        <f t="shared" si="156"/>
        <v>6</v>
      </c>
      <c r="AC265">
        <f t="shared" si="157"/>
        <v>126</v>
      </c>
      <c r="AD265">
        <f t="shared" si="158"/>
        <v>15</v>
      </c>
      <c r="AF265">
        <f t="shared" si="172"/>
        <v>0</v>
      </c>
      <c r="AG265">
        <f t="shared" si="173"/>
        <v>0</v>
      </c>
      <c r="AH265">
        <f t="shared" si="174"/>
        <v>0</v>
      </c>
      <c r="AI265">
        <f t="shared" si="175"/>
        <v>0</v>
      </c>
      <c r="AJ265">
        <f t="shared" si="176"/>
        <v>0</v>
      </c>
      <c r="AK265">
        <f t="shared" si="177"/>
        <v>0</v>
      </c>
      <c r="AL265">
        <f t="shared" si="178"/>
        <v>0</v>
      </c>
      <c r="AM265">
        <f t="shared" si="179"/>
        <v>0</v>
      </c>
      <c r="AN265">
        <f t="shared" si="180"/>
        <v>0</v>
      </c>
      <c r="AO265">
        <f t="shared" si="181"/>
        <v>0</v>
      </c>
      <c r="AP265">
        <f t="shared" si="182"/>
        <v>0</v>
      </c>
      <c r="AQ265">
        <f t="shared" si="183"/>
        <v>0</v>
      </c>
    </row>
    <row r="266" spans="1:43" x14ac:dyDescent="0.35">
      <c r="A266" s="51">
        <v>63</v>
      </c>
      <c r="B266" s="51" t="s">
        <v>294</v>
      </c>
      <c r="C266" s="62" t="s">
        <v>140</v>
      </c>
      <c r="D266" s="50" t="s">
        <v>54</v>
      </c>
      <c r="E266" s="19">
        <v>3218.0536786360767</v>
      </c>
      <c r="F266">
        <f t="shared" si="160"/>
        <v>0</v>
      </c>
      <c r="G266">
        <f t="shared" si="161"/>
        <v>0</v>
      </c>
      <c r="H266">
        <f t="shared" si="162"/>
        <v>0</v>
      </c>
      <c r="I266">
        <f t="shared" si="163"/>
        <v>0</v>
      </c>
      <c r="J266">
        <f t="shared" si="164"/>
        <v>0</v>
      </c>
      <c r="K266">
        <f t="shared" si="165"/>
        <v>3218.0536786360767</v>
      </c>
      <c r="L266">
        <f t="shared" si="166"/>
        <v>0</v>
      </c>
      <c r="M266">
        <f t="shared" si="167"/>
        <v>0</v>
      </c>
      <c r="N266">
        <f t="shared" si="168"/>
        <v>0</v>
      </c>
      <c r="O266">
        <f t="shared" si="169"/>
        <v>0</v>
      </c>
      <c r="P266">
        <f t="shared" si="170"/>
        <v>0</v>
      </c>
      <c r="Q266">
        <f t="shared" si="171"/>
        <v>0</v>
      </c>
      <c r="S266">
        <f t="shared" si="147"/>
        <v>52</v>
      </c>
      <c r="T266">
        <f t="shared" si="148"/>
        <v>38</v>
      </c>
      <c r="U266">
        <f t="shared" si="149"/>
        <v>18</v>
      </c>
      <c r="V266">
        <f t="shared" si="150"/>
        <v>21</v>
      </c>
      <c r="W266">
        <f t="shared" si="151"/>
        <v>101</v>
      </c>
      <c r="X266">
        <f t="shared" si="152"/>
        <v>87</v>
      </c>
      <c r="Y266">
        <f t="shared" si="153"/>
        <v>31</v>
      </c>
      <c r="Z266">
        <f t="shared" si="154"/>
        <v>22</v>
      </c>
      <c r="AA266">
        <f t="shared" si="155"/>
        <v>4</v>
      </c>
      <c r="AB266">
        <f t="shared" si="156"/>
        <v>6</v>
      </c>
      <c r="AC266">
        <f t="shared" si="157"/>
        <v>126</v>
      </c>
      <c r="AD266">
        <f t="shared" si="158"/>
        <v>15</v>
      </c>
      <c r="AF266">
        <f t="shared" si="172"/>
        <v>0</v>
      </c>
      <c r="AG266">
        <f t="shared" si="173"/>
        <v>0</v>
      </c>
      <c r="AH266">
        <f t="shared" si="174"/>
        <v>0</v>
      </c>
      <c r="AI266">
        <f t="shared" si="175"/>
        <v>0</v>
      </c>
      <c r="AJ266">
        <f t="shared" si="176"/>
        <v>0</v>
      </c>
      <c r="AK266">
        <f t="shared" si="177"/>
        <v>0</v>
      </c>
      <c r="AL266">
        <f t="shared" si="178"/>
        <v>0</v>
      </c>
      <c r="AM266">
        <f t="shared" si="179"/>
        <v>0</v>
      </c>
      <c r="AN266">
        <f t="shared" si="180"/>
        <v>0</v>
      </c>
      <c r="AO266">
        <f t="shared" si="181"/>
        <v>0</v>
      </c>
      <c r="AP266">
        <f t="shared" si="182"/>
        <v>0</v>
      </c>
      <c r="AQ266">
        <f t="shared" si="183"/>
        <v>0</v>
      </c>
    </row>
    <row r="267" spans="1:43" x14ac:dyDescent="0.35">
      <c r="A267" s="51">
        <v>64</v>
      </c>
      <c r="B267" s="51" t="s">
        <v>294</v>
      </c>
      <c r="C267" s="62" t="s">
        <v>141</v>
      </c>
      <c r="D267" s="51" t="s">
        <v>227</v>
      </c>
      <c r="E267" s="19">
        <v>2934.3943080493718</v>
      </c>
      <c r="F267">
        <f t="shared" si="160"/>
        <v>0</v>
      </c>
      <c r="G267">
        <f t="shared" si="161"/>
        <v>2934.3943080493718</v>
      </c>
      <c r="H267">
        <f t="shared" si="162"/>
        <v>0</v>
      </c>
      <c r="I267">
        <f t="shared" si="163"/>
        <v>0</v>
      </c>
      <c r="J267">
        <f t="shared" si="164"/>
        <v>0</v>
      </c>
      <c r="K267">
        <f t="shared" si="165"/>
        <v>0</v>
      </c>
      <c r="L267">
        <f t="shared" si="166"/>
        <v>0</v>
      </c>
      <c r="M267">
        <f t="shared" si="167"/>
        <v>0</v>
      </c>
      <c r="N267">
        <f t="shared" si="168"/>
        <v>0</v>
      </c>
      <c r="O267">
        <f t="shared" si="169"/>
        <v>0</v>
      </c>
      <c r="P267">
        <f t="shared" si="170"/>
        <v>0</v>
      </c>
      <c r="Q267">
        <f t="shared" si="171"/>
        <v>0</v>
      </c>
      <c r="S267">
        <f t="shared" si="147"/>
        <v>52</v>
      </c>
      <c r="T267">
        <f t="shared" si="148"/>
        <v>38</v>
      </c>
      <c r="U267">
        <f t="shared" si="149"/>
        <v>18</v>
      </c>
      <c r="V267">
        <f t="shared" si="150"/>
        <v>21</v>
      </c>
      <c r="W267">
        <f t="shared" si="151"/>
        <v>101</v>
      </c>
      <c r="X267">
        <f t="shared" si="152"/>
        <v>86</v>
      </c>
      <c r="Y267">
        <f t="shared" si="153"/>
        <v>31</v>
      </c>
      <c r="Z267">
        <f t="shared" si="154"/>
        <v>22</v>
      </c>
      <c r="AA267">
        <f t="shared" si="155"/>
        <v>4</v>
      </c>
      <c r="AB267">
        <f t="shared" si="156"/>
        <v>6</v>
      </c>
      <c r="AC267">
        <f t="shared" si="157"/>
        <v>126</v>
      </c>
      <c r="AD267">
        <f t="shared" si="158"/>
        <v>15</v>
      </c>
      <c r="AF267">
        <f t="shared" si="172"/>
        <v>0</v>
      </c>
      <c r="AG267">
        <f t="shared" si="173"/>
        <v>0</v>
      </c>
      <c r="AH267">
        <f t="shared" si="174"/>
        <v>0</v>
      </c>
      <c r="AI267">
        <f t="shared" si="175"/>
        <v>0</v>
      </c>
      <c r="AJ267">
        <f t="shared" si="176"/>
        <v>0</v>
      </c>
      <c r="AK267">
        <f t="shared" si="177"/>
        <v>0</v>
      </c>
      <c r="AL267">
        <f t="shared" si="178"/>
        <v>0</v>
      </c>
      <c r="AM267">
        <f t="shared" si="179"/>
        <v>0</v>
      </c>
      <c r="AN267">
        <f t="shared" si="180"/>
        <v>0</v>
      </c>
      <c r="AO267">
        <f t="shared" si="181"/>
        <v>0</v>
      </c>
      <c r="AP267">
        <f t="shared" si="182"/>
        <v>0</v>
      </c>
      <c r="AQ267">
        <f t="shared" si="183"/>
        <v>0</v>
      </c>
    </row>
    <row r="268" spans="1:43" x14ac:dyDescent="0.35">
      <c r="A268" s="51">
        <v>65</v>
      </c>
      <c r="B268" s="51" t="s">
        <v>294</v>
      </c>
      <c r="C268" s="62" t="s">
        <v>295</v>
      </c>
      <c r="D268" s="74" t="s">
        <v>76</v>
      </c>
      <c r="E268" s="19">
        <v>3089.0871208070616</v>
      </c>
      <c r="F268">
        <f t="shared" si="160"/>
        <v>3089.0871208070616</v>
      </c>
      <c r="G268">
        <f t="shared" si="161"/>
        <v>0</v>
      </c>
      <c r="H268">
        <f t="shared" si="162"/>
        <v>0</v>
      </c>
      <c r="I268">
        <f t="shared" si="163"/>
        <v>0</v>
      </c>
      <c r="J268">
        <f t="shared" si="164"/>
        <v>0</v>
      </c>
      <c r="K268">
        <f t="shared" si="165"/>
        <v>0</v>
      </c>
      <c r="L268">
        <f t="shared" si="166"/>
        <v>0</v>
      </c>
      <c r="M268">
        <f t="shared" si="167"/>
        <v>0</v>
      </c>
      <c r="N268">
        <f t="shared" si="168"/>
        <v>0</v>
      </c>
      <c r="O268">
        <f t="shared" si="169"/>
        <v>0</v>
      </c>
      <c r="P268">
        <f t="shared" si="170"/>
        <v>0</v>
      </c>
      <c r="Q268">
        <f t="shared" si="171"/>
        <v>0</v>
      </c>
      <c r="S268">
        <f t="shared" si="147"/>
        <v>52</v>
      </c>
      <c r="T268">
        <f t="shared" si="148"/>
        <v>37</v>
      </c>
      <c r="U268">
        <f t="shared" si="149"/>
        <v>18</v>
      </c>
      <c r="V268">
        <f t="shared" si="150"/>
        <v>21</v>
      </c>
      <c r="W268">
        <f t="shared" si="151"/>
        <v>101</v>
      </c>
      <c r="X268">
        <f t="shared" si="152"/>
        <v>86</v>
      </c>
      <c r="Y268">
        <f t="shared" si="153"/>
        <v>31</v>
      </c>
      <c r="Z268">
        <f t="shared" si="154"/>
        <v>22</v>
      </c>
      <c r="AA268">
        <f t="shared" si="155"/>
        <v>4</v>
      </c>
      <c r="AB268">
        <f t="shared" si="156"/>
        <v>6</v>
      </c>
      <c r="AC268">
        <f t="shared" si="157"/>
        <v>126</v>
      </c>
      <c r="AD268">
        <f t="shared" si="158"/>
        <v>15</v>
      </c>
      <c r="AF268">
        <f t="shared" si="172"/>
        <v>0</v>
      </c>
      <c r="AG268">
        <f t="shared" si="173"/>
        <v>0</v>
      </c>
      <c r="AH268">
        <f t="shared" si="174"/>
        <v>0</v>
      </c>
      <c r="AI268">
        <f t="shared" si="175"/>
        <v>0</v>
      </c>
      <c r="AJ268">
        <f t="shared" si="176"/>
        <v>0</v>
      </c>
      <c r="AK268">
        <f t="shared" si="177"/>
        <v>0</v>
      </c>
      <c r="AL268">
        <f t="shared" si="178"/>
        <v>0</v>
      </c>
      <c r="AM268">
        <f t="shared" si="179"/>
        <v>0</v>
      </c>
      <c r="AN268">
        <f t="shared" si="180"/>
        <v>0</v>
      </c>
      <c r="AO268">
        <f t="shared" si="181"/>
        <v>0</v>
      </c>
      <c r="AP268">
        <f t="shared" si="182"/>
        <v>0</v>
      </c>
      <c r="AQ268">
        <f t="shared" si="183"/>
        <v>0</v>
      </c>
    </row>
    <row r="269" spans="1:43" x14ac:dyDescent="0.35">
      <c r="A269" s="51">
        <v>66</v>
      </c>
      <c r="B269" s="51" t="s">
        <v>294</v>
      </c>
      <c r="C269" s="62" t="s">
        <v>138</v>
      </c>
      <c r="D269" s="74" t="s">
        <v>67</v>
      </c>
      <c r="E269" s="19">
        <v>2733.4365672062227</v>
      </c>
      <c r="F269">
        <f t="shared" si="160"/>
        <v>0</v>
      </c>
      <c r="G269">
        <f t="shared" si="161"/>
        <v>0</v>
      </c>
      <c r="H269">
        <f t="shared" si="162"/>
        <v>0</v>
      </c>
      <c r="I269">
        <f t="shared" si="163"/>
        <v>2733.4365672062227</v>
      </c>
      <c r="J269">
        <f t="shared" si="164"/>
        <v>0</v>
      </c>
      <c r="K269">
        <f t="shared" si="165"/>
        <v>0</v>
      </c>
      <c r="L269">
        <f t="shared" si="166"/>
        <v>0</v>
      </c>
      <c r="M269">
        <f t="shared" si="167"/>
        <v>0</v>
      </c>
      <c r="N269">
        <f t="shared" si="168"/>
        <v>0</v>
      </c>
      <c r="O269">
        <f t="shared" si="169"/>
        <v>0</v>
      </c>
      <c r="P269">
        <f t="shared" si="170"/>
        <v>0</v>
      </c>
      <c r="Q269">
        <f t="shared" si="171"/>
        <v>0</v>
      </c>
      <c r="S269">
        <f t="shared" si="147"/>
        <v>51</v>
      </c>
      <c r="T269">
        <f t="shared" si="148"/>
        <v>37</v>
      </c>
      <c r="U269">
        <f t="shared" si="149"/>
        <v>18</v>
      </c>
      <c r="V269">
        <f t="shared" si="150"/>
        <v>21</v>
      </c>
      <c r="W269">
        <f t="shared" si="151"/>
        <v>101</v>
      </c>
      <c r="X269">
        <f t="shared" si="152"/>
        <v>86</v>
      </c>
      <c r="Y269">
        <f t="shared" si="153"/>
        <v>31</v>
      </c>
      <c r="Z269">
        <f t="shared" si="154"/>
        <v>22</v>
      </c>
      <c r="AA269">
        <f t="shared" si="155"/>
        <v>4</v>
      </c>
      <c r="AB269">
        <f t="shared" si="156"/>
        <v>6</v>
      </c>
      <c r="AC269">
        <f t="shared" si="157"/>
        <v>126</v>
      </c>
      <c r="AD269">
        <f t="shared" si="158"/>
        <v>15</v>
      </c>
      <c r="AF269">
        <f t="shared" si="172"/>
        <v>0</v>
      </c>
      <c r="AG269">
        <f t="shared" si="173"/>
        <v>0</v>
      </c>
      <c r="AH269">
        <f t="shared" si="174"/>
        <v>0</v>
      </c>
      <c r="AI269">
        <f t="shared" si="175"/>
        <v>0</v>
      </c>
      <c r="AJ269">
        <f t="shared" si="176"/>
        <v>0</v>
      </c>
      <c r="AK269">
        <f t="shared" si="177"/>
        <v>0</v>
      </c>
      <c r="AL269">
        <f t="shared" si="178"/>
        <v>0</v>
      </c>
      <c r="AM269">
        <f t="shared" si="179"/>
        <v>0</v>
      </c>
      <c r="AN269">
        <f t="shared" si="180"/>
        <v>0</v>
      </c>
      <c r="AO269">
        <f t="shared" si="181"/>
        <v>0</v>
      </c>
      <c r="AP269">
        <f t="shared" si="182"/>
        <v>0</v>
      </c>
      <c r="AQ269">
        <f t="shared" si="183"/>
        <v>0</v>
      </c>
    </row>
    <row r="270" spans="1:43" x14ac:dyDescent="0.35">
      <c r="A270" s="51">
        <v>67</v>
      </c>
      <c r="B270" s="51" t="s">
        <v>296</v>
      </c>
      <c r="C270" s="62" t="s">
        <v>142</v>
      </c>
      <c r="D270" s="51" t="s">
        <v>76</v>
      </c>
      <c r="E270" s="19">
        <v>3196.7908720648625</v>
      </c>
      <c r="F270">
        <f t="shared" si="160"/>
        <v>3196.7908720648625</v>
      </c>
      <c r="G270">
        <f t="shared" si="161"/>
        <v>0</v>
      </c>
      <c r="H270">
        <f t="shared" si="162"/>
        <v>0</v>
      </c>
      <c r="I270">
        <f t="shared" si="163"/>
        <v>0</v>
      </c>
      <c r="J270">
        <f t="shared" si="164"/>
        <v>0</v>
      </c>
      <c r="K270">
        <f t="shared" si="165"/>
        <v>0</v>
      </c>
      <c r="L270">
        <f t="shared" si="166"/>
        <v>0</v>
      </c>
      <c r="M270">
        <f t="shared" si="167"/>
        <v>0</v>
      </c>
      <c r="N270">
        <f t="shared" si="168"/>
        <v>0</v>
      </c>
      <c r="O270">
        <f t="shared" si="169"/>
        <v>0</v>
      </c>
      <c r="P270">
        <f t="shared" si="170"/>
        <v>0</v>
      </c>
      <c r="Q270">
        <f t="shared" si="171"/>
        <v>0</v>
      </c>
      <c r="S270">
        <f t="shared" si="147"/>
        <v>51</v>
      </c>
      <c r="T270">
        <f t="shared" si="148"/>
        <v>37</v>
      </c>
      <c r="U270">
        <f t="shared" si="149"/>
        <v>18</v>
      </c>
      <c r="V270">
        <f t="shared" si="150"/>
        <v>20</v>
      </c>
      <c r="W270">
        <f t="shared" si="151"/>
        <v>101</v>
      </c>
      <c r="X270">
        <f t="shared" si="152"/>
        <v>86</v>
      </c>
      <c r="Y270">
        <f t="shared" si="153"/>
        <v>31</v>
      </c>
      <c r="Z270">
        <f t="shared" si="154"/>
        <v>22</v>
      </c>
      <c r="AA270">
        <f t="shared" si="155"/>
        <v>4</v>
      </c>
      <c r="AB270">
        <f t="shared" si="156"/>
        <v>6</v>
      </c>
      <c r="AC270">
        <f t="shared" si="157"/>
        <v>126</v>
      </c>
      <c r="AD270">
        <f t="shared" si="158"/>
        <v>15</v>
      </c>
      <c r="AF270">
        <f t="shared" si="172"/>
        <v>0</v>
      </c>
      <c r="AG270">
        <f t="shared" si="173"/>
        <v>0</v>
      </c>
      <c r="AH270">
        <f t="shared" si="174"/>
        <v>0</v>
      </c>
      <c r="AI270">
        <f t="shared" si="175"/>
        <v>0</v>
      </c>
      <c r="AJ270">
        <f t="shared" si="176"/>
        <v>0</v>
      </c>
      <c r="AK270">
        <f t="shared" si="177"/>
        <v>0</v>
      </c>
      <c r="AL270">
        <f t="shared" si="178"/>
        <v>0</v>
      </c>
      <c r="AM270">
        <f t="shared" si="179"/>
        <v>0</v>
      </c>
      <c r="AN270">
        <f t="shared" si="180"/>
        <v>0</v>
      </c>
      <c r="AO270">
        <f t="shared" si="181"/>
        <v>0</v>
      </c>
      <c r="AP270">
        <f t="shared" si="182"/>
        <v>0</v>
      </c>
      <c r="AQ270">
        <f t="shared" si="183"/>
        <v>0</v>
      </c>
    </row>
    <row r="271" spans="1:43" x14ac:dyDescent="0.45">
      <c r="A271" s="51">
        <v>68</v>
      </c>
      <c r="B271" s="51" t="s">
        <v>296</v>
      </c>
      <c r="C271" s="56" t="s">
        <v>145</v>
      </c>
      <c r="D271" s="50" t="s">
        <v>228</v>
      </c>
      <c r="E271" s="19">
        <v>3407.9019675925924</v>
      </c>
      <c r="F271">
        <f t="shared" si="160"/>
        <v>0</v>
      </c>
      <c r="G271">
        <f t="shared" si="161"/>
        <v>0</v>
      </c>
      <c r="H271">
        <f t="shared" si="162"/>
        <v>0</v>
      </c>
      <c r="I271">
        <f t="shared" si="163"/>
        <v>0</v>
      </c>
      <c r="J271">
        <f t="shared" si="164"/>
        <v>0</v>
      </c>
      <c r="K271">
        <f t="shared" si="165"/>
        <v>0</v>
      </c>
      <c r="L271">
        <f t="shared" si="166"/>
        <v>0</v>
      </c>
      <c r="M271">
        <f t="shared" si="167"/>
        <v>0</v>
      </c>
      <c r="N271">
        <f t="shared" si="168"/>
        <v>0</v>
      </c>
      <c r="O271">
        <f t="shared" si="169"/>
        <v>0</v>
      </c>
      <c r="P271">
        <f t="shared" si="170"/>
        <v>3407.9019675925924</v>
      </c>
      <c r="Q271">
        <f t="shared" si="171"/>
        <v>0</v>
      </c>
      <c r="S271">
        <f t="shared" si="147"/>
        <v>50</v>
      </c>
      <c r="T271">
        <f t="shared" si="148"/>
        <v>37</v>
      </c>
      <c r="U271">
        <f t="shared" si="149"/>
        <v>18</v>
      </c>
      <c r="V271">
        <f t="shared" si="150"/>
        <v>20</v>
      </c>
      <c r="W271">
        <f t="shared" si="151"/>
        <v>101</v>
      </c>
      <c r="X271">
        <f t="shared" si="152"/>
        <v>86</v>
      </c>
      <c r="Y271">
        <f t="shared" si="153"/>
        <v>31</v>
      </c>
      <c r="Z271">
        <f t="shared" si="154"/>
        <v>22</v>
      </c>
      <c r="AA271">
        <f t="shared" si="155"/>
        <v>4</v>
      </c>
      <c r="AB271">
        <f t="shared" si="156"/>
        <v>6</v>
      </c>
      <c r="AC271">
        <f t="shared" si="157"/>
        <v>126</v>
      </c>
      <c r="AD271">
        <f t="shared" si="158"/>
        <v>15</v>
      </c>
      <c r="AF271">
        <f t="shared" si="172"/>
        <v>0</v>
      </c>
      <c r="AG271">
        <f t="shared" si="173"/>
        <v>0</v>
      </c>
      <c r="AH271">
        <f t="shared" si="174"/>
        <v>0</v>
      </c>
      <c r="AI271">
        <f t="shared" si="175"/>
        <v>0</v>
      </c>
      <c r="AJ271">
        <f t="shared" si="176"/>
        <v>0</v>
      </c>
      <c r="AK271">
        <f t="shared" si="177"/>
        <v>0</v>
      </c>
      <c r="AL271">
        <f t="shared" si="178"/>
        <v>0</v>
      </c>
      <c r="AM271">
        <f t="shared" si="179"/>
        <v>0</v>
      </c>
      <c r="AN271">
        <f t="shared" si="180"/>
        <v>0</v>
      </c>
      <c r="AO271">
        <f t="shared" si="181"/>
        <v>0</v>
      </c>
      <c r="AP271">
        <f t="shared" si="182"/>
        <v>0</v>
      </c>
      <c r="AQ271">
        <f t="shared" si="183"/>
        <v>0</v>
      </c>
    </row>
    <row r="272" spans="1:43" x14ac:dyDescent="0.45">
      <c r="A272" s="51">
        <v>69</v>
      </c>
      <c r="B272" s="51" t="s">
        <v>296</v>
      </c>
      <c r="C272" s="56" t="s">
        <v>143</v>
      </c>
      <c r="D272" s="50" t="s">
        <v>222</v>
      </c>
      <c r="E272" s="19">
        <v>3615.8500871962128</v>
      </c>
      <c r="F272">
        <f t="shared" si="160"/>
        <v>0</v>
      </c>
      <c r="G272">
        <f t="shared" si="161"/>
        <v>0</v>
      </c>
      <c r="H272">
        <f t="shared" si="162"/>
        <v>0</v>
      </c>
      <c r="I272">
        <f t="shared" si="163"/>
        <v>0</v>
      </c>
      <c r="J272">
        <f t="shared" si="164"/>
        <v>0</v>
      </c>
      <c r="K272">
        <f t="shared" si="165"/>
        <v>0</v>
      </c>
      <c r="L272">
        <f t="shared" si="166"/>
        <v>0</v>
      </c>
      <c r="M272">
        <f t="shared" si="167"/>
        <v>0</v>
      </c>
      <c r="N272">
        <f t="shared" si="168"/>
        <v>0</v>
      </c>
      <c r="O272">
        <f t="shared" si="169"/>
        <v>0</v>
      </c>
      <c r="P272">
        <f t="shared" si="170"/>
        <v>0</v>
      </c>
      <c r="Q272">
        <f t="shared" si="171"/>
        <v>3615.8500871962128</v>
      </c>
      <c r="S272">
        <f t="shared" si="147"/>
        <v>50</v>
      </c>
      <c r="T272">
        <f t="shared" si="148"/>
        <v>37</v>
      </c>
      <c r="U272">
        <f t="shared" si="149"/>
        <v>18</v>
      </c>
      <c r="V272">
        <f t="shared" si="150"/>
        <v>20</v>
      </c>
      <c r="W272">
        <f t="shared" si="151"/>
        <v>101</v>
      </c>
      <c r="X272">
        <f t="shared" si="152"/>
        <v>86</v>
      </c>
      <c r="Y272">
        <f t="shared" si="153"/>
        <v>31</v>
      </c>
      <c r="Z272">
        <f t="shared" si="154"/>
        <v>22</v>
      </c>
      <c r="AA272">
        <f t="shared" si="155"/>
        <v>4</v>
      </c>
      <c r="AB272">
        <f t="shared" si="156"/>
        <v>6</v>
      </c>
      <c r="AC272">
        <f t="shared" si="157"/>
        <v>125</v>
      </c>
      <c r="AD272">
        <f t="shared" si="158"/>
        <v>15</v>
      </c>
      <c r="AF272">
        <f t="shared" si="172"/>
        <v>0</v>
      </c>
      <c r="AG272">
        <f t="shared" si="173"/>
        <v>0</v>
      </c>
      <c r="AH272">
        <f t="shared" si="174"/>
        <v>0</v>
      </c>
      <c r="AI272">
        <f t="shared" si="175"/>
        <v>0</v>
      </c>
      <c r="AJ272">
        <f t="shared" si="176"/>
        <v>0</v>
      </c>
      <c r="AK272">
        <f t="shared" si="177"/>
        <v>0</v>
      </c>
      <c r="AL272">
        <f t="shared" si="178"/>
        <v>0</v>
      </c>
      <c r="AM272">
        <f t="shared" si="179"/>
        <v>0</v>
      </c>
      <c r="AN272">
        <f t="shared" si="180"/>
        <v>0</v>
      </c>
      <c r="AO272">
        <f t="shared" si="181"/>
        <v>0</v>
      </c>
      <c r="AP272">
        <f t="shared" si="182"/>
        <v>0</v>
      </c>
      <c r="AQ272">
        <f t="shared" si="183"/>
        <v>0</v>
      </c>
    </row>
    <row r="273" spans="1:43" x14ac:dyDescent="0.35">
      <c r="A273" s="51">
        <v>70</v>
      </c>
      <c r="B273" s="51" t="s">
        <v>297</v>
      </c>
      <c r="C273" s="62" t="s">
        <v>147</v>
      </c>
      <c r="D273" s="51" t="s">
        <v>76</v>
      </c>
      <c r="E273" s="19">
        <v>3249.4919933628321</v>
      </c>
      <c r="F273">
        <f t="shared" si="160"/>
        <v>3249.4919933628321</v>
      </c>
      <c r="G273">
        <f t="shared" si="161"/>
        <v>0</v>
      </c>
      <c r="H273">
        <f t="shared" si="162"/>
        <v>0</v>
      </c>
      <c r="I273">
        <f t="shared" si="163"/>
        <v>0</v>
      </c>
      <c r="J273">
        <f t="shared" si="164"/>
        <v>0</v>
      </c>
      <c r="K273">
        <f t="shared" si="165"/>
        <v>0</v>
      </c>
      <c r="L273">
        <f t="shared" si="166"/>
        <v>0</v>
      </c>
      <c r="M273">
        <f t="shared" si="167"/>
        <v>0</v>
      </c>
      <c r="N273">
        <f t="shared" si="168"/>
        <v>0</v>
      </c>
      <c r="O273">
        <f t="shared" si="169"/>
        <v>0</v>
      </c>
      <c r="P273">
        <f t="shared" si="170"/>
        <v>0</v>
      </c>
      <c r="Q273">
        <f t="shared" si="171"/>
        <v>0</v>
      </c>
      <c r="S273">
        <f t="shared" si="147"/>
        <v>50</v>
      </c>
      <c r="T273">
        <f t="shared" si="148"/>
        <v>37</v>
      </c>
      <c r="U273">
        <f t="shared" si="149"/>
        <v>18</v>
      </c>
      <c r="V273">
        <f t="shared" si="150"/>
        <v>20</v>
      </c>
      <c r="W273">
        <f t="shared" si="151"/>
        <v>101</v>
      </c>
      <c r="X273">
        <f t="shared" si="152"/>
        <v>86</v>
      </c>
      <c r="Y273">
        <f t="shared" si="153"/>
        <v>31</v>
      </c>
      <c r="Z273">
        <f t="shared" si="154"/>
        <v>22</v>
      </c>
      <c r="AA273">
        <f t="shared" si="155"/>
        <v>4</v>
      </c>
      <c r="AB273">
        <f t="shared" si="156"/>
        <v>6</v>
      </c>
      <c r="AC273">
        <f t="shared" si="157"/>
        <v>125</v>
      </c>
      <c r="AD273">
        <f t="shared" si="158"/>
        <v>14</v>
      </c>
      <c r="AF273">
        <f t="shared" si="172"/>
        <v>0</v>
      </c>
      <c r="AG273">
        <f t="shared" si="173"/>
        <v>0</v>
      </c>
      <c r="AH273">
        <f t="shared" si="174"/>
        <v>0</v>
      </c>
      <c r="AI273">
        <f t="shared" si="175"/>
        <v>0</v>
      </c>
      <c r="AJ273">
        <f t="shared" si="176"/>
        <v>0</v>
      </c>
      <c r="AK273">
        <f t="shared" si="177"/>
        <v>0</v>
      </c>
      <c r="AL273">
        <f t="shared" si="178"/>
        <v>0</v>
      </c>
      <c r="AM273">
        <f t="shared" si="179"/>
        <v>0</v>
      </c>
      <c r="AN273">
        <f t="shared" si="180"/>
        <v>0</v>
      </c>
      <c r="AO273">
        <f t="shared" si="181"/>
        <v>0</v>
      </c>
      <c r="AP273">
        <f t="shared" si="182"/>
        <v>0</v>
      </c>
      <c r="AQ273">
        <f t="shared" si="183"/>
        <v>0</v>
      </c>
    </row>
    <row r="274" spans="1:43" x14ac:dyDescent="0.45">
      <c r="A274" s="51">
        <v>71</v>
      </c>
      <c r="B274" s="51" t="s">
        <v>297</v>
      </c>
      <c r="C274" s="56" t="s">
        <v>148</v>
      </c>
      <c r="D274" s="50" t="s">
        <v>228</v>
      </c>
      <c r="E274" s="19">
        <v>3428.4115437230348</v>
      </c>
      <c r="F274">
        <f t="shared" si="160"/>
        <v>0</v>
      </c>
      <c r="G274">
        <f t="shared" si="161"/>
        <v>0</v>
      </c>
      <c r="H274">
        <f t="shared" si="162"/>
        <v>0</v>
      </c>
      <c r="I274">
        <f t="shared" si="163"/>
        <v>0</v>
      </c>
      <c r="J274">
        <f t="shared" si="164"/>
        <v>0</v>
      </c>
      <c r="K274">
        <f t="shared" si="165"/>
        <v>0</v>
      </c>
      <c r="L274">
        <f t="shared" si="166"/>
        <v>0</v>
      </c>
      <c r="M274">
        <f t="shared" si="167"/>
        <v>0</v>
      </c>
      <c r="N274">
        <f t="shared" si="168"/>
        <v>0</v>
      </c>
      <c r="O274">
        <f t="shared" si="169"/>
        <v>0</v>
      </c>
      <c r="P274">
        <f t="shared" si="170"/>
        <v>3428.4115437230348</v>
      </c>
      <c r="Q274">
        <f t="shared" si="171"/>
        <v>0</v>
      </c>
      <c r="S274">
        <f t="shared" si="147"/>
        <v>49</v>
      </c>
      <c r="T274">
        <f t="shared" si="148"/>
        <v>37</v>
      </c>
      <c r="U274">
        <f t="shared" si="149"/>
        <v>18</v>
      </c>
      <c r="V274">
        <f t="shared" si="150"/>
        <v>20</v>
      </c>
      <c r="W274">
        <f t="shared" si="151"/>
        <v>101</v>
      </c>
      <c r="X274">
        <f t="shared" si="152"/>
        <v>86</v>
      </c>
      <c r="Y274">
        <f t="shared" si="153"/>
        <v>31</v>
      </c>
      <c r="Z274">
        <f t="shared" si="154"/>
        <v>22</v>
      </c>
      <c r="AA274">
        <f t="shared" si="155"/>
        <v>4</v>
      </c>
      <c r="AB274">
        <f t="shared" si="156"/>
        <v>6</v>
      </c>
      <c r="AC274">
        <f t="shared" si="157"/>
        <v>125</v>
      </c>
      <c r="AD274">
        <f t="shared" si="158"/>
        <v>14</v>
      </c>
      <c r="AF274">
        <f t="shared" si="172"/>
        <v>0</v>
      </c>
      <c r="AG274">
        <f t="shared" si="173"/>
        <v>0</v>
      </c>
      <c r="AH274">
        <f t="shared" si="174"/>
        <v>0</v>
      </c>
      <c r="AI274">
        <f t="shared" si="175"/>
        <v>0</v>
      </c>
      <c r="AJ274">
        <f t="shared" si="176"/>
        <v>0</v>
      </c>
      <c r="AK274">
        <f t="shared" si="177"/>
        <v>0</v>
      </c>
      <c r="AL274">
        <f t="shared" si="178"/>
        <v>0</v>
      </c>
      <c r="AM274">
        <f t="shared" si="179"/>
        <v>0</v>
      </c>
      <c r="AN274">
        <f t="shared" si="180"/>
        <v>0</v>
      </c>
      <c r="AO274">
        <f t="shared" si="181"/>
        <v>0</v>
      </c>
      <c r="AP274">
        <f t="shared" si="182"/>
        <v>0</v>
      </c>
      <c r="AQ274">
        <f t="shared" si="183"/>
        <v>0</v>
      </c>
    </row>
    <row r="275" spans="1:43" x14ac:dyDescent="0.45">
      <c r="A275" s="51">
        <v>72</v>
      </c>
      <c r="B275" s="51" t="s">
        <v>297</v>
      </c>
      <c r="C275" s="56" t="s">
        <v>146</v>
      </c>
      <c r="D275" s="50" t="s">
        <v>54</v>
      </c>
      <c r="E275" s="19">
        <v>3421.9685676927925</v>
      </c>
      <c r="F275">
        <f t="shared" si="160"/>
        <v>0</v>
      </c>
      <c r="G275">
        <f t="shared" si="161"/>
        <v>0</v>
      </c>
      <c r="H275">
        <f t="shared" si="162"/>
        <v>0</v>
      </c>
      <c r="I275">
        <f t="shared" si="163"/>
        <v>0</v>
      </c>
      <c r="J275">
        <f t="shared" si="164"/>
        <v>0</v>
      </c>
      <c r="K275">
        <f t="shared" si="165"/>
        <v>3421.9685676927925</v>
      </c>
      <c r="L275">
        <f t="shared" si="166"/>
        <v>0</v>
      </c>
      <c r="M275">
        <f t="shared" si="167"/>
        <v>0</v>
      </c>
      <c r="N275">
        <f t="shared" si="168"/>
        <v>0</v>
      </c>
      <c r="O275">
        <f t="shared" si="169"/>
        <v>0</v>
      </c>
      <c r="P275">
        <f t="shared" si="170"/>
        <v>0</v>
      </c>
      <c r="Q275">
        <f t="shared" si="171"/>
        <v>0</v>
      </c>
      <c r="S275">
        <f t="shared" si="147"/>
        <v>49</v>
      </c>
      <c r="T275">
        <f t="shared" si="148"/>
        <v>37</v>
      </c>
      <c r="U275">
        <f t="shared" si="149"/>
        <v>18</v>
      </c>
      <c r="V275">
        <f t="shared" si="150"/>
        <v>20</v>
      </c>
      <c r="W275">
        <f t="shared" si="151"/>
        <v>101</v>
      </c>
      <c r="X275">
        <f t="shared" si="152"/>
        <v>86</v>
      </c>
      <c r="Y275">
        <f t="shared" si="153"/>
        <v>31</v>
      </c>
      <c r="Z275">
        <f t="shared" si="154"/>
        <v>22</v>
      </c>
      <c r="AA275">
        <f t="shared" si="155"/>
        <v>4</v>
      </c>
      <c r="AB275">
        <f t="shared" si="156"/>
        <v>6</v>
      </c>
      <c r="AC275">
        <f t="shared" si="157"/>
        <v>124</v>
      </c>
      <c r="AD275">
        <f t="shared" si="158"/>
        <v>14</v>
      </c>
      <c r="AF275">
        <f t="shared" si="172"/>
        <v>0</v>
      </c>
      <c r="AG275">
        <f t="shared" si="173"/>
        <v>0</v>
      </c>
      <c r="AH275">
        <f t="shared" si="174"/>
        <v>0</v>
      </c>
      <c r="AI275">
        <f t="shared" si="175"/>
        <v>0</v>
      </c>
      <c r="AJ275">
        <f t="shared" si="176"/>
        <v>0</v>
      </c>
      <c r="AK275">
        <f t="shared" si="177"/>
        <v>0</v>
      </c>
      <c r="AL275">
        <f t="shared" si="178"/>
        <v>0</v>
      </c>
      <c r="AM275">
        <f t="shared" si="179"/>
        <v>0</v>
      </c>
      <c r="AN275">
        <f t="shared" si="180"/>
        <v>0</v>
      </c>
      <c r="AO275">
        <f t="shared" si="181"/>
        <v>0</v>
      </c>
      <c r="AP275">
        <f t="shared" si="182"/>
        <v>0</v>
      </c>
      <c r="AQ275">
        <f t="shared" si="183"/>
        <v>0</v>
      </c>
    </row>
    <row r="276" spans="1:43" x14ac:dyDescent="0.35">
      <c r="A276" s="51">
        <v>73</v>
      </c>
      <c r="B276" s="51" t="s">
        <v>298</v>
      </c>
      <c r="C276" s="62" t="s">
        <v>150</v>
      </c>
      <c r="D276" s="51" t="s">
        <v>54</v>
      </c>
      <c r="E276" s="45">
        <v>2629.3334772995163</v>
      </c>
      <c r="F276">
        <f t="shared" si="160"/>
        <v>0</v>
      </c>
      <c r="G276">
        <f t="shared" si="161"/>
        <v>0</v>
      </c>
      <c r="H276">
        <f t="shared" si="162"/>
        <v>0</v>
      </c>
      <c r="I276">
        <f t="shared" si="163"/>
        <v>0</v>
      </c>
      <c r="J276">
        <f t="shared" si="164"/>
        <v>0</v>
      </c>
      <c r="K276">
        <f t="shared" si="165"/>
        <v>2629.3334772995163</v>
      </c>
      <c r="L276">
        <f t="shared" si="166"/>
        <v>0</v>
      </c>
      <c r="M276">
        <f t="shared" si="167"/>
        <v>0</v>
      </c>
      <c r="N276">
        <f t="shared" si="168"/>
        <v>0</v>
      </c>
      <c r="O276">
        <f t="shared" si="169"/>
        <v>0</v>
      </c>
      <c r="P276">
        <f t="shared" si="170"/>
        <v>0</v>
      </c>
      <c r="Q276">
        <f t="shared" si="171"/>
        <v>0</v>
      </c>
      <c r="S276">
        <f t="shared" si="147"/>
        <v>49</v>
      </c>
      <c r="T276">
        <f t="shared" si="148"/>
        <v>37</v>
      </c>
      <c r="U276">
        <f t="shared" si="149"/>
        <v>18</v>
      </c>
      <c r="V276">
        <f t="shared" si="150"/>
        <v>20</v>
      </c>
      <c r="W276">
        <f t="shared" si="151"/>
        <v>101</v>
      </c>
      <c r="X276">
        <f t="shared" si="152"/>
        <v>85</v>
      </c>
      <c r="Y276">
        <f t="shared" si="153"/>
        <v>31</v>
      </c>
      <c r="Z276">
        <f t="shared" si="154"/>
        <v>22</v>
      </c>
      <c r="AA276">
        <f t="shared" si="155"/>
        <v>4</v>
      </c>
      <c r="AB276">
        <f t="shared" si="156"/>
        <v>6</v>
      </c>
      <c r="AC276">
        <f t="shared" si="157"/>
        <v>124</v>
      </c>
      <c r="AD276">
        <f t="shared" si="158"/>
        <v>14</v>
      </c>
      <c r="AF276">
        <f t="shared" si="172"/>
        <v>0</v>
      </c>
      <c r="AG276">
        <f t="shared" si="173"/>
        <v>0</v>
      </c>
      <c r="AH276">
        <f t="shared" si="174"/>
        <v>0</v>
      </c>
      <c r="AI276">
        <f t="shared" si="175"/>
        <v>0</v>
      </c>
      <c r="AJ276">
        <f t="shared" si="176"/>
        <v>0</v>
      </c>
      <c r="AK276">
        <f t="shared" si="177"/>
        <v>0</v>
      </c>
      <c r="AL276">
        <f t="shared" si="178"/>
        <v>0</v>
      </c>
      <c r="AM276">
        <f t="shared" si="179"/>
        <v>0</v>
      </c>
      <c r="AN276">
        <f t="shared" si="180"/>
        <v>0</v>
      </c>
      <c r="AO276">
        <f t="shared" si="181"/>
        <v>0</v>
      </c>
      <c r="AP276">
        <f t="shared" si="182"/>
        <v>0</v>
      </c>
      <c r="AQ276">
        <f t="shared" si="183"/>
        <v>0</v>
      </c>
    </row>
    <row r="277" spans="1:43" x14ac:dyDescent="0.45">
      <c r="A277" s="51">
        <v>74</v>
      </c>
      <c r="B277" s="51" t="s">
        <v>298</v>
      </c>
      <c r="C277" s="56" t="s">
        <v>151</v>
      </c>
      <c r="D277" s="50" t="s">
        <v>57</v>
      </c>
      <c r="E277" s="19">
        <v>3275.6985103172092</v>
      </c>
      <c r="F277">
        <f t="shared" si="160"/>
        <v>0</v>
      </c>
      <c r="G277">
        <f t="shared" si="161"/>
        <v>0</v>
      </c>
      <c r="H277">
        <f t="shared" si="162"/>
        <v>0</v>
      </c>
      <c r="I277">
        <f t="shared" si="163"/>
        <v>0</v>
      </c>
      <c r="J277">
        <f t="shared" si="164"/>
        <v>0</v>
      </c>
      <c r="K277">
        <f t="shared" si="165"/>
        <v>0</v>
      </c>
      <c r="L277">
        <f t="shared" si="166"/>
        <v>0</v>
      </c>
      <c r="M277">
        <f t="shared" si="167"/>
        <v>3275.6985103172092</v>
      </c>
      <c r="N277">
        <f t="shared" si="168"/>
        <v>0</v>
      </c>
      <c r="O277">
        <f t="shared" si="169"/>
        <v>0</v>
      </c>
      <c r="P277">
        <f t="shared" si="170"/>
        <v>0</v>
      </c>
      <c r="Q277">
        <f t="shared" si="171"/>
        <v>0</v>
      </c>
      <c r="S277">
        <f t="shared" si="147"/>
        <v>49</v>
      </c>
      <c r="T277">
        <f t="shared" si="148"/>
        <v>37</v>
      </c>
      <c r="U277">
        <f t="shared" si="149"/>
        <v>18</v>
      </c>
      <c r="V277">
        <f t="shared" si="150"/>
        <v>20</v>
      </c>
      <c r="W277">
        <f t="shared" si="151"/>
        <v>101</v>
      </c>
      <c r="X277">
        <f t="shared" si="152"/>
        <v>84</v>
      </c>
      <c r="Y277">
        <f t="shared" si="153"/>
        <v>31</v>
      </c>
      <c r="Z277">
        <f t="shared" si="154"/>
        <v>22</v>
      </c>
      <c r="AA277">
        <f t="shared" si="155"/>
        <v>4</v>
      </c>
      <c r="AB277">
        <f t="shared" si="156"/>
        <v>6</v>
      </c>
      <c r="AC277">
        <f t="shared" si="157"/>
        <v>124</v>
      </c>
      <c r="AD277">
        <f t="shared" si="158"/>
        <v>14</v>
      </c>
      <c r="AF277">
        <f t="shared" si="172"/>
        <v>0</v>
      </c>
      <c r="AG277">
        <f t="shared" si="173"/>
        <v>0</v>
      </c>
      <c r="AH277">
        <f t="shared" si="174"/>
        <v>0</v>
      </c>
      <c r="AI277">
        <f t="shared" si="175"/>
        <v>0</v>
      </c>
      <c r="AJ277">
        <f t="shared" si="176"/>
        <v>0</v>
      </c>
      <c r="AK277">
        <f t="shared" si="177"/>
        <v>0</v>
      </c>
      <c r="AL277">
        <f t="shared" si="178"/>
        <v>0</v>
      </c>
      <c r="AM277">
        <f t="shared" si="179"/>
        <v>0</v>
      </c>
      <c r="AN277">
        <f t="shared" si="180"/>
        <v>0</v>
      </c>
      <c r="AO277">
        <f t="shared" si="181"/>
        <v>0</v>
      </c>
      <c r="AP277">
        <f t="shared" si="182"/>
        <v>0</v>
      </c>
      <c r="AQ277">
        <f t="shared" si="183"/>
        <v>0</v>
      </c>
    </row>
    <row r="278" spans="1:43" x14ac:dyDescent="0.45">
      <c r="A278" s="51">
        <v>75</v>
      </c>
      <c r="B278" s="51" t="s">
        <v>299</v>
      </c>
      <c r="C278" s="56" t="s">
        <v>152</v>
      </c>
      <c r="D278" s="50" t="s">
        <v>57</v>
      </c>
      <c r="E278" s="19">
        <v>3304.6172896846324</v>
      </c>
      <c r="F278">
        <f t="shared" si="160"/>
        <v>0</v>
      </c>
      <c r="G278">
        <f t="shared" si="161"/>
        <v>0</v>
      </c>
      <c r="H278">
        <f t="shared" si="162"/>
        <v>0</v>
      </c>
      <c r="I278">
        <f t="shared" si="163"/>
        <v>0</v>
      </c>
      <c r="J278">
        <f t="shared" si="164"/>
        <v>0</v>
      </c>
      <c r="K278">
        <f t="shared" si="165"/>
        <v>0</v>
      </c>
      <c r="L278">
        <f t="shared" si="166"/>
        <v>0</v>
      </c>
      <c r="M278">
        <f t="shared" si="167"/>
        <v>3304.6172896846324</v>
      </c>
      <c r="N278">
        <f t="shared" si="168"/>
        <v>0</v>
      </c>
      <c r="O278">
        <f t="shared" si="169"/>
        <v>0</v>
      </c>
      <c r="P278">
        <f t="shared" si="170"/>
        <v>0</v>
      </c>
      <c r="Q278">
        <f t="shared" si="171"/>
        <v>0</v>
      </c>
      <c r="S278">
        <f t="shared" si="147"/>
        <v>49</v>
      </c>
      <c r="T278">
        <f t="shared" si="148"/>
        <v>37</v>
      </c>
      <c r="U278">
        <f t="shared" si="149"/>
        <v>18</v>
      </c>
      <c r="V278">
        <f t="shared" si="150"/>
        <v>20</v>
      </c>
      <c r="W278">
        <f t="shared" si="151"/>
        <v>101</v>
      </c>
      <c r="X278">
        <f t="shared" si="152"/>
        <v>84</v>
      </c>
      <c r="Y278">
        <f t="shared" si="153"/>
        <v>31</v>
      </c>
      <c r="Z278">
        <f t="shared" si="154"/>
        <v>21</v>
      </c>
      <c r="AA278">
        <f t="shared" si="155"/>
        <v>4</v>
      </c>
      <c r="AB278">
        <f t="shared" si="156"/>
        <v>6</v>
      </c>
      <c r="AC278">
        <f t="shared" si="157"/>
        <v>124</v>
      </c>
      <c r="AD278">
        <f t="shared" si="158"/>
        <v>14</v>
      </c>
      <c r="AF278">
        <f t="shared" si="172"/>
        <v>0</v>
      </c>
      <c r="AG278">
        <f t="shared" si="173"/>
        <v>0</v>
      </c>
      <c r="AH278">
        <f t="shared" si="174"/>
        <v>0</v>
      </c>
      <c r="AI278">
        <f t="shared" si="175"/>
        <v>0</v>
      </c>
      <c r="AJ278">
        <f t="shared" si="176"/>
        <v>0</v>
      </c>
      <c r="AK278">
        <f t="shared" si="177"/>
        <v>0</v>
      </c>
      <c r="AL278">
        <f t="shared" si="178"/>
        <v>0</v>
      </c>
      <c r="AM278">
        <f t="shared" si="179"/>
        <v>0</v>
      </c>
      <c r="AN278">
        <f t="shared" si="180"/>
        <v>0</v>
      </c>
      <c r="AO278">
        <f t="shared" si="181"/>
        <v>0</v>
      </c>
      <c r="AP278">
        <f t="shared" si="182"/>
        <v>0</v>
      </c>
      <c r="AQ278">
        <f t="shared" si="183"/>
        <v>0</v>
      </c>
    </row>
    <row r="279" spans="1:43" x14ac:dyDescent="0.45">
      <c r="A279" s="51">
        <v>76</v>
      </c>
      <c r="B279" s="51" t="s">
        <v>299</v>
      </c>
      <c r="C279" s="56" t="s">
        <v>154</v>
      </c>
      <c r="D279" s="50" t="s">
        <v>67</v>
      </c>
      <c r="E279" s="45">
        <v>2580.4931349169642</v>
      </c>
      <c r="F279">
        <f t="shared" si="160"/>
        <v>0</v>
      </c>
      <c r="G279">
        <f t="shared" si="161"/>
        <v>0</v>
      </c>
      <c r="H279">
        <f t="shared" si="162"/>
        <v>0</v>
      </c>
      <c r="I279">
        <f t="shared" si="163"/>
        <v>2580.4931349169642</v>
      </c>
      <c r="J279">
        <f t="shared" si="164"/>
        <v>0</v>
      </c>
      <c r="K279">
        <f t="shared" si="165"/>
        <v>0</v>
      </c>
      <c r="L279">
        <f t="shared" si="166"/>
        <v>0</v>
      </c>
      <c r="M279">
        <f t="shared" si="167"/>
        <v>0</v>
      </c>
      <c r="N279">
        <f t="shared" si="168"/>
        <v>0</v>
      </c>
      <c r="O279">
        <f t="shared" si="169"/>
        <v>0</v>
      </c>
      <c r="P279">
        <f t="shared" si="170"/>
        <v>0</v>
      </c>
      <c r="Q279">
        <f t="shared" si="171"/>
        <v>0</v>
      </c>
      <c r="S279">
        <f t="shared" si="147"/>
        <v>49</v>
      </c>
      <c r="T279">
        <f t="shared" si="148"/>
        <v>37</v>
      </c>
      <c r="U279">
        <f t="shared" si="149"/>
        <v>18</v>
      </c>
      <c r="V279">
        <f t="shared" si="150"/>
        <v>20</v>
      </c>
      <c r="W279">
        <f t="shared" si="151"/>
        <v>101</v>
      </c>
      <c r="X279">
        <f t="shared" si="152"/>
        <v>84</v>
      </c>
      <c r="Y279">
        <f t="shared" si="153"/>
        <v>31</v>
      </c>
      <c r="Z279">
        <f t="shared" si="154"/>
        <v>20</v>
      </c>
      <c r="AA279">
        <f t="shared" si="155"/>
        <v>4</v>
      </c>
      <c r="AB279">
        <f t="shared" si="156"/>
        <v>6</v>
      </c>
      <c r="AC279">
        <f t="shared" si="157"/>
        <v>124</v>
      </c>
      <c r="AD279">
        <f t="shared" si="158"/>
        <v>14</v>
      </c>
      <c r="AF279">
        <f t="shared" si="172"/>
        <v>0</v>
      </c>
      <c r="AG279">
        <f t="shared" si="173"/>
        <v>0</v>
      </c>
      <c r="AH279">
        <f t="shared" si="174"/>
        <v>0</v>
      </c>
      <c r="AI279">
        <f t="shared" si="175"/>
        <v>0</v>
      </c>
      <c r="AJ279">
        <f t="shared" si="176"/>
        <v>0</v>
      </c>
      <c r="AK279">
        <f t="shared" si="177"/>
        <v>0</v>
      </c>
      <c r="AL279">
        <f t="shared" si="178"/>
        <v>0</v>
      </c>
      <c r="AM279">
        <f t="shared" si="179"/>
        <v>0</v>
      </c>
      <c r="AN279">
        <f t="shared" si="180"/>
        <v>0</v>
      </c>
      <c r="AO279">
        <f t="shared" si="181"/>
        <v>0</v>
      </c>
      <c r="AP279">
        <f t="shared" si="182"/>
        <v>0</v>
      </c>
      <c r="AQ279">
        <f t="shared" si="183"/>
        <v>0</v>
      </c>
    </row>
    <row r="280" spans="1:43" x14ac:dyDescent="0.45">
      <c r="A280" s="51">
        <v>77</v>
      </c>
      <c r="B280" s="51" t="s">
        <v>299</v>
      </c>
      <c r="C280" s="56" t="s">
        <v>153</v>
      </c>
      <c r="D280" s="50" t="s">
        <v>222</v>
      </c>
      <c r="E280" s="45">
        <v>2456.7708837209302</v>
      </c>
      <c r="F280">
        <f t="shared" si="160"/>
        <v>0</v>
      </c>
      <c r="G280">
        <f t="shared" si="161"/>
        <v>0</v>
      </c>
      <c r="H280">
        <f t="shared" si="162"/>
        <v>0</v>
      </c>
      <c r="I280">
        <f t="shared" si="163"/>
        <v>0</v>
      </c>
      <c r="J280">
        <f t="shared" si="164"/>
        <v>0</v>
      </c>
      <c r="K280">
        <f t="shared" si="165"/>
        <v>0</v>
      </c>
      <c r="L280">
        <f t="shared" si="166"/>
        <v>0</v>
      </c>
      <c r="M280">
        <f t="shared" si="167"/>
        <v>0</v>
      </c>
      <c r="N280">
        <f t="shared" si="168"/>
        <v>0</v>
      </c>
      <c r="O280">
        <f t="shared" si="169"/>
        <v>0</v>
      </c>
      <c r="P280">
        <f t="shared" si="170"/>
        <v>0</v>
      </c>
      <c r="Q280">
        <f t="shared" si="171"/>
        <v>2456.7708837209302</v>
      </c>
      <c r="S280">
        <f t="shared" si="147"/>
        <v>49</v>
      </c>
      <c r="T280">
        <f t="shared" si="148"/>
        <v>37</v>
      </c>
      <c r="U280">
        <f t="shared" si="149"/>
        <v>18</v>
      </c>
      <c r="V280">
        <f t="shared" si="150"/>
        <v>19</v>
      </c>
      <c r="W280">
        <f t="shared" si="151"/>
        <v>101</v>
      </c>
      <c r="X280">
        <f t="shared" si="152"/>
        <v>84</v>
      </c>
      <c r="Y280">
        <f t="shared" si="153"/>
        <v>31</v>
      </c>
      <c r="Z280">
        <f t="shared" si="154"/>
        <v>20</v>
      </c>
      <c r="AA280">
        <f t="shared" si="155"/>
        <v>4</v>
      </c>
      <c r="AB280">
        <f t="shared" si="156"/>
        <v>6</v>
      </c>
      <c r="AC280">
        <f t="shared" si="157"/>
        <v>124</v>
      </c>
      <c r="AD280">
        <f t="shared" si="158"/>
        <v>14</v>
      </c>
      <c r="AF280">
        <f t="shared" si="172"/>
        <v>0</v>
      </c>
      <c r="AG280">
        <f t="shared" si="173"/>
        <v>0</v>
      </c>
      <c r="AH280">
        <f t="shared" si="174"/>
        <v>0</v>
      </c>
      <c r="AI280">
        <f t="shared" si="175"/>
        <v>0</v>
      </c>
      <c r="AJ280">
        <f t="shared" si="176"/>
        <v>0</v>
      </c>
      <c r="AK280">
        <f t="shared" si="177"/>
        <v>0</v>
      </c>
      <c r="AL280">
        <f t="shared" si="178"/>
        <v>0</v>
      </c>
      <c r="AM280">
        <f t="shared" si="179"/>
        <v>0</v>
      </c>
      <c r="AN280">
        <f t="shared" si="180"/>
        <v>0</v>
      </c>
      <c r="AO280">
        <f t="shared" si="181"/>
        <v>0</v>
      </c>
      <c r="AP280">
        <f t="shared" si="182"/>
        <v>0</v>
      </c>
      <c r="AQ280">
        <f t="shared" si="183"/>
        <v>0</v>
      </c>
    </row>
    <row r="281" spans="1:43" x14ac:dyDescent="0.45">
      <c r="A281" s="51">
        <v>78</v>
      </c>
      <c r="B281" s="65" t="s">
        <v>299</v>
      </c>
      <c r="C281" s="56" t="s">
        <v>300</v>
      </c>
      <c r="D281" s="50" t="s">
        <v>280</v>
      </c>
      <c r="E281" s="19">
        <v>3476.9542345546429</v>
      </c>
      <c r="F281">
        <f t="shared" si="160"/>
        <v>0</v>
      </c>
      <c r="G281">
        <f t="shared" si="161"/>
        <v>0</v>
      </c>
      <c r="H281">
        <f t="shared" si="162"/>
        <v>0</v>
      </c>
      <c r="I281">
        <f t="shared" si="163"/>
        <v>0</v>
      </c>
      <c r="J281">
        <f t="shared" si="164"/>
        <v>0</v>
      </c>
      <c r="K281">
        <f t="shared" si="165"/>
        <v>0</v>
      </c>
      <c r="L281">
        <f t="shared" si="166"/>
        <v>0</v>
      </c>
      <c r="M281">
        <f t="shared" si="167"/>
        <v>0</v>
      </c>
      <c r="N281">
        <f t="shared" si="168"/>
        <v>0</v>
      </c>
      <c r="O281">
        <f t="shared" si="169"/>
        <v>0</v>
      </c>
      <c r="P281">
        <f t="shared" si="170"/>
        <v>0</v>
      </c>
      <c r="Q281">
        <f t="shared" si="171"/>
        <v>0</v>
      </c>
      <c r="S281">
        <f t="shared" si="147"/>
        <v>49</v>
      </c>
      <c r="T281">
        <f t="shared" si="148"/>
        <v>37</v>
      </c>
      <c r="U281">
        <f t="shared" si="149"/>
        <v>18</v>
      </c>
      <c r="V281">
        <f t="shared" si="150"/>
        <v>19</v>
      </c>
      <c r="W281">
        <f t="shared" si="151"/>
        <v>101</v>
      </c>
      <c r="X281">
        <f t="shared" si="152"/>
        <v>84</v>
      </c>
      <c r="Y281">
        <f t="shared" si="153"/>
        <v>31</v>
      </c>
      <c r="Z281">
        <f t="shared" si="154"/>
        <v>20</v>
      </c>
      <c r="AA281">
        <f t="shared" si="155"/>
        <v>4</v>
      </c>
      <c r="AB281">
        <f t="shared" si="156"/>
        <v>6</v>
      </c>
      <c r="AC281">
        <f t="shared" si="157"/>
        <v>124</v>
      </c>
      <c r="AD281">
        <f t="shared" si="158"/>
        <v>13</v>
      </c>
      <c r="AF281">
        <f t="shared" si="172"/>
        <v>0</v>
      </c>
      <c r="AG281">
        <f t="shared" si="173"/>
        <v>0</v>
      </c>
      <c r="AH281">
        <f t="shared" si="174"/>
        <v>0</v>
      </c>
      <c r="AI281">
        <f t="shared" si="175"/>
        <v>0</v>
      </c>
      <c r="AJ281">
        <f t="shared" si="176"/>
        <v>0</v>
      </c>
      <c r="AK281">
        <f t="shared" si="177"/>
        <v>0</v>
      </c>
      <c r="AL281">
        <f t="shared" si="178"/>
        <v>0</v>
      </c>
      <c r="AM281">
        <f t="shared" si="179"/>
        <v>0</v>
      </c>
      <c r="AN281">
        <f t="shared" si="180"/>
        <v>0</v>
      </c>
      <c r="AO281">
        <f t="shared" si="181"/>
        <v>0</v>
      </c>
      <c r="AP281">
        <f t="shared" si="182"/>
        <v>0</v>
      </c>
      <c r="AQ281">
        <f t="shared" si="183"/>
        <v>0</v>
      </c>
    </row>
    <row r="282" spans="1:43" x14ac:dyDescent="0.35">
      <c r="A282" s="51">
        <v>79</v>
      </c>
      <c r="B282" s="51" t="s">
        <v>301</v>
      </c>
      <c r="C282" s="62" t="s">
        <v>156</v>
      </c>
      <c r="D282" s="75" t="s">
        <v>94</v>
      </c>
      <c r="E282" s="19">
        <v>3405.7627931433376</v>
      </c>
      <c r="F282">
        <f t="shared" si="160"/>
        <v>0</v>
      </c>
      <c r="G282">
        <f t="shared" si="161"/>
        <v>0</v>
      </c>
      <c r="H282">
        <f t="shared" si="162"/>
        <v>0</v>
      </c>
      <c r="I282">
        <f t="shared" si="163"/>
        <v>0</v>
      </c>
      <c r="J282">
        <f t="shared" si="164"/>
        <v>0</v>
      </c>
      <c r="K282">
        <f t="shared" si="165"/>
        <v>0</v>
      </c>
      <c r="L282">
        <f t="shared" si="166"/>
        <v>3405.7627931433376</v>
      </c>
      <c r="M282">
        <f t="shared" si="167"/>
        <v>0</v>
      </c>
      <c r="N282">
        <f t="shared" si="168"/>
        <v>0</v>
      </c>
      <c r="O282">
        <f t="shared" si="169"/>
        <v>0</v>
      </c>
      <c r="P282">
        <f t="shared" si="170"/>
        <v>0</v>
      </c>
      <c r="Q282">
        <f t="shared" si="171"/>
        <v>0</v>
      </c>
      <c r="S282">
        <f t="shared" si="147"/>
        <v>49</v>
      </c>
      <c r="T282">
        <f t="shared" si="148"/>
        <v>37</v>
      </c>
      <c r="U282">
        <f t="shared" si="149"/>
        <v>18</v>
      </c>
      <c r="V282">
        <f t="shared" si="150"/>
        <v>19</v>
      </c>
      <c r="W282">
        <f t="shared" si="151"/>
        <v>101</v>
      </c>
      <c r="X282">
        <f t="shared" si="152"/>
        <v>84</v>
      </c>
      <c r="Y282">
        <f t="shared" si="153"/>
        <v>31</v>
      </c>
      <c r="Z282">
        <f t="shared" si="154"/>
        <v>20</v>
      </c>
      <c r="AA282">
        <f t="shared" si="155"/>
        <v>4</v>
      </c>
      <c r="AB282">
        <f t="shared" si="156"/>
        <v>6</v>
      </c>
      <c r="AC282">
        <f t="shared" si="157"/>
        <v>124</v>
      </c>
      <c r="AD282">
        <f t="shared" si="158"/>
        <v>13</v>
      </c>
      <c r="AF282">
        <f t="shared" si="172"/>
        <v>0</v>
      </c>
      <c r="AG282">
        <f t="shared" si="173"/>
        <v>0</v>
      </c>
      <c r="AH282">
        <f t="shared" si="174"/>
        <v>0</v>
      </c>
      <c r="AI282">
        <f t="shared" si="175"/>
        <v>0</v>
      </c>
      <c r="AJ282">
        <f t="shared" si="176"/>
        <v>0</v>
      </c>
      <c r="AK282">
        <f t="shared" si="177"/>
        <v>0</v>
      </c>
      <c r="AL282">
        <f t="shared" si="178"/>
        <v>0</v>
      </c>
      <c r="AM282">
        <f t="shared" si="179"/>
        <v>0</v>
      </c>
      <c r="AN282">
        <f t="shared" si="180"/>
        <v>0</v>
      </c>
      <c r="AO282">
        <f t="shared" si="181"/>
        <v>0</v>
      </c>
      <c r="AP282">
        <f t="shared" si="182"/>
        <v>0</v>
      </c>
      <c r="AQ282">
        <f t="shared" si="183"/>
        <v>0</v>
      </c>
    </row>
    <row r="283" spans="1:43" x14ac:dyDescent="0.45">
      <c r="A283" s="51">
        <v>80</v>
      </c>
      <c r="B283" s="51" t="s">
        <v>301</v>
      </c>
      <c r="C283" s="56" t="s">
        <v>158</v>
      </c>
      <c r="D283" s="50" t="s">
        <v>76</v>
      </c>
      <c r="E283" s="19">
        <v>3710.4794050584887</v>
      </c>
      <c r="F283">
        <f t="shared" si="160"/>
        <v>3710.4794050584887</v>
      </c>
      <c r="G283">
        <f t="shared" si="161"/>
        <v>0</v>
      </c>
      <c r="H283">
        <f t="shared" si="162"/>
        <v>0</v>
      </c>
      <c r="I283">
        <f t="shared" si="163"/>
        <v>0</v>
      </c>
      <c r="J283">
        <f t="shared" si="164"/>
        <v>0</v>
      </c>
      <c r="K283">
        <f t="shared" si="165"/>
        <v>0</v>
      </c>
      <c r="L283">
        <f t="shared" si="166"/>
        <v>0</v>
      </c>
      <c r="M283">
        <f t="shared" si="167"/>
        <v>0</v>
      </c>
      <c r="N283">
        <f t="shared" si="168"/>
        <v>0</v>
      </c>
      <c r="O283">
        <f t="shared" si="169"/>
        <v>0</v>
      </c>
      <c r="P283">
        <f t="shared" si="170"/>
        <v>0</v>
      </c>
      <c r="Q283">
        <f t="shared" si="171"/>
        <v>0</v>
      </c>
      <c r="S283">
        <f t="shared" si="147"/>
        <v>49</v>
      </c>
      <c r="T283">
        <f t="shared" si="148"/>
        <v>37</v>
      </c>
      <c r="U283">
        <f t="shared" si="149"/>
        <v>18</v>
      </c>
      <c r="V283">
        <f t="shared" si="150"/>
        <v>19</v>
      </c>
      <c r="W283">
        <f t="shared" si="151"/>
        <v>101</v>
      </c>
      <c r="X283">
        <f t="shared" si="152"/>
        <v>84</v>
      </c>
      <c r="Y283">
        <f t="shared" si="153"/>
        <v>30</v>
      </c>
      <c r="Z283">
        <f t="shared" si="154"/>
        <v>20</v>
      </c>
      <c r="AA283">
        <f t="shared" si="155"/>
        <v>4</v>
      </c>
      <c r="AB283">
        <f t="shared" si="156"/>
        <v>6</v>
      </c>
      <c r="AC283">
        <f t="shared" si="157"/>
        <v>124</v>
      </c>
      <c r="AD283">
        <f t="shared" si="158"/>
        <v>13</v>
      </c>
      <c r="AF283">
        <f t="shared" si="172"/>
        <v>0</v>
      </c>
      <c r="AG283">
        <f t="shared" si="173"/>
        <v>0</v>
      </c>
      <c r="AH283">
        <f t="shared" si="174"/>
        <v>0</v>
      </c>
      <c r="AI283">
        <f t="shared" si="175"/>
        <v>0</v>
      </c>
      <c r="AJ283">
        <f t="shared" si="176"/>
        <v>0</v>
      </c>
      <c r="AK283">
        <f t="shared" si="177"/>
        <v>0</v>
      </c>
      <c r="AL283">
        <f t="shared" si="178"/>
        <v>0</v>
      </c>
      <c r="AM283">
        <f t="shared" si="179"/>
        <v>0</v>
      </c>
      <c r="AN283">
        <f t="shared" si="180"/>
        <v>0</v>
      </c>
      <c r="AO283">
        <f t="shared" si="181"/>
        <v>0</v>
      </c>
      <c r="AP283">
        <f t="shared" si="182"/>
        <v>0</v>
      </c>
      <c r="AQ283">
        <f t="shared" si="183"/>
        <v>0</v>
      </c>
    </row>
    <row r="284" spans="1:43" x14ac:dyDescent="0.45">
      <c r="A284" s="51">
        <v>81</v>
      </c>
      <c r="B284" s="51" t="s">
        <v>301</v>
      </c>
      <c r="C284" s="56" t="s">
        <v>157</v>
      </c>
      <c r="D284" s="50" t="s">
        <v>228</v>
      </c>
      <c r="E284" s="45">
        <v>2639.3549258441149</v>
      </c>
      <c r="F284">
        <f t="shared" si="160"/>
        <v>0</v>
      </c>
      <c r="G284">
        <f t="shared" si="161"/>
        <v>0</v>
      </c>
      <c r="H284">
        <f t="shared" si="162"/>
        <v>0</v>
      </c>
      <c r="I284">
        <f t="shared" si="163"/>
        <v>0</v>
      </c>
      <c r="J284">
        <f t="shared" si="164"/>
        <v>0</v>
      </c>
      <c r="K284">
        <f t="shared" si="165"/>
        <v>0</v>
      </c>
      <c r="L284">
        <f t="shared" si="166"/>
        <v>0</v>
      </c>
      <c r="M284">
        <f t="shared" si="167"/>
        <v>0</v>
      </c>
      <c r="N284">
        <f t="shared" si="168"/>
        <v>0</v>
      </c>
      <c r="O284">
        <f t="shared" si="169"/>
        <v>0</v>
      </c>
      <c r="P284">
        <f t="shared" si="170"/>
        <v>2639.3549258441149</v>
      </c>
      <c r="Q284">
        <f t="shared" si="171"/>
        <v>0</v>
      </c>
      <c r="S284">
        <f t="shared" ref="S284:AD284" si="184">IF(F284&gt;0,1,0)+S286</f>
        <v>48</v>
      </c>
      <c r="T284">
        <f t="shared" si="184"/>
        <v>37</v>
      </c>
      <c r="U284">
        <f t="shared" si="184"/>
        <v>18</v>
      </c>
      <c r="V284">
        <f t="shared" si="184"/>
        <v>19</v>
      </c>
      <c r="W284">
        <f t="shared" si="184"/>
        <v>101</v>
      </c>
      <c r="X284">
        <f t="shared" si="184"/>
        <v>84</v>
      </c>
      <c r="Y284">
        <f t="shared" si="184"/>
        <v>30</v>
      </c>
      <c r="Z284">
        <f t="shared" si="184"/>
        <v>20</v>
      </c>
      <c r="AA284">
        <f t="shared" si="184"/>
        <v>4</v>
      </c>
      <c r="AB284">
        <f t="shared" si="184"/>
        <v>6</v>
      </c>
      <c r="AC284">
        <f t="shared" si="184"/>
        <v>124</v>
      </c>
      <c r="AD284">
        <f t="shared" si="184"/>
        <v>13</v>
      </c>
      <c r="AF284">
        <f t="shared" si="172"/>
        <v>0</v>
      </c>
      <c r="AG284">
        <f t="shared" si="173"/>
        <v>0</v>
      </c>
      <c r="AH284">
        <f t="shared" si="174"/>
        <v>0</v>
      </c>
      <c r="AI284">
        <f t="shared" si="175"/>
        <v>0</v>
      </c>
      <c r="AJ284">
        <f t="shared" si="176"/>
        <v>0</v>
      </c>
      <c r="AK284">
        <f t="shared" si="177"/>
        <v>0</v>
      </c>
      <c r="AL284">
        <f t="shared" si="178"/>
        <v>0</v>
      </c>
      <c r="AM284">
        <f t="shared" si="179"/>
        <v>0</v>
      </c>
      <c r="AN284">
        <f t="shared" si="180"/>
        <v>0</v>
      </c>
      <c r="AO284">
        <f t="shared" si="181"/>
        <v>0</v>
      </c>
      <c r="AP284">
        <f t="shared" si="182"/>
        <v>0</v>
      </c>
      <c r="AQ284">
        <f t="shared" si="183"/>
        <v>0</v>
      </c>
    </row>
    <row r="285" spans="1:43" x14ac:dyDescent="0.45">
      <c r="A285" s="51">
        <v>82</v>
      </c>
      <c r="B285" s="51" t="s">
        <v>301</v>
      </c>
      <c r="C285" s="56" t="s">
        <v>303</v>
      </c>
      <c r="D285" s="50" t="s">
        <v>280</v>
      </c>
      <c r="E285" s="19">
        <v>3594.3772810155679</v>
      </c>
    </row>
    <row r="286" spans="1:43" x14ac:dyDescent="0.35">
      <c r="A286" s="51">
        <v>83</v>
      </c>
      <c r="B286" s="51" t="s">
        <v>302</v>
      </c>
      <c r="C286" s="62" t="s">
        <v>255</v>
      </c>
      <c r="D286" s="51" t="s">
        <v>67</v>
      </c>
      <c r="E286" s="19">
        <v>3408.2829120606189</v>
      </c>
      <c r="F286">
        <f t="shared" si="160"/>
        <v>0</v>
      </c>
      <c r="G286">
        <f t="shared" si="161"/>
        <v>0</v>
      </c>
      <c r="H286">
        <f t="shared" si="162"/>
        <v>0</v>
      </c>
      <c r="I286">
        <f t="shared" si="163"/>
        <v>3408.2829120606189</v>
      </c>
      <c r="J286">
        <f t="shared" si="164"/>
        <v>0</v>
      </c>
      <c r="K286">
        <f t="shared" si="165"/>
        <v>0</v>
      </c>
      <c r="L286">
        <f t="shared" si="166"/>
        <v>0</v>
      </c>
      <c r="M286">
        <f t="shared" si="167"/>
        <v>0</v>
      </c>
      <c r="N286">
        <f t="shared" si="168"/>
        <v>0</v>
      </c>
      <c r="O286">
        <f t="shared" si="169"/>
        <v>0</v>
      </c>
      <c r="P286">
        <f t="shared" si="170"/>
        <v>0</v>
      </c>
      <c r="Q286">
        <f t="shared" si="171"/>
        <v>0</v>
      </c>
      <c r="S286">
        <f t="shared" si="147"/>
        <v>48</v>
      </c>
      <c r="T286">
        <f t="shared" si="148"/>
        <v>37</v>
      </c>
      <c r="U286">
        <f t="shared" si="149"/>
        <v>18</v>
      </c>
      <c r="V286">
        <f t="shared" si="150"/>
        <v>19</v>
      </c>
      <c r="W286">
        <f t="shared" si="151"/>
        <v>101</v>
      </c>
      <c r="X286">
        <f t="shared" si="152"/>
        <v>84</v>
      </c>
      <c r="Y286">
        <f t="shared" si="153"/>
        <v>30</v>
      </c>
      <c r="Z286">
        <f t="shared" si="154"/>
        <v>20</v>
      </c>
      <c r="AA286">
        <f t="shared" si="155"/>
        <v>4</v>
      </c>
      <c r="AB286">
        <f t="shared" si="156"/>
        <v>6</v>
      </c>
      <c r="AC286">
        <f t="shared" si="157"/>
        <v>123</v>
      </c>
      <c r="AD286">
        <f t="shared" si="158"/>
        <v>13</v>
      </c>
      <c r="AF286">
        <f t="shared" si="172"/>
        <v>0</v>
      </c>
      <c r="AG286">
        <f t="shared" si="173"/>
        <v>0</v>
      </c>
      <c r="AH286">
        <f t="shared" si="174"/>
        <v>0</v>
      </c>
      <c r="AI286">
        <f t="shared" si="175"/>
        <v>0</v>
      </c>
      <c r="AJ286">
        <f t="shared" si="176"/>
        <v>0</v>
      </c>
      <c r="AK286">
        <f t="shared" si="177"/>
        <v>0</v>
      </c>
      <c r="AL286">
        <f t="shared" si="178"/>
        <v>0</v>
      </c>
      <c r="AM286">
        <f t="shared" si="179"/>
        <v>0</v>
      </c>
      <c r="AN286">
        <f t="shared" si="180"/>
        <v>0</v>
      </c>
      <c r="AO286">
        <f t="shared" si="181"/>
        <v>0</v>
      </c>
      <c r="AP286">
        <f t="shared" si="182"/>
        <v>0</v>
      </c>
      <c r="AQ286">
        <f t="shared" si="183"/>
        <v>0</v>
      </c>
    </row>
    <row r="287" spans="1:43" x14ac:dyDescent="0.45">
      <c r="A287" s="51">
        <v>84</v>
      </c>
      <c r="B287" s="51" t="s">
        <v>302</v>
      </c>
      <c r="C287" s="56" t="s">
        <v>160</v>
      </c>
      <c r="D287" s="50" t="s">
        <v>57</v>
      </c>
      <c r="E287" s="45">
        <v>2629.9394516910761</v>
      </c>
      <c r="F287">
        <f t="shared" si="160"/>
        <v>0</v>
      </c>
      <c r="G287">
        <f t="shared" si="161"/>
        <v>0</v>
      </c>
      <c r="H287">
        <f t="shared" si="162"/>
        <v>0</v>
      </c>
      <c r="I287">
        <f t="shared" si="163"/>
        <v>0</v>
      </c>
      <c r="J287">
        <f t="shared" si="164"/>
        <v>0</v>
      </c>
      <c r="K287">
        <f t="shared" si="165"/>
        <v>0</v>
      </c>
      <c r="L287">
        <f t="shared" si="166"/>
        <v>0</v>
      </c>
      <c r="M287">
        <f t="shared" si="167"/>
        <v>2629.9394516910761</v>
      </c>
      <c r="N287">
        <f t="shared" si="168"/>
        <v>0</v>
      </c>
      <c r="O287">
        <f t="shared" si="169"/>
        <v>0</v>
      </c>
      <c r="P287">
        <f t="shared" si="170"/>
        <v>0</v>
      </c>
      <c r="Q287">
        <f t="shared" si="171"/>
        <v>0</v>
      </c>
      <c r="S287">
        <f t="shared" si="147"/>
        <v>48</v>
      </c>
      <c r="T287">
        <f t="shared" si="148"/>
        <v>37</v>
      </c>
      <c r="U287">
        <f t="shared" si="149"/>
        <v>18</v>
      </c>
      <c r="V287">
        <f t="shared" si="150"/>
        <v>18</v>
      </c>
      <c r="W287">
        <f t="shared" si="151"/>
        <v>101</v>
      </c>
      <c r="X287">
        <f t="shared" si="152"/>
        <v>84</v>
      </c>
      <c r="Y287">
        <f t="shared" si="153"/>
        <v>30</v>
      </c>
      <c r="Z287">
        <f t="shared" si="154"/>
        <v>20</v>
      </c>
      <c r="AA287">
        <f t="shared" si="155"/>
        <v>4</v>
      </c>
      <c r="AB287">
        <f t="shared" si="156"/>
        <v>6</v>
      </c>
      <c r="AC287">
        <f t="shared" si="157"/>
        <v>123</v>
      </c>
      <c r="AD287">
        <f t="shared" si="158"/>
        <v>13</v>
      </c>
      <c r="AF287">
        <f t="shared" si="172"/>
        <v>0</v>
      </c>
      <c r="AG287">
        <f t="shared" si="173"/>
        <v>0</v>
      </c>
      <c r="AH287">
        <f t="shared" si="174"/>
        <v>0</v>
      </c>
      <c r="AI287">
        <f t="shared" si="175"/>
        <v>0</v>
      </c>
      <c r="AJ287">
        <f t="shared" si="176"/>
        <v>0</v>
      </c>
      <c r="AK287">
        <f t="shared" si="177"/>
        <v>0</v>
      </c>
      <c r="AL287">
        <f t="shared" si="178"/>
        <v>0</v>
      </c>
      <c r="AM287">
        <f t="shared" si="179"/>
        <v>0</v>
      </c>
      <c r="AN287">
        <f t="shared" si="180"/>
        <v>0</v>
      </c>
      <c r="AO287">
        <f t="shared" si="181"/>
        <v>0</v>
      </c>
      <c r="AP287">
        <f t="shared" si="182"/>
        <v>0</v>
      </c>
      <c r="AQ287">
        <f t="shared" si="183"/>
        <v>0</v>
      </c>
    </row>
    <row r="288" spans="1:43" x14ac:dyDescent="0.45">
      <c r="A288" s="51">
        <v>85</v>
      </c>
      <c r="B288" s="51" t="s">
        <v>302</v>
      </c>
      <c r="C288" s="56" t="s">
        <v>162</v>
      </c>
      <c r="D288" s="50" t="s">
        <v>222</v>
      </c>
      <c r="E288" s="19">
        <v>3560.9417668972019</v>
      </c>
      <c r="F288">
        <f t="shared" si="160"/>
        <v>0</v>
      </c>
      <c r="G288">
        <f t="shared" si="161"/>
        <v>0</v>
      </c>
      <c r="H288">
        <f t="shared" si="162"/>
        <v>0</v>
      </c>
      <c r="I288">
        <f t="shared" si="163"/>
        <v>0</v>
      </c>
      <c r="J288">
        <f t="shared" si="164"/>
        <v>0</v>
      </c>
      <c r="K288">
        <f t="shared" si="165"/>
        <v>0</v>
      </c>
      <c r="L288">
        <f t="shared" si="166"/>
        <v>0</v>
      </c>
      <c r="M288">
        <f t="shared" si="167"/>
        <v>0</v>
      </c>
      <c r="N288">
        <f t="shared" si="168"/>
        <v>0</v>
      </c>
      <c r="O288">
        <f t="shared" si="169"/>
        <v>0</v>
      </c>
      <c r="P288">
        <f t="shared" si="170"/>
        <v>0</v>
      </c>
      <c r="Q288">
        <f t="shared" si="171"/>
        <v>3560.9417668972019</v>
      </c>
      <c r="S288">
        <f t="shared" si="147"/>
        <v>48</v>
      </c>
      <c r="T288">
        <f t="shared" si="148"/>
        <v>37</v>
      </c>
      <c r="U288">
        <f t="shared" si="149"/>
        <v>18</v>
      </c>
      <c r="V288">
        <f t="shared" si="150"/>
        <v>18</v>
      </c>
      <c r="W288">
        <f t="shared" si="151"/>
        <v>101</v>
      </c>
      <c r="X288">
        <f t="shared" si="152"/>
        <v>84</v>
      </c>
      <c r="Y288">
        <f t="shared" si="153"/>
        <v>30</v>
      </c>
      <c r="Z288">
        <f t="shared" si="154"/>
        <v>19</v>
      </c>
      <c r="AA288">
        <f t="shared" si="155"/>
        <v>4</v>
      </c>
      <c r="AB288">
        <f t="shared" si="156"/>
        <v>6</v>
      </c>
      <c r="AC288">
        <f t="shared" si="157"/>
        <v>123</v>
      </c>
      <c r="AD288">
        <f t="shared" si="158"/>
        <v>13</v>
      </c>
      <c r="AF288">
        <f t="shared" si="172"/>
        <v>0</v>
      </c>
      <c r="AG288">
        <f t="shared" si="173"/>
        <v>0</v>
      </c>
      <c r="AH288">
        <f t="shared" si="174"/>
        <v>0</v>
      </c>
      <c r="AI288">
        <f t="shared" si="175"/>
        <v>0</v>
      </c>
      <c r="AJ288">
        <f t="shared" si="176"/>
        <v>0</v>
      </c>
      <c r="AK288">
        <f t="shared" si="177"/>
        <v>0</v>
      </c>
      <c r="AL288">
        <f t="shared" si="178"/>
        <v>0</v>
      </c>
      <c r="AM288">
        <f t="shared" si="179"/>
        <v>0</v>
      </c>
      <c r="AN288">
        <f t="shared" si="180"/>
        <v>0</v>
      </c>
      <c r="AO288">
        <f t="shared" si="181"/>
        <v>0</v>
      </c>
      <c r="AP288">
        <f t="shared" si="182"/>
        <v>0</v>
      </c>
      <c r="AQ288">
        <f t="shared" si="183"/>
        <v>0</v>
      </c>
    </row>
    <row r="289" spans="1:43" x14ac:dyDescent="0.45">
      <c r="A289" s="51">
        <v>86</v>
      </c>
      <c r="B289" s="51" t="s">
        <v>302</v>
      </c>
      <c r="C289" s="56" t="s">
        <v>161</v>
      </c>
      <c r="D289" s="50" t="s">
        <v>60</v>
      </c>
      <c r="E289" s="45">
        <v>2465.7942887195122</v>
      </c>
      <c r="F289">
        <f t="shared" si="160"/>
        <v>0</v>
      </c>
      <c r="G289">
        <f t="shared" si="161"/>
        <v>0</v>
      </c>
      <c r="H289">
        <f t="shared" si="162"/>
        <v>0</v>
      </c>
      <c r="I289">
        <f t="shared" si="163"/>
        <v>0</v>
      </c>
      <c r="J289">
        <f t="shared" si="164"/>
        <v>2465.7942887195122</v>
      </c>
      <c r="K289">
        <f t="shared" si="165"/>
        <v>0</v>
      </c>
      <c r="L289">
        <f t="shared" si="166"/>
        <v>0</v>
      </c>
      <c r="M289">
        <f t="shared" si="167"/>
        <v>0</v>
      </c>
      <c r="N289">
        <f t="shared" si="168"/>
        <v>0</v>
      </c>
      <c r="O289">
        <f t="shared" si="169"/>
        <v>0</v>
      </c>
      <c r="P289">
        <f t="shared" si="170"/>
        <v>0</v>
      </c>
      <c r="Q289">
        <f t="shared" si="171"/>
        <v>0</v>
      </c>
      <c r="S289">
        <f t="shared" si="147"/>
        <v>48</v>
      </c>
      <c r="T289">
        <f t="shared" si="148"/>
        <v>37</v>
      </c>
      <c r="U289">
        <f t="shared" si="149"/>
        <v>18</v>
      </c>
      <c r="V289">
        <f t="shared" si="150"/>
        <v>18</v>
      </c>
      <c r="W289">
        <f t="shared" si="151"/>
        <v>101</v>
      </c>
      <c r="X289">
        <f t="shared" si="152"/>
        <v>84</v>
      </c>
      <c r="Y289">
        <f t="shared" si="153"/>
        <v>30</v>
      </c>
      <c r="Z289">
        <f t="shared" si="154"/>
        <v>19</v>
      </c>
      <c r="AA289">
        <f t="shared" si="155"/>
        <v>4</v>
      </c>
      <c r="AB289">
        <f t="shared" si="156"/>
        <v>6</v>
      </c>
      <c r="AC289">
        <f t="shared" si="157"/>
        <v>123</v>
      </c>
      <c r="AD289">
        <f t="shared" si="158"/>
        <v>12</v>
      </c>
      <c r="AF289">
        <f t="shared" si="172"/>
        <v>0</v>
      </c>
      <c r="AG289">
        <f t="shared" si="173"/>
        <v>0</v>
      </c>
      <c r="AH289">
        <f t="shared" si="174"/>
        <v>0</v>
      </c>
      <c r="AI289">
        <f t="shared" si="175"/>
        <v>0</v>
      </c>
      <c r="AJ289">
        <f t="shared" si="176"/>
        <v>0</v>
      </c>
      <c r="AK289">
        <f t="shared" si="177"/>
        <v>0</v>
      </c>
      <c r="AL289">
        <f t="shared" si="178"/>
        <v>0</v>
      </c>
      <c r="AM289">
        <f t="shared" si="179"/>
        <v>0</v>
      </c>
      <c r="AN289">
        <f t="shared" si="180"/>
        <v>0</v>
      </c>
      <c r="AO289">
        <f t="shared" si="181"/>
        <v>0</v>
      </c>
      <c r="AP289">
        <f t="shared" si="182"/>
        <v>0</v>
      </c>
      <c r="AQ289">
        <f t="shared" si="183"/>
        <v>0</v>
      </c>
    </row>
    <row r="290" spans="1:43" x14ac:dyDescent="0.35">
      <c r="A290" s="51">
        <v>87</v>
      </c>
      <c r="B290" s="51" t="s">
        <v>304</v>
      </c>
      <c r="C290" s="62" t="s">
        <v>164</v>
      </c>
      <c r="D290" s="50" t="s">
        <v>76</v>
      </c>
      <c r="E290" s="19">
        <v>2840.1617099555651</v>
      </c>
      <c r="F290">
        <f t="shared" si="160"/>
        <v>2840.1617099555651</v>
      </c>
      <c r="G290">
        <f t="shared" si="161"/>
        <v>0</v>
      </c>
      <c r="H290">
        <f t="shared" si="162"/>
        <v>0</v>
      </c>
      <c r="I290">
        <f t="shared" si="163"/>
        <v>0</v>
      </c>
      <c r="J290">
        <f t="shared" si="164"/>
        <v>0</v>
      </c>
      <c r="K290">
        <f t="shared" si="165"/>
        <v>0</v>
      </c>
      <c r="L290">
        <f t="shared" si="166"/>
        <v>0</v>
      </c>
      <c r="M290">
        <f t="shared" si="167"/>
        <v>0</v>
      </c>
      <c r="N290">
        <f t="shared" si="168"/>
        <v>0</v>
      </c>
      <c r="O290">
        <f t="shared" si="169"/>
        <v>0</v>
      </c>
      <c r="P290">
        <f t="shared" si="170"/>
        <v>0</v>
      </c>
      <c r="Q290">
        <f t="shared" si="171"/>
        <v>0</v>
      </c>
      <c r="S290">
        <f t="shared" si="147"/>
        <v>48</v>
      </c>
      <c r="T290">
        <f t="shared" si="148"/>
        <v>37</v>
      </c>
      <c r="U290">
        <f t="shared" si="149"/>
        <v>18</v>
      </c>
      <c r="V290">
        <f t="shared" si="150"/>
        <v>18</v>
      </c>
      <c r="W290">
        <f t="shared" si="151"/>
        <v>100</v>
      </c>
      <c r="X290">
        <f t="shared" si="152"/>
        <v>84</v>
      </c>
      <c r="Y290">
        <f t="shared" si="153"/>
        <v>30</v>
      </c>
      <c r="Z290">
        <f t="shared" si="154"/>
        <v>19</v>
      </c>
      <c r="AA290">
        <f t="shared" si="155"/>
        <v>4</v>
      </c>
      <c r="AB290">
        <f t="shared" si="156"/>
        <v>6</v>
      </c>
      <c r="AC290">
        <f t="shared" si="157"/>
        <v>123</v>
      </c>
      <c r="AD290">
        <f t="shared" si="158"/>
        <v>12</v>
      </c>
      <c r="AF290">
        <f t="shared" si="172"/>
        <v>0</v>
      </c>
      <c r="AG290">
        <f t="shared" si="173"/>
        <v>0</v>
      </c>
      <c r="AH290">
        <f t="shared" si="174"/>
        <v>0</v>
      </c>
      <c r="AI290">
        <f t="shared" si="175"/>
        <v>0</v>
      </c>
      <c r="AJ290">
        <f t="shared" si="176"/>
        <v>0</v>
      </c>
      <c r="AK290">
        <f t="shared" si="177"/>
        <v>0</v>
      </c>
      <c r="AL290">
        <f t="shared" si="178"/>
        <v>0</v>
      </c>
      <c r="AM290">
        <f t="shared" si="179"/>
        <v>0</v>
      </c>
      <c r="AN290">
        <f t="shared" si="180"/>
        <v>0</v>
      </c>
      <c r="AO290">
        <f t="shared" si="181"/>
        <v>0</v>
      </c>
      <c r="AP290">
        <f t="shared" si="182"/>
        <v>0</v>
      </c>
      <c r="AQ290">
        <f t="shared" si="183"/>
        <v>0</v>
      </c>
    </row>
    <row r="291" spans="1:43" x14ac:dyDescent="0.45">
      <c r="A291" s="51">
        <v>88</v>
      </c>
      <c r="B291" s="51" t="s">
        <v>304</v>
      </c>
      <c r="C291" s="56" t="s">
        <v>166</v>
      </c>
      <c r="D291" s="51" t="s">
        <v>54</v>
      </c>
      <c r="E291" s="19">
        <v>2704.2975137382887</v>
      </c>
      <c r="F291">
        <f t="shared" si="160"/>
        <v>0</v>
      </c>
      <c r="G291">
        <f t="shared" si="161"/>
        <v>0</v>
      </c>
      <c r="H291">
        <f t="shared" si="162"/>
        <v>0</v>
      </c>
      <c r="I291">
        <f t="shared" si="163"/>
        <v>0</v>
      </c>
      <c r="J291">
        <f t="shared" si="164"/>
        <v>0</v>
      </c>
      <c r="K291">
        <f t="shared" si="165"/>
        <v>2704.2975137382887</v>
      </c>
      <c r="L291">
        <f t="shared" si="166"/>
        <v>0</v>
      </c>
      <c r="M291">
        <f t="shared" si="167"/>
        <v>0</v>
      </c>
      <c r="N291">
        <f t="shared" si="168"/>
        <v>0</v>
      </c>
      <c r="O291">
        <f t="shared" si="169"/>
        <v>0</v>
      </c>
      <c r="P291">
        <f t="shared" si="170"/>
        <v>0</v>
      </c>
      <c r="Q291">
        <f t="shared" si="171"/>
        <v>0</v>
      </c>
      <c r="S291">
        <f t="shared" si="147"/>
        <v>47</v>
      </c>
      <c r="T291">
        <f t="shared" si="148"/>
        <v>37</v>
      </c>
      <c r="U291">
        <f t="shared" si="149"/>
        <v>18</v>
      </c>
      <c r="V291">
        <f t="shared" si="150"/>
        <v>18</v>
      </c>
      <c r="W291">
        <f t="shared" si="151"/>
        <v>100</v>
      </c>
      <c r="X291">
        <f t="shared" si="152"/>
        <v>84</v>
      </c>
      <c r="Y291">
        <f t="shared" si="153"/>
        <v>30</v>
      </c>
      <c r="Z291">
        <f t="shared" si="154"/>
        <v>19</v>
      </c>
      <c r="AA291">
        <f t="shared" si="155"/>
        <v>4</v>
      </c>
      <c r="AB291">
        <f t="shared" si="156"/>
        <v>6</v>
      </c>
      <c r="AC291">
        <f t="shared" si="157"/>
        <v>123</v>
      </c>
      <c r="AD291">
        <f t="shared" si="158"/>
        <v>12</v>
      </c>
      <c r="AF291">
        <f t="shared" si="172"/>
        <v>0</v>
      </c>
      <c r="AG291">
        <f t="shared" si="173"/>
        <v>0</v>
      </c>
      <c r="AH291">
        <f t="shared" si="174"/>
        <v>0</v>
      </c>
      <c r="AI291">
        <f t="shared" si="175"/>
        <v>0</v>
      </c>
      <c r="AJ291">
        <f t="shared" si="176"/>
        <v>0</v>
      </c>
      <c r="AK291">
        <f t="shared" si="177"/>
        <v>0</v>
      </c>
      <c r="AL291">
        <f t="shared" si="178"/>
        <v>0</v>
      </c>
      <c r="AM291">
        <f t="shared" si="179"/>
        <v>0</v>
      </c>
      <c r="AN291">
        <f t="shared" si="180"/>
        <v>0</v>
      </c>
      <c r="AO291">
        <f t="shared" si="181"/>
        <v>0</v>
      </c>
      <c r="AP291">
        <f t="shared" si="182"/>
        <v>0</v>
      </c>
      <c r="AQ291">
        <f t="shared" si="183"/>
        <v>0</v>
      </c>
    </row>
    <row r="292" spans="1:43" x14ac:dyDescent="0.45">
      <c r="A292" s="51">
        <v>89</v>
      </c>
      <c r="B292" s="51" t="s">
        <v>304</v>
      </c>
      <c r="C292" s="56" t="s">
        <v>165</v>
      </c>
      <c r="D292" s="50" t="s">
        <v>76</v>
      </c>
      <c r="E292" s="19">
        <v>3120.0184597643092</v>
      </c>
      <c r="F292">
        <f t="shared" si="160"/>
        <v>3120.0184597643092</v>
      </c>
      <c r="G292">
        <f t="shared" si="161"/>
        <v>0</v>
      </c>
      <c r="H292">
        <f t="shared" si="162"/>
        <v>0</v>
      </c>
      <c r="I292">
        <f t="shared" si="163"/>
        <v>0</v>
      </c>
      <c r="J292">
        <f t="shared" si="164"/>
        <v>0</v>
      </c>
      <c r="K292">
        <f t="shared" si="165"/>
        <v>0</v>
      </c>
      <c r="L292">
        <f t="shared" si="166"/>
        <v>0</v>
      </c>
      <c r="M292">
        <f t="shared" si="167"/>
        <v>0</v>
      </c>
      <c r="N292">
        <f t="shared" si="168"/>
        <v>0</v>
      </c>
      <c r="O292">
        <f t="shared" si="169"/>
        <v>0</v>
      </c>
      <c r="P292">
        <f t="shared" si="170"/>
        <v>0</v>
      </c>
      <c r="Q292">
        <f t="shared" si="171"/>
        <v>0</v>
      </c>
      <c r="S292">
        <f t="shared" si="147"/>
        <v>47</v>
      </c>
      <c r="T292">
        <f t="shared" si="148"/>
        <v>37</v>
      </c>
      <c r="U292">
        <f t="shared" si="149"/>
        <v>18</v>
      </c>
      <c r="V292">
        <f t="shared" si="150"/>
        <v>18</v>
      </c>
      <c r="W292">
        <f t="shared" si="151"/>
        <v>100</v>
      </c>
      <c r="X292">
        <f t="shared" si="152"/>
        <v>83</v>
      </c>
      <c r="Y292">
        <f t="shared" si="153"/>
        <v>30</v>
      </c>
      <c r="Z292">
        <f t="shared" si="154"/>
        <v>19</v>
      </c>
      <c r="AA292">
        <f t="shared" si="155"/>
        <v>4</v>
      </c>
      <c r="AB292">
        <f t="shared" si="156"/>
        <v>6</v>
      </c>
      <c r="AC292">
        <f t="shared" si="157"/>
        <v>123</v>
      </c>
      <c r="AD292">
        <f t="shared" si="158"/>
        <v>12</v>
      </c>
      <c r="AF292">
        <f t="shared" si="172"/>
        <v>0</v>
      </c>
      <c r="AG292">
        <f t="shared" si="173"/>
        <v>0</v>
      </c>
      <c r="AH292">
        <f t="shared" si="174"/>
        <v>0</v>
      </c>
      <c r="AI292">
        <f t="shared" si="175"/>
        <v>0</v>
      </c>
      <c r="AJ292">
        <f t="shared" si="176"/>
        <v>0</v>
      </c>
      <c r="AK292">
        <f t="shared" si="177"/>
        <v>0</v>
      </c>
      <c r="AL292">
        <f t="shared" si="178"/>
        <v>0</v>
      </c>
      <c r="AM292">
        <f t="shared" si="179"/>
        <v>0</v>
      </c>
      <c r="AN292">
        <f t="shared" si="180"/>
        <v>0</v>
      </c>
      <c r="AO292">
        <f t="shared" si="181"/>
        <v>0</v>
      </c>
      <c r="AP292">
        <f t="shared" si="182"/>
        <v>0</v>
      </c>
      <c r="AQ292">
        <f t="shared" si="183"/>
        <v>0</v>
      </c>
    </row>
    <row r="293" spans="1:43" x14ac:dyDescent="0.45">
      <c r="A293" s="51">
        <v>90</v>
      </c>
      <c r="B293" s="51" t="s">
        <v>304</v>
      </c>
      <c r="C293" s="56" t="s">
        <v>167</v>
      </c>
      <c r="D293" s="50" t="s">
        <v>57</v>
      </c>
      <c r="E293" s="19">
        <v>2824.0563827186511</v>
      </c>
      <c r="F293">
        <f t="shared" si="160"/>
        <v>0</v>
      </c>
      <c r="G293">
        <f t="shared" si="161"/>
        <v>0</v>
      </c>
      <c r="H293">
        <f t="shared" si="162"/>
        <v>0</v>
      </c>
      <c r="I293">
        <f t="shared" si="163"/>
        <v>0</v>
      </c>
      <c r="J293">
        <f t="shared" si="164"/>
        <v>0</v>
      </c>
      <c r="K293">
        <f t="shared" si="165"/>
        <v>0</v>
      </c>
      <c r="L293">
        <f t="shared" si="166"/>
        <v>0</v>
      </c>
      <c r="M293">
        <f t="shared" si="167"/>
        <v>2824.0563827186511</v>
      </c>
      <c r="N293">
        <f t="shared" si="168"/>
        <v>0</v>
      </c>
      <c r="O293">
        <f t="shared" si="169"/>
        <v>0</v>
      </c>
      <c r="P293">
        <f t="shared" si="170"/>
        <v>0</v>
      </c>
      <c r="Q293">
        <f t="shared" si="171"/>
        <v>0</v>
      </c>
      <c r="S293">
        <f t="shared" si="147"/>
        <v>46</v>
      </c>
      <c r="T293">
        <f t="shared" si="148"/>
        <v>37</v>
      </c>
      <c r="U293">
        <f t="shared" si="149"/>
        <v>18</v>
      </c>
      <c r="V293">
        <f t="shared" si="150"/>
        <v>18</v>
      </c>
      <c r="W293">
        <f t="shared" si="151"/>
        <v>100</v>
      </c>
      <c r="X293">
        <f t="shared" si="152"/>
        <v>83</v>
      </c>
      <c r="Y293">
        <f t="shared" si="153"/>
        <v>30</v>
      </c>
      <c r="Z293">
        <f t="shared" si="154"/>
        <v>19</v>
      </c>
      <c r="AA293">
        <f t="shared" si="155"/>
        <v>4</v>
      </c>
      <c r="AB293">
        <f t="shared" si="156"/>
        <v>6</v>
      </c>
      <c r="AC293">
        <f t="shared" si="157"/>
        <v>123</v>
      </c>
      <c r="AD293">
        <f t="shared" si="158"/>
        <v>12</v>
      </c>
      <c r="AF293">
        <f t="shared" si="172"/>
        <v>0</v>
      </c>
      <c r="AG293">
        <f t="shared" si="173"/>
        <v>0</v>
      </c>
      <c r="AH293">
        <f t="shared" si="174"/>
        <v>0</v>
      </c>
      <c r="AI293">
        <f t="shared" si="175"/>
        <v>0</v>
      </c>
      <c r="AJ293">
        <f t="shared" si="176"/>
        <v>0</v>
      </c>
      <c r="AK293">
        <f t="shared" si="177"/>
        <v>0</v>
      </c>
      <c r="AL293">
        <f t="shared" si="178"/>
        <v>0</v>
      </c>
      <c r="AM293">
        <f t="shared" si="179"/>
        <v>0</v>
      </c>
      <c r="AN293">
        <f t="shared" si="180"/>
        <v>0</v>
      </c>
      <c r="AO293">
        <f t="shared" si="181"/>
        <v>0</v>
      </c>
      <c r="AP293">
        <f t="shared" si="182"/>
        <v>0</v>
      </c>
      <c r="AQ293">
        <f t="shared" si="183"/>
        <v>0</v>
      </c>
    </row>
    <row r="294" spans="1:43" x14ac:dyDescent="0.35">
      <c r="A294" s="51">
        <v>91</v>
      </c>
      <c r="B294" s="51" t="s">
        <v>305</v>
      </c>
      <c r="C294" s="62" t="s">
        <v>174</v>
      </c>
      <c r="D294" s="51" t="s">
        <v>94</v>
      </c>
      <c r="E294" s="51">
        <v>3805</v>
      </c>
      <c r="F294">
        <f t="shared" si="160"/>
        <v>0</v>
      </c>
      <c r="G294">
        <f t="shared" si="161"/>
        <v>0</v>
      </c>
      <c r="H294">
        <f t="shared" si="162"/>
        <v>0</v>
      </c>
      <c r="I294">
        <f t="shared" si="163"/>
        <v>0</v>
      </c>
      <c r="J294">
        <f t="shared" si="164"/>
        <v>0</v>
      </c>
      <c r="K294">
        <f t="shared" si="165"/>
        <v>0</v>
      </c>
      <c r="L294">
        <f t="shared" si="166"/>
        <v>3805</v>
      </c>
      <c r="M294">
        <f t="shared" si="167"/>
        <v>0</v>
      </c>
      <c r="N294">
        <f t="shared" si="168"/>
        <v>0</v>
      </c>
      <c r="O294">
        <f t="shared" si="169"/>
        <v>0</v>
      </c>
      <c r="P294">
        <f t="shared" si="170"/>
        <v>0</v>
      </c>
      <c r="Q294">
        <f t="shared" si="171"/>
        <v>0</v>
      </c>
      <c r="S294">
        <f t="shared" si="147"/>
        <v>46</v>
      </c>
      <c r="T294">
        <f t="shared" si="148"/>
        <v>37</v>
      </c>
      <c r="U294">
        <f t="shared" si="149"/>
        <v>18</v>
      </c>
      <c r="V294">
        <f t="shared" si="150"/>
        <v>18</v>
      </c>
      <c r="W294">
        <f t="shared" si="151"/>
        <v>100</v>
      </c>
      <c r="X294">
        <f t="shared" si="152"/>
        <v>83</v>
      </c>
      <c r="Y294">
        <f t="shared" si="153"/>
        <v>30</v>
      </c>
      <c r="Z294">
        <f t="shared" si="154"/>
        <v>18</v>
      </c>
      <c r="AA294">
        <f t="shared" si="155"/>
        <v>4</v>
      </c>
      <c r="AB294">
        <f t="shared" si="156"/>
        <v>6</v>
      </c>
      <c r="AC294">
        <f t="shared" si="157"/>
        <v>123</v>
      </c>
      <c r="AD294">
        <f t="shared" si="158"/>
        <v>12</v>
      </c>
      <c r="AF294">
        <f t="shared" si="172"/>
        <v>0</v>
      </c>
      <c r="AG294">
        <f t="shared" si="173"/>
        <v>0</v>
      </c>
      <c r="AH294">
        <f t="shared" si="174"/>
        <v>0</v>
      </c>
      <c r="AI294">
        <f t="shared" si="175"/>
        <v>0</v>
      </c>
      <c r="AJ294">
        <f t="shared" si="176"/>
        <v>0</v>
      </c>
      <c r="AK294">
        <f t="shared" si="177"/>
        <v>0</v>
      </c>
      <c r="AL294">
        <f t="shared" si="178"/>
        <v>0</v>
      </c>
      <c r="AM294">
        <f t="shared" si="179"/>
        <v>0</v>
      </c>
      <c r="AN294">
        <f t="shared" si="180"/>
        <v>0</v>
      </c>
      <c r="AO294">
        <f t="shared" si="181"/>
        <v>0</v>
      </c>
      <c r="AP294">
        <f t="shared" si="182"/>
        <v>0</v>
      </c>
      <c r="AQ294">
        <f t="shared" si="183"/>
        <v>0</v>
      </c>
    </row>
    <row r="295" spans="1:43" x14ac:dyDescent="0.45">
      <c r="A295" s="51">
        <v>92</v>
      </c>
      <c r="B295" s="51" t="s">
        <v>305</v>
      </c>
      <c r="C295" s="56" t="s">
        <v>172</v>
      </c>
      <c r="D295" s="50" t="s">
        <v>228</v>
      </c>
      <c r="E295" s="51">
        <v>3414</v>
      </c>
      <c r="F295">
        <f t="shared" si="160"/>
        <v>0</v>
      </c>
      <c r="G295">
        <f t="shared" si="161"/>
        <v>0</v>
      </c>
      <c r="H295">
        <f t="shared" si="162"/>
        <v>0</v>
      </c>
      <c r="I295">
        <f t="shared" si="163"/>
        <v>0</v>
      </c>
      <c r="J295">
        <f t="shared" si="164"/>
        <v>0</v>
      </c>
      <c r="K295">
        <f t="shared" si="165"/>
        <v>0</v>
      </c>
      <c r="L295">
        <f t="shared" si="166"/>
        <v>0</v>
      </c>
      <c r="M295">
        <f t="shared" si="167"/>
        <v>0</v>
      </c>
      <c r="N295">
        <f t="shared" si="168"/>
        <v>0</v>
      </c>
      <c r="O295">
        <f t="shared" si="169"/>
        <v>0</v>
      </c>
      <c r="P295">
        <f t="shared" si="170"/>
        <v>3414</v>
      </c>
      <c r="Q295">
        <f t="shared" si="171"/>
        <v>0</v>
      </c>
      <c r="S295">
        <f t="shared" si="147"/>
        <v>46</v>
      </c>
      <c r="T295">
        <f t="shared" si="148"/>
        <v>37</v>
      </c>
      <c r="U295">
        <f t="shared" si="149"/>
        <v>18</v>
      </c>
      <c r="V295">
        <f t="shared" si="150"/>
        <v>18</v>
      </c>
      <c r="W295">
        <f t="shared" si="151"/>
        <v>100</v>
      </c>
      <c r="X295">
        <f t="shared" si="152"/>
        <v>83</v>
      </c>
      <c r="Y295">
        <f t="shared" si="153"/>
        <v>29</v>
      </c>
      <c r="Z295">
        <f t="shared" si="154"/>
        <v>18</v>
      </c>
      <c r="AA295">
        <f t="shared" si="155"/>
        <v>4</v>
      </c>
      <c r="AB295">
        <f t="shared" si="156"/>
        <v>6</v>
      </c>
      <c r="AC295">
        <f t="shared" si="157"/>
        <v>123</v>
      </c>
      <c r="AD295">
        <f t="shared" si="158"/>
        <v>12</v>
      </c>
      <c r="AF295">
        <f t="shared" si="172"/>
        <v>0</v>
      </c>
      <c r="AG295">
        <f t="shared" si="173"/>
        <v>0</v>
      </c>
      <c r="AH295">
        <f t="shared" si="174"/>
        <v>0</v>
      </c>
      <c r="AI295">
        <f t="shared" si="175"/>
        <v>0</v>
      </c>
      <c r="AJ295">
        <f t="shared" si="176"/>
        <v>0</v>
      </c>
      <c r="AK295">
        <f t="shared" si="177"/>
        <v>0</v>
      </c>
      <c r="AL295">
        <f t="shared" si="178"/>
        <v>0</v>
      </c>
      <c r="AM295">
        <f t="shared" si="179"/>
        <v>0</v>
      </c>
      <c r="AN295">
        <f t="shared" si="180"/>
        <v>0</v>
      </c>
      <c r="AO295">
        <f t="shared" si="181"/>
        <v>0</v>
      </c>
      <c r="AP295">
        <f t="shared" si="182"/>
        <v>0</v>
      </c>
      <c r="AQ295">
        <f t="shared" si="183"/>
        <v>0</v>
      </c>
    </row>
    <row r="296" spans="1:43" x14ac:dyDescent="0.45">
      <c r="A296" s="51">
        <v>93</v>
      </c>
      <c r="B296" s="51" t="s">
        <v>306</v>
      </c>
      <c r="C296" s="56" t="s">
        <v>169</v>
      </c>
      <c r="D296" s="50" t="s">
        <v>54</v>
      </c>
      <c r="E296" s="51">
        <v>3394</v>
      </c>
      <c r="F296">
        <f t="shared" si="160"/>
        <v>0</v>
      </c>
      <c r="G296">
        <f t="shared" si="161"/>
        <v>0</v>
      </c>
      <c r="H296">
        <f t="shared" si="162"/>
        <v>0</v>
      </c>
      <c r="I296">
        <f t="shared" si="163"/>
        <v>0</v>
      </c>
      <c r="J296">
        <f t="shared" si="164"/>
        <v>0</v>
      </c>
      <c r="K296">
        <f t="shared" si="165"/>
        <v>3394</v>
      </c>
      <c r="L296">
        <f t="shared" si="166"/>
        <v>0</v>
      </c>
      <c r="M296">
        <f t="shared" si="167"/>
        <v>0</v>
      </c>
      <c r="N296">
        <f t="shared" si="168"/>
        <v>0</v>
      </c>
      <c r="O296">
        <f t="shared" si="169"/>
        <v>0</v>
      </c>
      <c r="P296">
        <f t="shared" si="170"/>
        <v>0</v>
      </c>
      <c r="Q296">
        <f t="shared" si="171"/>
        <v>0</v>
      </c>
      <c r="S296">
        <f t="shared" si="147"/>
        <v>46</v>
      </c>
      <c r="T296">
        <f t="shared" si="148"/>
        <v>37</v>
      </c>
      <c r="U296">
        <f t="shared" si="149"/>
        <v>18</v>
      </c>
      <c r="V296">
        <f t="shared" si="150"/>
        <v>18</v>
      </c>
      <c r="W296">
        <f t="shared" si="151"/>
        <v>100</v>
      </c>
      <c r="X296">
        <f t="shared" si="152"/>
        <v>83</v>
      </c>
      <c r="Y296">
        <f t="shared" si="153"/>
        <v>29</v>
      </c>
      <c r="Z296">
        <f t="shared" si="154"/>
        <v>18</v>
      </c>
      <c r="AA296">
        <f t="shared" si="155"/>
        <v>4</v>
      </c>
      <c r="AB296">
        <f t="shared" si="156"/>
        <v>6</v>
      </c>
      <c r="AC296">
        <f t="shared" si="157"/>
        <v>122</v>
      </c>
      <c r="AD296">
        <f t="shared" si="158"/>
        <v>12</v>
      </c>
      <c r="AF296">
        <f t="shared" si="172"/>
        <v>0</v>
      </c>
      <c r="AG296">
        <f t="shared" si="173"/>
        <v>0</v>
      </c>
      <c r="AH296">
        <f t="shared" si="174"/>
        <v>0</v>
      </c>
      <c r="AI296">
        <f t="shared" si="175"/>
        <v>0</v>
      </c>
      <c r="AJ296">
        <f t="shared" si="176"/>
        <v>0</v>
      </c>
      <c r="AK296">
        <f t="shared" si="177"/>
        <v>0</v>
      </c>
      <c r="AL296">
        <f t="shared" si="178"/>
        <v>0</v>
      </c>
      <c r="AM296">
        <f t="shared" si="179"/>
        <v>0</v>
      </c>
      <c r="AN296">
        <f t="shared" si="180"/>
        <v>0</v>
      </c>
      <c r="AO296">
        <f t="shared" si="181"/>
        <v>0</v>
      </c>
      <c r="AP296">
        <f t="shared" si="182"/>
        <v>0</v>
      </c>
      <c r="AQ296">
        <f t="shared" si="183"/>
        <v>0</v>
      </c>
    </row>
    <row r="297" spans="1:43" x14ac:dyDescent="0.35">
      <c r="A297" s="51">
        <v>94</v>
      </c>
      <c r="B297" s="51" t="s">
        <v>306</v>
      </c>
      <c r="C297" s="62" t="s">
        <v>175</v>
      </c>
      <c r="D297" s="51" t="s">
        <v>227</v>
      </c>
      <c r="E297" s="19">
        <v>3509.3443203910024</v>
      </c>
      <c r="F297">
        <f t="shared" si="160"/>
        <v>0</v>
      </c>
      <c r="G297">
        <f t="shared" si="161"/>
        <v>3509.3443203910024</v>
      </c>
      <c r="H297">
        <f t="shared" si="162"/>
        <v>0</v>
      </c>
      <c r="I297">
        <f t="shared" si="163"/>
        <v>0</v>
      </c>
      <c r="J297">
        <f t="shared" si="164"/>
        <v>0</v>
      </c>
      <c r="K297">
        <f t="shared" si="165"/>
        <v>0</v>
      </c>
      <c r="L297">
        <f t="shared" si="166"/>
        <v>0</v>
      </c>
      <c r="M297">
        <f t="shared" si="167"/>
        <v>0</v>
      </c>
      <c r="N297">
        <f t="shared" si="168"/>
        <v>0</v>
      </c>
      <c r="O297">
        <f t="shared" si="169"/>
        <v>0</v>
      </c>
      <c r="P297">
        <f t="shared" si="170"/>
        <v>0</v>
      </c>
      <c r="Q297">
        <f t="shared" si="171"/>
        <v>0</v>
      </c>
      <c r="S297">
        <f t="shared" si="147"/>
        <v>46</v>
      </c>
      <c r="T297">
        <f t="shared" si="148"/>
        <v>37</v>
      </c>
      <c r="U297">
        <f t="shared" si="149"/>
        <v>18</v>
      </c>
      <c r="V297">
        <f t="shared" si="150"/>
        <v>18</v>
      </c>
      <c r="W297">
        <f t="shared" si="151"/>
        <v>100</v>
      </c>
      <c r="X297">
        <f t="shared" si="152"/>
        <v>82</v>
      </c>
      <c r="Y297">
        <f t="shared" si="153"/>
        <v>29</v>
      </c>
      <c r="Z297">
        <f t="shared" si="154"/>
        <v>18</v>
      </c>
      <c r="AA297">
        <f t="shared" si="155"/>
        <v>4</v>
      </c>
      <c r="AB297">
        <f t="shared" si="156"/>
        <v>6</v>
      </c>
      <c r="AC297">
        <f t="shared" si="157"/>
        <v>122</v>
      </c>
      <c r="AD297">
        <f t="shared" si="158"/>
        <v>12</v>
      </c>
      <c r="AF297">
        <f t="shared" si="172"/>
        <v>0</v>
      </c>
      <c r="AG297">
        <f t="shared" si="173"/>
        <v>0</v>
      </c>
      <c r="AH297">
        <f t="shared" si="174"/>
        <v>0</v>
      </c>
      <c r="AI297">
        <f t="shared" si="175"/>
        <v>0</v>
      </c>
      <c r="AJ297">
        <f t="shared" si="176"/>
        <v>0</v>
      </c>
      <c r="AK297">
        <f t="shared" si="177"/>
        <v>0</v>
      </c>
      <c r="AL297">
        <f t="shared" si="178"/>
        <v>0</v>
      </c>
      <c r="AM297">
        <f t="shared" si="179"/>
        <v>0</v>
      </c>
      <c r="AN297">
        <f t="shared" si="180"/>
        <v>0</v>
      </c>
      <c r="AO297">
        <f t="shared" si="181"/>
        <v>0</v>
      </c>
      <c r="AP297">
        <f t="shared" si="182"/>
        <v>0</v>
      </c>
      <c r="AQ297">
        <f t="shared" si="183"/>
        <v>0</v>
      </c>
    </row>
    <row r="298" spans="1:43" x14ac:dyDescent="0.45">
      <c r="A298" s="51">
        <v>95</v>
      </c>
      <c r="B298" s="51" t="s">
        <v>306</v>
      </c>
      <c r="C298" s="56" t="s">
        <v>173</v>
      </c>
      <c r="D298" s="50" t="s">
        <v>57</v>
      </c>
      <c r="E298" s="19">
        <v>2807.1340186809721</v>
      </c>
      <c r="F298">
        <f t="shared" si="160"/>
        <v>0</v>
      </c>
      <c r="G298">
        <f t="shared" si="161"/>
        <v>0</v>
      </c>
      <c r="H298">
        <f t="shared" si="162"/>
        <v>0</v>
      </c>
      <c r="I298">
        <f t="shared" si="163"/>
        <v>0</v>
      </c>
      <c r="J298">
        <f t="shared" si="164"/>
        <v>0</v>
      </c>
      <c r="K298">
        <f t="shared" si="165"/>
        <v>0</v>
      </c>
      <c r="L298">
        <f t="shared" si="166"/>
        <v>0</v>
      </c>
      <c r="M298">
        <f t="shared" si="167"/>
        <v>2807.1340186809721</v>
      </c>
      <c r="N298">
        <f t="shared" si="168"/>
        <v>0</v>
      </c>
      <c r="O298">
        <f t="shared" si="169"/>
        <v>0</v>
      </c>
      <c r="P298">
        <f t="shared" si="170"/>
        <v>0</v>
      </c>
      <c r="Q298">
        <f t="shared" si="171"/>
        <v>0</v>
      </c>
      <c r="S298">
        <f t="shared" si="147"/>
        <v>46</v>
      </c>
      <c r="T298">
        <f t="shared" si="148"/>
        <v>36</v>
      </c>
      <c r="U298">
        <f t="shared" si="149"/>
        <v>18</v>
      </c>
      <c r="V298">
        <f t="shared" si="150"/>
        <v>18</v>
      </c>
      <c r="W298">
        <f t="shared" si="151"/>
        <v>100</v>
      </c>
      <c r="X298">
        <f t="shared" si="152"/>
        <v>82</v>
      </c>
      <c r="Y298">
        <f t="shared" si="153"/>
        <v>29</v>
      </c>
      <c r="Z298">
        <f t="shared" si="154"/>
        <v>18</v>
      </c>
      <c r="AA298">
        <f t="shared" si="155"/>
        <v>4</v>
      </c>
      <c r="AB298">
        <f t="shared" si="156"/>
        <v>6</v>
      </c>
      <c r="AC298">
        <f t="shared" si="157"/>
        <v>122</v>
      </c>
      <c r="AD298">
        <f t="shared" si="158"/>
        <v>12</v>
      </c>
      <c r="AF298">
        <f t="shared" si="172"/>
        <v>0</v>
      </c>
      <c r="AG298">
        <f t="shared" si="173"/>
        <v>0</v>
      </c>
      <c r="AH298">
        <f t="shared" si="174"/>
        <v>0</v>
      </c>
      <c r="AI298">
        <f t="shared" si="175"/>
        <v>0</v>
      </c>
      <c r="AJ298">
        <f t="shared" si="176"/>
        <v>0</v>
      </c>
      <c r="AK298">
        <f t="shared" si="177"/>
        <v>0</v>
      </c>
      <c r="AL298">
        <f t="shared" si="178"/>
        <v>0</v>
      </c>
      <c r="AM298">
        <f t="shared" si="179"/>
        <v>0</v>
      </c>
      <c r="AN298">
        <f t="shared" si="180"/>
        <v>0</v>
      </c>
      <c r="AO298">
        <f t="shared" si="181"/>
        <v>0</v>
      </c>
      <c r="AP298">
        <f t="shared" si="182"/>
        <v>0</v>
      </c>
      <c r="AQ298">
        <f t="shared" si="183"/>
        <v>0</v>
      </c>
    </row>
    <row r="299" spans="1:43" x14ac:dyDescent="0.45">
      <c r="A299" s="51">
        <v>96</v>
      </c>
      <c r="B299" s="51" t="s">
        <v>307</v>
      </c>
      <c r="C299" s="56" t="s">
        <v>170</v>
      </c>
      <c r="D299" s="50" t="s">
        <v>60</v>
      </c>
      <c r="E299" s="19">
        <v>3596.8462389035321</v>
      </c>
      <c r="F299">
        <f t="shared" si="160"/>
        <v>0</v>
      </c>
      <c r="G299">
        <f t="shared" si="161"/>
        <v>0</v>
      </c>
      <c r="H299">
        <f t="shared" si="162"/>
        <v>0</v>
      </c>
      <c r="I299">
        <f t="shared" si="163"/>
        <v>0</v>
      </c>
      <c r="J299">
        <f t="shared" si="164"/>
        <v>3596.8462389035321</v>
      </c>
      <c r="K299">
        <f t="shared" si="165"/>
        <v>0</v>
      </c>
      <c r="L299">
        <f t="shared" si="166"/>
        <v>0</v>
      </c>
      <c r="M299">
        <f t="shared" si="167"/>
        <v>0</v>
      </c>
      <c r="N299">
        <f t="shared" si="168"/>
        <v>0</v>
      </c>
      <c r="O299">
        <f t="shared" si="169"/>
        <v>0</v>
      </c>
      <c r="P299">
        <f t="shared" si="170"/>
        <v>0</v>
      </c>
      <c r="Q299">
        <f t="shared" si="171"/>
        <v>0</v>
      </c>
      <c r="S299">
        <f t="shared" si="147"/>
        <v>46</v>
      </c>
      <c r="T299">
        <f t="shared" si="148"/>
        <v>36</v>
      </c>
      <c r="U299">
        <f t="shared" si="149"/>
        <v>18</v>
      </c>
      <c r="V299">
        <f t="shared" si="150"/>
        <v>18</v>
      </c>
      <c r="W299">
        <f t="shared" si="151"/>
        <v>100</v>
      </c>
      <c r="X299">
        <f t="shared" si="152"/>
        <v>82</v>
      </c>
      <c r="Y299">
        <f t="shared" si="153"/>
        <v>29</v>
      </c>
      <c r="Z299">
        <f t="shared" si="154"/>
        <v>17</v>
      </c>
      <c r="AA299">
        <f t="shared" si="155"/>
        <v>4</v>
      </c>
      <c r="AB299">
        <f t="shared" si="156"/>
        <v>6</v>
      </c>
      <c r="AC299">
        <f t="shared" si="157"/>
        <v>122</v>
      </c>
      <c r="AD299">
        <f t="shared" si="158"/>
        <v>12</v>
      </c>
      <c r="AF299">
        <f t="shared" si="172"/>
        <v>0</v>
      </c>
      <c r="AG299">
        <f t="shared" si="173"/>
        <v>0</v>
      </c>
      <c r="AH299">
        <f t="shared" si="174"/>
        <v>0</v>
      </c>
      <c r="AI299">
        <f t="shared" si="175"/>
        <v>0</v>
      </c>
      <c r="AJ299">
        <f t="shared" si="176"/>
        <v>0</v>
      </c>
      <c r="AK299">
        <f t="shared" si="177"/>
        <v>0</v>
      </c>
      <c r="AL299">
        <f t="shared" si="178"/>
        <v>0</v>
      </c>
      <c r="AM299">
        <f t="shared" si="179"/>
        <v>0</v>
      </c>
      <c r="AN299">
        <f t="shared" si="180"/>
        <v>0</v>
      </c>
      <c r="AO299">
        <f t="shared" si="181"/>
        <v>0</v>
      </c>
      <c r="AP299">
        <f t="shared" si="182"/>
        <v>0</v>
      </c>
      <c r="AQ299">
        <f t="shared" si="183"/>
        <v>0</v>
      </c>
    </row>
    <row r="300" spans="1:43" x14ac:dyDescent="0.45">
      <c r="A300" s="51">
        <v>97</v>
      </c>
      <c r="B300" s="51" t="s">
        <v>307</v>
      </c>
      <c r="C300" s="56" t="s">
        <v>177</v>
      </c>
      <c r="D300" s="50" t="s">
        <v>60</v>
      </c>
      <c r="E300" s="19">
        <v>2682.1674496431569</v>
      </c>
      <c r="F300">
        <f t="shared" si="160"/>
        <v>0</v>
      </c>
      <c r="G300">
        <f t="shared" si="161"/>
        <v>0</v>
      </c>
      <c r="H300">
        <f t="shared" si="162"/>
        <v>0</v>
      </c>
      <c r="I300">
        <f t="shared" si="163"/>
        <v>0</v>
      </c>
      <c r="J300">
        <f t="shared" si="164"/>
        <v>2682.1674496431569</v>
      </c>
      <c r="K300">
        <f t="shared" si="165"/>
        <v>0</v>
      </c>
      <c r="L300">
        <f t="shared" si="166"/>
        <v>0</v>
      </c>
      <c r="M300">
        <f t="shared" si="167"/>
        <v>0</v>
      </c>
      <c r="N300">
        <f t="shared" si="168"/>
        <v>0</v>
      </c>
      <c r="O300">
        <f t="shared" si="169"/>
        <v>0</v>
      </c>
      <c r="P300">
        <f t="shared" si="170"/>
        <v>0</v>
      </c>
      <c r="Q300">
        <f t="shared" si="171"/>
        <v>0</v>
      </c>
      <c r="S300">
        <f t="shared" si="147"/>
        <v>46</v>
      </c>
      <c r="T300">
        <f t="shared" si="148"/>
        <v>36</v>
      </c>
      <c r="U300">
        <f t="shared" si="149"/>
        <v>18</v>
      </c>
      <c r="V300">
        <f t="shared" si="150"/>
        <v>18</v>
      </c>
      <c r="W300">
        <f t="shared" si="151"/>
        <v>99</v>
      </c>
      <c r="X300">
        <f t="shared" si="152"/>
        <v>82</v>
      </c>
      <c r="Y300">
        <f t="shared" si="153"/>
        <v>29</v>
      </c>
      <c r="Z300">
        <f t="shared" si="154"/>
        <v>17</v>
      </c>
      <c r="AA300">
        <f t="shared" si="155"/>
        <v>4</v>
      </c>
      <c r="AB300">
        <f t="shared" si="156"/>
        <v>6</v>
      </c>
      <c r="AC300">
        <f t="shared" si="157"/>
        <v>122</v>
      </c>
      <c r="AD300">
        <f t="shared" si="158"/>
        <v>12</v>
      </c>
      <c r="AF300">
        <f t="shared" si="172"/>
        <v>0</v>
      </c>
      <c r="AG300">
        <f t="shared" si="173"/>
        <v>0</v>
      </c>
      <c r="AH300">
        <f t="shared" si="174"/>
        <v>0</v>
      </c>
      <c r="AI300">
        <f t="shared" si="175"/>
        <v>0</v>
      </c>
      <c r="AJ300">
        <f t="shared" si="176"/>
        <v>0</v>
      </c>
      <c r="AK300">
        <f t="shared" si="177"/>
        <v>0</v>
      </c>
      <c r="AL300">
        <f t="shared" si="178"/>
        <v>0</v>
      </c>
      <c r="AM300">
        <f t="shared" si="179"/>
        <v>0</v>
      </c>
      <c r="AN300">
        <f t="shared" si="180"/>
        <v>0</v>
      </c>
      <c r="AO300">
        <f t="shared" si="181"/>
        <v>0</v>
      </c>
      <c r="AP300">
        <f t="shared" si="182"/>
        <v>0</v>
      </c>
      <c r="AQ300">
        <f t="shared" si="183"/>
        <v>0</v>
      </c>
    </row>
    <row r="301" spans="1:43" x14ac:dyDescent="0.45">
      <c r="F301">
        <f t="shared" si="160"/>
        <v>0</v>
      </c>
      <c r="G301">
        <f t="shared" si="161"/>
        <v>0</v>
      </c>
      <c r="H301">
        <f t="shared" si="162"/>
        <v>0</v>
      </c>
      <c r="I301">
        <f t="shared" si="163"/>
        <v>0</v>
      </c>
      <c r="J301">
        <f t="shared" si="164"/>
        <v>0</v>
      </c>
      <c r="K301">
        <f t="shared" si="165"/>
        <v>0</v>
      </c>
      <c r="L301">
        <f t="shared" si="166"/>
        <v>0</v>
      </c>
      <c r="M301">
        <f t="shared" si="167"/>
        <v>0</v>
      </c>
      <c r="N301">
        <f t="shared" si="168"/>
        <v>0</v>
      </c>
      <c r="O301">
        <f t="shared" si="169"/>
        <v>0</v>
      </c>
      <c r="P301">
        <f t="shared" si="170"/>
        <v>0</v>
      </c>
      <c r="Q301">
        <f t="shared" si="171"/>
        <v>0</v>
      </c>
      <c r="S301">
        <f t="shared" ref="S301:S362" si="185">IF(F301&gt;0,1,0)+S302</f>
        <v>46</v>
      </c>
      <c r="T301">
        <f t="shared" ref="T301:T362" si="186">IF(G301&gt;0,1,0)+T302</f>
        <v>36</v>
      </c>
      <c r="U301">
        <f t="shared" ref="U301:U362" si="187">IF(H301&gt;0,1,0)+U302</f>
        <v>18</v>
      </c>
      <c r="V301">
        <f t="shared" ref="V301:V362" si="188">IF(I301&gt;0,1,0)+V302</f>
        <v>18</v>
      </c>
      <c r="W301">
        <f t="shared" ref="W301:W362" si="189">IF(J301&gt;0,1,0)+W302</f>
        <v>98</v>
      </c>
      <c r="X301">
        <f t="shared" ref="X301:X362" si="190">IF(K301&gt;0,1,0)+X302</f>
        <v>82</v>
      </c>
      <c r="Y301">
        <f t="shared" ref="Y301:Y362" si="191">IF(L301&gt;0,1,0)+Y302</f>
        <v>29</v>
      </c>
      <c r="Z301">
        <f t="shared" ref="Z301:Z362" si="192">IF(M301&gt;0,1,0)+Z302</f>
        <v>17</v>
      </c>
      <c r="AA301">
        <f t="shared" ref="AA301:AA362" si="193">IF(N301&gt;0,1,0)+AA302</f>
        <v>4</v>
      </c>
      <c r="AB301">
        <f t="shared" ref="AB301:AB362" si="194">IF(O301&gt;0,1,0)+AB302</f>
        <v>6</v>
      </c>
      <c r="AC301">
        <f t="shared" ref="AC301:AC362" si="195">IF(P301&gt;0,1,0)+AC302</f>
        <v>122</v>
      </c>
      <c r="AD301">
        <f t="shared" ref="AD301:AD362" si="196">IF(Q301&gt;0,1,0)+AD302</f>
        <v>12</v>
      </c>
      <c r="AF301">
        <f t="shared" si="172"/>
        <v>0</v>
      </c>
      <c r="AG301">
        <f t="shared" si="173"/>
        <v>0</v>
      </c>
      <c r="AH301">
        <f t="shared" si="174"/>
        <v>0</v>
      </c>
      <c r="AI301">
        <f t="shared" si="175"/>
        <v>0</v>
      </c>
      <c r="AJ301">
        <f t="shared" si="176"/>
        <v>0</v>
      </c>
      <c r="AK301">
        <f t="shared" si="177"/>
        <v>0</v>
      </c>
      <c r="AL301">
        <f t="shared" si="178"/>
        <v>0</v>
      </c>
      <c r="AM301">
        <f t="shared" si="179"/>
        <v>0</v>
      </c>
      <c r="AN301">
        <f t="shared" si="180"/>
        <v>0</v>
      </c>
      <c r="AO301">
        <f t="shared" si="181"/>
        <v>0</v>
      </c>
      <c r="AP301">
        <f t="shared" si="182"/>
        <v>0</v>
      </c>
      <c r="AQ301">
        <f t="shared" si="183"/>
        <v>0</v>
      </c>
    </row>
    <row r="302" spans="1:43" x14ac:dyDescent="0.35">
      <c r="A302" s="51">
        <v>1</v>
      </c>
      <c r="B302" s="51" t="s">
        <v>308</v>
      </c>
      <c r="C302" s="62" t="s">
        <v>178</v>
      </c>
      <c r="D302" s="50" t="s">
        <v>222</v>
      </c>
      <c r="E302" s="19">
        <v>3285.4514874551969</v>
      </c>
      <c r="F302">
        <f t="shared" si="160"/>
        <v>0</v>
      </c>
      <c r="G302">
        <f t="shared" si="161"/>
        <v>0</v>
      </c>
      <c r="H302">
        <f t="shared" si="162"/>
        <v>0</v>
      </c>
      <c r="I302">
        <f t="shared" si="163"/>
        <v>0</v>
      </c>
      <c r="J302">
        <f t="shared" si="164"/>
        <v>0</v>
      </c>
      <c r="K302">
        <f t="shared" si="165"/>
        <v>0</v>
      </c>
      <c r="L302">
        <f t="shared" si="166"/>
        <v>0</v>
      </c>
      <c r="M302">
        <f t="shared" si="167"/>
        <v>0</v>
      </c>
      <c r="N302">
        <f t="shared" si="168"/>
        <v>0</v>
      </c>
      <c r="O302">
        <f t="shared" si="169"/>
        <v>0</v>
      </c>
      <c r="P302">
        <f t="shared" si="170"/>
        <v>0</v>
      </c>
      <c r="Q302">
        <f t="shared" si="171"/>
        <v>3285.4514874551969</v>
      </c>
      <c r="S302">
        <f t="shared" si="185"/>
        <v>46</v>
      </c>
      <c r="T302">
        <f t="shared" si="186"/>
        <v>36</v>
      </c>
      <c r="U302">
        <f t="shared" si="187"/>
        <v>18</v>
      </c>
      <c r="V302">
        <f t="shared" si="188"/>
        <v>18</v>
      </c>
      <c r="W302">
        <f t="shared" si="189"/>
        <v>98</v>
      </c>
      <c r="X302">
        <f t="shared" si="190"/>
        <v>82</v>
      </c>
      <c r="Y302">
        <f t="shared" si="191"/>
        <v>29</v>
      </c>
      <c r="Z302">
        <f t="shared" si="192"/>
        <v>17</v>
      </c>
      <c r="AA302">
        <f t="shared" si="193"/>
        <v>4</v>
      </c>
      <c r="AB302">
        <f t="shared" si="194"/>
        <v>6</v>
      </c>
      <c r="AC302">
        <f t="shared" si="195"/>
        <v>122</v>
      </c>
      <c r="AD302">
        <f t="shared" si="196"/>
        <v>12</v>
      </c>
      <c r="AF302">
        <f t="shared" si="172"/>
        <v>0</v>
      </c>
      <c r="AG302">
        <f t="shared" si="173"/>
        <v>0</v>
      </c>
      <c r="AH302">
        <f t="shared" si="174"/>
        <v>0</v>
      </c>
      <c r="AI302">
        <f t="shared" si="175"/>
        <v>0</v>
      </c>
      <c r="AJ302">
        <f t="shared" si="176"/>
        <v>0</v>
      </c>
      <c r="AK302">
        <f t="shared" si="177"/>
        <v>0</v>
      </c>
      <c r="AL302">
        <f t="shared" si="178"/>
        <v>0</v>
      </c>
      <c r="AM302">
        <f t="shared" si="179"/>
        <v>0</v>
      </c>
      <c r="AN302">
        <f t="shared" si="180"/>
        <v>0</v>
      </c>
      <c r="AO302">
        <f t="shared" si="181"/>
        <v>0</v>
      </c>
      <c r="AP302">
        <f t="shared" si="182"/>
        <v>0</v>
      </c>
      <c r="AQ302">
        <f t="shared" si="183"/>
        <v>0</v>
      </c>
    </row>
    <row r="303" spans="1:43" x14ac:dyDescent="0.45">
      <c r="A303" s="51">
        <v>2</v>
      </c>
      <c r="B303" s="51" t="s">
        <v>308</v>
      </c>
      <c r="C303" s="56" t="s">
        <v>180</v>
      </c>
      <c r="D303" s="50" t="s">
        <v>228</v>
      </c>
      <c r="E303" s="45">
        <v>2745.0211840572088</v>
      </c>
      <c r="F303">
        <f t="shared" si="160"/>
        <v>0</v>
      </c>
      <c r="G303">
        <f t="shared" si="161"/>
        <v>0</v>
      </c>
      <c r="H303">
        <f t="shared" si="162"/>
        <v>0</v>
      </c>
      <c r="I303">
        <f t="shared" si="163"/>
        <v>0</v>
      </c>
      <c r="J303">
        <f t="shared" si="164"/>
        <v>0</v>
      </c>
      <c r="K303">
        <f t="shared" si="165"/>
        <v>0</v>
      </c>
      <c r="L303">
        <f t="shared" si="166"/>
        <v>0</v>
      </c>
      <c r="M303">
        <f t="shared" si="167"/>
        <v>0</v>
      </c>
      <c r="N303">
        <f t="shared" si="168"/>
        <v>0</v>
      </c>
      <c r="O303">
        <f t="shared" si="169"/>
        <v>0</v>
      </c>
      <c r="P303">
        <f t="shared" si="170"/>
        <v>2745.0211840572088</v>
      </c>
      <c r="Q303">
        <f t="shared" si="171"/>
        <v>0</v>
      </c>
      <c r="S303">
        <f t="shared" si="185"/>
        <v>46</v>
      </c>
      <c r="T303">
        <f t="shared" si="186"/>
        <v>36</v>
      </c>
      <c r="U303">
        <f t="shared" si="187"/>
        <v>18</v>
      </c>
      <c r="V303">
        <f t="shared" si="188"/>
        <v>18</v>
      </c>
      <c r="W303">
        <f t="shared" si="189"/>
        <v>98</v>
      </c>
      <c r="X303">
        <f t="shared" si="190"/>
        <v>82</v>
      </c>
      <c r="Y303">
        <f t="shared" si="191"/>
        <v>29</v>
      </c>
      <c r="Z303">
        <f t="shared" si="192"/>
        <v>17</v>
      </c>
      <c r="AA303">
        <f t="shared" si="193"/>
        <v>4</v>
      </c>
      <c r="AB303">
        <f t="shared" si="194"/>
        <v>6</v>
      </c>
      <c r="AC303">
        <f t="shared" si="195"/>
        <v>122</v>
      </c>
      <c r="AD303">
        <f t="shared" si="196"/>
        <v>11</v>
      </c>
      <c r="AF303">
        <f t="shared" si="172"/>
        <v>0</v>
      </c>
      <c r="AG303">
        <f t="shared" si="173"/>
        <v>0</v>
      </c>
      <c r="AH303">
        <f t="shared" si="174"/>
        <v>0</v>
      </c>
      <c r="AI303">
        <f t="shared" si="175"/>
        <v>0</v>
      </c>
      <c r="AJ303">
        <f t="shared" si="176"/>
        <v>0</v>
      </c>
      <c r="AK303">
        <f t="shared" si="177"/>
        <v>0</v>
      </c>
      <c r="AL303">
        <f t="shared" si="178"/>
        <v>0</v>
      </c>
      <c r="AM303">
        <f t="shared" si="179"/>
        <v>0</v>
      </c>
      <c r="AN303">
        <f t="shared" si="180"/>
        <v>0</v>
      </c>
      <c r="AO303">
        <f t="shared" si="181"/>
        <v>0</v>
      </c>
      <c r="AP303">
        <f t="shared" si="182"/>
        <v>0</v>
      </c>
      <c r="AQ303">
        <f t="shared" si="183"/>
        <v>0</v>
      </c>
    </row>
    <row r="304" spans="1:43" x14ac:dyDescent="0.45">
      <c r="A304" s="51">
        <v>3</v>
      </c>
      <c r="B304" s="51" t="s">
        <v>308</v>
      </c>
      <c r="C304" s="56" t="s">
        <v>53</v>
      </c>
      <c r="D304" s="50" t="s">
        <v>222</v>
      </c>
      <c r="E304" s="19">
        <v>2953.8992930584773</v>
      </c>
      <c r="F304">
        <f t="shared" si="160"/>
        <v>0</v>
      </c>
      <c r="G304">
        <f t="shared" si="161"/>
        <v>0</v>
      </c>
      <c r="H304">
        <f t="shared" si="162"/>
        <v>0</v>
      </c>
      <c r="I304">
        <f t="shared" si="163"/>
        <v>0</v>
      </c>
      <c r="J304">
        <f t="shared" si="164"/>
        <v>0</v>
      </c>
      <c r="K304">
        <f t="shared" si="165"/>
        <v>0</v>
      </c>
      <c r="L304">
        <f t="shared" si="166"/>
        <v>0</v>
      </c>
      <c r="M304">
        <f t="shared" si="167"/>
        <v>0</v>
      </c>
      <c r="N304">
        <f t="shared" si="168"/>
        <v>0</v>
      </c>
      <c r="O304">
        <f t="shared" si="169"/>
        <v>0</v>
      </c>
      <c r="P304">
        <f t="shared" si="170"/>
        <v>0</v>
      </c>
      <c r="Q304">
        <f t="shared" si="171"/>
        <v>2953.8992930584773</v>
      </c>
      <c r="S304">
        <f t="shared" si="185"/>
        <v>46</v>
      </c>
      <c r="T304">
        <f t="shared" si="186"/>
        <v>36</v>
      </c>
      <c r="U304">
        <f t="shared" si="187"/>
        <v>18</v>
      </c>
      <c r="V304">
        <f t="shared" si="188"/>
        <v>18</v>
      </c>
      <c r="W304">
        <f t="shared" si="189"/>
        <v>98</v>
      </c>
      <c r="X304">
        <f t="shared" si="190"/>
        <v>82</v>
      </c>
      <c r="Y304">
        <f t="shared" si="191"/>
        <v>29</v>
      </c>
      <c r="Z304">
        <f t="shared" si="192"/>
        <v>17</v>
      </c>
      <c r="AA304">
        <f t="shared" si="193"/>
        <v>4</v>
      </c>
      <c r="AB304">
        <f t="shared" si="194"/>
        <v>6</v>
      </c>
      <c r="AC304">
        <f t="shared" si="195"/>
        <v>121</v>
      </c>
      <c r="AD304">
        <f t="shared" si="196"/>
        <v>11</v>
      </c>
      <c r="AF304">
        <f t="shared" si="172"/>
        <v>0</v>
      </c>
      <c r="AG304">
        <f t="shared" si="173"/>
        <v>0</v>
      </c>
      <c r="AH304">
        <f t="shared" si="174"/>
        <v>0</v>
      </c>
      <c r="AI304">
        <f t="shared" si="175"/>
        <v>0</v>
      </c>
      <c r="AJ304">
        <f t="shared" si="176"/>
        <v>0</v>
      </c>
      <c r="AK304">
        <f t="shared" si="177"/>
        <v>0</v>
      </c>
      <c r="AL304">
        <f t="shared" si="178"/>
        <v>0</v>
      </c>
      <c r="AM304">
        <f t="shared" si="179"/>
        <v>0</v>
      </c>
      <c r="AN304">
        <f t="shared" si="180"/>
        <v>0</v>
      </c>
      <c r="AO304">
        <f t="shared" si="181"/>
        <v>0</v>
      </c>
      <c r="AP304">
        <f t="shared" si="182"/>
        <v>0</v>
      </c>
      <c r="AQ304">
        <f t="shared" si="183"/>
        <v>0</v>
      </c>
    </row>
    <row r="305" spans="1:43" x14ac:dyDescent="0.45">
      <c r="A305" s="51">
        <v>4</v>
      </c>
      <c r="B305" s="51" t="s">
        <v>308</v>
      </c>
      <c r="C305" s="56" t="s">
        <v>181</v>
      </c>
      <c r="D305" s="50" t="s">
        <v>94</v>
      </c>
      <c r="E305" s="19">
        <v>2994.851208702034</v>
      </c>
      <c r="F305">
        <f t="shared" si="160"/>
        <v>0</v>
      </c>
      <c r="G305">
        <f t="shared" si="161"/>
        <v>0</v>
      </c>
      <c r="H305">
        <f t="shared" si="162"/>
        <v>0</v>
      </c>
      <c r="I305">
        <f t="shared" si="163"/>
        <v>0</v>
      </c>
      <c r="J305">
        <f t="shared" si="164"/>
        <v>0</v>
      </c>
      <c r="K305">
        <f t="shared" si="165"/>
        <v>0</v>
      </c>
      <c r="L305">
        <f t="shared" si="166"/>
        <v>2994.851208702034</v>
      </c>
      <c r="M305">
        <f t="shared" si="167"/>
        <v>0</v>
      </c>
      <c r="N305">
        <f t="shared" si="168"/>
        <v>0</v>
      </c>
      <c r="O305">
        <f t="shared" si="169"/>
        <v>0</v>
      </c>
      <c r="P305">
        <f t="shared" si="170"/>
        <v>0</v>
      </c>
      <c r="Q305">
        <f t="shared" si="171"/>
        <v>0</v>
      </c>
      <c r="S305">
        <f t="shared" si="185"/>
        <v>46</v>
      </c>
      <c r="T305">
        <f t="shared" si="186"/>
        <v>36</v>
      </c>
      <c r="U305">
        <f t="shared" si="187"/>
        <v>18</v>
      </c>
      <c r="V305">
        <f t="shared" si="188"/>
        <v>18</v>
      </c>
      <c r="W305">
        <f t="shared" si="189"/>
        <v>98</v>
      </c>
      <c r="X305">
        <f t="shared" si="190"/>
        <v>82</v>
      </c>
      <c r="Y305">
        <f t="shared" si="191"/>
        <v>29</v>
      </c>
      <c r="Z305">
        <f t="shared" si="192"/>
        <v>17</v>
      </c>
      <c r="AA305">
        <f t="shared" si="193"/>
        <v>4</v>
      </c>
      <c r="AB305">
        <f t="shared" si="194"/>
        <v>6</v>
      </c>
      <c r="AC305">
        <f t="shared" si="195"/>
        <v>121</v>
      </c>
      <c r="AD305">
        <f t="shared" si="196"/>
        <v>10</v>
      </c>
      <c r="AF305">
        <f t="shared" si="172"/>
        <v>0</v>
      </c>
      <c r="AG305">
        <f t="shared" si="173"/>
        <v>0</v>
      </c>
      <c r="AH305">
        <f t="shared" si="174"/>
        <v>0</v>
      </c>
      <c r="AI305">
        <f t="shared" si="175"/>
        <v>0</v>
      </c>
      <c r="AJ305">
        <f t="shared" si="176"/>
        <v>0</v>
      </c>
      <c r="AK305">
        <f t="shared" si="177"/>
        <v>0</v>
      </c>
      <c r="AL305">
        <f t="shared" si="178"/>
        <v>0</v>
      </c>
      <c r="AM305">
        <f t="shared" si="179"/>
        <v>0</v>
      </c>
      <c r="AN305">
        <f t="shared" si="180"/>
        <v>0</v>
      </c>
      <c r="AO305">
        <f t="shared" si="181"/>
        <v>0</v>
      </c>
      <c r="AP305">
        <f t="shared" si="182"/>
        <v>0</v>
      </c>
      <c r="AQ305">
        <f t="shared" si="183"/>
        <v>0</v>
      </c>
    </row>
    <row r="306" spans="1:43" x14ac:dyDescent="0.35">
      <c r="A306" s="51">
        <v>5</v>
      </c>
      <c r="B306" s="51" t="s">
        <v>309</v>
      </c>
      <c r="C306" s="62" t="s">
        <v>56</v>
      </c>
      <c r="D306" s="51" t="s">
        <v>94</v>
      </c>
      <c r="E306" s="19">
        <v>2830.1348330320543</v>
      </c>
      <c r="F306">
        <f t="shared" si="160"/>
        <v>0</v>
      </c>
      <c r="G306">
        <f t="shared" si="161"/>
        <v>0</v>
      </c>
      <c r="H306">
        <f t="shared" si="162"/>
        <v>0</v>
      </c>
      <c r="I306">
        <f t="shared" si="163"/>
        <v>0</v>
      </c>
      <c r="J306">
        <f t="shared" si="164"/>
        <v>0</v>
      </c>
      <c r="K306">
        <f t="shared" si="165"/>
        <v>0</v>
      </c>
      <c r="L306">
        <f t="shared" si="166"/>
        <v>2830.1348330320543</v>
      </c>
      <c r="M306">
        <f t="shared" si="167"/>
        <v>0</v>
      </c>
      <c r="N306">
        <f t="shared" si="168"/>
        <v>0</v>
      </c>
      <c r="O306">
        <f t="shared" si="169"/>
        <v>0</v>
      </c>
      <c r="P306">
        <f t="shared" si="170"/>
        <v>0</v>
      </c>
      <c r="Q306">
        <f t="shared" si="171"/>
        <v>0</v>
      </c>
      <c r="S306">
        <f t="shared" si="185"/>
        <v>46</v>
      </c>
      <c r="T306">
        <f t="shared" si="186"/>
        <v>36</v>
      </c>
      <c r="U306">
        <f t="shared" si="187"/>
        <v>18</v>
      </c>
      <c r="V306">
        <f t="shared" si="188"/>
        <v>18</v>
      </c>
      <c r="W306">
        <f t="shared" si="189"/>
        <v>98</v>
      </c>
      <c r="X306">
        <f t="shared" si="190"/>
        <v>82</v>
      </c>
      <c r="Y306">
        <f t="shared" si="191"/>
        <v>28</v>
      </c>
      <c r="Z306">
        <f t="shared" si="192"/>
        <v>17</v>
      </c>
      <c r="AA306">
        <f t="shared" si="193"/>
        <v>4</v>
      </c>
      <c r="AB306">
        <f t="shared" si="194"/>
        <v>6</v>
      </c>
      <c r="AC306">
        <f t="shared" si="195"/>
        <v>121</v>
      </c>
      <c r="AD306">
        <f t="shared" si="196"/>
        <v>10</v>
      </c>
      <c r="AF306">
        <f t="shared" si="172"/>
        <v>0</v>
      </c>
      <c r="AG306">
        <f t="shared" si="173"/>
        <v>0</v>
      </c>
      <c r="AH306">
        <f t="shared" si="174"/>
        <v>0</v>
      </c>
      <c r="AI306">
        <f t="shared" si="175"/>
        <v>0</v>
      </c>
      <c r="AJ306">
        <f t="shared" si="176"/>
        <v>0</v>
      </c>
      <c r="AK306">
        <f t="shared" si="177"/>
        <v>0</v>
      </c>
      <c r="AL306">
        <f t="shared" si="178"/>
        <v>0</v>
      </c>
      <c r="AM306">
        <f t="shared" si="179"/>
        <v>0</v>
      </c>
      <c r="AN306">
        <f t="shared" si="180"/>
        <v>0</v>
      </c>
      <c r="AO306">
        <f t="shared" si="181"/>
        <v>0</v>
      </c>
      <c r="AP306">
        <f t="shared" si="182"/>
        <v>0</v>
      </c>
      <c r="AQ306">
        <f t="shared" si="183"/>
        <v>0</v>
      </c>
    </row>
    <row r="307" spans="1:43" x14ac:dyDescent="0.45">
      <c r="A307" s="51">
        <v>6</v>
      </c>
      <c r="B307" s="51" t="s">
        <v>309</v>
      </c>
      <c r="C307" s="56" t="s">
        <v>58</v>
      </c>
      <c r="D307" s="50" t="s">
        <v>57</v>
      </c>
      <c r="E307" s="19">
        <v>3136.0762102755575</v>
      </c>
      <c r="F307">
        <f t="shared" si="160"/>
        <v>0</v>
      </c>
      <c r="G307">
        <f t="shared" si="161"/>
        <v>0</v>
      </c>
      <c r="H307">
        <f t="shared" si="162"/>
        <v>0</v>
      </c>
      <c r="I307">
        <f t="shared" si="163"/>
        <v>0</v>
      </c>
      <c r="J307">
        <f t="shared" si="164"/>
        <v>0</v>
      </c>
      <c r="K307">
        <f t="shared" si="165"/>
        <v>0</v>
      </c>
      <c r="L307">
        <f t="shared" si="166"/>
        <v>0</v>
      </c>
      <c r="M307">
        <f t="shared" si="167"/>
        <v>3136.0762102755575</v>
      </c>
      <c r="N307">
        <f t="shared" si="168"/>
        <v>0</v>
      </c>
      <c r="O307">
        <f t="shared" si="169"/>
        <v>0</v>
      </c>
      <c r="P307">
        <f t="shared" si="170"/>
        <v>0</v>
      </c>
      <c r="Q307">
        <f t="shared" si="171"/>
        <v>0</v>
      </c>
      <c r="S307">
        <f t="shared" si="185"/>
        <v>46</v>
      </c>
      <c r="T307">
        <f t="shared" si="186"/>
        <v>36</v>
      </c>
      <c r="U307">
        <f t="shared" si="187"/>
        <v>18</v>
      </c>
      <c r="V307">
        <f t="shared" si="188"/>
        <v>18</v>
      </c>
      <c r="W307">
        <f t="shared" si="189"/>
        <v>98</v>
      </c>
      <c r="X307">
        <f t="shared" si="190"/>
        <v>82</v>
      </c>
      <c r="Y307">
        <f t="shared" si="191"/>
        <v>27</v>
      </c>
      <c r="Z307">
        <f t="shared" si="192"/>
        <v>17</v>
      </c>
      <c r="AA307">
        <f t="shared" si="193"/>
        <v>4</v>
      </c>
      <c r="AB307">
        <f t="shared" si="194"/>
        <v>6</v>
      </c>
      <c r="AC307">
        <f t="shared" si="195"/>
        <v>121</v>
      </c>
      <c r="AD307">
        <f t="shared" si="196"/>
        <v>10</v>
      </c>
      <c r="AF307">
        <f t="shared" si="172"/>
        <v>0</v>
      </c>
      <c r="AG307">
        <f t="shared" si="173"/>
        <v>0</v>
      </c>
      <c r="AH307">
        <f t="shared" si="174"/>
        <v>0</v>
      </c>
      <c r="AI307">
        <f t="shared" si="175"/>
        <v>0</v>
      </c>
      <c r="AJ307">
        <f t="shared" si="176"/>
        <v>0</v>
      </c>
      <c r="AK307">
        <f t="shared" si="177"/>
        <v>0</v>
      </c>
      <c r="AL307">
        <f t="shared" si="178"/>
        <v>0</v>
      </c>
      <c r="AM307">
        <f t="shared" si="179"/>
        <v>0</v>
      </c>
      <c r="AN307">
        <f t="shared" si="180"/>
        <v>0</v>
      </c>
      <c r="AO307">
        <f t="shared" si="181"/>
        <v>0</v>
      </c>
      <c r="AP307">
        <f t="shared" si="182"/>
        <v>0</v>
      </c>
      <c r="AQ307">
        <f t="shared" si="183"/>
        <v>0</v>
      </c>
    </row>
    <row r="308" spans="1:43" x14ac:dyDescent="0.45">
      <c r="A308" s="51">
        <v>7</v>
      </c>
      <c r="B308" s="51" t="s">
        <v>309</v>
      </c>
      <c r="C308" s="56" t="s">
        <v>59</v>
      </c>
      <c r="D308" s="50" t="s">
        <v>80</v>
      </c>
      <c r="E308" s="19">
        <v>3084.4901444911688</v>
      </c>
      <c r="F308">
        <f t="shared" si="160"/>
        <v>0</v>
      </c>
      <c r="G308">
        <f t="shared" si="161"/>
        <v>0</v>
      </c>
      <c r="H308">
        <f t="shared" si="162"/>
        <v>3084.4901444911688</v>
      </c>
      <c r="I308">
        <f t="shared" si="163"/>
        <v>0</v>
      </c>
      <c r="J308">
        <f t="shared" si="164"/>
        <v>0</v>
      </c>
      <c r="K308">
        <f t="shared" si="165"/>
        <v>0</v>
      </c>
      <c r="L308">
        <f t="shared" si="166"/>
        <v>0</v>
      </c>
      <c r="M308">
        <f t="shared" si="167"/>
        <v>0</v>
      </c>
      <c r="N308">
        <f t="shared" si="168"/>
        <v>0</v>
      </c>
      <c r="O308">
        <f t="shared" si="169"/>
        <v>0</v>
      </c>
      <c r="P308">
        <f t="shared" si="170"/>
        <v>0</v>
      </c>
      <c r="Q308">
        <f t="shared" si="171"/>
        <v>0</v>
      </c>
      <c r="S308">
        <f t="shared" si="185"/>
        <v>46</v>
      </c>
      <c r="T308">
        <f t="shared" si="186"/>
        <v>36</v>
      </c>
      <c r="U308">
        <f t="shared" si="187"/>
        <v>18</v>
      </c>
      <c r="V308">
        <f t="shared" si="188"/>
        <v>18</v>
      </c>
      <c r="W308">
        <f t="shared" si="189"/>
        <v>98</v>
      </c>
      <c r="X308">
        <f t="shared" si="190"/>
        <v>82</v>
      </c>
      <c r="Y308">
        <f t="shared" si="191"/>
        <v>27</v>
      </c>
      <c r="Z308">
        <f t="shared" si="192"/>
        <v>16</v>
      </c>
      <c r="AA308">
        <f t="shared" si="193"/>
        <v>4</v>
      </c>
      <c r="AB308">
        <f t="shared" si="194"/>
        <v>6</v>
      </c>
      <c r="AC308">
        <f t="shared" si="195"/>
        <v>121</v>
      </c>
      <c r="AD308">
        <f t="shared" si="196"/>
        <v>10</v>
      </c>
      <c r="AF308">
        <f t="shared" si="172"/>
        <v>0</v>
      </c>
      <c r="AG308">
        <f t="shared" si="173"/>
        <v>0</v>
      </c>
      <c r="AH308">
        <f t="shared" si="174"/>
        <v>0</v>
      </c>
      <c r="AI308">
        <f t="shared" si="175"/>
        <v>0</v>
      </c>
      <c r="AJ308">
        <f t="shared" si="176"/>
        <v>0</v>
      </c>
      <c r="AK308">
        <f t="shared" si="177"/>
        <v>0</v>
      </c>
      <c r="AL308">
        <f t="shared" si="178"/>
        <v>0</v>
      </c>
      <c r="AM308">
        <f t="shared" si="179"/>
        <v>0</v>
      </c>
      <c r="AN308">
        <f t="shared" si="180"/>
        <v>0</v>
      </c>
      <c r="AO308">
        <f t="shared" si="181"/>
        <v>0</v>
      </c>
      <c r="AP308">
        <f t="shared" si="182"/>
        <v>0</v>
      </c>
      <c r="AQ308">
        <f t="shared" si="183"/>
        <v>0</v>
      </c>
    </row>
    <row r="309" spans="1:43" x14ac:dyDescent="0.35">
      <c r="A309" s="51">
        <v>8</v>
      </c>
      <c r="B309" s="51" t="s">
        <v>311</v>
      </c>
      <c r="C309" s="62" t="s">
        <v>63</v>
      </c>
      <c r="D309" s="50" t="s">
        <v>228</v>
      </c>
      <c r="E309" s="19">
        <v>3580.3400152599452</v>
      </c>
      <c r="F309">
        <f t="shared" si="160"/>
        <v>0</v>
      </c>
      <c r="G309">
        <f t="shared" si="161"/>
        <v>0</v>
      </c>
      <c r="H309">
        <f t="shared" si="162"/>
        <v>0</v>
      </c>
      <c r="I309">
        <f t="shared" si="163"/>
        <v>0</v>
      </c>
      <c r="J309">
        <f t="shared" si="164"/>
        <v>0</v>
      </c>
      <c r="K309">
        <f t="shared" si="165"/>
        <v>0</v>
      </c>
      <c r="L309">
        <f t="shared" si="166"/>
        <v>0</v>
      </c>
      <c r="M309">
        <f t="shared" si="167"/>
        <v>0</v>
      </c>
      <c r="N309">
        <f t="shared" si="168"/>
        <v>0</v>
      </c>
      <c r="O309">
        <f t="shared" si="169"/>
        <v>0</v>
      </c>
      <c r="P309">
        <f t="shared" si="170"/>
        <v>3580.3400152599452</v>
      </c>
      <c r="Q309">
        <f t="shared" si="171"/>
        <v>0</v>
      </c>
      <c r="S309">
        <f t="shared" si="185"/>
        <v>46</v>
      </c>
      <c r="T309">
        <f t="shared" si="186"/>
        <v>36</v>
      </c>
      <c r="U309">
        <f t="shared" si="187"/>
        <v>17</v>
      </c>
      <c r="V309">
        <f t="shared" si="188"/>
        <v>18</v>
      </c>
      <c r="W309">
        <f t="shared" si="189"/>
        <v>98</v>
      </c>
      <c r="X309">
        <f t="shared" si="190"/>
        <v>82</v>
      </c>
      <c r="Y309">
        <f t="shared" si="191"/>
        <v>27</v>
      </c>
      <c r="Z309">
        <f t="shared" si="192"/>
        <v>16</v>
      </c>
      <c r="AA309">
        <f t="shared" si="193"/>
        <v>4</v>
      </c>
      <c r="AB309">
        <f t="shared" si="194"/>
        <v>6</v>
      </c>
      <c r="AC309">
        <f t="shared" si="195"/>
        <v>121</v>
      </c>
      <c r="AD309">
        <f t="shared" si="196"/>
        <v>10</v>
      </c>
      <c r="AF309">
        <f t="shared" si="172"/>
        <v>0</v>
      </c>
      <c r="AG309">
        <f t="shared" si="173"/>
        <v>0</v>
      </c>
      <c r="AH309">
        <f t="shared" si="174"/>
        <v>0</v>
      </c>
      <c r="AI309">
        <f t="shared" si="175"/>
        <v>0</v>
      </c>
      <c r="AJ309">
        <f t="shared" si="176"/>
        <v>0</v>
      </c>
      <c r="AK309">
        <f t="shared" si="177"/>
        <v>0</v>
      </c>
      <c r="AL309">
        <f t="shared" si="178"/>
        <v>0</v>
      </c>
      <c r="AM309">
        <f t="shared" si="179"/>
        <v>0</v>
      </c>
      <c r="AN309">
        <f t="shared" si="180"/>
        <v>0</v>
      </c>
      <c r="AO309">
        <f t="shared" si="181"/>
        <v>0</v>
      </c>
      <c r="AP309">
        <f t="shared" si="182"/>
        <v>0</v>
      </c>
      <c r="AQ309">
        <f t="shared" si="183"/>
        <v>0</v>
      </c>
    </row>
    <row r="310" spans="1:43" x14ac:dyDescent="0.45">
      <c r="A310" s="51">
        <v>9</v>
      </c>
      <c r="B310" s="51" t="s">
        <v>311</v>
      </c>
      <c r="C310" s="56" t="s">
        <v>64</v>
      </c>
      <c r="D310" s="50" t="s">
        <v>228</v>
      </c>
      <c r="E310" s="19">
        <v>2887.7757516190477</v>
      </c>
      <c r="F310">
        <f t="shared" si="160"/>
        <v>0</v>
      </c>
      <c r="G310">
        <f t="shared" si="161"/>
        <v>0</v>
      </c>
      <c r="H310">
        <f t="shared" si="162"/>
        <v>0</v>
      </c>
      <c r="I310">
        <f t="shared" si="163"/>
        <v>0</v>
      </c>
      <c r="J310">
        <f t="shared" si="164"/>
        <v>0</v>
      </c>
      <c r="K310">
        <f t="shared" si="165"/>
        <v>0</v>
      </c>
      <c r="L310">
        <f t="shared" si="166"/>
        <v>0</v>
      </c>
      <c r="M310">
        <f t="shared" si="167"/>
        <v>0</v>
      </c>
      <c r="N310">
        <f t="shared" si="168"/>
        <v>0</v>
      </c>
      <c r="O310">
        <f t="shared" si="169"/>
        <v>0</v>
      </c>
      <c r="P310">
        <f t="shared" si="170"/>
        <v>2887.7757516190477</v>
      </c>
      <c r="Q310">
        <f t="shared" si="171"/>
        <v>0</v>
      </c>
      <c r="S310">
        <f t="shared" si="185"/>
        <v>46</v>
      </c>
      <c r="T310">
        <f t="shared" si="186"/>
        <v>36</v>
      </c>
      <c r="U310">
        <f t="shared" si="187"/>
        <v>17</v>
      </c>
      <c r="V310">
        <f t="shared" si="188"/>
        <v>18</v>
      </c>
      <c r="W310">
        <f t="shared" si="189"/>
        <v>98</v>
      </c>
      <c r="X310">
        <f t="shared" si="190"/>
        <v>82</v>
      </c>
      <c r="Y310">
        <f t="shared" si="191"/>
        <v>27</v>
      </c>
      <c r="Z310">
        <f t="shared" si="192"/>
        <v>16</v>
      </c>
      <c r="AA310">
        <f t="shared" si="193"/>
        <v>4</v>
      </c>
      <c r="AB310">
        <f t="shared" si="194"/>
        <v>6</v>
      </c>
      <c r="AC310">
        <f t="shared" si="195"/>
        <v>120</v>
      </c>
      <c r="AD310">
        <f t="shared" si="196"/>
        <v>10</v>
      </c>
      <c r="AF310">
        <f t="shared" si="172"/>
        <v>0</v>
      </c>
      <c r="AG310">
        <f t="shared" si="173"/>
        <v>0</v>
      </c>
      <c r="AH310">
        <f t="shared" si="174"/>
        <v>0</v>
      </c>
      <c r="AI310">
        <f t="shared" si="175"/>
        <v>0</v>
      </c>
      <c r="AJ310">
        <f t="shared" si="176"/>
        <v>0</v>
      </c>
      <c r="AK310">
        <f t="shared" si="177"/>
        <v>0</v>
      </c>
      <c r="AL310">
        <f t="shared" si="178"/>
        <v>0</v>
      </c>
      <c r="AM310">
        <f t="shared" si="179"/>
        <v>0</v>
      </c>
      <c r="AN310">
        <f t="shared" si="180"/>
        <v>0</v>
      </c>
      <c r="AO310">
        <f t="shared" si="181"/>
        <v>0</v>
      </c>
      <c r="AP310">
        <f t="shared" si="182"/>
        <v>0</v>
      </c>
      <c r="AQ310">
        <f t="shared" si="183"/>
        <v>0</v>
      </c>
    </row>
    <row r="311" spans="1:43" x14ac:dyDescent="0.45">
      <c r="A311" s="51">
        <v>10</v>
      </c>
      <c r="B311" s="51" t="s">
        <v>311</v>
      </c>
      <c r="C311" s="56" t="s">
        <v>61</v>
      </c>
      <c r="D311" s="50" t="s">
        <v>57</v>
      </c>
      <c r="E311" s="19">
        <v>3168.7563082393845</v>
      </c>
      <c r="F311">
        <f t="shared" si="160"/>
        <v>0</v>
      </c>
      <c r="G311">
        <f t="shared" si="161"/>
        <v>0</v>
      </c>
      <c r="H311">
        <f t="shared" si="162"/>
        <v>0</v>
      </c>
      <c r="I311">
        <f t="shared" si="163"/>
        <v>0</v>
      </c>
      <c r="J311">
        <f t="shared" si="164"/>
        <v>0</v>
      </c>
      <c r="K311">
        <f t="shared" si="165"/>
        <v>0</v>
      </c>
      <c r="L311">
        <f t="shared" si="166"/>
        <v>0</v>
      </c>
      <c r="M311">
        <f t="shared" si="167"/>
        <v>3168.7563082393845</v>
      </c>
      <c r="N311">
        <f t="shared" si="168"/>
        <v>0</v>
      </c>
      <c r="O311">
        <f t="shared" si="169"/>
        <v>0</v>
      </c>
      <c r="P311">
        <f t="shared" si="170"/>
        <v>0</v>
      </c>
      <c r="Q311">
        <f t="shared" si="171"/>
        <v>0</v>
      </c>
      <c r="S311">
        <f t="shared" si="185"/>
        <v>46</v>
      </c>
      <c r="T311">
        <f t="shared" si="186"/>
        <v>36</v>
      </c>
      <c r="U311">
        <f t="shared" si="187"/>
        <v>17</v>
      </c>
      <c r="V311">
        <f t="shared" si="188"/>
        <v>18</v>
      </c>
      <c r="W311">
        <f t="shared" si="189"/>
        <v>98</v>
      </c>
      <c r="X311">
        <f t="shared" si="190"/>
        <v>82</v>
      </c>
      <c r="Y311">
        <f t="shared" si="191"/>
        <v>27</v>
      </c>
      <c r="Z311">
        <f t="shared" si="192"/>
        <v>16</v>
      </c>
      <c r="AA311">
        <f t="shared" si="193"/>
        <v>4</v>
      </c>
      <c r="AB311">
        <f t="shared" si="194"/>
        <v>6</v>
      </c>
      <c r="AC311">
        <f t="shared" si="195"/>
        <v>119</v>
      </c>
      <c r="AD311">
        <f t="shared" si="196"/>
        <v>10</v>
      </c>
      <c r="AF311">
        <f t="shared" si="172"/>
        <v>0</v>
      </c>
      <c r="AG311">
        <f t="shared" si="173"/>
        <v>0</v>
      </c>
      <c r="AH311">
        <f t="shared" si="174"/>
        <v>0</v>
      </c>
      <c r="AI311">
        <f t="shared" si="175"/>
        <v>0</v>
      </c>
      <c r="AJ311">
        <f t="shared" si="176"/>
        <v>0</v>
      </c>
      <c r="AK311">
        <f t="shared" si="177"/>
        <v>0</v>
      </c>
      <c r="AL311">
        <f t="shared" si="178"/>
        <v>0</v>
      </c>
      <c r="AM311">
        <f t="shared" si="179"/>
        <v>0</v>
      </c>
      <c r="AN311">
        <f t="shared" si="180"/>
        <v>0</v>
      </c>
      <c r="AO311">
        <f t="shared" si="181"/>
        <v>0</v>
      </c>
      <c r="AP311">
        <f t="shared" si="182"/>
        <v>0</v>
      </c>
      <c r="AQ311">
        <f t="shared" si="183"/>
        <v>0</v>
      </c>
    </row>
    <row r="312" spans="1:43" x14ac:dyDescent="0.45">
      <c r="A312" s="51">
        <v>11</v>
      </c>
      <c r="B312" s="51" t="s">
        <v>311</v>
      </c>
      <c r="C312" s="56" t="s">
        <v>310</v>
      </c>
      <c r="D312" s="50" t="s">
        <v>280</v>
      </c>
      <c r="E312" s="19">
        <v>3021.5297203300188</v>
      </c>
      <c r="F312">
        <f t="shared" si="160"/>
        <v>0</v>
      </c>
      <c r="G312">
        <f t="shared" si="161"/>
        <v>0</v>
      </c>
      <c r="H312">
        <f t="shared" si="162"/>
        <v>0</v>
      </c>
      <c r="I312">
        <f t="shared" si="163"/>
        <v>0</v>
      </c>
      <c r="J312">
        <f t="shared" si="164"/>
        <v>0</v>
      </c>
      <c r="K312">
        <f t="shared" si="165"/>
        <v>0</v>
      </c>
      <c r="L312">
        <f t="shared" si="166"/>
        <v>0</v>
      </c>
      <c r="M312">
        <f t="shared" si="167"/>
        <v>0</v>
      </c>
      <c r="N312">
        <f t="shared" si="168"/>
        <v>0</v>
      </c>
      <c r="O312">
        <f t="shared" si="169"/>
        <v>0</v>
      </c>
      <c r="P312">
        <f t="shared" si="170"/>
        <v>0</v>
      </c>
      <c r="Q312">
        <f t="shared" si="171"/>
        <v>0</v>
      </c>
      <c r="S312">
        <f t="shared" si="185"/>
        <v>46</v>
      </c>
      <c r="T312">
        <f t="shared" si="186"/>
        <v>36</v>
      </c>
      <c r="U312">
        <f t="shared" si="187"/>
        <v>17</v>
      </c>
      <c r="V312">
        <f t="shared" si="188"/>
        <v>18</v>
      </c>
      <c r="W312">
        <f t="shared" si="189"/>
        <v>98</v>
      </c>
      <c r="X312">
        <f t="shared" si="190"/>
        <v>82</v>
      </c>
      <c r="Y312">
        <f t="shared" si="191"/>
        <v>27</v>
      </c>
      <c r="Z312">
        <f t="shared" si="192"/>
        <v>15</v>
      </c>
      <c r="AA312">
        <f t="shared" si="193"/>
        <v>4</v>
      </c>
      <c r="AB312">
        <f t="shared" si="194"/>
        <v>6</v>
      </c>
      <c r="AC312">
        <f t="shared" si="195"/>
        <v>119</v>
      </c>
      <c r="AD312">
        <f t="shared" si="196"/>
        <v>10</v>
      </c>
      <c r="AF312">
        <f t="shared" si="172"/>
        <v>0</v>
      </c>
      <c r="AG312">
        <f t="shared" si="173"/>
        <v>0</v>
      </c>
      <c r="AH312">
        <f t="shared" si="174"/>
        <v>0</v>
      </c>
      <c r="AI312">
        <f t="shared" si="175"/>
        <v>0</v>
      </c>
      <c r="AJ312">
        <f t="shared" si="176"/>
        <v>0</v>
      </c>
      <c r="AK312">
        <f t="shared" si="177"/>
        <v>0</v>
      </c>
      <c r="AL312">
        <f t="shared" si="178"/>
        <v>0</v>
      </c>
      <c r="AM312">
        <f t="shared" si="179"/>
        <v>0</v>
      </c>
      <c r="AN312">
        <f t="shared" si="180"/>
        <v>0</v>
      </c>
      <c r="AO312">
        <f t="shared" si="181"/>
        <v>0</v>
      </c>
      <c r="AP312">
        <f t="shared" si="182"/>
        <v>0</v>
      </c>
      <c r="AQ312">
        <f t="shared" si="183"/>
        <v>0</v>
      </c>
    </row>
    <row r="313" spans="1:43" x14ac:dyDescent="0.35">
      <c r="A313" s="51">
        <v>12</v>
      </c>
      <c r="B313" s="51" t="s">
        <v>312</v>
      </c>
      <c r="C313" s="62" t="s">
        <v>65</v>
      </c>
      <c r="D313" s="51" t="s">
        <v>94</v>
      </c>
      <c r="E313" s="45">
        <v>2440.7524040846406</v>
      </c>
      <c r="F313">
        <f t="shared" si="160"/>
        <v>0</v>
      </c>
      <c r="G313">
        <f t="shared" si="161"/>
        <v>0</v>
      </c>
      <c r="H313">
        <f t="shared" si="162"/>
        <v>0</v>
      </c>
      <c r="I313">
        <f t="shared" si="163"/>
        <v>0</v>
      </c>
      <c r="J313">
        <f t="shared" si="164"/>
        <v>0</v>
      </c>
      <c r="K313">
        <f t="shared" si="165"/>
        <v>0</v>
      </c>
      <c r="L313">
        <f t="shared" si="166"/>
        <v>2440.7524040846406</v>
      </c>
      <c r="M313">
        <f t="shared" si="167"/>
        <v>0</v>
      </c>
      <c r="N313">
        <f t="shared" si="168"/>
        <v>0</v>
      </c>
      <c r="O313">
        <f t="shared" si="169"/>
        <v>0</v>
      </c>
      <c r="P313">
        <f t="shared" si="170"/>
        <v>0</v>
      </c>
      <c r="Q313">
        <f t="shared" si="171"/>
        <v>0</v>
      </c>
      <c r="S313">
        <f t="shared" si="185"/>
        <v>46</v>
      </c>
      <c r="T313">
        <f t="shared" si="186"/>
        <v>36</v>
      </c>
      <c r="U313">
        <f t="shared" si="187"/>
        <v>17</v>
      </c>
      <c r="V313">
        <f t="shared" si="188"/>
        <v>18</v>
      </c>
      <c r="W313">
        <f t="shared" si="189"/>
        <v>98</v>
      </c>
      <c r="X313">
        <f t="shared" si="190"/>
        <v>82</v>
      </c>
      <c r="Y313">
        <f t="shared" si="191"/>
        <v>27</v>
      </c>
      <c r="Z313">
        <f t="shared" si="192"/>
        <v>15</v>
      </c>
      <c r="AA313">
        <f t="shared" si="193"/>
        <v>4</v>
      </c>
      <c r="AB313">
        <f t="shared" si="194"/>
        <v>6</v>
      </c>
      <c r="AC313">
        <f t="shared" si="195"/>
        <v>119</v>
      </c>
      <c r="AD313">
        <f t="shared" si="196"/>
        <v>10</v>
      </c>
      <c r="AF313">
        <f t="shared" si="172"/>
        <v>0</v>
      </c>
      <c r="AG313">
        <f t="shared" si="173"/>
        <v>0</v>
      </c>
      <c r="AH313">
        <f t="shared" si="174"/>
        <v>0</v>
      </c>
      <c r="AI313">
        <f t="shared" si="175"/>
        <v>0</v>
      </c>
      <c r="AJ313">
        <f t="shared" si="176"/>
        <v>0</v>
      </c>
      <c r="AK313">
        <f t="shared" si="177"/>
        <v>0</v>
      </c>
      <c r="AL313">
        <f t="shared" si="178"/>
        <v>0</v>
      </c>
      <c r="AM313">
        <f t="shared" si="179"/>
        <v>0</v>
      </c>
      <c r="AN313">
        <f t="shared" si="180"/>
        <v>0</v>
      </c>
      <c r="AO313">
        <f t="shared" si="181"/>
        <v>0</v>
      </c>
      <c r="AP313">
        <f t="shared" si="182"/>
        <v>0</v>
      </c>
      <c r="AQ313">
        <f t="shared" si="183"/>
        <v>0</v>
      </c>
    </row>
    <row r="314" spans="1:43" x14ac:dyDescent="0.45">
      <c r="A314" s="51">
        <v>13</v>
      </c>
      <c r="B314" s="51" t="s">
        <v>312</v>
      </c>
      <c r="C314" s="56" t="s">
        <v>211</v>
      </c>
      <c r="D314" s="50" t="s">
        <v>54</v>
      </c>
      <c r="E314" s="19">
        <v>2946.7442251420152</v>
      </c>
      <c r="F314">
        <f t="shared" si="160"/>
        <v>0</v>
      </c>
      <c r="G314">
        <f t="shared" si="161"/>
        <v>0</v>
      </c>
      <c r="H314">
        <f t="shared" si="162"/>
        <v>0</v>
      </c>
      <c r="I314">
        <f t="shared" si="163"/>
        <v>0</v>
      </c>
      <c r="J314">
        <f t="shared" si="164"/>
        <v>0</v>
      </c>
      <c r="K314">
        <f t="shared" si="165"/>
        <v>2946.7442251420152</v>
      </c>
      <c r="L314">
        <f t="shared" si="166"/>
        <v>0</v>
      </c>
      <c r="M314">
        <f t="shared" si="167"/>
        <v>0</v>
      </c>
      <c r="N314">
        <f t="shared" si="168"/>
        <v>0</v>
      </c>
      <c r="O314">
        <f t="shared" si="169"/>
        <v>0</v>
      </c>
      <c r="P314">
        <f t="shared" si="170"/>
        <v>0</v>
      </c>
      <c r="Q314">
        <f t="shared" si="171"/>
        <v>0</v>
      </c>
      <c r="S314">
        <f t="shared" si="185"/>
        <v>46</v>
      </c>
      <c r="T314">
        <f t="shared" si="186"/>
        <v>36</v>
      </c>
      <c r="U314">
        <f t="shared" si="187"/>
        <v>17</v>
      </c>
      <c r="V314">
        <f t="shared" si="188"/>
        <v>18</v>
      </c>
      <c r="W314">
        <f t="shared" si="189"/>
        <v>98</v>
      </c>
      <c r="X314">
        <f t="shared" si="190"/>
        <v>82</v>
      </c>
      <c r="Y314">
        <f t="shared" si="191"/>
        <v>26</v>
      </c>
      <c r="Z314">
        <f t="shared" si="192"/>
        <v>15</v>
      </c>
      <c r="AA314">
        <f t="shared" si="193"/>
        <v>4</v>
      </c>
      <c r="AB314">
        <f t="shared" si="194"/>
        <v>6</v>
      </c>
      <c r="AC314">
        <f t="shared" si="195"/>
        <v>119</v>
      </c>
      <c r="AD314">
        <f t="shared" si="196"/>
        <v>10</v>
      </c>
      <c r="AF314">
        <f t="shared" si="172"/>
        <v>0</v>
      </c>
      <c r="AG314">
        <f t="shared" si="173"/>
        <v>0</v>
      </c>
      <c r="AH314">
        <f t="shared" si="174"/>
        <v>0</v>
      </c>
      <c r="AI314">
        <f t="shared" si="175"/>
        <v>0</v>
      </c>
      <c r="AJ314">
        <f t="shared" si="176"/>
        <v>0</v>
      </c>
      <c r="AK314">
        <f t="shared" si="177"/>
        <v>0</v>
      </c>
      <c r="AL314">
        <f t="shared" si="178"/>
        <v>0</v>
      </c>
      <c r="AM314">
        <f t="shared" si="179"/>
        <v>0</v>
      </c>
      <c r="AN314">
        <f t="shared" si="180"/>
        <v>0</v>
      </c>
      <c r="AO314">
        <f t="shared" si="181"/>
        <v>0</v>
      </c>
      <c r="AP314">
        <f t="shared" si="182"/>
        <v>0</v>
      </c>
      <c r="AQ314">
        <f t="shared" si="183"/>
        <v>0</v>
      </c>
    </row>
    <row r="315" spans="1:43" x14ac:dyDescent="0.45">
      <c r="A315" s="51">
        <v>14</v>
      </c>
      <c r="B315" s="51" t="s">
        <v>312</v>
      </c>
      <c r="C315" s="56" t="s">
        <v>66</v>
      </c>
      <c r="D315" s="50" t="s">
        <v>57</v>
      </c>
      <c r="E315" s="19">
        <v>3095.3458766993363</v>
      </c>
      <c r="F315">
        <f t="shared" si="160"/>
        <v>0</v>
      </c>
      <c r="G315">
        <f t="shared" si="161"/>
        <v>0</v>
      </c>
      <c r="H315">
        <f t="shared" si="162"/>
        <v>0</v>
      </c>
      <c r="I315">
        <f t="shared" si="163"/>
        <v>0</v>
      </c>
      <c r="J315">
        <f t="shared" si="164"/>
        <v>0</v>
      </c>
      <c r="K315">
        <f t="shared" si="165"/>
        <v>0</v>
      </c>
      <c r="L315">
        <f t="shared" si="166"/>
        <v>0</v>
      </c>
      <c r="M315">
        <f t="shared" si="167"/>
        <v>3095.3458766993363</v>
      </c>
      <c r="N315">
        <f t="shared" si="168"/>
        <v>0</v>
      </c>
      <c r="O315">
        <f t="shared" si="169"/>
        <v>0</v>
      </c>
      <c r="P315">
        <f t="shared" si="170"/>
        <v>0</v>
      </c>
      <c r="Q315">
        <f t="shared" si="171"/>
        <v>0</v>
      </c>
      <c r="S315">
        <f t="shared" si="185"/>
        <v>46</v>
      </c>
      <c r="T315">
        <f t="shared" si="186"/>
        <v>36</v>
      </c>
      <c r="U315">
        <f t="shared" si="187"/>
        <v>17</v>
      </c>
      <c r="V315">
        <f t="shared" si="188"/>
        <v>18</v>
      </c>
      <c r="W315">
        <f t="shared" si="189"/>
        <v>98</v>
      </c>
      <c r="X315">
        <f t="shared" si="190"/>
        <v>81</v>
      </c>
      <c r="Y315">
        <f t="shared" si="191"/>
        <v>26</v>
      </c>
      <c r="Z315">
        <f t="shared" si="192"/>
        <v>15</v>
      </c>
      <c r="AA315">
        <f t="shared" si="193"/>
        <v>4</v>
      </c>
      <c r="AB315">
        <f t="shared" si="194"/>
        <v>6</v>
      </c>
      <c r="AC315">
        <f t="shared" si="195"/>
        <v>119</v>
      </c>
      <c r="AD315">
        <f t="shared" si="196"/>
        <v>10</v>
      </c>
      <c r="AF315">
        <f t="shared" si="172"/>
        <v>0</v>
      </c>
      <c r="AG315">
        <f t="shared" si="173"/>
        <v>0</v>
      </c>
      <c r="AH315">
        <f t="shared" si="174"/>
        <v>0</v>
      </c>
      <c r="AI315">
        <f t="shared" si="175"/>
        <v>0</v>
      </c>
      <c r="AJ315">
        <f t="shared" si="176"/>
        <v>0</v>
      </c>
      <c r="AK315">
        <f t="shared" si="177"/>
        <v>0</v>
      </c>
      <c r="AL315">
        <f t="shared" si="178"/>
        <v>0</v>
      </c>
      <c r="AM315">
        <f t="shared" si="179"/>
        <v>0</v>
      </c>
      <c r="AN315">
        <f t="shared" si="180"/>
        <v>0</v>
      </c>
      <c r="AO315">
        <f t="shared" si="181"/>
        <v>0</v>
      </c>
      <c r="AP315">
        <f t="shared" si="182"/>
        <v>0</v>
      </c>
      <c r="AQ315">
        <f t="shared" si="183"/>
        <v>0</v>
      </c>
    </row>
    <row r="316" spans="1:43" x14ac:dyDescent="0.45">
      <c r="A316" s="51">
        <v>15</v>
      </c>
      <c r="B316" s="51" t="s">
        <v>312</v>
      </c>
      <c r="C316" s="56" t="s">
        <v>73</v>
      </c>
      <c r="D316" s="50" t="s">
        <v>222</v>
      </c>
      <c r="E316" s="45">
        <v>2519.4542969294084</v>
      </c>
      <c r="F316">
        <f t="shared" si="160"/>
        <v>0</v>
      </c>
      <c r="G316">
        <f t="shared" si="161"/>
        <v>0</v>
      </c>
      <c r="H316">
        <f t="shared" si="162"/>
        <v>0</v>
      </c>
      <c r="I316">
        <f t="shared" si="163"/>
        <v>0</v>
      </c>
      <c r="J316">
        <f t="shared" si="164"/>
        <v>0</v>
      </c>
      <c r="K316">
        <f t="shared" si="165"/>
        <v>0</v>
      </c>
      <c r="L316">
        <f t="shared" si="166"/>
        <v>0</v>
      </c>
      <c r="M316">
        <f t="shared" si="167"/>
        <v>0</v>
      </c>
      <c r="N316">
        <f t="shared" si="168"/>
        <v>0</v>
      </c>
      <c r="O316">
        <f t="shared" si="169"/>
        <v>0</v>
      </c>
      <c r="P316">
        <f t="shared" si="170"/>
        <v>0</v>
      </c>
      <c r="Q316">
        <f t="shared" si="171"/>
        <v>2519.4542969294084</v>
      </c>
      <c r="S316">
        <f t="shared" si="185"/>
        <v>46</v>
      </c>
      <c r="T316">
        <f t="shared" si="186"/>
        <v>36</v>
      </c>
      <c r="U316">
        <f t="shared" si="187"/>
        <v>17</v>
      </c>
      <c r="V316">
        <f t="shared" si="188"/>
        <v>18</v>
      </c>
      <c r="W316">
        <f t="shared" si="189"/>
        <v>98</v>
      </c>
      <c r="X316">
        <f t="shared" si="190"/>
        <v>81</v>
      </c>
      <c r="Y316">
        <f t="shared" si="191"/>
        <v>26</v>
      </c>
      <c r="Z316">
        <f t="shared" si="192"/>
        <v>14</v>
      </c>
      <c r="AA316">
        <f t="shared" si="193"/>
        <v>4</v>
      </c>
      <c r="AB316">
        <f t="shared" si="194"/>
        <v>6</v>
      </c>
      <c r="AC316">
        <f t="shared" si="195"/>
        <v>119</v>
      </c>
      <c r="AD316">
        <f t="shared" si="196"/>
        <v>10</v>
      </c>
      <c r="AF316">
        <f t="shared" si="172"/>
        <v>0</v>
      </c>
      <c r="AG316">
        <f t="shared" si="173"/>
        <v>0</v>
      </c>
      <c r="AH316">
        <f t="shared" si="174"/>
        <v>0</v>
      </c>
      <c r="AI316">
        <f t="shared" si="175"/>
        <v>0</v>
      </c>
      <c r="AJ316">
        <f t="shared" si="176"/>
        <v>0</v>
      </c>
      <c r="AK316">
        <f t="shared" si="177"/>
        <v>0</v>
      </c>
      <c r="AL316">
        <f t="shared" si="178"/>
        <v>0</v>
      </c>
      <c r="AM316">
        <f t="shared" si="179"/>
        <v>0</v>
      </c>
      <c r="AN316">
        <f t="shared" si="180"/>
        <v>0</v>
      </c>
      <c r="AO316">
        <f t="shared" si="181"/>
        <v>0</v>
      </c>
      <c r="AP316">
        <f t="shared" si="182"/>
        <v>0</v>
      </c>
      <c r="AQ316">
        <f t="shared" si="183"/>
        <v>2519.4542969294084</v>
      </c>
    </row>
    <row r="317" spans="1:43" x14ac:dyDescent="0.35">
      <c r="A317" s="51">
        <v>16</v>
      </c>
      <c r="B317" s="51" t="s">
        <v>313</v>
      </c>
      <c r="C317" s="62" t="s">
        <v>69</v>
      </c>
      <c r="D317" s="51" t="s">
        <v>94</v>
      </c>
      <c r="E317" s="45">
        <v>2525.9230431868477</v>
      </c>
      <c r="F317">
        <f t="shared" si="160"/>
        <v>0</v>
      </c>
      <c r="G317">
        <f t="shared" si="161"/>
        <v>0</v>
      </c>
      <c r="H317">
        <f t="shared" si="162"/>
        <v>0</v>
      </c>
      <c r="I317">
        <f t="shared" si="163"/>
        <v>0</v>
      </c>
      <c r="J317">
        <f t="shared" si="164"/>
        <v>0</v>
      </c>
      <c r="K317">
        <f t="shared" si="165"/>
        <v>0</v>
      </c>
      <c r="L317">
        <f t="shared" si="166"/>
        <v>2525.9230431868477</v>
      </c>
      <c r="M317">
        <f t="shared" si="167"/>
        <v>0</v>
      </c>
      <c r="N317">
        <f t="shared" si="168"/>
        <v>0</v>
      </c>
      <c r="O317">
        <f t="shared" si="169"/>
        <v>0</v>
      </c>
      <c r="P317">
        <f t="shared" si="170"/>
        <v>0</v>
      </c>
      <c r="Q317">
        <f t="shared" si="171"/>
        <v>0</v>
      </c>
      <c r="S317">
        <f t="shared" si="185"/>
        <v>46</v>
      </c>
      <c r="T317">
        <f t="shared" si="186"/>
        <v>36</v>
      </c>
      <c r="U317">
        <f t="shared" si="187"/>
        <v>17</v>
      </c>
      <c r="V317">
        <f t="shared" si="188"/>
        <v>18</v>
      </c>
      <c r="W317">
        <f t="shared" si="189"/>
        <v>98</v>
      </c>
      <c r="X317">
        <f t="shared" si="190"/>
        <v>81</v>
      </c>
      <c r="Y317">
        <f t="shared" si="191"/>
        <v>26</v>
      </c>
      <c r="Z317">
        <f t="shared" si="192"/>
        <v>14</v>
      </c>
      <c r="AA317">
        <f t="shared" si="193"/>
        <v>4</v>
      </c>
      <c r="AB317">
        <f t="shared" si="194"/>
        <v>6</v>
      </c>
      <c r="AC317">
        <f t="shared" si="195"/>
        <v>119</v>
      </c>
      <c r="AD317">
        <f t="shared" si="196"/>
        <v>9</v>
      </c>
      <c r="AF317">
        <f t="shared" si="172"/>
        <v>0</v>
      </c>
      <c r="AG317">
        <f t="shared" si="173"/>
        <v>0</v>
      </c>
      <c r="AH317">
        <f t="shared" si="174"/>
        <v>0</v>
      </c>
      <c r="AI317">
        <f t="shared" si="175"/>
        <v>0</v>
      </c>
      <c r="AJ317">
        <f t="shared" si="176"/>
        <v>0</v>
      </c>
      <c r="AK317">
        <f t="shared" si="177"/>
        <v>0</v>
      </c>
      <c r="AL317">
        <f t="shared" si="178"/>
        <v>0</v>
      </c>
      <c r="AM317">
        <f t="shared" si="179"/>
        <v>0</v>
      </c>
      <c r="AN317">
        <f t="shared" si="180"/>
        <v>0</v>
      </c>
      <c r="AO317">
        <f t="shared" si="181"/>
        <v>0</v>
      </c>
      <c r="AP317">
        <f t="shared" si="182"/>
        <v>0</v>
      </c>
      <c r="AQ317">
        <f t="shared" si="183"/>
        <v>0</v>
      </c>
    </row>
    <row r="318" spans="1:43" x14ac:dyDescent="0.45">
      <c r="A318" s="51">
        <v>17</v>
      </c>
      <c r="B318" s="51" t="s">
        <v>313</v>
      </c>
      <c r="C318" s="56" t="s">
        <v>79</v>
      </c>
      <c r="D318" s="50" t="s">
        <v>94</v>
      </c>
      <c r="E318" s="45">
        <v>2816.6895473218983</v>
      </c>
      <c r="F318">
        <f t="shared" si="160"/>
        <v>0</v>
      </c>
      <c r="G318">
        <f t="shared" si="161"/>
        <v>0</v>
      </c>
      <c r="H318">
        <f t="shared" si="162"/>
        <v>0</v>
      </c>
      <c r="I318">
        <f t="shared" si="163"/>
        <v>0</v>
      </c>
      <c r="J318">
        <f t="shared" si="164"/>
        <v>0</v>
      </c>
      <c r="K318">
        <f t="shared" si="165"/>
        <v>0</v>
      </c>
      <c r="L318">
        <f t="shared" si="166"/>
        <v>2816.6895473218983</v>
      </c>
      <c r="M318">
        <f t="shared" si="167"/>
        <v>0</v>
      </c>
      <c r="N318">
        <f t="shared" si="168"/>
        <v>0</v>
      </c>
      <c r="O318">
        <f t="shared" si="169"/>
        <v>0</v>
      </c>
      <c r="P318">
        <f t="shared" si="170"/>
        <v>0</v>
      </c>
      <c r="Q318">
        <f t="shared" si="171"/>
        <v>0</v>
      </c>
      <c r="S318">
        <f t="shared" si="185"/>
        <v>46</v>
      </c>
      <c r="T318">
        <f t="shared" si="186"/>
        <v>36</v>
      </c>
      <c r="U318">
        <f t="shared" si="187"/>
        <v>17</v>
      </c>
      <c r="V318">
        <f t="shared" si="188"/>
        <v>18</v>
      </c>
      <c r="W318">
        <f t="shared" si="189"/>
        <v>98</v>
      </c>
      <c r="X318">
        <f t="shared" si="190"/>
        <v>81</v>
      </c>
      <c r="Y318">
        <f t="shared" si="191"/>
        <v>25</v>
      </c>
      <c r="Z318">
        <f t="shared" si="192"/>
        <v>14</v>
      </c>
      <c r="AA318">
        <f t="shared" si="193"/>
        <v>4</v>
      </c>
      <c r="AB318">
        <f t="shared" si="194"/>
        <v>6</v>
      </c>
      <c r="AC318">
        <f t="shared" si="195"/>
        <v>119</v>
      </c>
      <c r="AD318">
        <f t="shared" si="196"/>
        <v>9</v>
      </c>
      <c r="AF318">
        <f t="shared" si="172"/>
        <v>0</v>
      </c>
      <c r="AG318">
        <f t="shared" si="173"/>
        <v>0</v>
      </c>
      <c r="AH318">
        <f t="shared" si="174"/>
        <v>0</v>
      </c>
      <c r="AI318">
        <f t="shared" si="175"/>
        <v>0</v>
      </c>
      <c r="AJ318">
        <f t="shared" si="176"/>
        <v>0</v>
      </c>
      <c r="AK318">
        <f t="shared" si="177"/>
        <v>0</v>
      </c>
      <c r="AL318">
        <f t="shared" si="178"/>
        <v>0</v>
      </c>
      <c r="AM318">
        <f t="shared" si="179"/>
        <v>0</v>
      </c>
      <c r="AN318">
        <f t="shared" si="180"/>
        <v>0</v>
      </c>
      <c r="AO318">
        <f t="shared" si="181"/>
        <v>0</v>
      </c>
      <c r="AP318">
        <f t="shared" si="182"/>
        <v>0</v>
      </c>
      <c r="AQ318">
        <f t="shared" si="183"/>
        <v>0</v>
      </c>
    </row>
    <row r="319" spans="1:43" x14ac:dyDescent="0.45">
      <c r="A319" s="51">
        <v>18</v>
      </c>
      <c r="B319" s="51" t="s">
        <v>313</v>
      </c>
      <c r="C319" s="56" t="s">
        <v>72</v>
      </c>
      <c r="D319" s="50" t="s">
        <v>94</v>
      </c>
      <c r="E319" s="45">
        <v>2344.1303284991573</v>
      </c>
      <c r="F319">
        <f t="shared" si="160"/>
        <v>0</v>
      </c>
      <c r="G319">
        <f t="shared" si="161"/>
        <v>0</v>
      </c>
      <c r="H319">
        <f t="shared" si="162"/>
        <v>0</v>
      </c>
      <c r="I319">
        <f t="shared" si="163"/>
        <v>0</v>
      </c>
      <c r="J319">
        <f t="shared" si="164"/>
        <v>0</v>
      </c>
      <c r="K319">
        <f t="shared" si="165"/>
        <v>0</v>
      </c>
      <c r="L319">
        <f t="shared" si="166"/>
        <v>2344.1303284991573</v>
      </c>
      <c r="M319">
        <f t="shared" si="167"/>
        <v>0</v>
      </c>
      <c r="N319">
        <f t="shared" si="168"/>
        <v>0</v>
      </c>
      <c r="O319">
        <f t="shared" si="169"/>
        <v>0</v>
      </c>
      <c r="P319">
        <f t="shared" si="170"/>
        <v>0</v>
      </c>
      <c r="Q319">
        <f t="shared" si="171"/>
        <v>0</v>
      </c>
      <c r="S319">
        <f t="shared" si="185"/>
        <v>46</v>
      </c>
      <c r="T319">
        <f t="shared" si="186"/>
        <v>36</v>
      </c>
      <c r="U319">
        <f t="shared" si="187"/>
        <v>17</v>
      </c>
      <c r="V319">
        <f t="shared" si="188"/>
        <v>18</v>
      </c>
      <c r="W319">
        <f t="shared" si="189"/>
        <v>98</v>
      </c>
      <c r="X319">
        <f t="shared" si="190"/>
        <v>81</v>
      </c>
      <c r="Y319">
        <f t="shared" si="191"/>
        <v>24</v>
      </c>
      <c r="Z319">
        <f t="shared" si="192"/>
        <v>14</v>
      </c>
      <c r="AA319">
        <f t="shared" si="193"/>
        <v>4</v>
      </c>
      <c r="AB319">
        <f t="shared" si="194"/>
        <v>6</v>
      </c>
      <c r="AC319">
        <f t="shared" si="195"/>
        <v>119</v>
      </c>
      <c r="AD319">
        <f t="shared" si="196"/>
        <v>9</v>
      </c>
      <c r="AF319">
        <f t="shared" si="172"/>
        <v>0</v>
      </c>
      <c r="AG319">
        <f t="shared" si="173"/>
        <v>0</v>
      </c>
      <c r="AH319">
        <f t="shared" si="174"/>
        <v>0</v>
      </c>
      <c r="AI319">
        <f t="shared" si="175"/>
        <v>0</v>
      </c>
      <c r="AJ319">
        <f t="shared" si="176"/>
        <v>0</v>
      </c>
      <c r="AK319">
        <f t="shared" si="177"/>
        <v>0</v>
      </c>
      <c r="AL319">
        <f t="shared" si="178"/>
        <v>0</v>
      </c>
      <c r="AM319">
        <f t="shared" si="179"/>
        <v>0</v>
      </c>
      <c r="AN319">
        <f t="shared" si="180"/>
        <v>0</v>
      </c>
      <c r="AO319">
        <f t="shared" si="181"/>
        <v>0</v>
      </c>
      <c r="AP319">
        <f t="shared" si="182"/>
        <v>0</v>
      </c>
      <c r="AQ319">
        <f t="shared" si="183"/>
        <v>0</v>
      </c>
    </row>
    <row r="320" spans="1:43" x14ac:dyDescent="0.45">
      <c r="A320" s="51">
        <v>19</v>
      </c>
      <c r="B320" s="51" t="s">
        <v>313</v>
      </c>
      <c r="C320" s="56" t="s">
        <v>75</v>
      </c>
      <c r="D320" s="50" t="s">
        <v>67</v>
      </c>
      <c r="E320" s="45">
        <v>2585.3952018742762</v>
      </c>
      <c r="F320">
        <f t="shared" si="160"/>
        <v>0</v>
      </c>
      <c r="G320">
        <f t="shared" si="161"/>
        <v>0</v>
      </c>
      <c r="H320">
        <f t="shared" si="162"/>
        <v>0</v>
      </c>
      <c r="I320">
        <f t="shared" si="163"/>
        <v>2585.3952018742762</v>
      </c>
      <c r="J320">
        <f t="shared" si="164"/>
        <v>0</v>
      </c>
      <c r="K320">
        <f t="shared" si="165"/>
        <v>0</v>
      </c>
      <c r="L320">
        <f t="shared" si="166"/>
        <v>0</v>
      </c>
      <c r="M320">
        <f t="shared" si="167"/>
        <v>0</v>
      </c>
      <c r="N320">
        <f t="shared" si="168"/>
        <v>0</v>
      </c>
      <c r="O320">
        <f t="shared" si="169"/>
        <v>0</v>
      </c>
      <c r="P320">
        <f t="shared" si="170"/>
        <v>0</v>
      </c>
      <c r="Q320">
        <f t="shared" si="171"/>
        <v>0</v>
      </c>
      <c r="S320">
        <f t="shared" si="185"/>
        <v>46</v>
      </c>
      <c r="T320">
        <f t="shared" si="186"/>
        <v>36</v>
      </c>
      <c r="U320">
        <f t="shared" si="187"/>
        <v>17</v>
      </c>
      <c r="V320">
        <f t="shared" si="188"/>
        <v>18</v>
      </c>
      <c r="W320">
        <f t="shared" si="189"/>
        <v>98</v>
      </c>
      <c r="X320">
        <f t="shared" si="190"/>
        <v>81</v>
      </c>
      <c r="Y320">
        <f t="shared" si="191"/>
        <v>23</v>
      </c>
      <c r="Z320">
        <f t="shared" si="192"/>
        <v>14</v>
      </c>
      <c r="AA320">
        <f t="shared" si="193"/>
        <v>4</v>
      </c>
      <c r="AB320">
        <f t="shared" si="194"/>
        <v>6</v>
      </c>
      <c r="AC320">
        <f t="shared" si="195"/>
        <v>119</v>
      </c>
      <c r="AD320">
        <f t="shared" si="196"/>
        <v>9</v>
      </c>
      <c r="AF320">
        <f t="shared" si="172"/>
        <v>0</v>
      </c>
      <c r="AG320">
        <f t="shared" si="173"/>
        <v>0</v>
      </c>
      <c r="AH320">
        <f t="shared" si="174"/>
        <v>0</v>
      </c>
      <c r="AI320">
        <f t="shared" si="175"/>
        <v>0</v>
      </c>
      <c r="AJ320">
        <f t="shared" si="176"/>
        <v>0</v>
      </c>
      <c r="AK320">
        <f t="shared" si="177"/>
        <v>0</v>
      </c>
      <c r="AL320">
        <f t="shared" si="178"/>
        <v>0</v>
      </c>
      <c r="AM320">
        <f t="shared" si="179"/>
        <v>0</v>
      </c>
      <c r="AN320">
        <f t="shared" si="180"/>
        <v>0</v>
      </c>
      <c r="AO320">
        <f t="shared" si="181"/>
        <v>0</v>
      </c>
      <c r="AP320">
        <f t="shared" si="182"/>
        <v>0</v>
      </c>
      <c r="AQ320">
        <f t="shared" si="183"/>
        <v>0</v>
      </c>
    </row>
    <row r="321" spans="1:43" x14ac:dyDescent="0.35">
      <c r="A321" s="51">
        <v>20</v>
      </c>
      <c r="B321" s="51" t="s">
        <v>315</v>
      </c>
      <c r="C321" s="62" t="s">
        <v>78</v>
      </c>
      <c r="D321" s="51" t="s">
        <v>222</v>
      </c>
      <c r="E321" s="19">
        <v>3534.0055704581191</v>
      </c>
      <c r="F321">
        <f t="shared" si="160"/>
        <v>0</v>
      </c>
      <c r="G321">
        <f t="shared" si="161"/>
        <v>0</v>
      </c>
      <c r="H321">
        <f t="shared" si="162"/>
        <v>0</v>
      </c>
      <c r="I321">
        <f t="shared" si="163"/>
        <v>0</v>
      </c>
      <c r="J321">
        <f t="shared" si="164"/>
        <v>0</v>
      </c>
      <c r="K321">
        <f t="shared" si="165"/>
        <v>0</v>
      </c>
      <c r="L321">
        <f t="shared" si="166"/>
        <v>0</v>
      </c>
      <c r="M321">
        <f t="shared" si="167"/>
        <v>0</v>
      </c>
      <c r="N321">
        <f t="shared" si="168"/>
        <v>0</v>
      </c>
      <c r="O321">
        <f t="shared" si="169"/>
        <v>0</v>
      </c>
      <c r="P321">
        <f t="shared" si="170"/>
        <v>0</v>
      </c>
      <c r="Q321">
        <f t="shared" si="171"/>
        <v>3534.0055704581191</v>
      </c>
      <c r="S321">
        <f t="shared" si="185"/>
        <v>46</v>
      </c>
      <c r="T321">
        <f t="shared" si="186"/>
        <v>36</v>
      </c>
      <c r="U321">
        <f t="shared" si="187"/>
        <v>17</v>
      </c>
      <c r="V321">
        <f t="shared" si="188"/>
        <v>17</v>
      </c>
      <c r="W321">
        <f t="shared" si="189"/>
        <v>98</v>
      </c>
      <c r="X321">
        <f t="shared" si="190"/>
        <v>81</v>
      </c>
      <c r="Y321">
        <f t="shared" si="191"/>
        <v>23</v>
      </c>
      <c r="Z321">
        <f t="shared" si="192"/>
        <v>14</v>
      </c>
      <c r="AA321">
        <f t="shared" si="193"/>
        <v>4</v>
      </c>
      <c r="AB321">
        <f t="shared" si="194"/>
        <v>6</v>
      </c>
      <c r="AC321">
        <f t="shared" si="195"/>
        <v>119</v>
      </c>
      <c r="AD321">
        <f t="shared" si="196"/>
        <v>9</v>
      </c>
      <c r="AF321">
        <f t="shared" si="172"/>
        <v>0</v>
      </c>
      <c r="AG321">
        <f t="shared" si="173"/>
        <v>0</v>
      </c>
      <c r="AH321">
        <f t="shared" si="174"/>
        <v>0</v>
      </c>
      <c r="AI321">
        <f t="shared" si="175"/>
        <v>0</v>
      </c>
      <c r="AJ321">
        <f t="shared" si="176"/>
        <v>0</v>
      </c>
      <c r="AK321">
        <f t="shared" si="177"/>
        <v>0</v>
      </c>
      <c r="AL321">
        <f t="shared" si="178"/>
        <v>0</v>
      </c>
      <c r="AM321">
        <f t="shared" si="179"/>
        <v>0</v>
      </c>
      <c r="AN321">
        <f t="shared" si="180"/>
        <v>0</v>
      </c>
      <c r="AO321">
        <f t="shared" si="181"/>
        <v>0</v>
      </c>
      <c r="AP321">
        <f t="shared" si="182"/>
        <v>0</v>
      </c>
      <c r="AQ321">
        <f t="shared" si="183"/>
        <v>3534.0055704581191</v>
      </c>
    </row>
    <row r="322" spans="1:43" x14ac:dyDescent="0.45">
      <c r="A322" s="51">
        <v>21</v>
      </c>
      <c r="B322" s="51" t="s">
        <v>315</v>
      </c>
      <c r="C322" s="56" t="s">
        <v>82</v>
      </c>
      <c r="D322" s="50" t="s">
        <v>94</v>
      </c>
      <c r="E322" s="19">
        <v>2822.46619358625</v>
      </c>
      <c r="F322">
        <f t="shared" si="160"/>
        <v>0</v>
      </c>
      <c r="G322">
        <f t="shared" si="161"/>
        <v>0</v>
      </c>
      <c r="H322">
        <f t="shared" si="162"/>
        <v>0</v>
      </c>
      <c r="I322">
        <f t="shared" si="163"/>
        <v>0</v>
      </c>
      <c r="J322">
        <f t="shared" si="164"/>
        <v>0</v>
      </c>
      <c r="K322">
        <f t="shared" si="165"/>
        <v>0</v>
      </c>
      <c r="L322">
        <f t="shared" si="166"/>
        <v>2822.46619358625</v>
      </c>
      <c r="M322">
        <f t="shared" si="167"/>
        <v>0</v>
      </c>
      <c r="N322">
        <f t="shared" si="168"/>
        <v>0</v>
      </c>
      <c r="O322">
        <f t="shared" si="169"/>
        <v>0</v>
      </c>
      <c r="P322">
        <f t="shared" si="170"/>
        <v>0</v>
      </c>
      <c r="Q322">
        <f t="shared" si="171"/>
        <v>0</v>
      </c>
      <c r="S322">
        <f t="shared" si="185"/>
        <v>46</v>
      </c>
      <c r="T322">
        <f t="shared" si="186"/>
        <v>36</v>
      </c>
      <c r="U322">
        <f t="shared" si="187"/>
        <v>17</v>
      </c>
      <c r="V322">
        <f t="shared" si="188"/>
        <v>17</v>
      </c>
      <c r="W322">
        <f t="shared" si="189"/>
        <v>98</v>
      </c>
      <c r="X322">
        <f t="shared" si="190"/>
        <v>81</v>
      </c>
      <c r="Y322">
        <f t="shared" si="191"/>
        <v>23</v>
      </c>
      <c r="Z322">
        <f t="shared" si="192"/>
        <v>14</v>
      </c>
      <c r="AA322">
        <f t="shared" si="193"/>
        <v>4</v>
      </c>
      <c r="AB322">
        <f t="shared" si="194"/>
        <v>6</v>
      </c>
      <c r="AC322">
        <f t="shared" si="195"/>
        <v>119</v>
      </c>
      <c r="AD322">
        <f t="shared" si="196"/>
        <v>8</v>
      </c>
      <c r="AF322">
        <f t="shared" si="172"/>
        <v>0</v>
      </c>
      <c r="AG322">
        <f t="shared" si="173"/>
        <v>0</v>
      </c>
      <c r="AH322">
        <f t="shared" si="174"/>
        <v>0</v>
      </c>
      <c r="AI322">
        <f t="shared" si="175"/>
        <v>0</v>
      </c>
      <c r="AJ322">
        <f t="shared" si="176"/>
        <v>0</v>
      </c>
      <c r="AK322">
        <f t="shared" si="177"/>
        <v>0</v>
      </c>
      <c r="AL322">
        <f t="shared" si="178"/>
        <v>0</v>
      </c>
      <c r="AM322">
        <f t="shared" si="179"/>
        <v>0</v>
      </c>
      <c r="AN322">
        <f t="shared" si="180"/>
        <v>0</v>
      </c>
      <c r="AO322">
        <f t="shared" si="181"/>
        <v>0</v>
      </c>
      <c r="AP322">
        <f t="shared" si="182"/>
        <v>0</v>
      </c>
      <c r="AQ322">
        <f t="shared" si="183"/>
        <v>0</v>
      </c>
    </row>
    <row r="323" spans="1:43" x14ac:dyDescent="0.45">
      <c r="A323" s="51">
        <v>22</v>
      </c>
      <c r="B323" s="51" t="s">
        <v>315</v>
      </c>
      <c r="C323" s="56" t="s">
        <v>77</v>
      </c>
      <c r="D323" s="50" t="s">
        <v>67</v>
      </c>
      <c r="E323" s="19">
        <v>2876.1945261609585</v>
      </c>
      <c r="F323">
        <f t="shared" si="160"/>
        <v>0</v>
      </c>
      <c r="G323">
        <f t="shared" si="161"/>
        <v>0</v>
      </c>
      <c r="H323">
        <f t="shared" si="162"/>
        <v>0</v>
      </c>
      <c r="I323">
        <f t="shared" si="163"/>
        <v>2876.1945261609585</v>
      </c>
      <c r="J323">
        <f t="shared" si="164"/>
        <v>0</v>
      </c>
      <c r="K323">
        <f t="shared" si="165"/>
        <v>0</v>
      </c>
      <c r="L323">
        <f t="shared" si="166"/>
        <v>0</v>
      </c>
      <c r="M323">
        <f t="shared" si="167"/>
        <v>0</v>
      </c>
      <c r="N323">
        <f t="shared" si="168"/>
        <v>0</v>
      </c>
      <c r="O323">
        <f t="shared" si="169"/>
        <v>0</v>
      </c>
      <c r="P323">
        <f t="shared" si="170"/>
        <v>0</v>
      </c>
      <c r="Q323">
        <f t="shared" si="171"/>
        <v>0</v>
      </c>
      <c r="S323">
        <f t="shared" si="185"/>
        <v>46</v>
      </c>
      <c r="T323">
        <f t="shared" si="186"/>
        <v>36</v>
      </c>
      <c r="U323">
        <f t="shared" si="187"/>
        <v>17</v>
      </c>
      <c r="V323">
        <f t="shared" si="188"/>
        <v>17</v>
      </c>
      <c r="W323">
        <f t="shared" si="189"/>
        <v>98</v>
      </c>
      <c r="X323">
        <f t="shared" si="190"/>
        <v>81</v>
      </c>
      <c r="Y323">
        <f t="shared" si="191"/>
        <v>22</v>
      </c>
      <c r="Z323">
        <f t="shared" si="192"/>
        <v>14</v>
      </c>
      <c r="AA323">
        <f t="shared" si="193"/>
        <v>4</v>
      </c>
      <c r="AB323">
        <f t="shared" si="194"/>
        <v>6</v>
      </c>
      <c r="AC323">
        <f t="shared" si="195"/>
        <v>119</v>
      </c>
      <c r="AD323">
        <f t="shared" si="196"/>
        <v>8</v>
      </c>
      <c r="AF323">
        <f t="shared" si="172"/>
        <v>0</v>
      </c>
      <c r="AG323">
        <f t="shared" si="173"/>
        <v>0</v>
      </c>
      <c r="AH323">
        <f t="shared" si="174"/>
        <v>0</v>
      </c>
      <c r="AI323">
        <f t="shared" si="175"/>
        <v>0</v>
      </c>
      <c r="AJ323">
        <f t="shared" si="176"/>
        <v>0</v>
      </c>
      <c r="AK323">
        <f t="shared" si="177"/>
        <v>0</v>
      </c>
      <c r="AL323">
        <f t="shared" si="178"/>
        <v>0</v>
      </c>
      <c r="AM323">
        <f t="shared" si="179"/>
        <v>0</v>
      </c>
      <c r="AN323">
        <f t="shared" si="180"/>
        <v>0</v>
      </c>
      <c r="AO323">
        <f t="shared" si="181"/>
        <v>0</v>
      </c>
      <c r="AP323">
        <f t="shared" si="182"/>
        <v>0</v>
      </c>
      <c r="AQ323">
        <f t="shared" si="183"/>
        <v>0</v>
      </c>
    </row>
    <row r="324" spans="1:43" x14ac:dyDescent="0.45">
      <c r="A324" s="51">
        <v>23</v>
      </c>
      <c r="B324" s="51" t="s">
        <v>316</v>
      </c>
      <c r="C324" s="56" t="s">
        <v>83</v>
      </c>
      <c r="D324" s="50" t="s">
        <v>60</v>
      </c>
      <c r="E324" s="19">
        <v>3003.7462344596015</v>
      </c>
      <c r="F324">
        <f t="shared" si="160"/>
        <v>0</v>
      </c>
      <c r="G324">
        <f t="shared" si="161"/>
        <v>0</v>
      </c>
      <c r="H324">
        <f t="shared" si="162"/>
        <v>0</v>
      </c>
      <c r="I324">
        <f t="shared" si="163"/>
        <v>0</v>
      </c>
      <c r="J324">
        <f t="shared" si="164"/>
        <v>3003.7462344596015</v>
      </c>
      <c r="K324">
        <f t="shared" si="165"/>
        <v>0</v>
      </c>
      <c r="L324">
        <f t="shared" si="166"/>
        <v>0</v>
      </c>
      <c r="M324">
        <f t="shared" si="167"/>
        <v>0</v>
      </c>
      <c r="N324">
        <f t="shared" si="168"/>
        <v>0</v>
      </c>
      <c r="O324">
        <f t="shared" si="169"/>
        <v>0</v>
      </c>
      <c r="P324">
        <f t="shared" si="170"/>
        <v>0</v>
      </c>
      <c r="Q324">
        <f t="shared" si="171"/>
        <v>0</v>
      </c>
      <c r="S324">
        <f t="shared" si="185"/>
        <v>46</v>
      </c>
      <c r="T324">
        <f t="shared" si="186"/>
        <v>36</v>
      </c>
      <c r="U324">
        <f t="shared" si="187"/>
        <v>17</v>
      </c>
      <c r="V324">
        <f t="shared" si="188"/>
        <v>16</v>
      </c>
      <c r="W324">
        <f t="shared" si="189"/>
        <v>98</v>
      </c>
      <c r="X324">
        <f t="shared" si="190"/>
        <v>81</v>
      </c>
      <c r="Y324">
        <f t="shared" si="191"/>
        <v>22</v>
      </c>
      <c r="Z324">
        <f t="shared" si="192"/>
        <v>14</v>
      </c>
      <c r="AA324">
        <f t="shared" si="193"/>
        <v>4</v>
      </c>
      <c r="AB324">
        <f t="shared" si="194"/>
        <v>6</v>
      </c>
      <c r="AC324">
        <f t="shared" si="195"/>
        <v>119</v>
      </c>
      <c r="AD324">
        <f t="shared" si="196"/>
        <v>8</v>
      </c>
      <c r="AF324">
        <f t="shared" si="172"/>
        <v>0</v>
      </c>
      <c r="AG324">
        <f t="shared" si="173"/>
        <v>0</v>
      </c>
      <c r="AH324">
        <f t="shared" si="174"/>
        <v>0</v>
      </c>
      <c r="AI324">
        <f t="shared" si="175"/>
        <v>0</v>
      </c>
      <c r="AJ324">
        <f t="shared" si="176"/>
        <v>0</v>
      </c>
      <c r="AK324">
        <f t="shared" si="177"/>
        <v>0</v>
      </c>
      <c r="AL324">
        <f t="shared" si="178"/>
        <v>0</v>
      </c>
      <c r="AM324">
        <f t="shared" si="179"/>
        <v>0</v>
      </c>
      <c r="AN324">
        <f t="shared" si="180"/>
        <v>0</v>
      </c>
      <c r="AO324">
        <f t="shared" si="181"/>
        <v>0</v>
      </c>
      <c r="AP324">
        <f t="shared" si="182"/>
        <v>0</v>
      </c>
      <c r="AQ324">
        <f t="shared" si="183"/>
        <v>0</v>
      </c>
    </row>
    <row r="325" spans="1:43" x14ac:dyDescent="0.45">
      <c r="A325" s="51">
        <v>24</v>
      </c>
      <c r="B325" s="51" t="s">
        <v>316</v>
      </c>
      <c r="C325" s="56" t="s">
        <v>86</v>
      </c>
      <c r="D325" s="50" t="s">
        <v>228</v>
      </c>
      <c r="E325" s="19">
        <v>3178.9829548563612</v>
      </c>
      <c r="F325">
        <f t="shared" si="160"/>
        <v>0</v>
      </c>
      <c r="G325">
        <f t="shared" si="161"/>
        <v>0</v>
      </c>
      <c r="H325">
        <f t="shared" si="162"/>
        <v>0</v>
      </c>
      <c r="I325">
        <f t="shared" si="163"/>
        <v>0</v>
      </c>
      <c r="J325">
        <f t="shared" si="164"/>
        <v>0</v>
      </c>
      <c r="K325">
        <f t="shared" si="165"/>
        <v>0</v>
      </c>
      <c r="L325">
        <f t="shared" si="166"/>
        <v>0</v>
      </c>
      <c r="M325">
        <f t="shared" si="167"/>
        <v>0</v>
      </c>
      <c r="N325">
        <f t="shared" si="168"/>
        <v>0</v>
      </c>
      <c r="O325">
        <f t="shared" si="169"/>
        <v>0</v>
      </c>
      <c r="P325">
        <f t="shared" si="170"/>
        <v>3178.9829548563612</v>
      </c>
      <c r="Q325">
        <f t="shared" si="171"/>
        <v>0</v>
      </c>
      <c r="S325">
        <f t="shared" si="185"/>
        <v>46</v>
      </c>
      <c r="T325">
        <f t="shared" si="186"/>
        <v>36</v>
      </c>
      <c r="U325">
        <f t="shared" si="187"/>
        <v>17</v>
      </c>
      <c r="V325">
        <f t="shared" si="188"/>
        <v>16</v>
      </c>
      <c r="W325">
        <f t="shared" si="189"/>
        <v>97</v>
      </c>
      <c r="X325">
        <f t="shared" si="190"/>
        <v>81</v>
      </c>
      <c r="Y325">
        <f t="shared" si="191"/>
        <v>22</v>
      </c>
      <c r="Z325">
        <f t="shared" si="192"/>
        <v>14</v>
      </c>
      <c r="AA325">
        <f t="shared" si="193"/>
        <v>4</v>
      </c>
      <c r="AB325">
        <f t="shared" si="194"/>
        <v>6</v>
      </c>
      <c r="AC325">
        <f t="shared" si="195"/>
        <v>119</v>
      </c>
      <c r="AD325">
        <f t="shared" si="196"/>
        <v>8</v>
      </c>
      <c r="AF325">
        <f t="shared" si="172"/>
        <v>0</v>
      </c>
      <c r="AG325">
        <f t="shared" si="173"/>
        <v>0</v>
      </c>
      <c r="AH325">
        <f t="shared" si="174"/>
        <v>0</v>
      </c>
      <c r="AI325">
        <f t="shared" si="175"/>
        <v>0</v>
      </c>
      <c r="AJ325">
        <f t="shared" si="176"/>
        <v>0</v>
      </c>
      <c r="AK325">
        <f t="shared" si="177"/>
        <v>0</v>
      </c>
      <c r="AL325">
        <f t="shared" si="178"/>
        <v>0</v>
      </c>
      <c r="AM325">
        <f t="shared" si="179"/>
        <v>0</v>
      </c>
      <c r="AN325">
        <f t="shared" si="180"/>
        <v>0</v>
      </c>
      <c r="AO325">
        <f t="shared" si="181"/>
        <v>0</v>
      </c>
      <c r="AP325">
        <f t="shared" si="182"/>
        <v>0</v>
      </c>
      <c r="AQ325">
        <f t="shared" si="183"/>
        <v>0</v>
      </c>
    </row>
    <row r="326" spans="1:43" x14ac:dyDescent="0.45">
      <c r="A326" s="51">
        <v>25</v>
      </c>
      <c r="B326" s="51" t="s">
        <v>316</v>
      </c>
      <c r="C326" s="56" t="s">
        <v>89</v>
      </c>
      <c r="D326" s="50" t="s">
        <v>57</v>
      </c>
      <c r="E326" s="19">
        <v>2911.3416818498577</v>
      </c>
      <c r="F326">
        <f t="shared" si="160"/>
        <v>0</v>
      </c>
      <c r="G326">
        <f t="shared" si="161"/>
        <v>0</v>
      </c>
      <c r="H326">
        <f t="shared" si="162"/>
        <v>0</v>
      </c>
      <c r="I326">
        <f t="shared" si="163"/>
        <v>0</v>
      </c>
      <c r="J326">
        <f t="shared" si="164"/>
        <v>0</v>
      </c>
      <c r="K326">
        <f t="shared" si="165"/>
        <v>0</v>
      </c>
      <c r="L326">
        <f t="shared" si="166"/>
        <v>0</v>
      </c>
      <c r="M326">
        <f t="shared" si="167"/>
        <v>2911.3416818498577</v>
      </c>
      <c r="N326">
        <f t="shared" si="168"/>
        <v>0</v>
      </c>
      <c r="O326">
        <f t="shared" si="169"/>
        <v>0</v>
      </c>
      <c r="P326">
        <f t="shared" si="170"/>
        <v>0</v>
      </c>
      <c r="Q326">
        <f t="shared" si="171"/>
        <v>0</v>
      </c>
      <c r="S326">
        <f t="shared" si="185"/>
        <v>46</v>
      </c>
      <c r="T326">
        <f t="shared" si="186"/>
        <v>36</v>
      </c>
      <c r="U326">
        <f t="shared" si="187"/>
        <v>17</v>
      </c>
      <c r="V326">
        <f t="shared" si="188"/>
        <v>16</v>
      </c>
      <c r="W326">
        <f t="shared" si="189"/>
        <v>97</v>
      </c>
      <c r="X326">
        <f t="shared" si="190"/>
        <v>81</v>
      </c>
      <c r="Y326">
        <f t="shared" si="191"/>
        <v>22</v>
      </c>
      <c r="Z326">
        <f t="shared" si="192"/>
        <v>14</v>
      </c>
      <c r="AA326">
        <f t="shared" si="193"/>
        <v>4</v>
      </c>
      <c r="AB326">
        <f t="shared" si="194"/>
        <v>6</v>
      </c>
      <c r="AC326">
        <f t="shared" si="195"/>
        <v>118</v>
      </c>
      <c r="AD326">
        <f t="shared" si="196"/>
        <v>8</v>
      </c>
      <c r="AF326">
        <f t="shared" si="172"/>
        <v>0</v>
      </c>
      <c r="AG326">
        <f t="shared" si="173"/>
        <v>0</v>
      </c>
      <c r="AH326">
        <f t="shared" si="174"/>
        <v>0</v>
      </c>
      <c r="AI326">
        <f t="shared" si="175"/>
        <v>0</v>
      </c>
      <c r="AJ326">
        <f t="shared" si="176"/>
        <v>0</v>
      </c>
      <c r="AK326">
        <f t="shared" si="177"/>
        <v>0</v>
      </c>
      <c r="AL326">
        <f t="shared" si="178"/>
        <v>0</v>
      </c>
      <c r="AM326">
        <f t="shared" si="179"/>
        <v>0</v>
      </c>
      <c r="AN326">
        <f t="shared" si="180"/>
        <v>0</v>
      </c>
      <c r="AO326">
        <f t="shared" si="181"/>
        <v>0</v>
      </c>
      <c r="AP326">
        <f t="shared" si="182"/>
        <v>0</v>
      </c>
      <c r="AQ326">
        <f t="shared" si="183"/>
        <v>0</v>
      </c>
    </row>
    <row r="327" spans="1:43" x14ac:dyDescent="0.45">
      <c r="A327" s="51">
        <v>26</v>
      </c>
      <c r="B327" s="51" t="s">
        <v>316</v>
      </c>
      <c r="C327" s="56" t="s">
        <v>84</v>
      </c>
      <c r="D327" s="50" t="s">
        <v>67</v>
      </c>
      <c r="E327" s="19">
        <v>3269.6593546751187</v>
      </c>
      <c r="F327">
        <f t="shared" ref="F327:F362" si="197">IF(D327="SPUR-01",E327,0)</f>
        <v>0</v>
      </c>
      <c r="G327">
        <f t="shared" ref="G327:G362" si="198">IF(D327="SPUR-02",E327,0)</f>
        <v>0</v>
      </c>
      <c r="H327">
        <f t="shared" ref="H327:H362" si="199">IF(D327="SPUR-03",E327,0)</f>
        <v>0</v>
      </c>
      <c r="I327">
        <f t="shared" ref="I327:I362" si="200">IF(D327="SPUR-04",E327,0)</f>
        <v>3269.6593546751187</v>
      </c>
      <c r="J327">
        <f t="shared" ref="J327:J362" si="201">IF(D327="SPUR-05",E327,0)</f>
        <v>0</v>
      </c>
      <c r="K327">
        <f t="shared" ref="K327:K362" si="202">IF(D327="SPUR-06",E327,0)</f>
        <v>0</v>
      </c>
      <c r="L327">
        <f t="shared" ref="L327:L362" si="203">IF(D327="SPUR-07",E327,0)</f>
        <v>0</v>
      </c>
      <c r="M327">
        <f t="shared" ref="M327:M362" si="204">IF(D327="SPUR-08",E327,0)</f>
        <v>0</v>
      </c>
      <c r="N327">
        <f t="shared" ref="N327:N362" si="205">IF(D327="SPUR-09",E327,0)</f>
        <v>0</v>
      </c>
      <c r="O327">
        <f t="shared" ref="O327:O362" si="206">IF(D327="SPUR-10",E327,0)</f>
        <v>0</v>
      </c>
      <c r="P327">
        <f t="shared" ref="P327:P362" si="207">IF(D327="SPUR-SILO",E327,0)</f>
        <v>0</v>
      </c>
      <c r="Q327">
        <f t="shared" ref="Q327:Q362" si="208">IF(D327="SPUR-DB",E327,0)</f>
        <v>0</v>
      </c>
      <c r="S327">
        <f t="shared" si="185"/>
        <v>46</v>
      </c>
      <c r="T327">
        <f t="shared" si="186"/>
        <v>36</v>
      </c>
      <c r="U327">
        <f t="shared" si="187"/>
        <v>17</v>
      </c>
      <c r="V327">
        <f t="shared" si="188"/>
        <v>16</v>
      </c>
      <c r="W327">
        <f t="shared" si="189"/>
        <v>97</v>
      </c>
      <c r="X327">
        <f t="shared" si="190"/>
        <v>81</v>
      </c>
      <c r="Y327">
        <f t="shared" si="191"/>
        <v>22</v>
      </c>
      <c r="Z327">
        <f t="shared" si="192"/>
        <v>13</v>
      </c>
      <c r="AA327">
        <f t="shared" si="193"/>
        <v>4</v>
      </c>
      <c r="AB327">
        <f t="shared" si="194"/>
        <v>6</v>
      </c>
      <c r="AC327">
        <f t="shared" si="195"/>
        <v>118</v>
      </c>
      <c r="AD327">
        <f t="shared" si="196"/>
        <v>8</v>
      </c>
      <c r="AF327">
        <f t="shared" si="172"/>
        <v>0</v>
      </c>
      <c r="AG327">
        <f t="shared" si="173"/>
        <v>0</v>
      </c>
      <c r="AH327">
        <f t="shared" si="174"/>
        <v>0</v>
      </c>
      <c r="AI327">
        <f t="shared" si="175"/>
        <v>0</v>
      </c>
      <c r="AJ327">
        <f t="shared" si="176"/>
        <v>0</v>
      </c>
      <c r="AK327">
        <f t="shared" si="177"/>
        <v>0</v>
      </c>
      <c r="AL327">
        <f t="shared" si="178"/>
        <v>0</v>
      </c>
      <c r="AM327">
        <f t="shared" si="179"/>
        <v>0</v>
      </c>
      <c r="AN327">
        <f t="shared" si="180"/>
        <v>0</v>
      </c>
      <c r="AO327">
        <f t="shared" si="181"/>
        <v>0</v>
      </c>
      <c r="AP327">
        <f t="shared" si="182"/>
        <v>0</v>
      </c>
      <c r="AQ327">
        <f t="shared" si="183"/>
        <v>0</v>
      </c>
    </row>
    <row r="328" spans="1:43" x14ac:dyDescent="0.35">
      <c r="A328" s="51">
        <v>27</v>
      </c>
      <c r="B328" s="51" t="s">
        <v>317</v>
      </c>
      <c r="C328" s="62" t="s">
        <v>91</v>
      </c>
      <c r="D328" s="51" t="s">
        <v>222</v>
      </c>
      <c r="E328" s="19">
        <v>3528.0871937853108</v>
      </c>
      <c r="F328">
        <f t="shared" si="197"/>
        <v>0</v>
      </c>
      <c r="G328">
        <f t="shared" si="198"/>
        <v>0</v>
      </c>
      <c r="H328">
        <f t="shared" si="199"/>
        <v>0</v>
      </c>
      <c r="I328">
        <f t="shared" si="200"/>
        <v>0</v>
      </c>
      <c r="J328">
        <f t="shared" si="201"/>
        <v>0</v>
      </c>
      <c r="K328">
        <f t="shared" si="202"/>
        <v>0</v>
      </c>
      <c r="L328">
        <f t="shared" si="203"/>
        <v>0</v>
      </c>
      <c r="M328">
        <f t="shared" si="204"/>
        <v>0</v>
      </c>
      <c r="N328">
        <f t="shared" si="205"/>
        <v>0</v>
      </c>
      <c r="O328">
        <f t="shared" si="206"/>
        <v>0</v>
      </c>
      <c r="P328">
        <f t="shared" si="207"/>
        <v>0</v>
      </c>
      <c r="Q328">
        <f t="shared" si="208"/>
        <v>3528.0871937853108</v>
      </c>
      <c r="S328">
        <f t="shared" si="185"/>
        <v>46</v>
      </c>
      <c r="T328">
        <f t="shared" si="186"/>
        <v>36</v>
      </c>
      <c r="U328">
        <f t="shared" si="187"/>
        <v>17</v>
      </c>
      <c r="V328">
        <f t="shared" si="188"/>
        <v>15</v>
      </c>
      <c r="W328">
        <f t="shared" si="189"/>
        <v>97</v>
      </c>
      <c r="X328">
        <f t="shared" si="190"/>
        <v>81</v>
      </c>
      <c r="Y328">
        <f t="shared" si="191"/>
        <v>22</v>
      </c>
      <c r="Z328">
        <f t="shared" si="192"/>
        <v>13</v>
      </c>
      <c r="AA328">
        <f t="shared" si="193"/>
        <v>4</v>
      </c>
      <c r="AB328">
        <f t="shared" si="194"/>
        <v>6</v>
      </c>
      <c r="AC328">
        <f t="shared" si="195"/>
        <v>118</v>
      </c>
      <c r="AD328">
        <f t="shared" si="196"/>
        <v>8</v>
      </c>
      <c r="AF328">
        <f t="shared" ref="AF328:AF362" si="209">IF(S328&lt;=$AT$1,F328,0)</f>
        <v>0</v>
      </c>
      <c r="AG328">
        <f t="shared" ref="AG328:AG362" si="210">IF(T328&lt;=$AT$1,G328,0)</f>
        <v>0</v>
      </c>
      <c r="AH328">
        <f t="shared" ref="AH328:AH362" si="211">IF(U328&lt;=$AT$1,H328,0)</f>
        <v>0</v>
      </c>
      <c r="AI328">
        <f t="shared" ref="AI328:AI362" si="212">IF(V328&lt;=$AT$1,I328,0)</f>
        <v>0</v>
      </c>
      <c r="AJ328">
        <f t="shared" ref="AJ328:AJ362" si="213">IF(W328&lt;=$AT$1,J328,0)</f>
        <v>0</v>
      </c>
      <c r="AK328">
        <f t="shared" ref="AK328:AK362" si="214">IF(X328&lt;=$AT$1,K328,0)</f>
        <v>0</v>
      </c>
      <c r="AL328">
        <f t="shared" ref="AL328:AL362" si="215">IF(Y328&lt;=$AT$1,L328,0)</f>
        <v>0</v>
      </c>
      <c r="AM328">
        <f t="shared" ref="AM328:AM362" si="216">IF(Z328&lt;=$AT$1,M328,0)</f>
        <v>0</v>
      </c>
      <c r="AN328">
        <f t="shared" ref="AN328:AN362" si="217">IF(AA328&lt;=$AT$1,N328,0)</f>
        <v>0</v>
      </c>
      <c r="AO328">
        <f t="shared" ref="AO328:AO362" si="218">IF(AB328&lt;=$AT$1,O328,0)</f>
        <v>0</v>
      </c>
      <c r="AP328">
        <f t="shared" ref="AP328:AP362" si="219">IF(AC328&lt;=$AT$1,P328,0)</f>
        <v>0</v>
      </c>
      <c r="AQ328">
        <f t="shared" ref="AQ328:AQ362" si="220">IF(AD328&lt;=$AT$1,Q328,0)</f>
        <v>3528.0871937853108</v>
      </c>
    </row>
    <row r="329" spans="1:43" x14ac:dyDescent="0.45">
      <c r="A329" s="51">
        <v>28</v>
      </c>
      <c r="B329" s="51" t="s">
        <v>317</v>
      </c>
      <c r="C329" s="56" t="s">
        <v>88</v>
      </c>
      <c r="D329" s="50" t="s">
        <v>94</v>
      </c>
      <c r="E329" s="45">
        <v>2649.4064614118392</v>
      </c>
      <c r="F329">
        <f t="shared" si="197"/>
        <v>0</v>
      </c>
      <c r="G329">
        <f t="shared" si="198"/>
        <v>0</v>
      </c>
      <c r="H329">
        <f t="shared" si="199"/>
        <v>0</v>
      </c>
      <c r="I329">
        <f t="shared" si="200"/>
        <v>0</v>
      </c>
      <c r="J329">
        <f t="shared" si="201"/>
        <v>0</v>
      </c>
      <c r="K329">
        <f t="shared" si="202"/>
        <v>0</v>
      </c>
      <c r="L329">
        <f t="shared" si="203"/>
        <v>2649.4064614118392</v>
      </c>
      <c r="M329">
        <f t="shared" si="204"/>
        <v>0</v>
      </c>
      <c r="N329">
        <f t="shared" si="205"/>
        <v>0</v>
      </c>
      <c r="O329">
        <f t="shared" si="206"/>
        <v>0</v>
      </c>
      <c r="P329">
        <f t="shared" si="207"/>
        <v>0</v>
      </c>
      <c r="Q329">
        <f t="shared" si="208"/>
        <v>0</v>
      </c>
      <c r="S329">
        <f t="shared" si="185"/>
        <v>46</v>
      </c>
      <c r="T329">
        <f t="shared" si="186"/>
        <v>36</v>
      </c>
      <c r="U329">
        <f t="shared" si="187"/>
        <v>17</v>
      </c>
      <c r="V329">
        <f t="shared" si="188"/>
        <v>15</v>
      </c>
      <c r="W329">
        <f t="shared" si="189"/>
        <v>97</v>
      </c>
      <c r="X329">
        <f t="shared" si="190"/>
        <v>81</v>
      </c>
      <c r="Y329">
        <f t="shared" si="191"/>
        <v>22</v>
      </c>
      <c r="Z329">
        <f t="shared" si="192"/>
        <v>13</v>
      </c>
      <c r="AA329">
        <f t="shared" si="193"/>
        <v>4</v>
      </c>
      <c r="AB329">
        <f t="shared" si="194"/>
        <v>6</v>
      </c>
      <c r="AC329">
        <f t="shared" si="195"/>
        <v>118</v>
      </c>
      <c r="AD329">
        <f t="shared" si="196"/>
        <v>7</v>
      </c>
      <c r="AF329">
        <f t="shared" si="209"/>
        <v>0</v>
      </c>
      <c r="AG329">
        <f t="shared" si="210"/>
        <v>0</v>
      </c>
      <c r="AH329">
        <f t="shared" si="211"/>
        <v>0</v>
      </c>
      <c r="AI329">
        <f t="shared" si="212"/>
        <v>0</v>
      </c>
      <c r="AJ329">
        <f t="shared" si="213"/>
        <v>0</v>
      </c>
      <c r="AK329">
        <f t="shared" si="214"/>
        <v>0</v>
      </c>
      <c r="AL329">
        <f t="shared" si="215"/>
        <v>0</v>
      </c>
      <c r="AM329">
        <f t="shared" si="216"/>
        <v>0</v>
      </c>
      <c r="AN329">
        <f t="shared" si="217"/>
        <v>0</v>
      </c>
      <c r="AO329">
        <f t="shared" si="218"/>
        <v>0</v>
      </c>
      <c r="AP329">
        <f t="shared" si="219"/>
        <v>0</v>
      </c>
      <c r="AQ329">
        <f t="shared" si="220"/>
        <v>0</v>
      </c>
    </row>
    <row r="330" spans="1:43" x14ac:dyDescent="0.45">
      <c r="A330" s="51">
        <v>29</v>
      </c>
      <c r="B330" s="51" t="s">
        <v>317</v>
      </c>
      <c r="C330" s="56" t="s">
        <v>87</v>
      </c>
      <c r="D330" s="50" t="s">
        <v>80</v>
      </c>
      <c r="E330" s="45">
        <v>2386.8725166982722</v>
      </c>
      <c r="F330">
        <f t="shared" si="197"/>
        <v>0</v>
      </c>
      <c r="G330">
        <f t="shared" si="198"/>
        <v>0</v>
      </c>
      <c r="H330">
        <f t="shared" si="199"/>
        <v>2386.8725166982722</v>
      </c>
      <c r="I330">
        <f t="shared" si="200"/>
        <v>0</v>
      </c>
      <c r="J330">
        <f t="shared" si="201"/>
        <v>0</v>
      </c>
      <c r="K330">
        <f t="shared" si="202"/>
        <v>0</v>
      </c>
      <c r="L330">
        <f t="shared" si="203"/>
        <v>0</v>
      </c>
      <c r="M330">
        <f t="shared" si="204"/>
        <v>0</v>
      </c>
      <c r="N330">
        <f t="shared" si="205"/>
        <v>0</v>
      </c>
      <c r="O330">
        <f t="shared" si="206"/>
        <v>0</v>
      </c>
      <c r="P330">
        <f t="shared" si="207"/>
        <v>0</v>
      </c>
      <c r="Q330">
        <f t="shared" si="208"/>
        <v>0</v>
      </c>
      <c r="S330">
        <f t="shared" si="185"/>
        <v>46</v>
      </c>
      <c r="T330">
        <f t="shared" si="186"/>
        <v>36</v>
      </c>
      <c r="U330">
        <f t="shared" si="187"/>
        <v>17</v>
      </c>
      <c r="V330">
        <f t="shared" si="188"/>
        <v>15</v>
      </c>
      <c r="W330">
        <f t="shared" si="189"/>
        <v>97</v>
      </c>
      <c r="X330">
        <f t="shared" si="190"/>
        <v>81</v>
      </c>
      <c r="Y330">
        <f t="shared" si="191"/>
        <v>21</v>
      </c>
      <c r="Z330">
        <f t="shared" si="192"/>
        <v>13</v>
      </c>
      <c r="AA330">
        <f t="shared" si="193"/>
        <v>4</v>
      </c>
      <c r="AB330">
        <f t="shared" si="194"/>
        <v>6</v>
      </c>
      <c r="AC330">
        <f t="shared" si="195"/>
        <v>118</v>
      </c>
      <c r="AD330">
        <f t="shared" si="196"/>
        <v>7</v>
      </c>
      <c r="AF330">
        <f t="shared" si="209"/>
        <v>0</v>
      </c>
      <c r="AG330">
        <f t="shared" si="210"/>
        <v>0</v>
      </c>
      <c r="AH330">
        <f t="shared" si="211"/>
        <v>0</v>
      </c>
      <c r="AI330">
        <f t="shared" si="212"/>
        <v>0</v>
      </c>
      <c r="AJ330">
        <f t="shared" si="213"/>
        <v>0</v>
      </c>
      <c r="AK330">
        <f t="shared" si="214"/>
        <v>0</v>
      </c>
      <c r="AL330">
        <f t="shared" si="215"/>
        <v>0</v>
      </c>
      <c r="AM330">
        <f t="shared" si="216"/>
        <v>0</v>
      </c>
      <c r="AN330">
        <f t="shared" si="217"/>
        <v>0</v>
      </c>
      <c r="AO330">
        <f t="shared" si="218"/>
        <v>0</v>
      </c>
      <c r="AP330">
        <f t="shared" si="219"/>
        <v>0</v>
      </c>
      <c r="AQ330">
        <f t="shared" si="220"/>
        <v>0</v>
      </c>
    </row>
    <row r="331" spans="1:43" x14ac:dyDescent="0.35">
      <c r="A331" s="51">
        <v>30</v>
      </c>
      <c r="B331" s="51" t="s">
        <v>319</v>
      </c>
      <c r="C331" s="62" t="s">
        <v>92</v>
      </c>
      <c r="D331" s="50" t="s">
        <v>228</v>
      </c>
      <c r="E331" s="45">
        <v>2570.3970264872819</v>
      </c>
      <c r="F331">
        <f t="shared" si="197"/>
        <v>0</v>
      </c>
      <c r="G331">
        <f t="shared" si="198"/>
        <v>0</v>
      </c>
      <c r="H331">
        <f t="shared" si="199"/>
        <v>0</v>
      </c>
      <c r="I331">
        <f t="shared" si="200"/>
        <v>0</v>
      </c>
      <c r="J331">
        <f t="shared" si="201"/>
        <v>0</v>
      </c>
      <c r="K331">
        <f t="shared" si="202"/>
        <v>0</v>
      </c>
      <c r="L331">
        <f t="shared" si="203"/>
        <v>0</v>
      </c>
      <c r="M331">
        <f t="shared" si="204"/>
        <v>0</v>
      </c>
      <c r="N331">
        <f t="shared" si="205"/>
        <v>0</v>
      </c>
      <c r="O331">
        <f t="shared" si="206"/>
        <v>0</v>
      </c>
      <c r="P331">
        <f t="shared" si="207"/>
        <v>2570.3970264872819</v>
      </c>
      <c r="Q331">
        <f t="shared" si="208"/>
        <v>0</v>
      </c>
      <c r="S331">
        <f t="shared" si="185"/>
        <v>46</v>
      </c>
      <c r="T331">
        <f t="shared" si="186"/>
        <v>36</v>
      </c>
      <c r="U331">
        <f t="shared" si="187"/>
        <v>16</v>
      </c>
      <c r="V331">
        <f t="shared" si="188"/>
        <v>15</v>
      </c>
      <c r="W331">
        <f t="shared" si="189"/>
        <v>97</v>
      </c>
      <c r="X331">
        <f t="shared" si="190"/>
        <v>81</v>
      </c>
      <c r="Y331">
        <f t="shared" si="191"/>
        <v>21</v>
      </c>
      <c r="Z331">
        <f t="shared" si="192"/>
        <v>13</v>
      </c>
      <c r="AA331">
        <f t="shared" si="193"/>
        <v>4</v>
      </c>
      <c r="AB331">
        <f t="shared" si="194"/>
        <v>6</v>
      </c>
      <c r="AC331">
        <f t="shared" si="195"/>
        <v>118</v>
      </c>
      <c r="AD331">
        <f t="shared" si="196"/>
        <v>7</v>
      </c>
      <c r="AF331">
        <f t="shared" si="209"/>
        <v>0</v>
      </c>
      <c r="AG331">
        <f t="shared" si="210"/>
        <v>0</v>
      </c>
      <c r="AH331">
        <f t="shared" si="211"/>
        <v>0</v>
      </c>
      <c r="AI331">
        <f t="shared" si="212"/>
        <v>0</v>
      </c>
      <c r="AJ331">
        <f t="shared" si="213"/>
        <v>0</v>
      </c>
      <c r="AK331">
        <f t="shared" si="214"/>
        <v>0</v>
      </c>
      <c r="AL331">
        <f t="shared" si="215"/>
        <v>0</v>
      </c>
      <c r="AM331">
        <f t="shared" si="216"/>
        <v>0</v>
      </c>
      <c r="AN331">
        <f t="shared" si="217"/>
        <v>0</v>
      </c>
      <c r="AO331">
        <f t="shared" si="218"/>
        <v>0</v>
      </c>
      <c r="AP331">
        <f t="shared" si="219"/>
        <v>0</v>
      </c>
      <c r="AQ331">
        <f t="shared" si="220"/>
        <v>0</v>
      </c>
    </row>
    <row r="332" spans="1:43" x14ac:dyDescent="0.45">
      <c r="A332" s="51">
        <v>31</v>
      </c>
      <c r="B332" s="51" t="s">
        <v>319</v>
      </c>
      <c r="C332" s="56" t="s">
        <v>93</v>
      </c>
      <c r="D332" s="50" t="s">
        <v>60</v>
      </c>
      <c r="E332" s="45">
        <v>2556.5268239798065</v>
      </c>
      <c r="F332">
        <f t="shared" si="197"/>
        <v>0</v>
      </c>
      <c r="G332">
        <f t="shared" si="198"/>
        <v>0</v>
      </c>
      <c r="H332">
        <f t="shared" si="199"/>
        <v>0</v>
      </c>
      <c r="I332">
        <f t="shared" si="200"/>
        <v>0</v>
      </c>
      <c r="J332">
        <f t="shared" si="201"/>
        <v>2556.5268239798065</v>
      </c>
      <c r="K332">
        <f t="shared" si="202"/>
        <v>0</v>
      </c>
      <c r="L332">
        <f t="shared" si="203"/>
        <v>0</v>
      </c>
      <c r="M332">
        <f t="shared" si="204"/>
        <v>0</v>
      </c>
      <c r="N332">
        <f t="shared" si="205"/>
        <v>0</v>
      </c>
      <c r="O332">
        <f t="shared" si="206"/>
        <v>0</v>
      </c>
      <c r="P332">
        <f t="shared" si="207"/>
        <v>0</v>
      </c>
      <c r="Q332">
        <f t="shared" si="208"/>
        <v>0</v>
      </c>
      <c r="S332">
        <f t="shared" si="185"/>
        <v>46</v>
      </c>
      <c r="T332">
        <f t="shared" si="186"/>
        <v>36</v>
      </c>
      <c r="U332">
        <f t="shared" si="187"/>
        <v>16</v>
      </c>
      <c r="V332">
        <f t="shared" si="188"/>
        <v>15</v>
      </c>
      <c r="W332">
        <f t="shared" si="189"/>
        <v>97</v>
      </c>
      <c r="X332">
        <f t="shared" si="190"/>
        <v>81</v>
      </c>
      <c r="Y332">
        <f t="shared" si="191"/>
        <v>21</v>
      </c>
      <c r="Z332">
        <f t="shared" si="192"/>
        <v>13</v>
      </c>
      <c r="AA332">
        <f t="shared" si="193"/>
        <v>4</v>
      </c>
      <c r="AB332">
        <f t="shared" si="194"/>
        <v>6</v>
      </c>
      <c r="AC332">
        <f t="shared" si="195"/>
        <v>117</v>
      </c>
      <c r="AD332">
        <f t="shared" si="196"/>
        <v>7</v>
      </c>
      <c r="AF332">
        <f t="shared" si="209"/>
        <v>0</v>
      </c>
      <c r="AG332">
        <f t="shared" si="210"/>
        <v>0</v>
      </c>
      <c r="AH332">
        <f t="shared" si="211"/>
        <v>0</v>
      </c>
      <c r="AI332">
        <f t="shared" si="212"/>
        <v>0</v>
      </c>
      <c r="AJ332">
        <f t="shared" si="213"/>
        <v>0</v>
      </c>
      <c r="AK332">
        <f t="shared" si="214"/>
        <v>0</v>
      </c>
      <c r="AL332">
        <f t="shared" si="215"/>
        <v>0</v>
      </c>
      <c r="AM332">
        <f t="shared" si="216"/>
        <v>0</v>
      </c>
      <c r="AN332">
        <f t="shared" si="217"/>
        <v>0</v>
      </c>
      <c r="AO332">
        <f t="shared" si="218"/>
        <v>0</v>
      </c>
      <c r="AP332">
        <f t="shared" si="219"/>
        <v>0</v>
      </c>
      <c r="AQ332">
        <f t="shared" si="220"/>
        <v>0</v>
      </c>
    </row>
    <row r="333" spans="1:43" x14ac:dyDescent="0.45">
      <c r="A333" s="51">
        <v>32</v>
      </c>
      <c r="B333" s="51" t="s">
        <v>319</v>
      </c>
      <c r="C333" s="56" t="s">
        <v>95</v>
      </c>
      <c r="D333" s="50" t="s">
        <v>54</v>
      </c>
      <c r="E333" s="45">
        <v>2475.3985727598192</v>
      </c>
      <c r="F333">
        <f t="shared" si="197"/>
        <v>0</v>
      </c>
      <c r="G333">
        <f t="shared" si="198"/>
        <v>0</v>
      </c>
      <c r="H333">
        <f t="shared" si="199"/>
        <v>0</v>
      </c>
      <c r="I333">
        <f t="shared" si="200"/>
        <v>0</v>
      </c>
      <c r="J333">
        <f t="shared" si="201"/>
        <v>0</v>
      </c>
      <c r="K333">
        <f t="shared" si="202"/>
        <v>2475.3985727598192</v>
      </c>
      <c r="L333">
        <f t="shared" si="203"/>
        <v>0</v>
      </c>
      <c r="M333">
        <f t="shared" si="204"/>
        <v>0</v>
      </c>
      <c r="N333">
        <f t="shared" si="205"/>
        <v>0</v>
      </c>
      <c r="O333">
        <f t="shared" si="206"/>
        <v>0</v>
      </c>
      <c r="P333">
        <f t="shared" si="207"/>
        <v>0</v>
      </c>
      <c r="Q333">
        <f t="shared" si="208"/>
        <v>0</v>
      </c>
      <c r="S333">
        <f t="shared" si="185"/>
        <v>46</v>
      </c>
      <c r="T333">
        <f t="shared" si="186"/>
        <v>36</v>
      </c>
      <c r="U333">
        <f t="shared" si="187"/>
        <v>16</v>
      </c>
      <c r="V333">
        <f t="shared" si="188"/>
        <v>15</v>
      </c>
      <c r="W333">
        <f t="shared" si="189"/>
        <v>96</v>
      </c>
      <c r="X333">
        <f t="shared" si="190"/>
        <v>81</v>
      </c>
      <c r="Y333">
        <f t="shared" si="191"/>
        <v>21</v>
      </c>
      <c r="Z333">
        <f t="shared" si="192"/>
        <v>13</v>
      </c>
      <c r="AA333">
        <f t="shared" si="193"/>
        <v>4</v>
      </c>
      <c r="AB333">
        <f t="shared" si="194"/>
        <v>6</v>
      </c>
      <c r="AC333">
        <f t="shared" si="195"/>
        <v>117</v>
      </c>
      <c r="AD333">
        <f t="shared" si="196"/>
        <v>7</v>
      </c>
      <c r="AF333">
        <f t="shared" si="209"/>
        <v>0</v>
      </c>
      <c r="AG333">
        <f t="shared" si="210"/>
        <v>0</v>
      </c>
      <c r="AH333">
        <f t="shared" si="211"/>
        <v>0</v>
      </c>
      <c r="AI333">
        <f t="shared" si="212"/>
        <v>0</v>
      </c>
      <c r="AJ333">
        <f t="shared" si="213"/>
        <v>0</v>
      </c>
      <c r="AK333">
        <f t="shared" si="214"/>
        <v>0</v>
      </c>
      <c r="AL333">
        <f t="shared" si="215"/>
        <v>0</v>
      </c>
      <c r="AM333">
        <f t="shared" si="216"/>
        <v>0</v>
      </c>
      <c r="AN333">
        <f t="shared" si="217"/>
        <v>0</v>
      </c>
      <c r="AO333">
        <f t="shared" si="218"/>
        <v>0</v>
      </c>
      <c r="AP333">
        <f t="shared" si="219"/>
        <v>0</v>
      </c>
      <c r="AQ333">
        <f t="shared" si="220"/>
        <v>0</v>
      </c>
    </row>
    <row r="334" spans="1:43" x14ac:dyDescent="0.45">
      <c r="A334" s="51">
        <v>33</v>
      </c>
      <c r="B334" s="51" t="s">
        <v>320</v>
      </c>
      <c r="C334" s="56" t="s">
        <v>314</v>
      </c>
      <c r="D334" s="50" t="s">
        <v>54</v>
      </c>
      <c r="E334" s="19">
        <v>3429.4731802046358</v>
      </c>
      <c r="F334">
        <f t="shared" si="197"/>
        <v>0</v>
      </c>
      <c r="G334">
        <f t="shared" si="198"/>
        <v>0</v>
      </c>
      <c r="H334">
        <f t="shared" si="199"/>
        <v>0</v>
      </c>
      <c r="I334">
        <f t="shared" si="200"/>
        <v>0</v>
      </c>
      <c r="J334">
        <f t="shared" si="201"/>
        <v>0</v>
      </c>
      <c r="K334">
        <f t="shared" si="202"/>
        <v>3429.4731802046358</v>
      </c>
      <c r="L334">
        <f t="shared" si="203"/>
        <v>0</v>
      </c>
      <c r="M334">
        <f t="shared" si="204"/>
        <v>0</v>
      </c>
      <c r="N334">
        <f t="shared" si="205"/>
        <v>0</v>
      </c>
      <c r="O334">
        <f t="shared" si="206"/>
        <v>0</v>
      </c>
      <c r="P334">
        <f t="shared" si="207"/>
        <v>0</v>
      </c>
      <c r="Q334">
        <f t="shared" si="208"/>
        <v>0</v>
      </c>
      <c r="S334">
        <f t="shared" si="185"/>
        <v>46</v>
      </c>
      <c r="T334">
        <f t="shared" si="186"/>
        <v>36</v>
      </c>
      <c r="U334">
        <f t="shared" si="187"/>
        <v>16</v>
      </c>
      <c r="V334">
        <f t="shared" si="188"/>
        <v>15</v>
      </c>
      <c r="W334">
        <f t="shared" si="189"/>
        <v>96</v>
      </c>
      <c r="X334">
        <f t="shared" si="190"/>
        <v>80</v>
      </c>
      <c r="Y334">
        <f t="shared" si="191"/>
        <v>21</v>
      </c>
      <c r="Z334">
        <f t="shared" si="192"/>
        <v>13</v>
      </c>
      <c r="AA334">
        <f t="shared" si="193"/>
        <v>4</v>
      </c>
      <c r="AB334">
        <f t="shared" si="194"/>
        <v>6</v>
      </c>
      <c r="AC334">
        <f t="shared" si="195"/>
        <v>117</v>
      </c>
      <c r="AD334">
        <f t="shared" si="196"/>
        <v>7</v>
      </c>
      <c r="AF334">
        <f t="shared" si="209"/>
        <v>0</v>
      </c>
      <c r="AG334">
        <f t="shared" si="210"/>
        <v>0</v>
      </c>
      <c r="AH334">
        <f t="shared" si="211"/>
        <v>0</v>
      </c>
      <c r="AI334">
        <f t="shared" si="212"/>
        <v>0</v>
      </c>
      <c r="AJ334">
        <f t="shared" si="213"/>
        <v>0</v>
      </c>
      <c r="AK334">
        <f t="shared" si="214"/>
        <v>0</v>
      </c>
      <c r="AL334">
        <f t="shared" si="215"/>
        <v>0</v>
      </c>
      <c r="AM334">
        <f t="shared" si="216"/>
        <v>0</v>
      </c>
      <c r="AN334">
        <f t="shared" si="217"/>
        <v>0</v>
      </c>
      <c r="AO334">
        <f t="shared" si="218"/>
        <v>0</v>
      </c>
      <c r="AP334">
        <f t="shared" si="219"/>
        <v>0</v>
      </c>
      <c r="AQ334">
        <f t="shared" si="220"/>
        <v>0</v>
      </c>
    </row>
    <row r="335" spans="1:43" x14ac:dyDescent="0.35">
      <c r="A335" s="51">
        <v>34</v>
      </c>
      <c r="B335" s="51" t="s">
        <v>320</v>
      </c>
      <c r="C335" s="62" t="s">
        <v>98</v>
      </c>
      <c r="D335" s="51" t="s">
        <v>222</v>
      </c>
      <c r="E335" s="46">
        <v>2460.0250071294558</v>
      </c>
      <c r="F335">
        <f t="shared" si="197"/>
        <v>0</v>
      </c>
      <c r="G335">
        <f t="shared" si="198"/>
        <v>0</v>
      </c>
      <c r="H335">
        <f t="shared" si="199"/>
        <v>0</v>
      </c>
      <c r="I335">
        <f t="shared" si="200"/>
        <v>0</v>
      </c>
      <c r="J335">
        <f t="shared" si="201"/>
        <v>0</v>
      </c>
      <c r="K335">
        <f t="shared" si="202"/>
        <v>0</v>
      </c>
      <c r="L335">
        <f t="shared" si="203"/>
        <v>0</v>
      </c>
      <c r="M335">
        <f t="shared" si="204"/>
        <v>0</v>
      </c>
      <c r="N335">
        <f t="shared" si="205"/>
        <v>0</v>
      </c>
      <c r="O335">
        <f t="shared" si="206"/>
        <v>0</v>
      </c>
      <c r="P335">
        <f t="shared" si="207"/>
        <v>0</v>
      </c>
      <c r="Q335">
        <f t="shared" si="208"/>
        <v>2460.0250071294558</v>
      </c>
      <c r="S335">
        <f t="shared" si="185"/>
        <v>46</v>
      </c>
      <c r="T335">
        <f t="shared" si="186"/>
        <v>36</v>
      </c>
      <c r="U335">
        <f t="shared" si="187"/>
        <v>16</v>
      </c>
      <c r="V335">
        <f t="shared" si="188"/>
        <v>15</v>
      </c>
      <c r="W335">
        <f t="shared" si="189"/>
        <v>96</v>
      </c>
      <c r="X335">
        <f t="shared" si="190"/>
        <v>79</v>
      </c>
      <c r="Y335">
        <f t="shared" si="191"/>
        <v>21</v>
      </c>
      <c r="Z335">
        <f t="shared" si="192"/>
        <v>13</v>
      </c>
      <c r="AA335">
        <f t="shared" si="193"/>
        <v>4</v>
      </c>
      <c r="AB335">
        <f t="shared" si="194"/>
        <v>6</v>
      </c>
      <c r="AC335">
        <f t="shared" si="195"/>
        <v>117</v>
      </c>
      <c r="AD335">
        <f t="shared" si="196"/>
        <v>7</v>
      </c>
      <c r="AF335">
        <f t="shared" si="209"/>
        <v>0</v>
      </c>
      <c r="AG335">
        <f t="shared" si="210"/>
        <v>0</v>
      </c>
      <c r="AH335">
        <f t="shared" si="211"/>
        <v>0</v>
      </c>
      <c r="AI335">
        <f t="shared" si="212"/>
        <v>0</v>
      </c>
      <c r="AJ335">
        <f t="shared" si="213"/>
        <v>0</v>
      </c>
      <c r="AK335">
        <f t="shared" si="214"/>
        <v>0</v>
      </c>
      <c r="AL335">
        <f t="shared" si="215"/>
        <v>0</v>
      </c>
      <c r="AM335">
        <f t="shared" si="216"/>
        <v>0</v>
      </c>
      <c r="AN335">
        <f t="shared" si="217"/>
        <v>0</v>
      </c>
      <c r="AO335">
        <f t="shared" si="218"/>
        <v>0</v>
      </c>
      <c r="AP335">
        <f t="shared" si="219"/>
        <v>0</v>
      </c>
      <c r="AQ335">
        <f t="shared" si="220"/>
        <v>2460.0250071294558</v>
      </c>
    </row>
    <row r="336" spans="1:43" x14ac:dyDescent="0.45">
      <c r="A336" s="51">
        <v>35</v>
      </c>
      <c r="B336" s="51" t="s">
        <v>320</v>
      </c>
      <c r="C336" s="56" t="s">
        <v>99</v>
      </c>
      <c r="D336" s="50" t="s">
        <v>228</v>
      </c>
      <c r="E336" s="46">
        <v>2558.0178982674838</v>
      </c>
      <c r="F336">
        <f t="shared" si="197"/>
        <v>0</v>
      </c>
      <c r="G336">
        <f t="shared" si="198"/>
        <v>0</v>
      </c>
      <c r="H336">
        <f t="shared" si="199"/>
        <v>0</v>
      </c>
      <c r="I336">
        <f t="shared" si="200"/>
        <v>0</v>
      </c>
      <c r="J336">
        <f t="shared" si="201"/>
        <v>0</v>
      </c>
      <c r="K336">
        <f t="shared" si="202"/>
        <v>0</v>
      </c>
      <c r="L336">
        <f t="shared" si="203"/>
        <v>0</v>
      </c>
      <c r="M336">
        <f t="shared" si="204"/>
        <v>0</v>
      </c>
      <c r="N336">
        <f t="shared" si="205"/>
        <v>0</v>
      </c>
      <c r="O336">
        <f t="shared" si="206"/>
        <v>0</v>
      </c>
      <c r="P336">
        <f t="shared" si="207"/>
        <v>2558.0178982674838</v>
      </c>
      <c r="Q336">
        <f t="shared" si="208"/>
        <v>0</v>
      </c>
      <c r="S336">
        <f t="shared" si="185"/>
        <v>46</v>
      </c>
      <c r="T336">
        <f t="shared" si="186"/>
        <v>36</v>
      </c>
      <c r="U336">
        <f t="shared" si="187"/>
        <v>16</v>
      </c>
      <c r="V336">
        <f t="shared" si="188"/>
        <v>15</v>
      </c>
      <c r="W336">
        <f t="shared" si="189"/>
        <v>96</v>
      </c>
      <c r="X336">
        <f t="shared" si="190"/>
        <v>79</v>
      </c>
      <c r="Y336">
        <f t="shared" si="191"/>
        <v>21</v>
      </c>
      <c r="Z336">
        <f t="shared" si="192"/>
        <v>13</v>
      </c>
      <c r="AA336">
        <f t="shared" si="193"/>
        <v>4</v>
      </c>
      <c r="AB336">
        <f t="shared" si="194"/>
        <v>6</v>
      </c>
      <c r="AC336">
        <f t="shared" si="195"/>
        <v>117</v>
      </c>
      <c r="AD336">
        <f t="shared" si="196"/>
        <v>6</v>
      </c>
      <c r="AF336">
        <f t="shared" si="209"/>
        <v>0</v>
      </c>
      <c r="AG336">
        <f t="shared" si="210"/>
        <v>0</v>
      </c>
      <c r="AH336">
        <f t="shared" si="211"/>
        <v>0</v>
      </c>
      <c r="AI336">
        <f t="shared" si="212"/>
        <v>0</v>
      </c>
      <c r="AJ336">
        <f t="shared" si="213"/>
        <v>0</v>
      </c>
      <c r="AK336">
        <f t="shared" si="214"/>
        <v>0</v>
      </c>
      <c r="AL336">
        <f t="shared" si="215"/>
        <v>0</v>
      </c>
      <c r="AM336">
        <f t="shared" si="216"/>
        <v>0</v>
      </c>
      <c r="AN336">
        <f t="shared" si="217"/>
        <v>0</v>
      </c>
      <c r="AO336">
        <f t="shared" si="218"/>
        <v>0</v>
      </c>
      <c r="AP336">
        <f t="shared" si="219"/>
        <v>0</v>
      </c>
      <c r="AQ336">
        <f t="shared" si="220"/>
        <v>0</v>
      </c>
    </row>
    <row r="337" spans="1:43" x14ac:dyDescent="0.35">
      <c r="A337" s="51">
        <v>36</v>
      </c>
      <c r="B337" s="51" t="s">
        <v>321</v>
      </c>
      <c r="C337" s="62" t="s">
        <v>101</v>
      </c>
      <c r="D337" s="51" t="s">
        <v>57</v>
      </c>
      <c r="E337" s="45">
        <v>2680.3156888748554</v>
      </c>
      <c r="F337">
        <f t="shared" si="197"/>
        <v>0</v>
      </c>
      <c r="G337">
        <f t="shared" si="198"/>
        <v>0</v>
      </c>
      <c r="H337">
        <f t="shared" si="199"/>
        <v>0</v>
      </c>
      <c r="I337">
        <f t="shared" si="200"/>
        <v>0</v>
      </c>
      <c r="J337">
        <f t="shared" si="201"/>
        <v>0</v>
      </c>
      <c r="K337">
        <f t="shared" si="202"/>
        <v>0</v>
      </c>
      <c r="L337">
        <f t="shared" si="203"/>
        <v>0</v>
      </c>
      <c r="M337">
        <f t="shared" si="204"/>
        <v>2680.3156888748554</v>
      </c>
      <c r="N337">
        <f t="shared" si="205"/>
        <v>0</v>
      </c>
      <c r="O337">
        <f t="shared" si="206"/>
        <v>0</v>
      </c>
      <c r="P337">
        <f t="shared" si="207"/>
        <v>0</v>
      </c>
      <c r="Q337">
        <f t="shared" si="208"/>
        <v>0</v>
      </c>
      <c r="S337">
        <f t="shared" si="185"/>
        <v>46</v>
      </c>
      <c r="T337">
        <f t="shared" si="186"/>
        <v>36</v>
      </c>
      <c r="U337">
        <f t="shared" si="187"/>
        <v>16</v>
      </c>
      <c r="V337">
        <f t="shared" si="188"/>
        <v>15</v>
      </c>
      <c r="W337">
        <f t="shared" si="189"/>
        <v>96</v>
      </c>
      <c r="X337">
        <f t="shared" si="190"/>
        <v>79</v>
      </c>
      <c r="Y337">
        <f t="shared" si="191"/>
        <v>21</v>
      </c>
      <c r="Z337">
        <f t="shared" si="192"/>
        <v>13</v>
      </c>
      <c r="AA337">
        <f t="shared" si="193"/>
        <v>4</v>
      </c>
      <c r="AB337">
        <f t="shared" si="194"/>
        <v>6</v>
      </c>
      <c r="AC337">
        <f t="shared" si="195"/>
        <v>116</v>
      </c>
      <c r="AD337">
        <f t="shared" si="196"/>
        <v>6</v>
      </c>
      <c r="AF337">
        <f t="shared" si="209"/>
        <v>0</v>
      </c>
      <c r="AG337">
        <f t="shared" si="210"/>
        <v>0</v>
      </c>
      <c r="AH337">
        <f t="shared" si="211"/>
        <v>0</v>
      </c>
      <c r="AI337">
        <f t="shared" si="212"/>
        <v>0</v>
      </c>
      <c r="AJ337">
        <f t="shared" si="213"/>
        <v>0</v>
      </c>
      <c r="AK337">
        <f t="shared" si="214"/>
        <v>0</v>
      </c>
      <c r="AL337">
        <f t="shared" si="215"/>
        <v>0</v>
      </c>
      <c r="AM337">
        <f t="shared" si="216"/>
        <v>0</v>
      </c>
      <c r="AN337">
        <f t="shared" si="217"/>
        <v>0</v>
      </c>
      <c r="AO337">
        <f t="shared" si="218"/>
        <v>0</v>
      </c>
      <c r="AP337">
        <f t="shared" si="219"/>
        <v>0</v>
      </c>
      <c r="AQ337">
        <f t="shared" si="220"/>
        <v>0</v>
      </c>
    </row>
    <row r="338" spans="1:43" x14ac:dyDescent="0.45">
      <c r="A338" s="51">
        <v>37</v>
      </c>
      <c r="B338" s="51" t="s">
        <v>321</v>
      </c>
      <c r="C338" s="56" t="s">
        <v>103</v>
      </c>
      <c r="D338" s="50" t="s">
        <v>228</v>
      </c>
      <c r="E338" s="19">
        <v>2988.0741776937616</v>
      </c>
      <c r="F338">
        <f t="shared" si="197"/>
        <v>0</v>
      </c>
      <c r="G338">
        <f t="shared" si="198"/>
        <v>0</v>
      </c>
      <c r="H338">
        <f t="shared" si="199"/>
        <v>0</v>
      </c>
      <c r="I338">
        <f t="shared" si="200"/>
        <v>0</v>
      </c>
      <c r="J338">
        <f t="shared" si="201"/>
        <v>0</v>
      </c>
      <c r="K338">
        <f t="shared" si="202"/>
        <v>0</v>
      </c>
      <c r="L338">
        <f t="shared" si="203"/>
        <v>0</v>
      </c>
      <c r="M338">
        <f t="shared" si="204"/>
        <v>0</v>
      </c>
      <c r="N338">
        <f t="shared" si="205"/>
        <v>0</v>
      </c>
      <c r="O338">
        <f t="shared" si="206"/>
        <v>0</v>
      </c>
      <c r="P338">
        <f t="shared" si="207"/>
        <v>2988.0741776937616</v>
      </c>
      <c r="Q338">
        <f t="shared" si="208"/>
        <v>0</v>
      </c>
      <c r="S338">
        <f t="shared" si="185"/>
        <v>46</v>
      </c>
      <c r="T338">
        <f t="shared" si="186"/>
        <v>36</v>
      </c>
      <c r="U338">
        <f t="shared" si="187"/>
        <v>16</v>
      </c>
      <c r="V338">
        <f t="shared" si="188"/>
        <v>15</v>
      </c>
      <c r="W338">
        <f t="shared" si="189"/>
        <v>96</v>
      </c>
      <c r="X338">
        <f t="shared" si="190"/>
        <v>79</v>
      </c>
      <c r="Y338">
        <f t="shared" si="191"/>
        <v>21</v>
      </c>
      <c r="Z338">
        <f t="shared" si="192"/>
        <v>12</v>
      </c>
      <c r="AA338">
        <f t="shared" si="193"/>
        <v>4</v>
      </c>
      <c r="AB338">
        <f t="shared" si="194"/>
        <v>6</v>
      </c>
      <c r="AC338">
        <f t="shared" si="195"/>
        <v>116</v>
      </c>
      <c r="AD338">
        <f t="shared" si="196"/>
        <v>6</v>
      </c>
      <c r="AF338">
        <f t="shared" si="209"/>
        <v>0</v>
      </c>
      <c r="AG338">
        <f t="shared" si="210"/>
        <v>0</v>
      </c>
      <c r="AH338">
        <f t="shared" si="211"/>
        <v>0</v>
      </c>
      <c r="AI338">
        <f t="shared" si="212"/>
        <v>0</v>
      </c>
      <c r="AJ338">
        <f t="shared" si="213"/>
        <v>0</v>
      </c>
      <c r="AK338">
        <f t="shared" si="214"/>
        <v>0</v>
      </c>
      <c r="AL338">
        <f t="shared" si="215"/>
        <v>0</v>
      </c>
      <c r="AM338">
        <f t="shared" si="216"/>
        <v>0</v>
      </c>
      <c r="AN338">
        <f t="shared" si="217"/>
        <v>0</v>
      </c>
      <c r="AO338">
        <f t="shared" si="218"/>
        <v>0</v>
      </c>
      <c r="AP338">
        <f t="shared" si="219"/>
        <v>0</v>
      </c>
      <c r="AQ338">
        <f t="shared" si="220"/>
        <v>0</v>
      </c>
    </row>
    <row r="339" spans="1:43" x14ac:dyDescent="0.45">
      <c r="A339" s="51">
        <v>38</v>
      </c>
      <c r="B339" s="51" t="s">
        <v>321</v>
      </c>
      <c r="C339" s="56" t="s">
        <v>318</v>
      </c>
      <c r="D339" s="50" t="s">
        <v>102</v>
      </c>
      <c r="E339" s="19">
        <v>3187.9326749921129</v>
      </c>
      <c r="F339">
        <f t="shared" si="197"/>
        <v>0</v>
      </c>
      <c r="G339">
        <f t="shared" si="198"/>
        <v>0</v>
      </c>
      <c r="H339">
        <f t="shared" si="199"/>
        <v>0</v>
      </c>
      <c r="I339">
        <f t="shared" si="200"/>
        <v>0</v>
      </c>
      <c r="J339">
        <f t="shared" si="201"/>
        <v>0</v>
      </c>
      <c r="K339">
        <f t="shared" si="202"/>
        <v>0</v>
      </c>
      <c r="L339">
        <f t="shared" si="203"/>
        <v>0</v>
      </c>
      <c r="M339">
        <f t="shared" si="204"/>
        <v>0</v>
      </c>
      <c r="N339">
        <f t="shared" si="205"/>
        <v>0</v>
      </c>
      <c r="O339">
        <f t="shared" si="206"/>
        <v>3187.9326749921129</v>
      </c>
      <c r="P339">
        <f t="shared" si="207"/>
        <v>0</v>
      </c>
      <c r="Q339">
        <f t="shared" si="208"/>
        <v>0</v>
      </c>
      <c r="S339">
        <f t="shared" si="185"/>
        <v>46</v>
      </c>
      <c r="T339">
        <f t="shared" si="186"/>
        <v>36</v>
      </c>
      <c r="U339">
        <f t="shared" si="187"/>
        <v>16</v>
      </c>
      <c r="V339">
        <f t="shared" si="188"/>
        <v>15</v>
      </c>
      <c r="W339">
        <f t="shared" si="189"/>
        <v>96</v>
      </c>
      <c r="X339">
        <f t="shared" si="190"/>
        <v>79</v>
      </c>
      <c r="Y339">
        <f t="shared" si="191"/>
        <v>21</v>
      </c>
      <c r="Z339">
        <f t="shared" si="192"/>
        <v>12</v>
      </c>
      <c r="AA339">
        <f t="shared" si="193"/>
        <v>4</v>
      </c>
      <c r="AB339">
        <f t="shared" si="194"/>
        <v>6</v>
      </c>
      <c r="AC339">
        <f t="shared" si="195"/>
        <v>115</v>
      </c>
      <c r="AD339">
        <f t="shared" si="196"/>
        <v>6</v>
      </c>
      <c r="AF339">
        <f t="shared" si="209"/>
        <v>0</v>
      </c>
      <c r="AG339">
        <f t="shared" si="210"/>
        <v>0</v>
      </c>
      <c r="AH339">
        <f t="shared" si="211"/>
        <v>0</v>
      </c>
      <c r="AI339">
        <f t="shared" si="212"/>
        <v>0</v>
      </c>
      <c r="AJ339">
        <f t="shared" si="213"/>
        <v>0</v>
      </c>
      <c r="AK339">
        <f t="shared" si="214"/>
        <v>0</v>
      </c>
      <c r="AL339">
        <f t="shared" si="215"/>
        <v>0</v>
      </c>
      <c r="AM339">
        <f t="shared" si="216"/>
        <v>0</v>
      </c>
      <c r="AN339">
        <f t="shared" si="217"/>
        <v>0</v>
      </c>
      <c r="AO339">
        <f t="shared" si="218"/>
        <v>3187.9326749921129</v>
      </c>
      <c r="AP339">
        <f t="shared" si="219"/>
        <v>0</v>
      </c>
      <c r="AQ339">
        <f t="shared" si="220"/>
        <v>0</v>
      </c>
    </row>
    <row r="340" spans="1:43" x14ac:dyDescent="0.45">
      <c r="A340" s="51">
        <v>39</v>
      </c>
      <c r="B340" s="51" t="s">
        <v>321</v>
      </c>
      <c r="C340" s="56" t="s">
        <v>104</v>
      </c>
      <c r="D340" s="50" t="s">
        <v>76</v>
      </c>
      <c r="E340" s="45">
        <v>2639.1427240037851</v>
      </c>
      <c r="F340">
        <f t="shared" si="197"/>
        <v>2639.1427240037851</v>
      </c>
      <c r="G340">
        <f t="shared" si="198"/>
        <v>0</v>
      </c>
      <c r="H340">
        <f t="shared" si="199"/>
        <v>0</v>
      </c>
      <c r="I340">
        <f t="shared" si="200"/>
        <v>0</v>
      </c>
      <c r="J340">
        <f t="shared" si="201"/>
        <v>0</v>
      </c>
      <c r="K340">
        <f t="shared" si="202"/>
        <v>0</v>
      </c>
      <c r="L340">
        <f t="shared" si="203"/>
        <v>0</v>
      </c>
      <c r="M340">
        <f t="shared" si="204"/>
        <v>0</v>
      </c>
      <c r="N340">
        <f t="shared" si="205"/>
        <v>0</v>
      </c>
      <c r="O340">
        <f t="shared" si="206"/>
        <v>0</v>
      </c>
      <c r="P340">
        <f t="shared" si="207"/>
        <v>0</v>
      </c>
      <c r="Q340">
        <f t="shared" si="208"/>
        <v>0</v>
      </c>
      <c r="S340">
        <f t="shared" si="185"/>
        <v>46</v>
      </c>
      <c r="T340">
        <f t="shared" si="186"/>
        <v>36</v>
      </c>
      <c r="U340">
        <f t="shared" si="187"/>
        <v>16</v>
      </c>
      <c r="V340">
        <f t="shared" si="188"/>
        <v>15</v>
      </c>
      <c r="W340">
        <f t="shared" si="189"/>
        <v>96</v>
      </c>
      <c r="X340">
        <f t="shared" si="190"/>
        <v>79</v>
      </c>
      <c r="Y340">
        <f t="shared" si="191"/>
        <v>21</v>
      </c>
      <c r="Z340">
        <f t="shared" si="192"/>
        <v>12</v>
      </c>
      <c r="AA340">
        <f t="shared" si="193"/>
        <v>4</v>
      </c>
      <c r="AB340">
        <f t="shared" si="194"/>
        <v>5</v>
      </c>
      <c r="AC340">
        <f t="shared" si="195"/>
        <v>115</v>
      </c>
      <c r="AD340">
        <f t="shared" si="196"/>
        <v>6</v>
      </c>
      <c r="AF340">
        <f t="shared" si="209"/>
        <v>0</v>
      </c>
      <c r="AG340">
        <f t="shared" si="210"/>
        <v>0</v>
      </c>
      <c r="AH340">
        <f t="shared" si="211"/>
        <v>0</v>
      </c>
      <c r="AI340">
        <f t="shared" si="212"/>
        <v>0</v>
      </c>
      <c r="AJ340">
        <f t="shared" si="213"/>
        <v>0</v>
      </c>
      <c r="AK340">
        <f t="shared" si="214"/>
        <v>0</v>
      </c>
      <c r="AL340">
        <f t="shared" si="215"/>
        <v>0</v>
      </c>
      <c r="AM340">
        <f t="shared" si="216"/>
        <v>0</v>
      </c>
      <c r="AN340">
        <f t="shared" si="217"/>
        <v>0</v>
      </c>
      <c r="AO340">
        <f t="shared" si="218"/>
        <v>0</v>
      </c>
      <c r="AP340">
        <f t="shared" si="219"/>
        <v>0</v>
      </c>
      <c r="AQ340">
        <f t="shared" si="220"/>
        <v>0</v>
      </c>
    </row>
    <row r="341" spans="1:43" x14ac:dyDescent="0.35">
      <c r="A341" s="51">
        <v>40</v>
      </c>
      <c r="B341" s="51" t="s">
        <v>322</v>
      </c>
      <c r="C341" s="62" t="s">
        <v>107</v>
      </c>
      <c r="D341" s="51" t="s">
        <v>227</v>
      </c>
      <c r="E341" s="19">
        <v>3236.9439983777515</v>
      </c>
      <c r="F341">
        <f t="shared" si="197"/>
        <v>0</v>
      </c>
      <c r="G341">
        <f t="shared" si="198"/>
        <v>3236.9439983777515</v>
      </c>
      <c r="H341">
        <f t="shared" si="199"/>
        <v>0</v>
      </c>
      <c r="I341">
        <f t="shared" si="200"/>
        <v>0</v>
      </c>
      <c r="J341">
        <f t="shared" si="201"/>
        <v>0</v>
      </c>
      <c r="K341">
        <f t="shared" si="202"/>
        <v>0</v>
      </c>
      <c r="L341">
        <f t="shared" si="203"/>
        <v>0</v>
      </c>
      <c r="M341">
        <f t="shared" si="204"/>
        <v>0</v>
      </c>
      <c r="N341">
        <f t="shared" si="205"/>
        <v>0</v>
      </c>
      <c r="O341">
        <f t="shared" si="206"/>
        <v>0</v>
      </c>
      <c r="P341">
        <f t="shared" si="207"/>
        <v>0</v>
      </c>
      <c r="Q341">
        <f t="shared" si="208"/>
        <v>0</v>
      </c>
      <c r="S341">
        <f t="shared" si="185"/>
        <v>45</v>
      </c>
      <c r="T341">
        <f t="shared" si="186"/>
        <v>36</v>
      </c>
      <c r="U341">
        <f t="shared" si="187"/>
        <v>16</v>
      </c>
      <c r="V341">
        <f t="shared" si="188"/>
        <v>15</v>
      </c>
      <c r="W341">
        <f t="shared" si="189"/>
        <v>96</v>
      </c>
      <c r="X341">
        <f t="shared" si="190"/>
        <v>79</v>
      </c>
      <c r="Y341">
        <f t="shared" si="191"/>
        <v>21</v>
      </c>
      <c r="Z341">
        <f t="shared" si="192"/>
        <v>12</v>
      </c>
      <c r="AA341">
        <f t="shared" si="193"/>
        <v>4</v>
      </c>
      <c r="AB341">
        <f t="shared" si="194"/>
        <v>5</v>
      </c>
      <c r="AC341">
        <f t="shared" si="195"/>
        <v>115</v>
      </c>
      <c r="AD341">
        <f t="shared" si="196"/>
        <v>6</v>
      </c>
      <c r="AF341">
        <f t="shared" si="209"/>
        <v>0</v>
      </c>
      <c r="AG341">
        <f t="shared" si="210"/>
        <v>0</v>
      </c>
      <c r="AH341">
        <f t="shared" si="211"/>
        <v>0</v>
      </c>
      <c r="AI341">
        <f t="shared" si="212"/>
        <v>0</v>
      </c>
      <c r="AJ341">
        <f t="shared" si="213"/>
        <v>0</v>
      </c>
      <c r="AK341">
        <f t="shared" si="214"/>
        <v>0</v>
      </c>
      <c r="AL341">
        <f t="shared" si="215"/>
        <v>0</v>
      </c>
      <c r="AM341">
        <f t="shared" si="216"/>
        <v>0</v>
      </c>
      <c r="AN341">
        <f t="shared" si="217"/>
        <v>0</v>
      </c>
      <c r="AO341">
        <f t="shared" si="218"/>
        <v>0</v>
      </c>
      <c r="AP341">
        <f t="shared" si="219"/>
        <v>0</v>
      </c>
      <c r="AQ341">
        <f t="shared" si="220"/>
        <v>0</v>
      </c>
    </row>
    <row r="342" spans="1:43" x14ac:dyDescent="0.45">
      <c r="A342" s="51">
        <v>41</v>
      </c>
      <c r="B342" s="51" t="s">
        <v>322</v>
      </c>
      <c r="C342" s="56" t="s">
        <v>108</v>
      </c>
      <c r="D342" s="51" t="s">
        <v>76</v>
      </c>
      <c r="E342" s="45">
        <v>2686.413360810383</v>
      </c>
      <c r="F342">
        <f t="shared" si="197"/>
        <v>2686.413360810383</v>
      </c>
      <c r="G342">
        <f t="shared" si="198"/>
        <v>0</v>
      </c>
      <c r="H342">
        <f t="shared" si="199"/>
        <v>0</v>
      </c>
      <c r="I342">
        <f t="shared" si="200"/>
        <v>0</v>
      </c>
      <c r="J342">
        <f t="shared" si="201"/>
        <v>0</v>
      </c>
      <c r="K342">
        <f t="shared" si="202"/>
        <v>0</v>
      </c>
      <c r="L342">
        <f t="shared" si="203"/>
        <v>0</v>
      </c>
      <c r="M342">
        <f t="shared" si="204"/>
        <v>0</v>
      </c>
      <c r="N342">
        <f t="shared" si="205"/>
        <v>0</v>
      </c>
      <c r="O342">
        <f t="shared" si="206"/>
        <v>0</v>
      </c>
      <c r="P342">
        <f t="shared" si="207"/>
        <v>0</v>
      </c>
      <c r="Q342">
        <f t="shared" si="208"/>
        <v>0</v>
      </c>
      <c r="S342">
        <f t="shared" si="185"/>
        <v>45</v>
      </c>
      <c r="T342">
        <f t="shared" si="186"/>
        <v>35</v>
      </c>
      <c r="U342">
        <f t="shared" si="187"/>
        <v>16</v>
      </c>
      <c r="V342">
        <f t="shared" si="188"/>
        <v>15</v>
      </c>
      <c r="W342">
        <f t="shared" si="189"/>
        <v>96</v>
      </c>
      <c r="X342">
        <f t="shared" si="190"/>
        <v>79</v>
      </c>
      <c r="Y342">
        <f t="shared" si="191"/>
        <v>21</v>
      </c>
      <c r="Z342">
        <f t="shared" si="192"/>
        <v>12</v>
      </c>
      <c r="AA342">
        <f t="shared" si="193"/>
        <v>4</v>
      </c>
      <c r="AB342">
        <f t="shared" si="194"/>
        <v>5</v>
      </c>
      <c r="AC342">
        <f t="shared" si="195"/>
        <v>115</v>
      </c>
      <c r="AD342">
        <f t="shared" si="196"/>
        <v>6</v>
      </c>
      <c r="AF342">
        <f t="shared" si="209"/>
        <v>0</v>
      </c>
      <c r="AG342">
        <f t="shared" si="210"/>
        <v>0</v>
      </c>
      <c r="AH342">
        <f t="shared" si="211"/>
        <v>0</v>
      </c>
      <c r="AI342">
        <f t="shared" si="212"/>
        <v>0</v>
      </c>
      <c r="AJ342">
        <f t="shared" si="213"/>
        <v>0</v>
      </c>
      <c r="AK342">
        <f t="shared" si="214"/>
        <v>0</v>
      </c>
      <c r="AL342">
        <f t="shared" si="215"/>
        <v>0</v>
      </c>
      <c r="AM342">
        <f t="shared" si="216"/>
        <v>0</v>
      </c>
      <c r="AN342">
        <f t="shared" si="217"/>
        <v>0</v>
      </c>
      <c r="AO342">
        <f t="shared" si="218"/>
        <v>0</v>
      </c>
      <c r="AP342">
        <f t="shared" si="219"/>
        <v>0</v>
      </c>
      <c r="AQ342">
        <f t="shared" si="220"/>
        <v>0</v>
      </c>
    </row>
    <row r="343" spans="1:43" x14ac:dyDescent="0.45">
      <c r="A343" s="51">
        <v>42</v>
      </c>
      <c r="B343" s="51" t="s">
        <v>322</v>
      </c>
      <c r="C343" s="56" t="s">
        <v>109</v>
      </c>
      <c r="D343" s="51" t="s">
        <v>76</v>
      </c>
      <c r="E343" s="45">
        <v>2428.924658293889</v>
      </c>
      <c r="F343">
        <f t="shared" si="197"/>
        <v>2428.924658293889</v>
      </c>
      <c r="G343">
        <f t="shared" si="198"/>
        <v>0</v>
      </c>
      <c r="H343">
        <f t="shared" si="199"/>
        <v>0</v>
      </c>
      <c r="I343">
        <f t="shared" si="200"/>
        <v>0</v>
      </c>
      <c r="J343">
        <f t="shared" si="201"/>
        <v>0</v>
      </c>
      <c r="K343">
        <f t="shared" si="202"/>
        <v>0</v>
      </c>
      <c r="L343">
        <f t="shared" si="203"/>
        <v>0</v>
      </c>
      <c r="M343">
        <f t="shared" si="204"/>
        <v>0</v>
      </c>
      <c r="N343">
        <f t="shared" si="205"/>
        <v>0</v>
      </c>
      <c r="O343">
        <f t="shared" si="206"/>
        <v>0</v>
      </c>
      <c r="P343">
        <f t="shared" si="207"/>
        <v>0</v>
      </c>
      <c r="Q343">
        <f t="shared" si="208"/>
        <v>0</v>
      </c>
      <c r="S343">
        <f t="shared" si="185"/>
        <v>44</v>
      </c>
      <c r="T343">
        <f t="shared" si="186"/>
        <v>35</v>
      </c>
      <c r="U343">
        <f t="shared" si="187"/>
        <v>16</v>
      </c>
      <c r="V343">
        <f t="shared" si="188"/>
        <v>15</v>
      </c>
      <c r="W343">
        <f t="shared" si="189"/>
        <v>96</v>
      </c>
      <c r="X343">
        <f t="shared" si="190"/>
        <v>79</v>
      </c>
      <c r="Y343">
        <f t="shared" si="191"/>
        <v>21</v>
      </c>
      <c r="Z343">
        <f t="shared" si="192"/>
        <v>12</v>
      </c>
      <c r="AA343">
        <f t="shared" si="193"/>
        <v>4</v>
      </c>
      <c r="AB343">
        <f t="shared" si="194"/>
        <v>5</v>
      </c>
      <c r="AC343">
        <f t="shared" si="195"/>
        <v>115</v>
      </c>
      <c r="AD343">
        <f t="shared" si="196"/>
        <v>6</v>
      </c>
      <c r="AF343">
        <f t="shared" si="209"/>
        <v>0</v>
      </c>
      <c r="AG343">
        <f t="shared" si="210"/>
        <v>0</v>
      </c>
      <c r="AH343">
        <f t="shared" si="211"/>
        <v>0</v>
      </c>
      <c r="AI343">
        <f t="shared" si="212"/>
        <v>0</v>
      </c>
      <c r="AJ343">
        <f t="shared" si="213"/>
        <v>0</v>
      </c>
      <c r="AK343">
        <f t="shared" si="214"/>
        <v>0</v>
      </c>
      <c r="AL343">
        <f t="shared" si="215"/>
        <v>0</v>
      </c>
      <c r="AM343">
        <f t="shared" si="216"/>
        <v>0</v>
      </c>
      <c r="AN343">
        <f t="shared" si="217"/>
        <v>0</v>
      </c>
      <c r="AO343">
        <f t="shared" si="218"/>
        <v>0</v>
      </c>
      <c r="AP343">
        <f t="shared" si="219"/>
        <v>0</v>
      </c>
      <c r="AQ343">
        <f t="shared" si="220"/>
        <v>0</v>
      </c>
    </row>
    <row r="344" spans="1:43" x14ac:dyDescent="0.45">
      <c r="A344" s="51">
        <v>43</v>
      </c>
      <c r="B344" s="51" t="s">
        <v>322</v>
      </c>
      <c r="C344" s="56" t="s">
        <v>323</v>
      </c>
      <c r="D344" s="50" t="s">
        <v>280</v>
      </c>
      <c r="E344" s="19">
        <v>3428.7092085500685</v>
      </c>
      <c r="F344">
        <f t="shared" si="197"/>
        <v>0</v>
      </c>
      <c r="G344">
        <f t="shared" si="198"/>
        <v>0</v>
      </c>
      <c r="H344">
        <f t="shared" si="199"/>
        <v>0</v>
      </c>
      <c r="I344">
        <f t="shared" si="200"/>
        <v>0</v>
      </c>
      <c r="J344">
        <f t="shared" si="201"/>
        <v>0</v>
      </c>
      <c r="K344">
        <f t="shared" si="202"/>
        <v>0</v>
      </c>
      <c r="L344">
        <f t="shared" si="203"/>
        <v>0</v>
      </c>
      <c r="M344">
        <f t="shared" si="204"/>
        <v>0</v>
      </c>
      <c r="N344">
        <f t="shared" si="205"/>
        <v>0</v>
      </c>
      <c r="O344">
        <f t="shared" si="206"/>
        <v>0</v>
      </c>
      <c r="P344">
        <f t="shared" si="207"/>
        <v>0</v>
      </c>
      <c r="Q344">
        <f t="shared" si="208"/>
        <v>0</v>
      </c>
      <c r="S344">
        <f t="shared" si="185"/>
        <v>43</v>
      </c>
      <c r="T344">
        <f t="shared" si="186"/>
        <v>35</v>
      </c>
      <c r="U344">
        <f t="shared" si="187"/>
        <v>16</v>
      </c>
      <c r="V344">
        <f t="shared" si="188"/>
        <v>15</v>
      </c>
      <c r="W344">
        <f t="shared" si="189"/>
        <v>96</v>
      </c>
      <c r="X344">
        <f t="shared" si="190"/>
        <v>79</v>
      </c>
      <c r="Y344">
        <f t="shared" si="191"/>
        <v>21</v>
      </c>
      <c r="Z344">
        <f t="shared" si="192"/>
        <v>12</v>
      </c>
      <c r="AA344">
        <f t="shared" si="193"/>
        <v>4</v>
      </c>
      <c r="AB344">
        <f t="shared" si="194"/>
        <v>5</v>
      </c>
      <c r="AC344">
        <f t="shared" si="195"/>
        <v>115</v>
      </c>
      <c r="AD344">
        <f t="shared" si="196"/>
        <v>6</v>
      </c>
      <c r="AF344">
        <f t="shared" si="209"/>
        <v>0</v>
      </c>
      <c r="AG344">
        <f t="shared" si="210"/>
        <v>0</v>
      </c>
      <c r="AH344">
        <f t="shared" si="211"/>
        <v>0</v>
      </c>
      <c r="AI344">
        <f t="shared" si="212"/>
        <v>0</v>
      </c>
      <c r="AJ344">
        <f t="shared" si="213"/>
        <v>0</v>
      </c>
      <c r="AK344">
        <f t="shared" si="214"/>
        <v>0</v>
      </c>
      <c r="AL344">
        <f t="shared" si="215"/>
        <v>0</v>
      </c>
      <c r="AM344">
        <f t="shared" si="216"/>
        <v>0</v>
      </c>
      <c r="AN344">
        <f t="shared" si="217"/>
        <v>0</v>
      </c>
      <c r="AO344">
        <f t="shared" si="218"/>
        <v>0</v>
      </c>
      <c r="AP344">
        <f t="shared" si="219"/>
        <v>0</v>
      </c>
      <c r="AQ344">
        <f t="shared" si="220"/>
        <v>0</v>
      </c>
    </row>
    <row r="345" spans="1:43" x14ac:dyDescent="0.35">
      <c r="A345" s="51">
        <v>44</v>
      </c>
      <c r="B345" s="51" t="s">
        <v>324</v>
      </c>
      <c r="C345" s="62" t="s">
        <v>111</v>
      </c>
      <c r="D345" s="51" t="s">
        <v>54</v>
      </c>
      <c r="E345" s="19">
        <v>3626.782015556023</v>
      </c>
      <c r="F345">
        <f t="shared" si="197"/>
        <v>0</v>
      </c>
      <c r="G345">
        <f t="shared" si="198"/>
        <v>0</v>
      </c>
      <c r="H345">
        <f t="shared" si="199"/>
        <v>0</v>
      </c>
      <c r="I345">
        <f t="shared" si="200"/>
        <v>0</v>
      </c>
      <c r="J345">
        <f t="shared" si="201"/>
        <v>0</v>
      </c>
      <c r="K345">
        <f t="shared" si="202"/>
        <v>3626.782015556023</v>
      </c>
      <c r="L345">
        <f t="shared" si="203"/>
        <v>0</v>
      </c>
      <c r="M345">
        <f t="shared" si="204"/>
        <v>0</v>
      </c>
      <c r="N345">
        <f t="shared" si="205"/>
        <v>0</v>
      </c>
      <c r="O345">
        <f t="shared" si="206"/>
        <v>0</v>
      </c>
      <c r="P345">
        <f t="shared" si="207"/>
        <v>0</v>
      </c>
      <c r="Q345">
        <f t="shared" si="208"/>
        <v>0</v>
      </c>
      <c r="S345">
        <f t="shared" si="185"/>
        <v>43</v>
      </c>
      <c r="T345">
        <f t="shared" si="186"/>
        <v>35</v>
      </c>
      <c r="U345">
        <f t="shared" si="187"/>
        <v>16</v>
      </c>
      <c r="V345">
        <f t="shared" si="188"/>
        <v>15</v>
      </c>
      <c r="W345">
        <f t="shared" si="189"/>
        <v>96</v>
      </c>
      <c r="X345">
        <f t="shared" si="190"/>
        <v>79</v>
      </c>
      <c r="Y345">
        <f t="shared" si="191"/>
        <v>21</v>
      </c>
      <c r="Z345">
        <f t="shared" si="192"/>
        <v>12</v>
      </c>
      <c r="AA345">
        <f t="shared" si="193"/>
        <v>4</v>
      </c>
      <c r="AB345">
        <f t="shared" si="194"/>
        <v>5</v>
      </c>
      <c r="AC345">
        <f t="shared" si="195"/>
        <v>115</v>
      </c>
      <c r="AD345">
        <f t="shared" si="196"/>
        <v>6</v>
      </c>
      <c r="AF345">
        <f t="shared" si="209"/>
        <v>0</v>
      </c>
      <c r="AG345">
        <f t="shared" si="210"/>
        <v>0</v>
      </c>
      <c r="AH345">
        <f t="shared" si="211"/>
        <v>0</v>
      </c>
      <c r="AI345">
        <f t="shared" si="212"/>
        <v>0</v>
      </c>
      <c r="AJ345">
        <f t="shared" si="213"/>
        <v>0</v>
      </c>
      <c r="AK345">
        <f t="shared" si="214"/>
        <v>0</v>
      </c>
      <c r="AL345">
        <f t="shared" si="215"/>
        <v>0</v>
      </c>
      <c r="AM345">
        <f t="shared" si="216"/>
        <v>0</v>
      </c>
      <c r="AN345">
        <f t="shared" si="217"/>
        <v>0</v>
      </c>
      <c r="AO345">
        <f t="shared" si="218"/>
        <v>0</v>
      </c>
      <c r="AP345">
        <f t="shared" si="219"/>
        <v>0</v>
      </c>
      <c r="AQ345">
        <f t="shared" si="220"/>
        <v>0</v>
      </c>
    </row>
    <row r="346" spans="1:43" x14ac:dyDescent="0.45">
      <c r="A346" s="51">
        <v>45</v>
      </c>
      <c r="B346" s="51" t="s">
        <v>324</v>
      </c>
      <c r="C346" s="56" t="s">
        <v>113</v>
      </c>
      <c r="D346" s="50" t="s">
        <v>222</v>
      </c>
      <c r="E346" s="19">
        <v>3481.4854080604532</v>
      </c>
      <c r="F346">
        <f t="shared" si="197"/>
        <v>0</v>
      </c>
      <c r="G346">
        <f t="shared" si="198"/>
        <v>0</v>
      </c>
      <c r="H346">
        <f t="shared" si="199"/>
        <v>0</v>
      </c>
      <c r="I346">
        <f t="shared" si="200"/>
        <v>0</v>
      </c>
      <c r="J346">
        <f t="shared" si="201"/>
        <v>0</v>
      </c>
      <c r="K346">
        <f t="shared" si="202"/>
        <v>0</v>
      </c>
      <c r="L346">
        <f t="shared" si="203"/>
        <v>0</v>
      </c>
      <c r="M346">
        <f t="shared" si="204"/>
        <v>0</v>
      </c>
      <c r="N346">
        <f t="shared" si="205"/>
        <v>0</v>
      </c>
      <c r="O346">
        <f t="shared" si="206"/>
        <v>0</v>
      </c>
      <c r="P346">
        <f t="shared" si="207"/>
        <v>0</v>
      </c>
      <c r="Q346">
        <f t="shared" si="208"/>
        <v>3481.4854080604532</v>
      </c>
      <c r="S346">
        <f t="shared" si="185"/>
        <v>43</v>
      </c>
      <c r="T346">
        <f t="shared" si="186"/>
        <v>35</v>
      </c>
      <c r="U346">
        <f t="shared" si="187"/>
        <v>16</v>
      </c>
      <c r="V346">
        <f t="shared" si="188"/>
        <v>15</v>
      </c>
      <c r="W346">
        <f t="shared" si="189"/>
        <v>96</v>
      </c>
      <c r="X346">
        <f t="shared" si="190"/>
        <v>78</v>
      </c>
      <c r="Y346">
        <f t="shared" si="191"/>
        <v>21</v>
      </c>
      <c r="Z346">
        <f t="shared" si="192"/>
        <v>12</v>
      </c>
      <c r="AA346">
        <f t="shared" si="193"/>
        <v>4</v>
      </c>
      <c r="AB346">
        <f t="shared" si="194"/>
        <v>5</v>
      </c>
      <c r="AC346">
        <f t="shared" si="195"/>
        <v>115</v>
      </c>
      <c r="AD346">
        <f t="shared" si="196"/>
        <v>6</v>
      </c>
      <c r="AF346">
        <f t="shared" si="209"/>
        <v>0</v>
      </c>
      <c r="AG346">
        <f t="shared" si="210"/>
        <v>0</v>
      </c>
      <c r="AH346">
        <f t="shared" si="211"/>
        <v>0</v>
      </c>
      <c r="AI346">
        <f t="shared" si="212"/>
        <v>0</v>
      </c>
      <c r="AJ346">
        <f t="shared" si="213"/>
        <v>0</v>
      </c>
      <c r="AK346">
        <f t="shared" si="214"/>
        <v>0</v>
      </c>
      <c r="AL346">
        <f t="shared" si="215"/>
        <v>0</v>
      </c>
      <c r="AM346">
        <f t="shared" si="216"/>
        <v>0</v>
      </c>
      <c r="AN346">
        <f t="shared" si="217"/>
        <v>0</v>
      </c>
      <c r="AO346">
        <f t="shared" si="218"/>
        <v>0</v>
      </c>
      <c r="AP346">
        <f t="shared" si="219"/>
        <v>0</v>
      </c>
      <c r="AQ346">
        <f t="shared" si="220"/>
        <v>3481.4854080604532</v>
      </c>
    </row>
    <row r="347" spans="1:43" x14ac:dyDescent="0.45">
      <c r="A347" s="51">
        <v>46</v>
      </c>
      <c r="B347" s="51" t="s">
        <v>325</v>
      </c>
      <c r="C347" s="56" t="s">
        <v>112</v>
      </c>
      <c r="D347" s="50" t="s">
        <v>228</v>
      </c>
      <c r="E347" s="45">
        <v>2397.3320455159514</v>
      </c>
      <c r="F347">
        <f t="shared" si="197"/>
        <v>0</v>
      </c>
      <c r="G347">
        <f t="shared" si="198"/>
        <v>0</v>
      </c>
      <c r="H347">
        <f t="shared" si="199"/>
        <v>0</v>
      </c>
      <c r="I347">
        <f t="shared" si="200"/>
        <v>0</v>
      </c>
      <c r="J347">
        <f t="shared" si="201"/>
        <v>0</v>
      </c>
      <c r="K347">
        <f t="shared" si="202"/>
        <v>0</v>
      </c>
      <c r="L347">
        <f t="shared" si="203"/>
        <v>0</v>
      </c>
      <c r="M347">
        <f t="shared" si="204"/>
        <v>0</v>
      </c>
      <c r="N347">
        <f t="shared" si="205"/>
        <v>0</v>
      </c>
      <c r="O347">
        <f t="shared" si="206"/>
        <v>0</v>
      </c>
      <c r="P347">
        <f t="shared" si="207"/>
        <v>2397.3320455159514</v>
      </c>
      <c r="Q347">
        <f t="shared" si="208"/>
        <v>0</v>
      </c>
      <c r="S347">
        <f t="shared" si="185"/>
        <v>43</v>
      </c>
      <c r="T347">
        <f t="shared" si="186"/>
        <v>35</v>
      </c>
      <c r="U347">
        <f t="shared" si="187"/>
        <v>16</v>
      </c>
      <c r="V347">
        <f t="shared" si="188"/>
        <v>15</v>
      </c>
      <c r="W347">
        <f t="shared" si="189"/>
        <v>96</v>
      </c>
      <c r="X347">
        <f t="shared" si="190"/>
        <v>78</v>
      </c>
      <c r="Y347">
        <f t="shared" si="191"/>
        <v>21</v>
      </c>
      <c r="Z347">
        <f t="shared" si="192"/>
        <v>12</v>
      </c>
      <c r="AA347">
        <f t="shared" si="193"/>
        <v>4</v>
      </c>
      <c r="AB347">
        <f t="shared" si="194"/>
        <v>5</v>
      </c>
      <c r="AC347">
        <f t="shared" si="195"/>
        <v>115</v>
      </c>
      <c r="AD347">
        <f t="shared" si="196"/>
        <v>5</v>
      </c>
      <c r="AF347">
        <f t="shared" si="209"/>
        <v>0</v>
      </c>
      <c r="AG347">
        <f t="shared" si="210"/>
        <v>0</v>
      </c>
      <c r="AH347">
        <f t="shared" si="211"/>
        <v>0</v>
      </c>
      <c r="AI347">
        <f t="shared" si="212"/>
        <v>0</v>
      </c>
      <c r="AJ347">
        <f t="shared" si="213"/>
        <v>0</v>
      </c>
      <c r="AK347">
        <f t="shared" si="214"/>
        <v>0</v>
      </c>
      <c r="AL347">
        <f t="shared" si="215"/>
        <v>0</v>
      </c>
      <c r="AM347">
        <f t="shared" si="216"/>
        <v>0</v>
      </c>
      <c r="AN347">
        <f t="shared" si="217"/>
        <v>0</v>
      </c>
      <c r="AO347">
        <f t="shared" si="218"/>
        <v>0</v>
      </c>
      <c r="AP347">
        <f t="shared" si="219"/>
        <v>0</v>
      </c>
      <c r="AQ347">
        <f t="shared" si="220"/>
        <v>0</v>
      </c>
    </row>
    <row r="348" spans="1:43" x14ac:dyDescent="0.45">
      <c r="A348" s="51">
        <v>47</v>
      </c>
      <c r="B348" s="51" t="s">
        <v>325</v>
      </c>
      <c r="C348" s="56" t="s">
        <v>115</v>
      </c>
      <c r="D348" s="50" t="s">
        <v>60</v>
      </c>
      <c r="E348" s="19">
        <v>3425.4217776748105</v>
      </c>
      <c r="F348">
        <f t="shared" si="197"/>
        <v>0</v>
      </c>
      <c r="G348">
        <f t="shared" si="198"/>
        <v>0</v>
      </c>
      <c r="H348">
        <f t="shared" si="199"/>
        <v>0</v>
      </c>
      <c r="I348">
        <f t="shared" si="200"/>
        <v>0</v>
      </c>
      <c r="J348">
        <f t="shared" si="201"/>
        <v>3425.4217776748105</v>
      </c>
      <c r="K348">
        <f t="shared" si="202"/>
        <v>0</v>
      </c>
      <c r="L348">
        <f t="shared" si="203"/>
        <v>0</v>
      </c>
      <c r="M348">
        <f t="shared" si="204"/>
        <v>0</v>
      </c>
      <c r="N348">
        <f t="shared" si="205"/>
        <v>0</v>
      </c>
      <c r="O348">
        <f t="shared" si="206"/>
        <v>0</v>
      </c>
      <c r="P348">
        <f t="shared" si="207"/>
        <v>0</v>
      </c>
      <c r="Q348">
        <f t="shared" si="208"/>
        <v>0</v>
      </c>
      <c r="S348">
        <f t="shared" si="185"/>
        <v>43</v>
      </c>
      <c r="T348">
        <f t="shared" si="186"/>
        <v>35</v>
      </c>
      <c r="U348">
        <f t="shared" si="187"/>
        <v>16</v>
      </c>
      <c r="V348">
        <f t="shared" si="188"/>
        <v>15</v>
      </c>
      <c r="W348">
        <f t="shared" si="189"/>
        <v>96</v>
      </c>
      <c r="X348">
        <f t="shared" si="190"/>
        <v>78</v>
      </c>
      <c r="Y348">
        <f t="shared" si="191"/>
        <v>21</v>
      </c>
      <c r="Z348">
        <f t="shared" si="192"/>
        <v>12</v>
      </c>
      <c r="AA348">
        <f t="shared" si="193"/>
        <v>4</v>
      </c>
      <c r="AB348">
        <f t="shared" si="194"/>
        <v>5</v>
      </c>
      <c r="AC348">
        <f t="shared" si="195"/>
        <v>114</v>
      </c>
      <c r="AD348">
        <f t="shared" si="196"/>
        <v>5</v>
      </c>
      <c r="AF348">
        <f t="shared" si="209"/>
        <v>0</v>
      </c>
      <c r="AG348">
        <f t="shared" si="210"/>
        <v>0</v>
      </c>
      <c r="AH348">
        <f t="shared" si="211"/>
        <v>0</v>
      </c>
      <c r="AI348">
        <f t="shared" si="212"/>
        <v>0</v>
      </c>
      <c r="AJ348">
        <f t="shared" si="213"/>
        <v>0</v>
      </c>
      <c r="AK348">
        <f t="shared" si="214"/>
        <v>0</v>
      </c>
      <c r="AL348">
        <f t="shared" si="215"/>
        <v>0</v>
      </c>
      <c r="AM348">
        <f t="shared" si="216"/>
        <v>0</v>
      </c>
      <c r="AN348">
        <f t="shared" si="217"/>
        <v>0</v>
      </c>
      <c r="AO348">
        <f t="shared" si="218"/>
        <v>0</v>
      </c>
      <c r="AP348">
        <f t="shared" si="219"/>
        <v>0</v>
      </c>
      <c r="AQ348">
        <f t="shared" si="220"/>
        <v>0</v>
      </c>
    </row>
    <row r="349" spans="1:43" x14ac:dyDescent="0.45">
      <c r="A349" s="51">
        <v>48</v>
      </c>
      <c r="B349" s="51" t="s">
        <v>326</v>
      </c>
      <c r="C349" s="56" t="s">
        <v>117</v>
      </c>
      <c r="D349" s="50" t="s">
        <v>57</v>
      </c>
      <c r="E349" s="19">
        <v>2925.361158882446</v>
      </c>
      <c r="F349">
        <f t="shared" si="197"/>
        <v>0</v>
      </c>
      <c r="G349">
        <f t="shared" si="198"/>
        <v>0</v>
      </c>
      <c r="H349">
        <f t="shared" si="199"/>
        <v>0</v>
      </c>
      <c r="I349">
        <f t="shared" si="200"/>
        <v>0</v>
      </c>
      <c r="J349">
        <f t="shared" si="201"/>
        <v>0</v>
      </c>
      <c r="K349">
        <f t="shared" si="202"/>
        <v>0</v>
      </c>
      <c r="L349">
        <f t="shared" si="203"/>
        <v>0</v>
      </c>
      <c r="M349">
        <f t="shared" si="204"/>
        <v>2925.361158882446</v>
      </c>
      <c r="N349">
        <f t="shared" si="205"/>
        <v>0</v>
      </c>
      <c r="O349">
        <f t="shared" si="206"/>
        <v>0</v>
      </c>
      <c r="P349">
        <f t="shared" si="207"/>
        <v>0</v>
      </c>
      <c r="Q349">
        <f t="shared" si="208"/>
        <v>0</v>
      </c>
      <c r="S349">
        <f t="shared" si="185"/>
        <v>43</v>
      </c>
      <c r="T349">
        <f t="shared" si="186"/>
        <v>35</v>
      </c>
      <c r="U349">
        <f t="shared" si="187"/>
        <v>16</v>
      </c>
      <c r="V349">
        <f t="shared" si="188"/>
        <v>15</v>
      </c>
      <c r="W349">
        <f t="shared" si="189"/>
        <v>95</v>
      </c>
      <c r="X349">
        <f t="shared" si="190"/>
        <v>78</v>
      </c>
      <c r="Y349">
        <f t="shared" si="191"/>
        <v>21</v>
      </c>
      <c r="Z349">
        <f t="shared" si="192"/>
        <v>12</v>
      </c>
      <c r="AA349">
        <f t="shared" si="193"/>
        <v>4</v>
      </c>
      <c r="AB349">
        <f t="shared" si="194"/>
        <v>5</v>
      </c>
      <c r="AC349">
        <f t="shared" si="195"/>
        <v>114</v>
      </c>
      <c r="AD349">
        <f t="shared" si="196"/>
        <v>5</v>
      </c>
      <c r="AF349">
        <f t="shared" si="209"/>
        <v>0</v>
      </c>
      <c r="AG349">
        <f t="shared" si="210"/>
        <v>0</v>
      </c>
      <c r="AH349">
        <f t="shared" si="211"/>
        <v>0</v>
      </c>
      <c r="AI349">
        <f t="shared" si="212"/>
        <v>0</v>
      </c>
      <c r="AJ349">
        <f t="shared" si="213"/>
        <v>0</v>
      </c>
      <c r="AK349">
        <f t="shared" si="214"/>
        <v>0</v>
      </c>
      <c r="AL349">
        <f t="shared" si="215"/>
        <v>0</v>
      </c>
      <c r="AM349">
        <f t="shared" si="216"/>
        <v>0</v>
      </c>
      <c r="AN349">
        <f t="shared" si="217"/>
        <v>0</v>
      </c>
      <c r="AO349">
        <f t="shared" si="218"/>
        <v>0</v>
      </c>
      <c r="AP349">
        <f t="shared" si="219"/>
        <v>0</v>
      </c>
      <c r="AQ349">
        <f t="shared" si="220"/>
        <v>0</v>
      </c>
    </row>
    <row r="350" spans="1:43" x14ac:dyDescent="0.45">
      <c r="A350" s="51">
        <v>49</v>
      </c>
      <c r="B350" s="51" t="s">
        <v>324</v>
      </c>
      <c r="C350" s="56" t="s">
        <v>327</v>
      </c>
      <c r="D350" s="50" t="s">
        <v>280</v>
      </c>
      <c r="E350" s="19">
        <v>3509.3388457919496</v>
      </c>
      <c r="F350">
        <f t="shared" si="197"/>
        <v>0</v>
      </c>
      <c r="G350">
        <f t="shared" si="198"/>
        <v>0</v>
      </c>
      <c r="H350">
        <f t="shared" si="199"/>
        <v>0</v>
      </c>
      <c r="I350">
        <f t="shared" si="200"/>
        <v>0</v>
      </c>
      <c r="J350">
        <f t="shared" si="201"/>
        <v>0</v>
      </c>
      <c r="K350">
        <f t="shared" si="202"/>
        <v>0</v>
      </c>
      <c r="L350">
        <f t="shared" si="203"/>
        <v>0</v>
      </c>
      <c r="M350">
        <f t="shared" si="204"/>
        <v>0</v>
      </c>
      <c r="N350">
        <f t="shared" si="205"/>
        <v>0</v>
      </c>
      <c r="O350">
        <f t="shared" si="206"/>
        <v>0</v>
      </c>
      <c r="P350">
        <f t="shared" si="207"/>
        <v>0</v>
      </c>
      <c r="Q350">
        <f t="shared" si="208"/>
        <v>0</v>
      </c>
      <c r="S350">
        <f t="shared" si="185"/>
        <v>43</v>
      </c>
      <c r="T350">
        <f t="shared" si="186"/>
        <v>35</v>
      </c>
      <c r="U350">
        <f t="shared" si="187"/>
        <v>16</v>
      </c>
      <c r="V350">
        <f t="shared" si="188"/>
        <v>15</v>
      </c>
      <c r="W350">
        <f t="shared" si="189"/>
        <v>95</v>
      </c>
      <c r="X350">
        <f t="shared" si="190"/>
        <v>78</v>
      </c>
      <c r="Y350">
        <f t="shared" si="191"/>
        <v>21</v>
      </c>
      <c r="Z350">
        <f t="shared" si="192"/>
        <v>11</v>
      </c>
      <c r="AA350">
        <f t="shared" si="193"/>
        <v>4</v>
      </c>
      <c r="AB350">
        <f t="shared" si="194"/>
        <v>5</v>
      </c>
      <c r="AC350">
        <f t="shared" si="195"/>
        <v>114</v>
      </c>
      <c r="AD350">
        <f t="shared" si="196"/>
        <v>5</v>
      </c>
      <c r="AF350">
        <f t="shared" si="209"/>
        <v>0</v>
      </c>
      <c r="AG350">
        <f t="shared" si="210"/>
        <v>0</v>
      </c>
      <c r="AH350">
        <f t="shared" si="211"/>
        <v>0</v>
      </c>
      <c r="AI350">
        <f t="shared" si="212"/>
        <v>0</v>
      </c>
      <c r="AJ350">
        <f t="shared" si="213"/>
        <v>0</v>
      </c>
      <c r="AK350">
        <f t="shared" si="214"/>
        <v>0</v>
      </c>
      <c r="AL350">
        <f t="shared" si="215"/>
        <v>0</v>
      </c>
      <c r="AM350">
        <f t="shared" si="216"/>
        <v>0</v>
      </c>
      <c r="AN350">
        <f t="shared" si="217"/>
        <v>0</v>
      </c>
      <c r="AO350">
        <f t="shared" si="218"/>
        <v>0</v>
      </c>
      <c r="AP350">
        <f t="shared" si="219"/>
        <v>0</v>
      </c>
      <c r="AQ350">
        <f t="shared" si="220"/>
        <v>0</v>
      </c>
    </row>
    <row r="351" spans="1:43" x14ac:dyDescent="0.35">
      <c r="A351" s="51">
        <v>50</v>
      </c>
      <c r="B351" s="51" t="s">
        <v>328</v>
      </c>
      <c r="C351" s="62" t="s">
        <v>120</v>
      </c>
      <c r="D351" s="51" t="s">
        <v>54</v>
      </c>
      <c r="E351" s="19">
        <v>3651.930155661275</v>
      </c>
      <c r="F351">
        <f t="shared" si="197"/>
        <v>0</v>
      </c>
      <c r="G351">
        <f t="shared" si="198"/>
        <v>0</v>
      </c>
      <c r="H351">
        <f t="shared" si="199"/>
        <v>0</v>
      </c>
      <c r="I351">
        <f t="shared" si="200"/>
        <v>0</v>
      </c>
      <c r="J351">
        <f t="shared" si="201"/>
        <v>0</v>
      </c>
      <c r="K351">
        <f t="shared" si="202"/>
        <v>3651.930155661275</v>
      </c>
      <c r="L351">
        <f t="shared" si="203"/>
        <v>0</v>
      </c>
      <c r="M351">
        <f t="shared" si="204"/>
        <v>0</v>
      </c>
      <c r="N351">
        <f t="shared" si="205"/>
        <v>0</v>
      </c>
      <c r="O351">
        <f t="shared" si="206"/>
        <v>0</v>
      </c>
      <c r="P351">
        <f t="shared" si="207"/>
        <v>0</v>
      </c>
      <c r="Q351">
        <f t="shared" si="208"/>
        <v>0</v>
      </c>
      <c r="S351">
        <f t="shared" si="185"/>
        <v>43</v>
      </c>
      <c r="T351">
        <f t="shared" si="186"/>
        <v>35</v>
      </c>
      <c r="U351">
        <f t="shared" si="187"/>
        <v>16</v>
      </c>
      <c r="V351">
        <f t="shared" si="188"/>
        <v>15</v>
      </c>
      <c r="W351">
        <f t="shared" si="189"/>
        <v>95</v>
      </c>
      <c r="X351">
        <f t="shared" si="190"/>
        <v>78</v>
      </c>
      <c r="Y351">
        <f t="shared" si="191"/>
        <v>21</v>
      </c>
      <c r="Z351">
        <f t="shared" si="192"/>
        <v>11</v>
      </c>
      <c r="AA351">
        <f t="shared" si="193"/>
        <v>4</v>
      </c>
      <c r="AB351">
        <f t="shared" si="194"/>
        <v>5</v>
      </c>
      <c r="AC351">
        <f t="shared" si="195"/>
        <v>114</v>
      </c>
      <c r="AD351">
        <f t="shared" si="196"/>
        <v>5</v>
      </c>
      <c r="AF351">
        <f t="shared" si="209"/>
        <v>0</v>
      </c>
      <c r="AG351">
        <f t="shared" si="210"/>
        <v>0</v>
      </c>
      <c r="AH351">
        <f t="shared" si="211"/>
        <v>0</v>
      </c>
      <c r="AI351">
        <f t="shared" si="212"/>
        <v>0</v>
      </c>
      <c r="AJ351">
        <f t="shared" si="213"/>
        <v>0</v>
      </c>
      <c r="AK351">
        <f t="shared" si="214"/>
        <v>0</v>
      </c>
      <c r="AL351">
        <f t="shared" si="215"/>
        <v>0</v>
      </c>
      <c r="AM351">
        <f t="shared" si="216"/>
        <v>0</v>
      </c>
      <c r="AN351">
        <f t="shared" si="217"/>
        <v>0</v>
      </c>
      <c r="AO351">
        <f t="shared" si="218"/>
        <v>0</v>
      </c>
      <c r="AP351">
        <f t="shared" si="219"/>
        <v>0</v>
      </c>
      <c r="AQ351">
        <f t="shared" si="220"/>
        <v>0</v>
      </c>
    </row>
    <row r="352" spans="1:43" x14ac:dyDescent="0.45">
      <c r="A352" s="51">
        <v>51</v>
      </c>
      <c r="B352" s="51" t="s">
        <v>328</v>
      </c>
      <c r="C352" s="56" t="s">
        <v>121</v>
      </c>
      <c r="D352" s="50" t="s">
        <v>94</v>
      </c>
      <c r="E352" s="19">
        <v>3665.7378631346583</v>
      </c>
      <c r="F352">
        <f t="shared" si="197"/>
        <v>0</v>
      </c>
      <c r="G352">
        <f t="shared" si="198"/>
        <v>0</v>
      </c>
      <c r="H352">
        <f t="shared" si="199"/>
        <v>0</v>
      </c>
      <c r="I352">
        <f t="shared" si="200"/>
        <v>0</v>
      </c>
      <c r="J352">
        <f t="shared" si="201"/>
        <v>0</v>
      </c>
      <c r="K352">
        <f t="shared" si="202"/>
        <v>0</v>
      </c>
      <c r="L352">
        <f t="shared" si="203"/>
        <v>3665.7378631346583</v>
      </c>
      <c r="M352">
        <f t="shared" si="204"/>
        <v>0</v>
      </c>
      <c r="N352">
        <f t="shared" si="205"/>
        <v>0</v>
      </c>
      <c r="O352">
        <f t="shared" si="206"/>
        <v>0</v>
      </c>
      <c r="P352">
        <f t="shared" si="207"/>
        <v>0</v>
      </c>
      <c r="Q352">
        <f t="shared" si="208"/>
        <v>0</v>
      </c>
      <c r="S352">
        <f t="shared" si="185"/>
        <v>43</v>
      </c>
      <c r="T352">
        <f t="shared" si="186"/>
        <v>35</v>
      </c>
      <c r="U352">
        <f t="shared" si="187"/>
        <v>16</v>
      </c>
      <c r="V352">
        <f t="shared" si="188"/>
        <v>15</v>
      </c>
      <c r="W352">
        <f t="shared" si="189"/>
        <v>95</v>
      </c>
      <c r="X352">
        <f t="shared" si="190"/>
        <v>77</v>
      </c>
      <c r="Y352">
        <f t="shared" si="191"/>
        <v>21</v>
      </c>
      <c r="Z352">
        <f t="shared" si="192"/>
        <v>11</v>
      </c>
      <c r="AA352">
        <f t="shared" si="193"/>
        <v>4</v>
      </c>
      <c r="AB352">
        <f t="shared" si="194"/>
        <v>5</v>
      </c>
      <c r="AC352">
        <f t="shared" si="195"/>
        <v>114</v>
      </c>
      <c r="AD352">
        <f t="shared" si="196"/>
        <v>5</v>
      </c>
      <c r="AF352">
        <f t="shared" si="209"/>
        <v>0</v>
      </c>
      <c r="AG352">
        <f t="shared" si="210"/>
        <v>0</v>
      </c>
      <c r="AH352">
        <f t="shared" si="211"/>
        <v>0</v>
      </c>
      <c r="AI352">
        <f t="shared" si="212"/>
        <v>0</v>
      </c>
      <c r="AJ352">
        <f t="shared" si="213"/>
        <v>0</v>
      </c>
      <c r="AK352">
        <f t="shared" si="214"/>
        <v>0</v>
      </c>
      <c r="AL352">
        <f t="shared" si="215"/>
        <v>0</v>
      </c>
      <c r="AM352">
        <f t="shared" si="216"/>
        <v>0</v>
      </c>
      <c r="AN352">
        <f t="shared" si="217"/>
        <v>0</v>
      </c>
      <c r="AO352">
        <f t="shared" si="218"/>
        <v>0</v>
      </c>
      <c r="AP352">
        <f t="shared" si="219"/>
        <v>0</v>
      </c>
      <c r="AQ352">
        <f t="shared" si="220"/>
        <v>0</v>
      </c>
    </row>
    <row r="353" spans="1:43" x14ac:dyDescent="0.45">
      <c r="A353" s="51">
        <v>52</v>
      </c>
      <c r="B353" s="51" t="s">
        <v>329</v>
      </c>
      <c r="C353" s="56" t="s">
        <v>124</v>
      </c>
      <c r="D353" s="50" t="s">
        <v>60</v>
      </c>
      <c r="E353" s="19">
        <v>3543.9176024382555</v>
      </c>
      <c r="F353">
        <f t="shared" si="197"/>
        <v>0</v>
      </c>
      <c r="G353">
        <f t="shared" si="198"/>
        <v>0</v>
      </c>
      <c r="H353">
        <f t="shared" si="199"/>
        <v>0</v>
      </c>
      <c r="I353">
        <f t="shared" si="200"/>
        <v>0</v>
      </c>
      <c r="J353">
        <f t="shared" si="201"/>
        <v>3543.9176024382555</v>
      </c>
      <c r="K353">
        <f t="shared" si="202"/>
        <v>0</v>
      </c>
      <c r="L353">
        <f t="shared" si="203"/>
        <v>0</v>
      </c>
      <c r="M353">
        <f t="shared" si="204"/>
        <v>0</v>
      </c>
      <c r="N353">
        <f t="shared" si="205"/>
        <v>0</v>
      </c>
      <c r="O353">
        <f t="shared" si="206"/>
        <v>0</v>
      </c>
      <c r="P353">
        <f t="shared" si="207"/>
        <v>0</v>
      </c>
      <c r="Q353">
        <f t="shared" si="208"/>
        <v>0</v>
      </c>
      <c r="S353">
        <f t="shared" si="185"/>
        <v>43</v>
      </c>
      <c r="T353">
        <f t="shared" si="186"/>
        <v>35</v>
      </c>
      <c r="U353">
        <f t="shared" si="187"/>
        <v>16</v>
      </c>
      <c r="V353">
        <f t="shared" si="188"/>
        <v>15</v>
      </c>
      <c r="W353">
        <f t="shared" si="189"/>
        <v>95</v>
      </c>
      <c r="X353">
        <f t="shared" si="190"/>
        <v>77</v>
      </c>
      <c r="Y353">
        <f t="shared" si="191"/>
        <v>20</v>
      </c>
      <c r="Z353">
        <f t="shared" si="192"/>
        <v>11</v>
      </c>
      <c r="AA353">
        <f t="shared" si="193"/>
        <v>4</v>
      </c>
      <c r="AB353">
        <f t="shared" si="194"/>
        <v>5</v>
      </c>
      <c r="AC353">
        <f t="shared" si="195"/>
        <v>114</v>
      </c>
      <c r="AD353">
        <f t="shared" si="196"/>
        <v>5</v>
      </c>
      <c r="AF353">
        <f t="shared" si="209"/>
        <v>0</v>
      </c>
      <c r="AG353">
        <f t="shared" si="210"/>
        <v>0</v>
      </c>
      <c r="AH353">
        <f t="shared" si="211"/>
        <v>0</v>
      </c>
      <c r="AI353">
        <f t="shared" si="212"/>
        <v>0</v>
      </c>
      <c r="AJ353">
        <f t="shared" si="213"/>
        <v>0</v>
      </c>
      <c r="AK353">
        <f t="shared" si="214"/>
        <v>0</v>
      </c>
      <c r="AL353">
        <f t="shared" si="215"/>
        <v>0</v>
      </c>
      <c r="AM353">
        <f t="shared" si="216"/>
        <v>0</v>
      </c>
      <c r="AN353">
        <f t="shared" si="217"/>
        <v>0</v>
      </c>
      <c r="AO353">
        <f t="shared" si="218"/>
        <v>0</v>
      </c>
      <c r="AP353">
        <f t="shared" si="219"/>
        <v>0</v>
      </c>
      <c r="AQ353">
        <f t="shared" si="220"/>
        <v>0</v>
      </c>
    </row>
    <row r="354" spans="1:43" x14ac:dyDescent="0.45">
      <c r="A354" s="51">
        <v>53</v>
      </c>
      <c r="B354" s="51" t="s">
        <v>329</v>
      </c>
      <c r="C354" s="56" t="s">
        <v>122</v>
      </c>
      <c r="D354" s="50" t="s">
        <v>222</v>
      </c>
      <c r="E354" s="19">
        <v>3148.9769384793353</v>
      </c>
      <c r="F354">
        <f t="shared" si="197"/>
        <v>0</v>
      </c>
      <c r="G354">
        <f t="shared" si="198"/>
        <v>0</v>
      </c>
      <c r="H354">
        <f t="shared" si="199"/>
        <v>0</v>
      </c>
      <c r="I354">
        <f t="shared" si="200"/>
        <v>0</v>
      </c>
      <c r="J354">
        <f t="shared" si="201"/>
        <v>0</v>
      </c>
      <c r="K354">
        <f t="shared" si="202"/>
        <v>0</v>
      </c>
      <c r="L354">
        <f t="shared" si="203"/>
        <v>0</v>
      </c>
      <c r="M354">
        <f t="shared" si="204"/>
        <v>0</v>
      </c>
      <c r="N354">
        <f t="shared" si="205"/>
        <v>0</v>
      </c>
      <c r="O354">
        <f t="shared" si="206"/>
        <v>0</v>
      </c>
      <c r="P354">
        <f t="shared" si="207"/>
        <v>0</v>
      </c>
      <c r="Q354">
        <f t="shared" si="208"/>
        <v>3148.9769384793353</v>
      </c>
      <c r="S354">
        <f t="shared" si="185"/>
        <v>43</v>
      </c>
      <c r="T354">
        <f t="shared" si="186"/>
        <v>35</v>
      </c>
      <c r="U354">
        <f t="shared" si="187"/>
        <v>16</v>
      </c>
      <c r="V354">
        <f t="shared" si="188"/>
        <v>15</v>
      </c>
      <c r="W354">
        <f t="shared" si="189"/>
        <v>94</v>
      </c>
      <c r="X354">
        <f t="shared" si="190"/>
        <v>77</v>
      </c>
      <c r="Y354">
        <f t="shared" si="191"/>
        <v>20</v>
      </c>
      <c r="Z354">
        <f t="shared" si="192"/>
        <v>11</v>
      </c>
      <c r="AA354">
        <f t="shared" si="193"/>
        <v>4</v>
      </c>
      <c r="AB354">
        <f t="shared" si="194"/>
        <v>5</v>
      </c>
      <c r="AC354">
        <f t="shared" si="195"/>
        <v>114</v>
      </c>
      <c r="AD354">
        <f t="shared" si="196"/>
        <v>5</v>
      </c>
      <c r="AF354">
        <f t="shared" si="209"/>
        <v>0</v>
      </c>
      <c r="AG354">
        <f t="shared" si="210"/>
        <v>0</v>
      </c>
      <c r="AH354">
        <f t="shared" si="211"/>
        <v>0</v>
      </c>
      <c r="AI354">
        <f t="shared" si="212"/>
        <v>0</v>
      </c>
      <c r="AJ354">
        <f t="shared" si="213"/>
        <v>0</v>
      </c>
      <c r="AK354">
        <f t="shared" si="214"/>
        <v>0</v>
      </c>
      <c r="AL354">
        <f t="shared" si="215"/>
        <v>0</v>
      </c>
      <c r="AM354">
        <f t="shared" si="216"/>
        <v>0</v>
      </c>
      <c r="AN354">
        <f t="shared" si="217"/>
        <v>0</v>
      </c>
      <c r="AO354">
        <f t="shared" si="218"/>
        <v>0</v>
      </c>
      <c r="AP354">
        <f t="shared" si="219"/>
        <v>0</v>
      </c>
      <c r="AQ354">
        <f t="shared" si="220"/>
        <v>3148.9769384793353</v>
      </c>
    </row>
    <row r="355" spans="1:43" x14ac:dyDescent="0.35">
      <c r="A355" s="51">
        <v>54</v>
      </c>
      <c r="B355" s="51" t="s">
        <v>330</v>
      </c>
      <c r="C355" s="62" t="s">
        <v>125</v>
      </c>
      <c r="D355" s="51" t="s">
        <v>54</v>
      </c>
      <c r="E355" s="45">
        <v>2344.1334718536432</v>
      </c>
      <c r="F355">
        <f t="shared" si="197"/>
        <v>0</v>
      </c>
      <c r="G355">
        <f t="shared" si="198"/>
        <v>0</v>
      </c>
      <c r="H355">
        <f t="shared" si="199"/>
        <v>0</v>
      </c>
      <c r="I355">
        <f t="shared" si="200"/>
        <v>0</v>
      </c>
      <c r="J355">
        <f t="shared" si="201"/>
        <v>0</v>
      </c>
      <c r="K355">
        <f t="shared" si="202"/>
        <v>2344.1334718536432</v>
      </c>
      <c r="L355">
        <f t="shared" si="203"/>
        <v>0</v>
      </c>
      <c r="M355">
        <f t="shared" si="204"/>
        <v>0</v>
      </c>
      <c r="N355">
        <f t="shared" si="205"/>
        <v>0</v>
      </c>
      <c r="O355">
        <f t="shared" si="206"/>
        <v>0</v>
      </c>
      <c r="P355">
        <f t="shared" si="207"/>
        <v>0</v>
      </c>
      <c r="Q355">
        <f t="shared" si="208"/>
        <v>0</v>
      </c>
      <c r="S355">
        <f t="shared" si="185"/>
        <v>43</v>
      </c>
      <c r="T355">
        <f t="shared" si="186"/>
        <v>35</v>
      </c>
      <c r="U355">
        <f t="shared" si="187"/>
        <v>16</v>
      </c>
      <c r="V355">
        <f t="shared" si="188"/>
        <v>15</v>
      </c>
      <c r="W355">
        <f t="shared" si="189"/>
        <v>94</v>
      </c>
      <c r="X355">
        <f t="shared" si="190"/>
        <v>77</v>
      </c>
      <c r="Y355">
        <f t="shared" si="191"/>
        <v>20</v>
      </c>
      <c r="Z355">
        <f t="shared" si="192"/>
        <v>11</v>
      </c>
      <c r="AA355">
        <f t="shared" si="193"/>
        <v>4</v>
      </c>
      <c r="AB355">
        <f t="shared" si="194"/>
        <v>5</v>
      </c>
      <c r="AC355">
        <f t="shared" si="195"/>
        <v>114</v>
      </c>
      <c r="AD355">
        <f t="shared" si="196"/>
        <v>4</v>
      </c>
      <c r="AF355">
        <f t="shared" si="209"/>
        <v>0</v>
      </c>
      <c r="AG355">
        <f t="shared" si="210"/>
        <v>0</v>
      </c>
      <c r="AH355">
        <f t="shared" si="211"/>
        <v>0</v>
      </c>
      <c r="AI355">
        <f t="shared" si="212"/>
        <v>0</v>
      </c>
      <c r="AJ355">
        <f t="shared" si="213"/>
        <v>0</v>
      </c>
      <c r="AK355">
        <f t="shared" si="214"/>
        <v>0</v>
      </c>
      <c r="AL355">
        <f t="shared" si="215"/>
        <v>0</v>
      </c>
      <c r="AM355">
        <f t="shared" si="216"/>
        <v>0</v>
      </c>
      <c r="AN355">
        <f t="shared" si="217"/>
        <v>0</v>
      </c>
      <c r="AO355">
        <f t="shared" si="218"/>
        <v>0</v>
      </c>
      <c r="AP355">
        <f t="shared" si="219"/>
        <v>0</v>
      </c>
      <c r="AQ355">
        <f t="shared" si="220"/>
        <v>0</v>
      </c>
    </row>
    <row r="356" spans="1:43" x14ac:dyDescent="0.45">
      <c r="A356" s="51">
        <v>55</v>
      </c>
      <c r="B356" s="51" t="s">
        <v>330</v>
      </c>
      <c r="C356" s="56" t="s">
        <v>126</v>
      </c>
      <c r="D356" s="50" t="s">
        <v>60</v>
      </c>
      <c r="E356" s="19">
        <v>3112.0941331373374</v>
      </c>
      <c r="F356">
        <f t="shared" si="197"/>
        <v>0</v>
      </c>
      <c r="G356">
        <f t="shared" si="198"/>
        <v>0</v>
      </c>
      <c r="H356">
        <f t="shared" si="199"/>
        <v>0</v>
      </c>
      <c r="I356">
        <f t="shared" si="200"/>
        <v>0</v>
      </c>
      <c r="J356">
        <f t="shared" si="201"/>
        <v>3112.0941331373374</v>
      </c>
      <c r="K356">
        <f t="shared" si="202"/>
        <v>0</v>
      </c>
      <c r="L356">
        <f t="shared" si="203"/>
        <v>0</v>
      </c>
      <c r="M356">
        <f t="shared" si="204"/>
        <v>0</v>
      </c>
      <c r="N356">
        <f t="shared" si="205"/>
        <v>0</v>
      </c>
      <c r="O356">
        <f t="shared" si="206"/>
        <v>0</v>
      </c>
      <c r="P356">
        <f t="shared" si="207"/>
        <v>0</v>
      </c>
      <c r="Q356">
        <f t="shared" si="208"/>
        <v>0</v>
      </c>
      <c r="S356">
        <f t="shared" si="185"/>
        <v>43</v>
      </c>
      <c r="T356">
        <f t="shared" si="186"/>
        <v>35</v>
      </c>
      <c r="U356">
        <f t="shared" si="187"/>
        <v>16</v>
      </c>
      <c r="V356">
        <f t="shared" si="188"/>
        <v>15</v>
      </c>
      <c r="W356">
        <f t="shared" si="189"/>
        <v>94</v>
      </c>
      <c r="X356">
        <f t="shared" si="190"/>
        <v>76</v>
      </c>
      <c r="Y356">
        <f t="shared" si="191"/>
        <v>20</v>
      </c>
      <c r="Z356">
        <f t="shared" si="192"/>
        <v>11</v>
      </c>
      <c r="AA356">
        <f t="shared" si="193"/>
        <v>4</v>
      </c>
      <c r="AB356">
        <f t="shared" si="194"/>
        <v>5</v>
      </c>
      <c r="AC356">
        <f t="shared" si="195"/>
        <v>114</v>
      </c>
      <c r="AD356">
        <f t="shared" si="196"/>
        <v>4</v>
      </c>
      <c r="AF356">
        <f t="shared" si="209"/>
        <v>0</v>
      </c>
      <c r="AG356">
        <f t="shared" si="210"/>
        <v>0</v>
      </c>
      <c r="AH356">
        <f t="shared" si="211"/>
        <v>0</v>
      </c>
      <c r="AI356">
        <f t="shared" si="212"/>
        <v>0</v>
      </c>
      <c r="AJ356">
        <f t="shared" si="213"/>
        <v>0</v>
      </c>
      <c r="AK356">
        <f t="shared" si="214"/>
        <v>0</v>
      </c>
      <c r="AL356">
        <f t="shared" si="215"/>
        <v>0</v>
      </c>
      <c r="AM356">
        <f t="shared" si="216"/>
        <v>0</v>
      </c>
      <c r="AN356">
        <f t="shared" si="217"/>
        <v>0</v>
      </c>
      <c r="AO356">
        <f t="shared" si="218"/>
        <v>0</v>
      </c>
      <c r="AP356">
        <f t="shared" si="219"/>
        <v>0</v>
      </c>
      <c r="AQ356">
        <f t="shared" si="220"/>
        <v>0</v>
      </c>
    </row>
    <row r="357" spans="1:43" x14ac:dyDescent="0.35">
      <c r="A357" s="51">
        <v>56</v>
      </c>
      <c r="B357" s="51" t="s">
        <v>330</v>
      </c>
      <c r="C357" s="62" t="s">
        <v>128</v>
      </c>
      <c r="D357" s="51" t="s">
        <v>54</v>
      </c>
      <c r="E357" s="19">
        <v>3537.3143158416888</v>
      </c>
      <c r="F357">
        <f t="shared" si="197"/>
        <v>0</v>
      </c>
      <c r="G357">
        <f t="shared" si="198"/>
        <v>0</v>
      </c>
      <c r="H357">
        <f t="shared" si="199"/>
        <v>0</v>
      </c>
      <c r="I357">
        <f t="shared" si="200"/>
        <v>0</v>
      </c>
      <c r="J357">
        <f t="shared" si="201"/>
        <v>0</v>
      </c>
      <c r="K357">
        <f t="shared" si="202"/>
        <v>3537.3143158416888</v>
      </c>
      <c r="L357">
        <f t="shared" si="203"/>
        <v>0</v>
      </c>
      <c r="M357">
        <f t="shared" si="204"/>
        <v>0</v>
      </c>
      <c r="N357">
        <f t="shared" si="205"/>
        <v>0</v>
      </c>
      <c r="O357">
        <f t="shared" si="206"/>
        <v>0</v>
      </c>
      <c r="P357">
        <f t="shared" si="207"/>
        <v>0</v>
      </c>
      <c r="Q357">
        <f t="shared" si="208"/>
        <v>0</v>
      </c>
      <c r="S357">
        <f t="shared" si="185"/>
        <v>43</v>
      </c>
      <c r="T357">
        <f t="shared" si="186"/>
        <v>35</v>
      </c>
      <c r="U357">
        <f t="shared" si="187"/>
        <v>16</v>
      </c>
      <c r="V357">
        <f t="shared" si="188"/>
        <v>15</v>
      </c>
      <c r="W357">
        <f t="shared" si="189"/>
        <v>93</v>
      </c>
      <c r="X357">
        <f t="shared" si="190"/>
        <v>76</v>
      </c>
      <c r="Y357">
        <f t="shared" si="191"/>
        <v>20</v>
      </c>
      <c r="Z357">
        <f t="shared" si="192"/>
        <v>11</v>
      </c>
      <c r="AA357">
        <f t="shared" si="193"/>
        <v>4</v>
      </c>
      <c r="AB357">
        <f t="shared" si="194"/>
        <v>5</v>
      </c>
      <c r="AC357">
        <f t="shared" si="195"/>
        <v>114</v>
      </c>
      <c r="AD357">
        <f t="shared" si="196"/>
        <v>4</v>
      </c>
      <c r="AF357">
        <f t="shared" si="209"/>
        <v>0</v>
      </c>
      <c r="AG357">
        <f t="shared" si="210"/>
        <v>0</v>
      </c>
      <c r="AH357">
        <f t="shared" si="211"/>
        <v>0</v>
      </c>
      <c r="AI357">
        <f t="shared" si="212"/>
        <v>0</v>
      </c>
      <c r="AJ357">
        <f t="shared" si="213"/>
        <v>0</v>
      </c>
      <c r="AK357">
        <f t="shared" si="214"/>
        <v>0</v>
      </c>
      <c r="AL357">
        <f t="shared" si="215"/>
        <v>0</v>
      </c>
      <c r="AM357">
        <f t="shared" si="216"/>
        <v>0</v>
      </c>
      <c r="AN357">
        <f t="shared" si="217"/>
        <v>0</v>
      </c>
      <c r="AO357">
        <f t="shared" si="218"/>
        <v>0</v>
      </c>
      <c r="AP357">
        <f t="shared" si="219"/>
        <v>0</v>
      </c>
      <c r="AQ357">
        <f t="shared" si="220"/>
        <v>0</v>
      </c>
    </row>
    <row r="358" spans="1:43" x14ac:dyDescent="0.45">
      <c r="A358" s="51">
        <v>57</v>
      </c>
      <c r="B358" s="51" t="s">
        <v>331</v>
      </c>
      <c r="C358" s="56" t="s">
        <v>130</v>
      </c>
      <c r="D358" s="50" t="s">
        <v>60</v>
      </c>
      <c r="E358" s="19">
        <v>3101.0003448638417</v>
      </c>
      <c r="F358">
        <f t="shared" si="197"/>
        <v>0</v>
      </c>
      <c r="G358">
        <f t="shared" si="198"/>
        <v>0</v>
      </c>
      <c r="H358">
        <f t="shared" si="199"/>
        <v>0</v>
      </c>
      <c r="I358">
        <f t="shared" si="200"/>
        <v>0</v>
      </c>
      <c r="J358">
        <f t="shared" si="201"/>
        <v>3101.0003448638417</v>
      </c>
      <c r="K358">
        <f t="shared" si="202"/>
        <v>0</v>
      </c>
      <c r="L358">
        <f t="shared" si="203"/>
        <v>0</v>
      </c>
      <c r="M358">
        <f t="shared" si="204"/>
        <v>0</v>
      </c>
      <c r="N358">
        <f t="shared" si="205"/>
        <v>0</v>
      </c>
      <c r="O358">
        <f t="shared" si="206"/>
        <v>0</v>
      </c>
      <c r="P358">
        <f t="shared" si="207"/>
        <v>0</v>
      </c>
      <c r="Q358">
        <f t="shared" si="208"/>
        <v>0</v>
      </c>
      <c r="S358">
        <f t="shared" si="185"/>
        <v>43</v>
      </c>
      <c r="T358">
        <f t="shared" si="186"/>
        <v>35</v>
      </c>
      <c r="U358">
        <f t="shared" si="187"/>
        <v>16</v>
      </c>
      <c r="V358">
        <f t="shared" si="188"/>
        <v>15</v>
      </c>
      <c r="W358">
        <f t="shared" si="189"/>
        <v>93</v>
      </c>
      <c r="X358">
        <f t="shared" si="190"/>
        <v>75</v>
      </c>
      <c r="Y358">
        <f t="shared" si="191"/>
        <v>20</v>
      </c>
      <c r="Z358">
        <f t="shared" si="192"/>
        <v>11</v>
      </c>
      <c r="AA358">
        <f t="shared" si="193"/>
        <v>4</v>
      </c>
      <c r="AB358">
        <f t="shared" si="194"/>
        <v>5</v>
      </c>
      <c r="AC358">
        <f t="shared" si="195"/>
        <v>114</v>
      </c>
      <c r="AD358">
        <f t="shared" si="196"/>
        <v>4</v>
      </c>
      <c r="AF358">
        <f t="shared" si="209"/>
        <v>0</v>
      </c>
      <c r="AG358">
        <f t="shared" si="210"/>
        <v>0</v>
      </c>
      <c r="AH358">
        <f t="shared" si="211"/>
        <v>0</v>
      </c>
      <c r="AI358">
        <f t="shared" si="212"/>
        <v>0</v>
      </c>
      <c r="AJ358">
        <f t="shared" si="213"/>
        <v>0</v>
      </c>
      <c r="AK358">
        <f t="shared" si="214"/>
        <v>0</v>
      </c>
      <c r="AL358">
        <f t="shared" si="215"/>
        <v>0</v>
      </c>
      <c r="AM358">
        <f t="shared" si="216"/>
        <v>0</v>
      </c>
      <c r="AN358">
        <f t="shared" si="217"/>
        <v>0</v>
      </c>
      <c r="AO358">
        <f t="shared" si="218"/>
        <v>0</v>
      </c>
      <c r="AP358">
        <f t="shared" si="219"/>
        <v>0</v>
      </c>
      <c r="AQ358">
        <f t="shared" si="220"/>
        <v>0</v>
      </c>
    </row>
    <row r="359" spans="1:43" x14ac:dyDescent="0.45">
      <c r="A359" s="51">
        <v>58</v>
      </c>
      <c r="B359" s="51" t="s">
        <v>331</v>
      </c>
      <c r="C359" s="56" t="s">
        <v>129</v>
      </c>
      <c r="D359" s="50" t="s">
        <v>76</v>
      </c>
      <c r="E359" s="19">
        <v>3486.8481310137909</v>
      </c>
      <c r="F359">
        <f t="shared" si="197"/>
        <v>3486.8481310137909</v>
      </c>
      <c r="G359">
        <f t="shared" si="198"/>
        <v>0</v>
      </c>
      <c r="H359">
        <f t="shared" si="199"/>
        <v>0</v>
      </c>
      <c r="I359">
        <f t="shared" si="200"/>
        <v>0</v>
      </c>
      <c r="J359">
        <f t="shared" si="201"/>
        <v>0</v>
      </c>
      <c r="K359">
        <f t="shared" si="202"/>
        <v>0</v>
      </c>
      <c r="L359">
        <f t="shared" si="203"/>
        <v>0</v>
      </c>
      <c r="M359">
        <f t="shared" si="204"/>
        <v>0</v>
      </c>
      <c r="N359">
        <f t="shared" si="205"/>
        <v>0</v>
      </c>
      <c r="O359">
        <f t="shared" si="206"/>
        <v>0</v>
      </c>
      <c r="P359">
        <f t="shared" si="207"/>
        <v>0</v>
      </c>
      <c r="Q359">
        <f t="shared" si="208"/>
        <v>0</v>
      </c>
      <c r="S359">
        <f t="shared" si="185"/>
        <v>43</v>
      </c>
      <c r="T359">
        <f t="shared" si="186"/>
        <v>35</v>
      </c>
      <c r="U359">
        <f t="shared" si="187"/>
        <v>16</v>
      </c>
      <c r="V359">
        <f t="shared" si="188"/>
        <v>15</v>
      </c>
      <c r="W359">
        <f t="shared" si="189"/>
        <v>92</v>
      </c>
      <c r="X359">
        <f t="shared" si="190"/>
        <v>75</v>
      </c>
      <c r="Y359">
        <f t="shared" si="191"/>
        <v>20</v>
      </c>
      <c r="Z359">
        <f t="shared" si="192"/>
        <v>11</v>
      </c>
      <c r="AA359">
        <f t="shared" si="193"/>
        <v>4</v>
      </c>
      <c r="AB359">
        <f t="shared" si="194"/>
        <v>5</v>
      </c>
      <c r="AC359">
        <f t="shared" si="195"/>
        <v>114</v>
      </c>
      <c r="AD359">
        <f t="shared" si="196"/>
        <v>4</v>
      </c>
      <c r="AF359">
        <f t="shared" si="209"/>
        <v>0</v>
      </c>
      <c r="AG359">
        <f t="shared" si="210"/>
        <v>0</v>
      </c>
      <c r="AH359">
        <f t="shared" si="211"/>
        <v>0</v>
      </c>
      <c r="AI359">
        <f t="shared" si="212"/>
        <v>0</v>
      </c>
      <c r="AJ359">
        <f t="shared" si="213"/>
        <v>0</v>
      </c>
      <c r="AK359">
        <f t="shared" si="214"/>
        <v>0</v>
      </c>
      <c r="AL359">
        <f t="shared" si="215"/>
        <v>0</v>
      </c>
      <c r="AM359">
        <f t="shared" si="216"/>
        <v>0</v>
      </c>
      <c r="AN359">
        <f t="shared" si="217"/>
        <v>0</v>
      </c>
      <c r="AO359">
        <f t="shared" si="218"/>
        <v>0</v>
      </c>
      <c r="AP359">
        <f t="shared" si="219"/>
        <v>0</v>
      </c>
      <c r="AQ359">
        <f t="shared" si="220"/>
        <v>0</v>
      </c>
    </row>
    <row r="360" spans="1:43" x14ac:dyDescent="0.35">
      <c r="A360" s="51">
        <v>59</v>
      </c>
      <c r="B360" s="51" t="s">
        <v>331</v>
      </c>
      <c r="C360" s="62" t="s">
        <v>131</v>
      </c>
      <c r="D360" s="51" t="s">
        <v>54</v>
      </c>
      <c r="E360" s="19">
        <v>3588.6296306913996</v>
      </c>
      <c r="F360">
        <f t="shared" si="197"/>
        <v>0</v>
      </c>
      <c r="G360">
        <f t="shared" si="198"/>
        <v>0</v>
      </c>
      <c r="H360">
        <f t="shared" si="199"/>
        <v>0</v>
      </c>
      <c r="I360">
        <f t="shared" si="200"/>
        <v>0</v>
      </c>
      <c r="J360">
        <f t="shared" si="201"/>
        <v>0</v>
      </c>
      <c r="K360">
        <f t="shared" si="202"/>
        <v>3588.6296306913996</v>
      </c>
      <c r="L360">
        <f t="shared" si="203"/>
        <v>0</v>
      </c>
      <c r="M360">
        <f t="shared" si="204"/>
        <v>0</v>
      </c>
      <c r="N360">
        <f t="shared" si="205"/>
        <v>0</v>
      </c>
      <c r="O360">
        <f t="shared" si="206"/>
        <v>0</v>
      </c>
      <c r="P360">
        <f t="shared" si="207"/>
        <v>0</v>
      </c>
      <c r="Q360">
        <f t="shared" si="208"/>
        <v>0</v>
      </c>
      <c r="S360">
        <f t="shared" si="185"/>
        <v>42</v>
      </c>
      <c r="T360">
        <f t="shared" si="186"/>
        <v>35</v>
      </c>
      <c r="U360">
        <f t="shared" si="187"/>
        <v>16</v>
      </c>
      <c r="V360">
        <f t="shared" si="188"/>
        <v>15</v>
      </c>
      <c r="W360">
        <f t="shared" si="189"/>
        <v>92</v>
      </c>
      <c r="X360">
        <f t="shared" si="190"/>
        <v>75</v>
      </c>
      <c r="Y360">
        <f t="shared" si="191"/>
        <v>20</v>
      </c>
      <c r="Z360">
        <f t="shared" si="192"/>
        <v>11</v>
      </c>
      <c r="AA360">
        <f t="shared" si="193"/>
        <v>4</v>
      </c>
      <c r="AB360">
        <f t="shared" si="194"/>
        <v>5</v>
      </c>
      <c r="AC360">
        <f t="shared" si="195"/>
        <v>114</v>
      </c>
      <c r="AD360">
        <f t="shared" si="196"/>
        <v>4</v>
      </c>
      <c r="AF360">
        <f t="shared" si="209"/>
        <v>0</v>
      </c>
      <c r="AG360">
        <f t="shared" si="210"/>
        <v>0</v>
      </c>
      <c r="AH360">
        <f t="shared" si="211"/>
        <v>0</v>
      </c>
      <c r="AI360">
        <f t="shared" si="212"/>
        <v>0</v>
      </c>
      <c r="AJ360">
        <f t="shared" si="213"/>
        <v>0</v>
      </c>
      <c r="AK360">
        <f t="shared" si="214"/>
        <v>0</v>
      </c>
      <c r="AL360">
        <f t="shared" si="215"/>
        <v>0</v>
      </c>
      <c r="AM360">
        <f t="shared" si="216"/>
        <v>0</v>
      </c>
      <c r="AN360">
        <f t="shared" si="217"/>
        <v>0</v>
      </c>
      <c r="AO360">
        <f t="shared" si="218"/>
        <v>0</v>
      </c>
      <c r="AP360">
        <f t="shared" si="219"/>
        <v>0</v>
      </c>
      <c r="AQ360">
        <f t="shared" si="220"/>
        <v>0</v>
      </c>
    </row>
    <row r="361" spans="1:43" x14ac:dyDescent="0.45">
      <c r="A361" s="51">
        <v>60</v>
      </c>
      <c r="B361" s="51" t="s">
        <v>332</v>
      </c>
      <c r="C361" s="56" t="s">
        <v>134</v>
      </c>
      <c r="D361" s="50" t="s">
        <v>222</v>
      </c>
      <c r="E361" s="45">
        <v>2542.0652832879014</v>
      </c>
      <c r="F361">
        <f t="shared" si="197"/>
        <v>0</v>
      </c>
      <c r="G361">
        <f t="shared" si="198"/>
        <v>0</v>
      </c>
      <c r="H361">
        <f t="shared" si="199"/>
        <v>0</v>
      </c>
      <c r="I361">
        <f t="shared" si="200"/>
        <v>0</v>
      </c>
      <c r="J361">
        <f t="shared" si="201"/>
        <v>0</v>
      </c>
      <c r="K361">
        <f t="shared" si="202"/>
        <v>0</v>
      </c>
      <c r="L361">
        <f t="shared" si="203"/>
        <v>0</v>
      </c>
      <c r="M361">
        <f t="shared" si="204"/>
        <v>0</v>
      </c>
      <c r="N361">
        <f t="shared" si="205"/>
        <v>0</v>
      </c>
      <c r="O361">
        <f t="shared" si="206"/>
        <v>0</v>
      </c>
      <c r="P361">
        <f t="shared" si="207"/>
        <v>0</v>
      </c>
      <c r="Q361">
        <f t="shared" si="208"/>
        <v>2542.0652832879014</v>
      </c>
      <c r="S361">
        <f t="shared" si="185"/>
        <v>42</v>
      </c>
      <c r="T361">
        <f t="shared" si="186"/>
        <v>35</v>
      </c>
      <c r="U361">
        <f t="shared" si="187"/>
        <v>16</v>
      </c>
      <c r="V361">
        <f t="shared" si="188"/>
        <v>15</v>
      </c>
      <c r="W361">
        <f t="shared" si="189"/>
        <v>92</v>
      </c>
      <c r="X361">
        <f t="shared" si="190"/>
        <v>74</v>
      </c>
      <c r="Y361">
        <f t="shared" si="191"/>
        <v>20</v>
      </c>
      <c r="Z361">
        <f t="shared" si="192"/>
        <v>11</v>
      </c>
      <c r="AA361">
        <f t="shared" si="193"/>
        <v>4</v>
      </c>
      <c r="AB361">
        <f t="shared" si="194"/>
        <v>5</v>
      </c>
      <c r="AC361">
        <f t="shared" si="195"/>
        <v>114</v>
      </c>
      <c r="AD361">
        <f t="shared" si="196"/>
        <v>4</v>
      </c>
      <c r="AF361">
        <f t="shared" si="209"/>
        <v>0</v>
      </c>
      <c r="AG361">
        <f t="shared" si="210"/>
        <v>0</v>
      </c>
      <c r="AH361">
        <f t="shared" si="211"/>
        <v>0</v>
      </c>
      <c r="AI361">
        <f t="shared" si="212"/>
        <v>0</v>
      </c>
      <c r="AJ361">
        <f t="shared" si="213"/>
        <v>0</v>
      </c>
      <c r="AK361">
        <f t="shared" si="214"/>
        <v>0</v>
      </c>
      <c r="AL361">
        <f t="shared" si="215"/>
        <v>0</v>
      </c>
      <c r="AM361">
        <f t="shared" si="216"/>
        <v>0</v>
      </c>
      <c r="AN361">
        <f t="shared" si="217"/>
        <v>0</v>
      </c>
      <c r="AO361">
        <f t="shared" si="218"/>
        <v>0</v>
      </c>
      <c r="AP361">
        <f t="shared" si="219"/>
        <v>0</v>
      </c>
      <c r="AQ361">
        <f t="shared" si="220"/>
        <v>2542.0652832879014</v>
      </c>
    </row>
    <row r="362" spans="1:43" x14ac:dyDescent="0.45">
      <c r="A362" s="51">
        <v>61</v>
      </c>
      <c r="B362" s="51" t="s">
        <v>332</v>
      </c>
      <c r="C362" s="56" t="s">
        <v>133</v>
      </c>
      <c r="D362" s="50" t="s">
        <v>94</v>
      </c>
      <c r="E362" s="45">
        <v>2600.3968757232706</v>
      </c>
      <c r="F362">
        <f t="shared" si="197"/>
        <v>0</v>
      </c>
      <c r="G362">
        <f t="shared" si="198"/>
        <v>0</v>
      </c>
      <c r="H362">
        <f t="shared" si="199"/>
        <v>0</v>
      </c>
      <c r="I362">
        <f t="shared" si="200"/>
        <v>0</v>
      </c>
      <c r="J362">
        <f t="shared" si="201"/>
        <v>0</v>
      </c>
      <c r="K362">
        <f t="shared" si="202"/>
        <v>0</v>
      </c>
      <c r="L362">
        <f t="shared" si="203"/>
        <v>2600.3968757232706</v>
      </c>
      <c r="M362">
        <f t="shared" si="204"/>
        <v>0</v>
      </c>
      <c r="N362">
        <f t="shared" si="205"/>
        <v>0</v>
      </c>
      <c r="O362">
        <f t="shared" si="206"/>
        <v>0</v>
      </c>
      <c r="P362">
        <f t="shared" si="207"/>
        <v>0</v>
      </c>
      <c r="Q362">
        <f t="shared" si="208"/>
        <v>0</v>
      </c>
      <c r="S362">
        <f t="shared" si="185"/>
        <v>42</v>
      </c>
      <c r="T362">
        <f t="shared" si="186"/>
        <v>35</v>
      </c>
      <c r="U362">
        <f t="shared" si="187"/>
        <v>16</v>
      </c>
      <c r="V362">
        <f t="shared" si="188"/>
        <v>15</v>
      </c>
      <c r="W362">
        <f t="shared" si="189"/>
        <v>92</v>
      </c>
      <c r="X362">
        <f t="shared" si="190"/>
        <v>74</v>
      </c>
      <c r="Y362">
        <f t="shared" si="191"/>
        <v>20</v>
      </c>
      <c r="Z362">
        <f t="shared" si="192"/>
        <v>11</v>
      </c>
      <c r="AA362">
        <f t="shared" si="193"/>
        <v>4</v>
      </c>
      <c r="AB362">
        <f t="shared" si="194"/>
        <v>5</v>
      </c>
      <c r="AC362">
        <f t="shared" si="195"/>
        <v>114</v>
      </c>
      <c r="AD362">
        <f t="shared" si="196"/>
        <v>3</v>
      </c>
      <c r="AF362">
        <f t="shared" si="209"/>
        <v>0</v>
      </c>
      <c r="AG362">
        <f t="shared" si="210"/>
        <v>0</v>
      </c>
      <c r="AH362">
        <f t="shared" si="211"/>
        <v>0</v>
      </c>
      <c r="AI362">
        <f t="shared" si="212"/>
        <v>0</v>
      </c>
      <c r="AJ362">
        <f t="shared" si="213"/>
        <v>0</v>
      </c>
      <c r="AK362">
        <f t="shared" si="214"/>
        <v>0</v>
      </c>
      <c r="AL362">
        <f t="shared" si="215"/>
        <v>0</v>
      </c>
      <c r="AM362">
        <f t="shared" si="216"/>
        <v>0</v>
      </c>
      <c r="AN362">
        <f t="shared" si="217"/>
        <v>0</v>
      </c>
      <c r="AO362">
        <f t="shared" si="218"/>
        <v>0</v>
      </c>
      <c r="AP362">
        <f t="shared" si="219"/>
        <v>0</v>
      </c>
      <c r="AQ362">
        <f t="shared" si="220"/>
        <v>0</v>
      </c>
    </row>
    <row r="363" spans="1:43" x14ac:dyDescent="0.35">
      <c r="A363" s="51">
        <v>62</v>
      </c>
      <c r="B363" s="51" t="s">
        <v>332</v>
      </c>
      <c r="C363" s="62" t="s">
        <v>135</v>
      </c>
      <c r="D363" s="51" t="s">
        <v>76</v>
      </c>
      <c r="E363" s="45">
        <v>2602.4123219924018</v>
      </c>
      <c r="F363">
        <f t="shared" ref="F363:F426" si="221">IF(D363="SPUR-01",E363,0)</f>
        <v>2602.4123219924018</v>
      </c>
      <c r="G363">
        <f t="shared" ref="G363:G426" si="222">IF(D363="SPUR-02",E363,0)</f>
        <v>0</v>
      </c>
      <c r="H363">
        <f t="shared" ref="H363:H426" si="223">IF(D363="SPUR-03",E363,0)</f>
        <v>0</v>
      </c>
      <c r="I363">
        <f t="shared" ref="I363:I426" si="224">IF(D363="SPUR-04",E363,0)</f>
        <v>0</v>
      </c>
      <c r="J363">
        <f t="shared" ref="J363:J426" si="225">IF(D363="SPUR-05",E363,0)</f>
        <v>0</v>
      </c>
      <c r="K363">
        <f t="shared" ref="K363:K426" si="226">IF(D363="SPUR-06",E363,0)</f>
        <v>0</v>
      </c>
      <c r="L363">
        <f t="shared" ref="L363:L426" si="227">IF(D363="SPUR-07",E363,0)</f>
        <v>0</v>
      </c>
      <c r="M363">
        <f t="shared" ref="M363:M426" si="228">IF(D363="SPUR-08",E363,0)</f>
        <v>0</v>
      </c>
      <c r="N363">
        <f t="shared" ref="N363:N426" si="229">IF(D363="SPUR-09",E363,0)</f>
        <v>0</v>
      </c>
      <c r="O363">
        <f t="shared" ref="O363:O426" si="230">IF(D363="SPUR-10",E363,0)</f>
        <v>0</v>
      </c>
      <c r="P363">
        <f t="shared" ref="P363:P426" si="231">IF(D363="SPUR-SILO",E363,0)</f>
        <v>0</v>
      </c>
      <c r="Q363">
        <f t="shared" ref="Q363:Q426" si="232">IF(D363="SPUR-DB",E363,0)</f>
        <v>0</v>
      </c>
      <c r="S363">
        <f t="shared" ref="S363:S426" si="233">IF(F363&gt;0,1,0)+S364</f>
        <v>42</v>
      </c>
      <c r="T363">
        <f t="shared" ref="T363:T426" si="234">IF(G363&gt;0,1,0)+T364</f>
        <v>35</v>
      </c>
      <c r="U363">
        <f t="shared" ref="U363:U426" si="235">IF(H363&gt;0,1,0)+U364</f>
        <v>16</v>
      </c>
      <c r="V363">
        <f t="shared" ref="V363:V426" si="236">IF(I363&gt;0,1,0)+V364</f>
        <v>15</v>
      </c>
      <c r="W363">
        <f t="shared" ref="W363:W426" si="237">IF(J363&gt;0,1,0)+W364</f>
        <v>92</v>
      </c>
      <c r="X363">
        <f t="shared" ref="X363:X426" si="238">IF(K363&gt;0,1,0)+X364</f>
        <v>74</v>
      </c>
      <c r="Y363">
        <f t="shared" ref="Y363:Y426" si="239">IF(L363&gt;0,1,0)+Y364</f>
        <v>19</v>
      </c>
      <c r="Z363">
        <f t="shared" ref="Z363:Z426" si="240">IF(M363&gt;0,1,0)+Z364</f>
        <v>11</v>
      </c>
      <c r="AA363">
        <f t="shared" ref="AA363:AA426" si="241">IF(N363&gt;0,1,0)+AA364</f>
        <v>4</v>
      </c>
      <c r="AB363">
        <f t="shared" ref="AB363:AB426" si="242">IF(O363&gt;0,1,0)+AB364</f>
        <v>5</v>
      </c>
      <c r="AC363">
        <f t="shared" ref="AC363:AC426" si="243">IF(P363&gt;0,1,0)+AC364</f>
        <v>114</v>
      </c>
      <c r="AD363">
        <f t="shared" ref="AD363:AD426" si="244">IF(Q363&gt;0,1,0)+AD364</f>
        <v>3</v>
      </c>
      <c r="AF363">
        <f t="shared" ref="AF363:AF426" si="245">IF(S363&lt;=$AT$1,F363,0)</f>
        <v>0</v>
      </c>
      <c r="AG363">
        <f t="shared" ref="AG363:AG426" si="246">IF(T363&lt;=$AT$1,G363,0)</f>
        <v>0</v>
      </c>
      <c r="AH363">
        <f t="shared" ref="AH363:AH426" si="247">IF(U363&lt;=$AT$1,H363,0)</f>
        <v>0</v>
      </c>
      <c r="AI363">
        <f t="shared" ref="AI363:AI426" si="248">IF(V363&lt;=$AT$1,I363,0)</f>
        <v>0</v>
      </c>
      <c r="AJ363">
        <f t="shared" ref="AJ363:AJ426" si="249">IF(W363&lt;=$AT$1,J363,0)</f>
        <v>0</v>
      </c>
      <c r="AK363">
        <f t="shared" ref="AK363:AK426" si="250">IF(X363&lt;=$AT$1,K363,0)</f>
        <v>0</v>
      </c>
      <c r="AL363">
        <f t="shared" ref="AL363:AL426" si="251">IF(Y363&lt;=$AT$1,L363,0)</f>
        <v>0</v>
      </c>
      <c r="AM363">
        <f t="shared" ref="AM363:AM426" si="252">IF(Z363&lt;=$AT$1,M363,0)</f>
        <v>0</v>
      </c>
      <c r="AN363">
        <f t="shared" ref="AN363:AN426" si="253">IF(AA363&lt;=$AT$1,N363,0)</f>
        <v>0</v>
      </c>
      <c r="AO363">
        <f t="shared" ref="AO363:AO426" si="254">IF(AB363&lt;=$AT$1,O363,0)</f>
        <v>0</v>
      </c>
      <c r="AP363">
        <f t="shared" ref="AP363:AP426" si="255">IF(AC363&lt;=$AT$1,P363,0)</f>
        <v>0</v>
      </c>
      <c r="AQ363">
        <f t="shared" ref="AQ363:AQ426" si="256">IF(AD363&lt;=$AT$1,Q363,0)</f>
        <v>0</v>
      </c>
    </row>
    <row r="364" spans="1:43" x14ac:dyDescent="0.45">
      <c r="A364" s="51">
        <v>63</v>
      </c>
      <c r="B364" s="51" t="s">
        <v>333</v>
      </c>
      <c r="C364" s="56" t="s">
        <v>140</v>
      </c>
      <c r="D364" s="50" t="s">
        <v>228</v>
      </c>
      <c r="E364" s="19">
        <v>3532.2640226676458</v>
      </c>
      <c r="F364">
        <f t="shared" si="221"/>
        <v>0</v>
      </c>
      <c r="G364">
        <f t="shared" si="222"/>
        <v>0</v>
      </c>
      <c r="H364">
        <f t="shared" si="223"/>
        <v>0</v>
      </c>
      <c r="I364">
        <f t="shared" si="224"/>
        <v>0</v>
      </c>
      <c r="J364">
        <f t="shared" si="225"/>
        <v>0</v>
      </c>
      <c r="K364">
        <f t="shared" si="226"/>
        <v>0</v>
      </c>
      <c r="L364">
        <f t="shared" si="227"/>
        <v>0</v>
      </c>
      <c r="M364">
        <f t="shared" si="228"/>
        <v>0</v>
      </c>
      <c r="N364">
        <f t="shared" si="229"/>
        <v>0</v>
      </c>
      <c r="O364">
        <f t="shared" si="230"/>
        <v>0</v>
      </c>
      <c r="P364">
        <f t="shared" si="231"/>
        <v>3532.2640226676458</v>
      </c>
      <c r="Q364">
        <f t="shared" si="232"/>
        <v>0</v>
      </c>
      <c r="S364">
        <f t="shared" si="233"/>
        <v>41</v>
      </c>
      <c r="T364">
        <f t="shared" si="234"/>
        <v>35</v>
      </c>
      <c r="U364">
        <f t="shared" si="235"/>
        <v>16</v>
      </c>
      <c r="V364">
        <f t="shared" si="236"/>
        <v>15</v>
      </c>
      <c r="W364">
        <f t="shared" si="237"/>
        <v>92</v>
      </c>
      <c r="X364">
        <f t="shared" si="238"/>
        <v>74</v>
      </c>
      <c r="Y364">
        <f t="shared" si="239"/>
        <v>19</v>
      </c>
      <c r="Z364">
        <f t="shared" si="240"/>
        <v>11</v>
      </c>
      <c r="AA364">
        <f t="shared" si="241"/>
        <v>4</v>
      </c>
      <c r="AB364">
        <f t="shared" si="242"/>
        <v>5</v>
      </c>
      <c r="AC364">
        <f t="shared" si="243"/>
        <v>114</v>
      </c>
      <c r="AD364">
        <f t="shared" si="244"/>
        <v>3</v>
      </c>
      <c r="AF364">
        <f t="shared" si="245"/>
        <v>0</v>
      </c>
      <c r="AG364">
        <f t="shared" si="246"/>
        <v>0</v>
      </c>
      <c r="AH364">
        <f t="shared" si="247"/>
        <v>0</v>
      </c>
      <c r="AI364">
        <f t="shared" si="248"/>
        <v>0</v>
      </c>
      <c r="AJ364">
        <f t="shared" si="249"/>
        <v>0</v>
      </c>
      <c r="AK364">
        <f t="shared" si="250"/>
        <v>0</v>
      </c>
      <c r="AL364">
        <f t="shared" si="251"/>
        <v>0</v>
      </c>
      <c r="AM364">
        <f t="shared" si="252"/>
        <v>0</v>
      </c>
      <c r="AN364">
        <f t="shared" si="253"/>
        <v>0</v>
      </c>
      <c r="AO364">
        <f t="shared" si="254"/>
        <v>0</v>
      </c>
      <c r="AP364">
        <f t="shared" si="255"/>
        <v>0</v>
      </c>
      <c r="AQ364">
        <f t="shared" si="256"/>
        <v>0</v>
      </c>
    </row>
    <row r="365" spans="1:43" x14ac:dyDescent="0.35">
      <c r="A365" s="51">
        <v>64</v>
      </c>
      <c r="B365" s="51" t="s">
        <v>333</v>
      </c>
      <c r="C365" s="62" t="s">
        <v>137</v>
      </c>
      <c r="D365" s="51" t="s">
        <v>76</v>
      </c>
      <c r="E365" s="45">
        <v>2640.0867405396862</v>
      </c>
      <c r="F365">
        <f t="shared" si="221"/>
        <v>2640.0867405396862</v>
      </c>
      <c r="G365">
        <f t="shared" si="222"/>
        <v>0</v>
      </c>
      <c r="H365">
        <f t="shared" si="223"/>
        <v>0</v>
      </c>
      <c r="I365">
        <f t="shared" si="224"/>
        <v>0</v>
      </c>
      <c r="J365">
        <f t="shared" si="225"/>
        <v>0</v>
      </c>
      <c r="K365">
        <f t="shared" si="226"/>
        <v>0</v>
      </c>
      <c r="L365">
        <f t="shared" si="227"/>
        <v>0</v>
      </c>
      <c r="M365">
        <f t="shared" si="228"/>
        <v>0</v>
      </c>
      <c r="N365">
        <f t="shared" si="229"/>
        <v>0</v>
      </c>
      <c r="O365">
        <f t="shared" si="230"/>
        <v>0</v>
      </c>
      <c r="P365">
        <f t="shared" si="231"/>
        <v>0</v>
      </c>
      <c r="Q365">
        <f t="shared" si="232"/>
        <v>0</v>
      </c>
      <c r="S365">
        <f t="shared" si="233"/>
        <v>41</v>
      </c>
      <c r="T365">
        <f t="shared" si="234"/>
        <v>35</v>
      </c>
      <c r="U365">
        <f t="shared" si="235"/>
        <v>16</v>
      </c>
      <c r="V365">
        <f t="shared" si="236"/>
        <v>15</v>
      </c>
      <c r="W365">
        <f t="shared" si="237"/>
        <v>92</v>
      </c>
      <c r="X365">
        <f t="shared" si="238"/>
        <v>74</v>
      </c>
      <c r="Y365">
        <f t="shared" si="239"/>
        <v>19</v>
      </c>
      <c r="Z365">
        <f t="shared" si="240"/>
        <v>11</v>
      </c>
      <c r="AA365">
        <f t="shared" si="241"/>
        <v>4</v>
      </c>
      <c r="AB365">
        <f t="shared" si="242"/>
        <v>5</v>
      </c>
      <c r="AC365">
        <f t="shared" si="243"/>
        <v>113</v>
      </c>
      <c r="AD365">
        <f t="shared" si="244"/>
        <v>3</v>
      </c>
      <c r="AF365">
        <f t="shared" si="245"/>
        <v>0</v>
      </c>
      <c r="AG365">
        <f t="shared" si="246"/>
        <v>0</v>
      </c>
      <c r="AH365">
        <f t="shared" si="247"/>
        <v>0</v>
      </c>
      <c r="AI365">
        <f t="shared" si="248"/>
        <v>0</v>
      </c>
      <c r="AJ365">
        <f t="shared" si="249"/>
        <v>0</v>
      </c>
      <c r="AK365">
        <f t="shared" si="250"/>
        <v>0</v>
      </c>
      <c r="AL365">
        <f t="shared" si="251"/>
        <v>0</v>
      </c>
      <c r="AM365">
        <f t="shared" si="252"/>
        <v>0</v>
      </c>
      <c r="AN365">
        <f t="shared" si="253"/>
        <v>0</v>
      </c>
      <c r="AO365">
        <f t="shared" si="254"/>
        <v>0</v>
      </c>
      <c r="AP365">
        <f t="shared" si="255"/>
        <v>0</v>
      </c>
      <c r="AQ365">
        <f t="shared" si="256"/>
        <v>0</v>
      </c>
    </row>
    <row r="366" spans="1:43" x14ac:dyDescent="0.45">
      <c r="A366" s="51">
        <v>65</v>
      </c>
      <c r="B366" s="51" t="s">
        <v>333</v>
      </c>
      <c r="C366" s="56" t="s">
        <v>138</v>
      </c>
      <c r="D366" s="50" t="s">
        <v>57</v>
      </c>
      <c r="E366" s="19">
        <v>3454.3547467145572</v>
      </c>
      <c r="F366">
        <f t="shared" si="221"/>
        <v>0</v>
      </c>
      <c r="G366">
        <f t="shared" si="222"/>
        <v>0</v>
      </c>
      <c r="H366">
        <f t="shared" si="223"/>
        <v>0</v>
      </c>
      <c r="I366">
        <f t="shared" si="224"/>
        <v>0</v>
      </c>
      <c r="J366">
        <f t="shared" si="225"/>
        <v>0</v>
      </c>
      <c r="K366">
        <f t="shared" si="226"/>
        <v>0</v>
      </c>
      <c r="L366">
        <f t="shared" si="227"/>
        <v>0</v>
      </c>
      <c r="M366">
        <f t="shared" si="228"/>
        <v>3454.3547467145572</v>
      </c>
      <c r="N366">
        <f t="shared" si="229"/>
        <v>0</v>
      </c>
      <c r="O366">
        <f t="shared" si="230"/>
        <v>0</v>
      </c>
      <c r="P366">
        <f t="shared" si="231"/>
        <v>0</v>
      </c>
      <c r="Q366">
        <f t="shared" si="232"/>
        <v>0</v>
      </c>
      <c r="S366">
        <f t="shared" si="233"/>
        <v>40</v>
      </c>
      <c r="T366">
        <f t="shared" si="234"/>
        <v>35</v>
      </c>
      <c r="U366">
        <f t="shared" si="235"/>
        <v>16</v>
      </c>
      <c r="V366">
        <f t="shared" si="236"/>
        <v>15</v>
      </c>
      <c r="W366">
        <f t="shared" si="237"/>
        <v>92</v>
      </c>
      <c r="X366">
        <f t="shared" si="238"/>
        <v>74</v>
      </c>
      <c r="Y366">
        <f t="shared" si="239"/>
        <v>19</v>
      </c>
      <c r="Z366">
        <f t="shared" si="240"/>
        <v>11</v>
      </c>
      <c r="AA366">
        <f t="shared" si="241"/>
        <v>4</v>
      </c>
      <c r="AB366">
        <f t="shared" si="242"/>
        <v>5</v>
      </c>
      <c r="AC366">
        <f t="shared" si="243"/>
        <v>113</v>
      </c>
      <c r="AD366">
        <f t="shared" si="244"/>
        <v>3</v>
      </c>
      <c r="AF366">
        <f t="shared" si="245"/>
        <v>0</v>
      </c>
      <c r="AG366">
        <f t="shared" si="246"/>
        <v>0</v>
      </c>
      <c r="AH366">
        <f t="shared" si="247"/>
        <v>0</v>
      </c>
      <c r="AI366">
        <f t="shared" si="248"/>
        <v>0</v>
      </c>
      <c r="AJ366">
        <f t="shared" si="249"/>
        <v>0</v>
      </c>
      <c r="AK366">
        <f t="shared" si="250"/>
        <v>0</v>
      </c>
      <c r="AL366">
        <f t="shared" si="251"/>
        <v>0</v>
      </c>
      <c r="AM366">
        <f t="shared" si="252"/>
        <v>0</v>
      </c>
      <c r="AN366">
        <f t="shared" si="253"/>
        <v>0</v>
      </c>
      <c r="AO366">
        <f t="shared" si="254"/>
        <v>0</v>
      </c>
      <c r="AP366">
        <f t="shared" si="255"/>
        <v>0</v>
      </c>
      <c r="AQ366">
        <f t="shared" si="256"/>
        <v>0</v>
      </c>
    </row>
    <row r="367" spans="1:43" x14ac:dyDescent="0.45">
      <c r="A367" s="51">
        <v>66</v>
      </c>
      <c r="B367" s="51" t="s">
        <v>334</v>
      </c>
      <c r="C367" s="56" t="s">
        <v>141</v>
      </c>
      <c r="D367" s="50" t="s">
        <v>60</v>
      </c>
      <c r="E367" s="19">
        <v>3221.4058370284756</v>
      </c>
      <c r="F367">
        <f t="shared" si="221"/>
        <v>0</v>
      </c>
      <c r="G367">
        <f t="shared" si="222"/>
        <v>0</v>
      </c>
      <c r="H367">
        <f t="shared" si="223"/>
        <v>0</v>
      </c>
      <c r="I367">
        <f t="shared" si="224"/>
        <v>0</v>
      </c>
      <c r="J367">
        <f t="shared" si="225"/>
        <v>3221.4058370284756</v>
      </c>
      <c r="K367">
        <f t="shared" si="226"/>
        <v>0</v>
      </c>
      <c r="L367">
        <f t="shared" si="227"/>
        <v>0</v>
      </c>
      <c r="M367">
        <f t="shared" si="228"/>
        <v>0</v>
      </c>
      <c r="N367">
        <f t="shared" si="229"/>
        <v>0</v>
      </c>
      <c r="O367">
        <f t="shared" si="230"/>
        <v>0</v>
      </c>
      <c r="P367">
        <f t="shared" si="231"/>
        <v>0</v>
      </c>
      <c r="Q367">
        <f t="shared" si="232"/>
        <v>0</v>
      </c>
      <c r="S367">
        <f t="shared" si="233"/>
        <v>40</v>
      </c>
      <c r="T367">
        <f t="shared" si="234"/>
        <v>35</v>
      </c>
      <c r="U367">
        <f t="shared" si="235"/>
        <v>16</v>
      </c>
      <c r="V367">
        <f t="shared" si="236"/>
        <v>15</v>
      </c>
      <c r="W367">
        <f t="shared" si="237"/>
        <v>92</v>
      </c>
      <c r="X367">
        <f t="shared" si="238"/>
        <v>74</v>
      </c>
      <c r="Y367">
        <f t="shared" si="239"/>
        <v>19</v>
      </c>
      <c r="Z367">
        <f t="shared" si="240"/>
        <v>10</v>
      </c>
      <c r="AA367">
        <f t="shared" si="241"/>
        <v>4</v>
      </c>
      <c r="AB367">
        <f t="shared" si="242"/>
        <v>5</v>
      </c>
      <c r="AC367">
        <f t="shared" si="243"/>
        <v>113</v>
      </c>
      <c r="AD367">
        <f t="shared" si="244"/>
        <v>3</v>
      </c>
      <c r="AF367">
        <f t="shared" si="245"/>
        <v>0</v>
      </c>
      <c r="AG367">
        <f t="shared" si="246"/>
        <v>0</v>
      </c>
      <c r="AH367">
        <f t="shared" si="247"/>
        <v>0</v>
      </c>
      <c r="AI367">
        <f t="shared" si="248"/>
        <v>0</v>
      </c>
      <c r="AJ367">
        <f t="shared" si="249"/>
        <v>0</v>
      </c>
      <c r="AK367">
        <f t="shared" si="250"/>
        <v>0</v>
      </c>
      <c r="AL367">
        <f t="shared" si="251"/>
        <v>0</v>
      </c>
      <c r="AM367">
        <f t="shared" si="252"/>
        <v>0</v>
      </c>
      <c r="AN367">
        <f t="shared" si="253"/>
        <v>0</v>
      </c>
      <c r="AO367">
        <f t="shared" si="254"/>
        <v>0</v>
      </c>
      <c r="AP367">
        <f t="shared" si="255"/>
        <v>0</v>
      </c>
      <c r="AQ367">
        <f t="shared" si="256"/>
        <v>0</v>
      </c>
    </row>
    <row r="368" spans="1:43" x14ac:dyDescent="0.45">
      <c r="A368" s="51">
        <v>67</v>
      </c>
      <c r="B368" s="51" t="s">
        <v>334</v>
      </c>
      <c r="C368" s="56" t="s">
        <v>143</v>
      </c>
      <c r="D368" s="50" t="s">
        <v>222</v>
      </c>
      <c r="E368" s="19">
        <v>3121.9756720637583</v>
      </c>
      <c r="F368">
        <f t="shared" si="221"/>
        <v>0</v>
      </c>
      <c r="G368">
        <f t="shared" si="222"/>
        <v>0</v>
      </c>
      <c r="H368">
        <f t="shared" si="223"/>
        <v>0</v>
      </c>
      <c r="I368">
        <f t="shared" si="224"/>
        <v>0</v>
      </c>
      <c r="J368">
        <f t="shared" si="225"/>
        <v>0</v>
      </c>
      <c r="K368">
        <f t="shared" si="226"/>
        <v>0</v>
      </c>
      <c r="L368">
        <f t="shared" si="227"/>
        <v>0</v>
      </c>
      <c r="M368">
        <f t="shared" si="228"/>
        <v>0</v>
      </c>
      <c r="N368">
        <f t="shared" si="229"/>
        <v>0</v>
      </c>
      <c r="O368">
        <f t="shared" si="230"/>
        <v>0</v>
      </c>
      <c r="P368">
        <f t="shared" si="231"/>
        <v>0</v>
      </c>
      <c r="Q368">
        <f t="shared" si="232"/>
        <v>3121.9756720637583</v>
      </c>
      <c r="S368">
        <f t="shared" si="233"/>
        <v>40</v>
      </c>
      <c r="T368">
        <f t="shared" si="234"/>
        <v>35</v>
      </c>
      <c r="U368">
        <f t="shared" si="235"/>
        <v>16</v>
      </c>
      <c r="V368">
        <f t="shared" si="236"/>
        <v>15</v>
      </c>
      <c r="W368">
        <f t="shared" si="237"/>
        <v>91</v>
      </c>
      <c r="X368">
        <f t="shared" si="238"/>
        <v>74</v>
      </c>
      <c r="Y368">
        <f t="shared" si="239"/>
        <v>19</v>
      </c>
      <c r="Z368">
        <f t="shared" si="240"/>
        <v>10</v>
      </c>
      <c r="AA368">
        <f t="shared" si="241"/>
        <v>4</v>
      </c>
      <c r="AB368">
        <f t="shared" si="242"/>
        <v>5</v>
      </c>
      <c r="AC368">
        <f t="shared" si="243"/>
        <v>113</v>
      </c>
      <c r="AD368">
        <f t="shared" si="244"/>
        <v>3</v>
      </c>
      <c r="AF368">
        <f t="shared" si="245"/>
        <v>0</v>
      </c>
      <c r="AG368">
        <f t="shared" si="246"/>
        <v>0</v>
      </c>
      <c r="AH368">
        <f t="shared" si="247"/>
        <v>0</v>
      </c>
      <c r="AI368">
        <f t="shared" si="248"/>
        <v>0</v>
      </c>
      <c r="AJ368">
        <f t="shared" si="249"/>
        <v>0</v>
      </c>
      <c r="AK368">
        <f t="shared" si="250"/>
        <v>0</v>
      </c>
      <c r="AL368">
        <f t="shared" si="251"/>
        <v>0</v>
      </c>
      <c r="AM368">
        <f t="shared" si="252"/>
        <v>0</v>
      </c>
      <c r="AN368">
        <f t="shared" si="253"/>
        <v>0</v>
      </c>
      <c r="AO368">
        <f t="shared" si="254"/>
        <v>0</v>
      </c>
      <c r="AP368">
        <f t="shared" si="255"/>
        <v>0</v>
      </c>
      <c r="AQ368">
        <f t="shared" si="256"/>
        <v>3121.9756720637583</v>
      </c>
    </row>
    <row r="369" spans="1:43" x14ac:dyDescent="0.45">
      <c r="A369" s="51">
        <v>68</v>
      </c>
      <c r="B369" s="51" t="s">
        <v>334</v>
      </c>
      <c r="C369" s="56" t="s">
        <v>335</v>
      </c>
      <c r="D369" s="50" t="s">
        <v>57</v>
      </c>
      <c r="E369" s="19">
        <v>3106.5380520328631</v>
      </c>
      <c r="F369">
        <f t="shared" si="221"/>
        <v>0</v>
      </c>
      <c r="G369">
        <f t="shared" si="222"/>
        <v>0</v>
      </c>
      <c r="H369">
        <f t="shared" si="223"/>
        <v>0</v>
      </c>
      <c r="I369">
        <f t="shared" si="224"/>
        <v>0</v>
      </c>
      <c r="J369">
        <f t="shared" si="225"/>
        <v>0</v>
      </c>
      <c r="K369">
        <f t="shared" si="226"/>
        <v>0</v>
      </c>
      <c r="L369">
        <f t="shared" si="227"/>
        <v>0</v>
      </c>
      <c r="M369">
        <f t="shared" si="228"/>
        <v>3106.5380520328631</v>
      </c>
      <c r="N369">
        <f t="shared" si="229"/>
        <v>0</v>
      </c>
      <c r="O369">
        <f t="shared" si="230"/>
        <v>0</v>
      </c>
      <c r="P369">
        <f t="shared" si="231"/>
        <v>0</v>
      </c>
      <c r="Q369">
        <f t="shared" si="232"/>
        <v>0</v>
      </c>
      <c r="S369">
        <f t="shared" si="233"/>
        <v>40</v>
      </c>
      <c r="T369">
        <f t="shared" si="234"/>
        <v>35</v>
      </c>
      <c r="U369">
        <f t="shared" si="235"/>
        <v>16</v>
      </c>
      <c r="V369">
        <f t="shared" si="236"/>
        <v>15</v>
      </c>
      <c r="W369">
        <f t="shared" si="237"/>
        <v>91</v>
      </c>
      <c r="X369">
        <f t="shared" si="238"/>
        <v>74</v>
      </c>
      <c r="Y369">
        <f t="shared" si="239"/>
        <v>19</v>
      </c>
      <c r="Z369">
        <f t="shared" si="240"/>
        <v>10</v>
      </c>
      <c r="AA369">
        <f t="shared" si="241"/>
        <v>4</v>
      </c>
      <c r="AB369">
        <f t="shared" si="242"/>
        <v>5</v>
      </c>
      <c r="AC369">
        <f t="shared" si="243"/>
        <v>113</v>
      </c>
      <c r="AD369">
        <f t="shared" si="244"/>
        <v>2</v>
      </c>
      <c r="AF369">
        <f t="shared" si="245"/>
        <v>0</v>
      </c>
      <c r="AG369">
        <f t="shared" si="246"/>
        <v>0</v>
      </c>
      <c r="AH369">
        <f t="shared" si="247"/>
        <v>0</v>
      </c>
      <c r="AI369">
        <f t="shared" si="248"/>
        <v>0</v>
      </c>
      <c r="AJ369">
        <f t="shared" si="249"/>
        <v>0</v>
      </c>
      <c r="AK369">
        <f t="shared" si="250"/>
        <v>0</v>
      </c>
      <c r="AL369">
        <f t="shared" si="251"/>
        <v>0</v>
      </c>
      <c r="AM369">
        <f t="shared" si="252"/>
        <v>3106.5380520328631</v>
      </c>
      <c r="AN369">
        <f t="shared" si="253"/>
        <v>0</v>
      </c>
      <c r="AO369">
        <f t="shared" si="254"/>
        <v>0</v>
      </c>
      <c r="AP369">
        <f t="shared" si="255"/>
        <v>0</v>
      </c>
      <c r="AQ369">
        <f t="shared" si="256"/>
        <v>0</v>
      </c>
    </row>
    <row r="370" spans="1:43" x14ac:dyDescent="0.35">
      <c r="A370" s="51">
        <v>69</v>
      </c>
      <c r="B370" s="51" t="s">
        <v>334</v>
      </c>
      <c r="C370" s="62" t="s">
        <v>145</v>
      </c>
      <c r="D370" s="51" t="s">
        <v>57</v>
      </c>
      <c r="E370" s="49">
        <v>2099.0337427754844</v>
      </c>
      <c r="F370">
        <f t="shared" si="221"/>
        <v>0</v>
      </c>
      <c r="G370">
        <f t="shared" si="222"/>
        <v>0</v>
      </c>
      <c r="H370">
        <f t="shared" si="223"/>
        <v>0</v>
      </c>
      <c r="I370">
        <f t="shared" si="224"/>
        <v>0</v>
      </c>
      <c r="J370">
        <f t="shared" si="225"/>
        <v>0</v>
      </c>
      <c r="K370">
        <f t="shared" si="226"/>
        <v>0</v>
      </c>
      <c r="L370">
        <f t="shared" si="227"/>
        <v>0</v>
      </c>
      <c r="M370">
        <f t="shared" si="228"/>
        <v>2099.0337427754844</v>
      </c>
      <c r="N370">
        <f t="shared" si="229"/>
        <v>0</v>
      </c>
      <c r="O370">
        <f t="shared" si="230"/>
        <v>0</v>
      </c>
      <c r="P370">
        <f t="shared" si="231"/>
        <v>0</v>
      </c>
      <c r="Q370">
        <f t="shared" si="232"/>
        <v>0</v>
      </c>
      <c r="S370">
        <f t="shared" si="233"/>
        <v>40</v>
      </c>
      <c r="T370">
        <f t="shared" si="234"/>
        <v>35</v>
      </c>
      <c r="U370">
        <f t="shared" si="235"/>
        <v>16</v>
      </c>
      <c r="V370">
        <f t="shared" si="236"/>
        <v>15</v>
      </c>
      <c r="W370">
        <f t="shared" si="237"/>
        <v>91</v>
      </c>
      <c r="X370">
        <f t="shared" si="238"/>
        <v>74</v>
      </c>
      <c r="Y370">
        <f t="shared" si="239"/>
        <v>19</v>
      </c>
      <c r="Z370">
        <f t="shared" si="240"/>
        <v>9</v>
      </c>
      <c r="AA370">
        <f t="shared" si="241"/>
        <v>4</v>
      </c>
      <c r="AB370">
        <f t="shared" si="242"/>
        <v>5</v>
      </c>
      <c r="AC370">
        <f t="shared" si="243"/>
        <v>113</v>
      </c>
      <c r="AD370">
        <f t="shared" si="244"/>
        <v>2</v>
      </c>
      <c r="AF370">
        <f t="shared" si="245"/>
        <v>0</v>
      </c>
      <c r="AG370">
        <f t="shared" si="246"/>
        <v>0</v>
      </c>
      <c r="AH370">
        <f t="shared" si="247"/>
        <v>0</v>
      </c>
      <c r="AI370">
        <f t="shared" si="248"/>
        <v>0</v>
      </c>
      <c r="AJ370">
        <f t="shared" si="249"/>
        <v>0</v>
      </c>
      <c r="AK370">
        <f t="shared" si="250"/>
        <v>0</v>
      </c>
      <c r="AL370">
        <f t="shared" si="251"/>
        <v>0</v>
      </c>
      <c r="AM370">
        <f t="shared" si="252"/>
        <v>2099.0337427754844</v>
      </c>
      <c r="AN370">
        <f t="shared" si="253"/>
        <v>0</v>
      </c>
      <c r="AO370">
        <f t="shared" si="254"/>
        <v>0</v>
      </c>
      <c r="AP370">
        <f t="shared" si="255"/>
        <v>0</v>
      </c>
      <c r="AQ370">
        <f t="shared" si="256"/>
        <v>0</v>
      </c>
    </row>
    <row r="371" spans="1:43" x14ac:dyDescent="0.45">
      <c r="A371" s="51">
        <v>70</v>
      </c>
      <c r="B371" s="51" t="s">
        <v>334</v>
      </c>
      <c r="C371" s="56" t="s">
        <v>146</v>
      </c>
      <c r="D371" s="50" t="s">
        <v>60</v>
      </c>
      <c r="E371" s="19">
        <v>3472.0115777894848</v>
      </c>
      <c r="F371">
        <f t="shared" si="221"/>
        <v>0</v>
      </c>
      <c r="G371">
        <f t="shared" si="222"/>
        <v>0</v>
      </c>
      <c r="H371">
        <f t="shared" si="223"/>
        <v>0</v>
      </c>
      <c r="I371">
        <f t="shared" si="224"/>
        <v>0</v>
      </c>
      <c r="J371">
        <f t="shared" si="225"/>
        <v>3472.0115777894848</v>
      </c>
      <c r="K371">
        <f t="shared" si="226"/>
        <v>0</v>
      </c>
      <c r="L371">
        <f t="shared" si="227"/>
        <v>0</v>
      </c>
      <c r="M371">
        <f t="shared" si="228"/>
        <v>0</v>
      </c>
      <c r="N371">
        <f t="shared" si="229"/>
        <v>0</v>
      </c>
      <c r="O371">
        <f t="shared" si="230"/>
        <v>0</v>
      </c>
      <c r="P371">
        <f t="shared" si="231"/>
        <v>0</v>
      </c>
      <c r="Q371">
        <f t="shared" si="232"/>
        <v>0</v>
      </c>
      <c r="S371">
        <f t="shared" si="233"/>
        <v>40</v>
      </c>
      <c r="T371">
        <f t="shared" si="234"/>
        <v>35</v>
      </c>
      <c r="U371">
        <f t="shared" si="235"/>
        <v>16</v>
      </c>
      <c r="V371">
        <f t="shared" si="236"/>
        <v>15</v>
      </c>
      <c r="W371">
        <f t="shared" si="237"/>
        <v>91</v>
      </c>
      <c r="X371">
        <f t="shared" si="238"/>
        <v>74</v>
      </c>
      <c r="Y371">
        <f t="shared" si="239"/>
        <v>19</v>
      </c>
      <c r="Z371">
        <f t="shared" si="240"/>
        <v>8</v>
      </c>
      <c r="AA371">
        <f t="shared" si="241"/>
        <v>4</v>
      </c>
      <c r="AB371">
        <f t="shared" si="242"/>
        <v>5</v>
      </c>
      <c r="AC371">
        <f t="shared" si="243"/>
        <v>113</v>
      </c>
      <c r="AD371">
        <f t="shared" si="244"/>
        <v>2</v>
      </c>
      <c r="AF371">
        <f t="shared" si="245"/>
        <v>0</v>
      </c>
      <c r="AG371">
        <f t="shared" si="246"/>
        <v>0</v>
      </c>
      <c r="AH371">
        <f t="shared" si="247"/>
        <v>0</v>
      </c>
      <c r="AI371">
        <f t="shared" si="248"/>
        <v>0</v>
      </c>
      <c r="AJ371">
        <f t="shared" si="249"/>
        <v>0</v>
      </c>
      <c r="AK371">
        <f t="shared" si="250"/>
        <v>0</v>
      </c>
      <c r="AL371">
        <f t="shared" si="251"/>
        <v>0</v>
      </c>
      <c r="AM371">
        <f t="shared" si="252"/>
        <v>0</v>
      </c>
      <c r="AN371">
        <f t="shared" si="253"/>
        <v>0</v>
      </c>
      <c r="AO371">
        <f t="shared" si="254"/>
        <v>0</v>
      </c>
      <c r="AP371">
        <f t="shared" si="255"/>
        <v>0</v>
      </c>
      <c r="AQ371">
        <f t="shared" si="256"/>
        <v>0</v>
      </c>
    </row>
    <row r="372" spans="1:43" x14ac:dyDescent="0.45">
      <c r="A372" s="51">
        <v>71</v>
      </c>
      <c r="B372" s="51" t="s">
        <v>336</v>
      </c>
      <c r="C372" s="56" t="s">
        <v>148</v>
      </c>
      <c r="D372" s="50" t="s">
        <v>94</v>
      </c>
      <c r="E372" s="19">
        <v>3105.7727763837638</v>
      </c>
      <c r="F372">
        <f t="shared" si="221"/>
        <v>0</v>
      </c>
      <c r="G372">
        <f t="shared" si="222"/>
        <v>0</v>
      </c>
      <c r="H372">
        <f t="shared" si="223"/>
        <v>0</v>
      </c>
      <c r="I372">
        <f t="shared" si="224"/>
        <v>0</v>
      </c>
      <c r="J372">
        <f t="shared" si="225"/>
        <v>0</v>
      </c>
      <c r="K372">
        <f t="shared" si="226"/>
        <v>0</v>
      </c>
      <c r="L372">
        <f t="shared" si="227"/>
        <v>3105.7727763837638</v>
      </c>
      <c r="M372">
        <f t="shared" si="228"/>
        <v>0</v>
      </c>
      <c r="N372">
        <f t="shared" si="229"/>
        <v>0</v>
      </c>
      <c r="O372">
        <f t="shared" si="230"/>
        <v>0</v>
      </c>
      <c r="P372">
        <f t="shared" si="231"/>
        <v>0</v>
      </c>
      <c r="Q372">
        <f t="shared" si="232"/>
        <v>0</v>
      </c>
      <c r="S372">
        <f t="shared" si="233"/>
        <v>40</v>
      </c>
      <c r="T372">
        <f t="shared" si="234"/>
        <v>35</v>
      </c>
      <c r="U372">
        <f t="shared" si="235"/>
        <v>16</v>
      </c>
      <c r="V372">
        <f t="shared" si="236"/>
        <v>15</v>
      </c>
      <c r="W372">
        <f t="shared" si="237"/>
        <v>90</v>
      </c>
      <c r="X372">
        <f t="shared" si="238"/>
        <v>74</v>
      </c>
      <c r="Y372">
        <f t="shared" si="239"/>
        <v>19</v>
      </c>
      <c r="Z372">
        <f t="shared" si="240"/>
        <v>8</v>
      </c>
      <c r="AA372">
        <f t="shared" si="241"/>
        <v>4</v>
      </c>
      <c r="AB372">
        <f t="shared" si="242"/>
        <v>5</v>
      </c>
      <c r="AC372">
        <f t="shared" si="243"/>
        <v>113</v>
      </c>
      <c r="AD372">
        <f t="shared" si="244"/>
        <v>2</v>
      </c>
      <c r="AF372">
        <f t="shared" si="245"/>
        <v>0</v>
      </c>
      <c r="AG372">
        <f t="shared" si="246"/>
        <v>0</v>
      </c>
      <c r="AH372">
        <f t="shared" si="247"/>
        <v>0</v>
      </c>
      <c r="AI372">
        <f t="shared" si="248"/>
        <v>0</v>
      </c>
      <c r="AJ372">
        <f t="shared" si="249"/>
        <v>0</v>
      </c>
      <c r="AK372">
        <f t="shared" si="250"/>
        <v>0</v>
      </c>
      <c r="AL372">
        <f t="shared" si="251"/>
        <v>0</v>
      </c>
      <c r="AM372">
        <f t="shared" si="252"/>
        <v>0</v>
      </c>
      <c r="AN372">
        <f t="shared" si="253"/>
        <v>0</v>
      </c>
      <c r="AO372">
        <f t="shared" si="254"/>
        <v>0</v>
      </c>
      <c r="AP372">
        <f t="shared" si="255"/>
        <v>0</v>
      </c>
      <c r="AQ372">
        <f t="shared" si="256"/>
        <v>0</v>
      </c>
    </row>
    <row r="373" spans="1:43" x14ac:dyDescent="0.45">
      <c r="A373" s="51">
        <v>72</v>
      </c>
      <c r="B373" s="51" t="s">
        <v>336</v>
      </c>
      <c r="C373" s="56" t="s">
        <v>147</v>
      </c>
      <c r="D373" s="50" t="s">
        <v>54</v>
      </c>
      <c r="E373" s="19">
        <v>3218.2931064185664</v>
      </c>
      <c r="F373">
        <f t="shared" si="221"/>
        <v>0</v>
      </c>
      <c r="G373">
        <f t="shared" si="222"/>
        <v>0</v>
      </c>
      <c r="H373">
        <f t="shared" si="223"/>
        <v>0</v>
      </c>
      <c r="I373">
        <f t="shared" si="224"/>
        <v>0</v>
      </c>
      <c r="J373">
        <f t="shared" si="225"/>
        <v>0</v>
      </c>
      <c r="K373">
        <f t="shared" si="226"/>
        <v>3218.2931064185664</v>
      </c>
      <c r="L373">
        <f t="shared" si="227"/>
        <v>0</v>
      </c>
      <c r="M373">
        <f t="shared" si="228"/>
        <v>0</v>
      </c>
      <c r="N373">
        <f t="shared" si="229"/>
        <v>0</v>
      </c>
      <c r="O373">
        <f t="shared" si="230"/>
        <v>0</v>
      </c>
      <c r="P373">
        <f t="shared" si="231"/>
        <v>0</v>
      </c>
      <c r="Q373">
        <f t="shared" si="232"/>
        <v>0</v>
      </c>
      <c r="S373">
        <f t="shared" si="233"/>
        <v>40</v>
      </c>
      <c r="T373">
        <f t="shared" si="234"/>
        <v>35</v>
      </c>
      <c r="U373">
        <f t="shared" si="235"/>
        <v>16</v>
      </c>
      <c r="V373">
        <f t="shared" si="236"/>
        <v>15</v>
      </c>
      <c r="W373">
        <f t="shared" si="237"/>
        <v>90</v>
      </c>
      <c r="X373">
        <f t="shared" si="238"/>
        <v>74</v>
      </c>
      <c r="Y373">
        <f t="shared" si="239"/>
        <v>18</v>
      </c>
      <c r="Z373">
        <f t="shared" si="240"/>
        <v>8</v>
      </c>
      <c r="AA373">
        <f t="shared" si="241"/>
        <v>4</v>
      </c>
      <c r="AB373">
        <f t="shared" si="242"/>
        <v>5</v>
      </c>
      <c r="AC373">
        <f t="shared" si="243"/>
        <v>113</v>
      </c>
      <c r="AD373">
        <f t="shared" si="244"/>
        <v>2</v>
      </c>
      <c r="AF373">
        <f t="shared" si="245"/>
        <v>0</v>
      </c>
      <c r="AG373">
        <f t="shared" si="246"/>
        <v>0</v>
      </c>
      <c r="AH373">
        <f t="shared" si="247"/>
        <v>0</v>
      </c>
      <c r="AI373">
        <f t="shared" si="248"/>
        <v>0</v>
      </c>
      <c r="AJ373">
        <f t="shared" si="249"/>
        <v>0</v>
      </c>
      <c r="AK373">
        <f t="shared" si="250"/>
        <v>0</v>
      </c>
      <c r="AL373">
        <f t="shared" si="251"/>
        <v>0</v>
      </c>
      <c r="AM373">
        <f t="shared" si="252"/>
        <v>0</v>
      </c>
      <c r="AN373">
        <f t="shared" si="253"/>
        <v>0</v>
      </c>
      <c r="AO373">
        <f t="shared" si="254"/>
        <v>0</v>
      </c>
      <c r="AP373">
        <f t="shared" si="255"/>
        <v>0</v>
      </c>
      <c r="AQ373">
        <f t="shared" si="256"/>
        <v>0</v>
      </c>
    </row>
    <row r="374" spans="1:43" x14ac:dyDescent="0.35">
      <c r="A374" s="51">
        <v>73</v>
      </c>
      <c r="B374" s="51" t="s">
        <v>336</v>
      </c>
      <c r="C374" s="62" t="s">
        <v>150</v>
      </c>
      <c r="D374" s="50" t="s">
        <v>60</v>
      </c>
      <c r="E374" s="19">
        <v>2975.0423657486549</v>
      </c>
      <c r="F374">
        <f t="shared" si="221"/>
        <v>0</v>
      </c>
      <c r="G374">
        <f t="shared" si="222"/>
        <v>0</v>
      </c>
      <c r="H374">
        <f t="shared" si="223"/>
        <v>0</v>
      </c>
      <c r="I374">
        <f t="shared" si="224"/>
        <v>0</v>
      </c>
      <c r="J374">
        <f t="shared" si="225"/>
        <v>2975.0423657486549</v>
      </c>
      <c r="K374">
        <f t="shared" si="226"/>
        <v>0</v>
      </c>
      <c r="L374">
        <f t="shared" si="227"/>
        <v>0</v>
      </c>
      <c r="M374">
        <f t="shared" si="228"/>
        <v>0</v>
      </c>
      <c r="N374">
        <f t="shared" si="229"/>
        <v>0</v>
      </c>
      <c r="O374">
        <f t="shared" si="230"/>
        <v>0</v>
      </c>
      <c r="P374">
        <f t="shared" si="231"/>
        <v>0</v>
      </c>
      <c r="Q374">
        <f t="shared" si="232"/>
        <v>0</v>
      </c>
      <c r="S374">
        <f t="shared" si="233"/>
        <v>40</v>
      </c>
      <c r="T374">
        <f t="shared" si="234"/>
        <v>35</v>
      </c>
      <c r="U374">
        <f t="shared" si="235"/>
        <v>16</v>
      </c>
      <c r="V374">
        <f t="shared" si="236"/>
        <v>15</v>
      </c>
      <c r="W374">
        <f t="shared" si="237"/>
        <v>90</v>
      </c>
      <c r="X374">
        <f t="shared" si="238"/>
        <v>73</v>
      </c>
      <c r="Y374">
        <f t="shared" si="239"/>
        <v>18</v>
      </c>
      <c r="Z374">
        <f t="shared" si="240"/>
        <v>8</v>
      </c>
      <c r="AA374">
        <f t="shared" si="241"/>
        <v>4</v>
      </c>
      <c r="AB374">
        <f t="shared" si="242"/>
        <v>5</v>
      </c>
      <c r="AC374">
        <f t="shared" si="243"/>
        <v>113</v>
      </c>
      <c r="AD374">
        <f t="shared" si="244"/>
        <v>2</v>
      </c>
      <c r="AF374">
        <f t="shared" si="245"/>
        <v>0</v>
      </c>
      <c r="AG374">
        <f t="shared" si="246"/>
        <v>0</v>
      </c>
      <c r="AH374">
        <f t="shared" si="247"/>
        <v>0</v>
      </c>
      <c r="AI374">
        <f t="shared" si="248"/>
        <v>0</v>
      </c>
      <c r="AJ374">
        <f t="shared" si="249"/>
        <v>0</v>
      </c>
      <c r="AK374">
        <f t="shared" si="250"/>
        <v>0</v>
      </c>
      <c r="AL374">
        <f t="shared" si="251"/>
        <v>0</v>
      </c>
      <c r="AM374">
        <f t="shared" si="252"/>
        <v>0</v>
      </c>
      <c r="AN374">
        <f t="shared" si="253"/>
        <v>0</v>
      </c>
      <c r="AO374">
        <f t="shared" si="254"/>
        <v>0</v>
      </c>
      <c r="AP374">
        <f t="shared" si="255"/>
        <v>0</v>
      </c>
      <c r="AQ374">
        <f t="shared" si="256"/>
        <v>0</v>
      </c>
    </row>
    <row r="375" spans="1:43" x14ac:dyDescent="0.45">
      <c r="A375" s="51">
        <v>74</v>
      </c>
      <c r="B375" s="51" t="s">
        <v>337</v>
      </c>
      <c r="C375" s="56" t="s">
        <v>151</v>
      </c>
      <c r="D375" s="50" t="s">
        <v>54</v>
      </c>
      <c r="E375" s="19">
        <v>3675.9436651940678</v>
      </c>
      <c r="F375">
        <f t="shared" si="221"/>
        <v>0</v>
      </c>
      <c r="G375">
        <f t="shared" si="222"/>
        <v>0</v>
      </c>
      <c r="H375">
        <f t="shared" si="223"/>
        <v>0</v>
      </c>
      <c r="I375">
        <f t="shared" si="224"/>
        <v>0</v>
      </c>
      <c r="J375">
        <f t="shared" si="225"/>
        <v>0</v>
      </c>
      <c r="K375">
        <f t="shared" si="226"/>
        <v>3675.9436651940678</v>
      </c>
      <c r="L375">
        <f t="shared" si="227"/>
        <v>0</v>
      </c>
      <c r="M375">
        <f t="shared" si="228"/>
        <v>0</v>
      </c>
      <c r="N375">
        <f t="shared" si="229"/>
        <v>0</v>
      </c>
      <c r="O375">
        <f t="shared" si="230"/>
        <v>0</v>
      </c>
      <c r="P375">
        <f t="shared" si="231"/>
        <v>0</v>
      </c>
      <c r="Q375">
        <f t="shared" si="232"/>
        <v>0</v>
      </c>
      <c r="S375">
        <f t="shared" si="233"/>
        <v>40</v>
      </c>
      <c r="T375">
        <f t="shared" si="234"/>
        <v>35</v>
      </c>
      <c r="U375">
        <f t="shared" si="235"/>
        <v>16</v>
      </c>
      <c r="V375">
        <f t="shared" si="236"/>
        <v>15</v>
      </c>
      <c r="W375">
        <f t="shared" si="237"/>
        <v>89</v>
      </c>
      <c r="X375">
        <f t="shared" si="238"/>
        <v>73</v>
      </c>
      <c r="Y375">
        <f t="shared" si="239"/>
        <v>18</v>
      </c>
      <c r="Z375">
        <f t="shared" si="240"/>
        <v>8</v>
      </c>
      <c r="AA375">
        <f t="shared" si="241"/>
        <v>4</v>
      </c>
      <c r="AB375">
        <f t="shared" si="242"/>
        <v>5</v>
      </c>
      <c r="AC375">
        <f t="shared" si="243"/>
        <v>113</v>
      </c>
      <c r="AD375">
        <f t="shared" si="244"/>
        <v>2</v>
      </c>
      <c r="AF375">
        <f t="shared" si="245"/>
        <v>0</v>
      </c>
      <c r="AG375">
        <f t="shared" si="246"/>
        <v>0</v>
      </c>
      <c r="AH375">
        <f t="shared" si="247"/>
        <v>0</v>
      </c>
      <c r="AI375">
        <f t="shared" si="248"/>
        <v>0</v>
      </c>
      <c r="AJ375">
        <f t="shared" si="249"/>
        <v>0</v>
      </c>
      <c r="AK375">
        <f t="shared" si="250"/>
        <v>0</v>
      </c>
      <c r="AL375">
        <f t="shared" si="251"/>
        <v>0</v>
      </c>
      <c r="AM375">
        <f t="shared" si="252"/>
        <v>0</v>
      </c>
      <c r="AN375">
        <f t="shared" si="253"/>
        <v>0</v>
      </c>
      <c r="AO375">
        <f t="shared" si="254"/>
        <v>0</v>
      </c>
      <c r="AP375">
        <f t="shared" si="255"/>
        <v>0</v>
      </c>
      <c r="AQ375">
        <f t="shared" si="256"/>
        <v>0</v>
      </c>
    </row>
    <row r="376" spans="1:43" x14ac:dyDescent="0.45">
      <c r="A376" s="51">
        <v>75</v>
      </c>
      <c r="B376" s="51" t="s">
        <v>337</v>
      </c>
      <c r="C376" s="56" t="s">
        <v>152</v>
      </c>
      <c r="D376" s="50" t="s">
        <v>228</v>
      </c>
      <c r="E376" s="19">
        <v>3144.9205518987342</v>
      </c>
      <c r="F376">
        <f t="shared" si="221"/>
        <v>0</v>
      </c>
      <c r="G376">
        <f t="shared" si="222"/>
        <v>0</v>
      </c>
      <c r="H376">
        <f t="shared" si="223"/>
        <v>0</v>
      </c>
      <c r="I376">
        <f t="shared" si="224"/>
        <v>0</v>
      </c>
      <c r="J376">
        <f t="shared" si="225"/>
        <v>0</v>
      </c>
      <c r="K376">
        <f t="shared" si="226"/>
        <v>0</v>
      </c>
      <c r="L376">
        <f t="shared" si="227"/>
        <v>0</v>
      </c>
      <c r="M376">
        <f t="shared" si="228"/>
        <v>0</v>
      </c>
      <c r="N376">
        <f t="shared" si="229"/>
        <v>0</v>
      </c>
      <c r="O376">
        <f t="shared" si="230"/>
        <v>0</v>
      </c>
      <c r="P376">
        <f t="shared" si="231"/>
        <v>3144.9205518987342</v>
      </c>
      <c r="Q376">
        <f t="shared" si="232"/>
        <v>0</v>
      </c>
      <c r="S376">
        <f t="shared" si="233"/>
        <v>40</v>
      </c>
      <c r="T376">
        <f t="shared" si="234"/>
        <v>35</v>
      </c>
      <c r="U376">
        <f t="shared" si="235"/>
        <v>16</v>
      </c>
      <c r="V376">
        <f t="shared" si="236"/>
        <v>15</v>
      </c>
      <c r="W376">
        <f t="shared" si="237"/>
        <v>89</v>
      </c>
      <c r="X376">
        <f t="shared" si="238"/>
        <v>72</v>
      </c>
      <c r="Y376">
        <f t="shared" si="239"/>
        <v>18</v>
      </c>
      <c r="Z376">
        <f t="shared" si="240"/>
        <v>8</v>
      </c>
      <c r="AA376">
        <f t="shared" si="241"/>
        <v>4</v>
      </c>
      <c r="AB376">
        <f t="shared" si="242"/>
        <v>5</v>
      </c>
      <c r="AC376">
        <f t="shared" si="243"/>
        <v>113</v>
      </c>
      <c r="AD376">
        <f t="shared" si="244"/>
        <v>2</v>
      </c>
      <c r="AF376">
        <f t="shared" si="245"/>
        <v>0</v>
      </c>
      <c r="AG376">
        <f t="shared" si="246"/>
        <v>0</v>
      </c>
      <c r="AH376">
        <f t="shared" si="247"/>
        <v>0</v>
      </c>
      <c r="AI376">
        <f t="shared" si="248"/>
        <v>0</v>
      </c>
      <c r="AJ376">
        <f t="shared" si="249"/>
        <v>0</v>
      </c>
      <c r="AK376">
        <f t="shared" si="250"/>
        <v>0</v>
      </c>
      <c r="AL376">
        <f t="shared" si="251"/>
        <v>0</v>
      </c>
      <c r="AM376">
        <f t="shared" si="252"/>
        <v>0</v>
      </c>
      <c r="AN376">
        <f t="shared" si="253"/>
        <v>0</v>
      </c>
      <c r="AO376">
        <f t="shared" si="254"/>
        <v>0</v>
      </c>
      <c r="AP376">
        <f t="shared" si="255"/>
        <v>0</v>
      </c>
      <c r="AQ376">
        <f t="shared" si="256"/>
        <v>0</v>
      </c>
    </row>
    <row r="377" spans="1:43" x14ac:dyDescent="0.35">
      <c r="A377" s="51">
        <v>76</v>
      </c>
      <c r="B377" s="51" t="s">
        <v>338</v>
      </c>
      <c r="C377" s="62" t="s">
        <v>154</v>
      </c>
      <c r="D377" s="50" t="s">
        <v>60</v>
      </c>
      <c r="E377" s="19">
        <v>3175.9084802709567</v>
      </c>
      <c r="F377">
        <f t="shared" si="221"/>
        <v>0</v>
      </c>
      <c r="G377">
        <f t="shared" si="222"/>
        <v>0</v>
      </c>
      <c r="H377">
        <f t="shared" si="223"/>
        <v>0</v>
      </c>
      <c r="I377">
        <f t="shared" si="224"/>
        <v>0</v>
      </c>
      <c r="J377">
        <f t="shared" si="225"/>
        <v>3175.9084802709567</v>
      </c>
      <c r="K377">
        <f t="shared" si="226"/>
        <v>0</v>
      </c>
      <c r="L377">
        <f t="shared" si="227"/>
        <v>0</v>
      </c>
      <c r="M377">
        <f t="shared" si="228"/>
        <v>0</v>
      </c>
      <c r="N377">
        <f t="shared" si="229"/>
        <v>0</v>
      </c>
      <c r="O377">
        <f t="shared" si="230"/>
        <v>0</v>
      </c>
      <c r="P377">
        <f t="shared" si="231"/>
        <v>0</v>
      </c>
      <c r="Q377">
        <f t="shared" si="232"/>
        <v>0</v>
      </c>
      <c r="S377">
        <f t="shared" si="233"/>
        <v>40</v>
      </c>
      <c r="T377">
        <f t="shared" si="234"/>
        <v>35</v>
      </c>
      <c r="U377">
        <f t="shared" si="235"/>
        <v>16</v>
      </c>
      <c r="V377">
        <f t="shared" si="236"/>
        <v>15</v>
      </c>
      <c r="W377">
        <f t="shared" si="237"/>
        <v>89</v>
      </c>
      <c r="X377">
        <f t="shared" si="238"/>
        <v>72</v>
      </c>
      <c r="Y377">
        <f t="shared" si="239"/>
        <v>18</v>
      </c>
      <c r="Z377">
        <f t="shared" si="240"/>
        <v>8</v>
      </c>
      <c r="AA377">
        <f t="shared" si="241"/>
        <v>4</v>
      </c>
      <c r="AB377">
        <f t="shared" si="242"/>
        <v>5</v>
      </c>
      <c r="AC377">
        <f t="shared" si="243"/>
        <v>112</v>
      </c>
      <c r="AD377">
        <f t="shared" si="244"/>
        <v>2</v>
      </c>
      <c r="AF377">
        <f t="shared" si="245"/>
        <v>0</v>
      </c>
      <c r="AG377">
        <f t="shared" si="246"/>
        <v>0</v>
      </c>
      <c r="AH377">
        <f t="shared" si="247"/>
        <v>0</v>
      </c>
      <c r="AI377">
        <f t="shared" si="248"/>
        <v>0</v>
      </c>
      <c r="AJ377">
        <f t="shared" si="249"/>
        <v>0</v>
      </c>
      <c r="AK377">
        <f t="shared" si="250"/>
        <v>0</v>
      </c>
      <c r="AL377">
        <f t="shared" si="251"/>
        <v>0</v>
      </c>
      <c r="AM377">
        <f t="shared" si="252"/>
        <v>0</v>
      </c>
      <c r="AN377">
        <f t="shared" si="253"/>
        <v>0</v>
      </c>
      <c r="AO377">
        <f t="shared" si="254"/>
        <v>0</v>
      </c>
      <c r="AP377">
        <f t="shared" si="255"/>
        <v>0</v>
      </c>
      <c r="AQ377">
        <f t="shared" si="256"/>
        <v>0</v>
      </c>
    </row>
    <row r="378" spans="1:43" x14ac:dyDescent="0.45">
      <c r="A378" s="51">
        <v>77</v>
      </c>
      <c r="B378" s="51" t="s">
        <v>339</v>
      </c>
      <c r="C378" s="56" t="s">
        <v>156</v>
      </c>
      <c r="D378" s="50" t="s">
        <v>54</v>
      </c>
      <c r="E378" s="19">
        <v>3275.365804434427</v>
      </c>
      <c r="F378">
        <f t="shared" si="221"/>
        <v>0</v>
      </c>
      <c r="G378">
        <f t="shared" si="222"/>
        <v>0</v>
      </c>
      <c r="H378">
        <f t="shared" si="223"/>
        <v>0</v>
      </c>
      <c r="I378">
        <f t="shared" si="224"/>
        <v>0</v>
      </c>
      <c r="J378">
        <f t="shared" si="225"/>
        <v>0</v>
      </c>
      <c r="K378">
        <f t="shared" si="226"/>
        <v>3275.365804434427</v>
      </c>
      <c r="L378">
        <f t="shared" si="227"/>
        <v>0</v>
      </c>
      <c r="M378">
        <f t="shared" si="228"/>
        <v>0</v>
      </c>
      <c r="N378">
        <f t="shared" si="229"/>
        <v>0</v>
      </c>
      <c r="O378">
        <f t="shared" si="230"/>
        <v>0</v>
      </c>
      <c r="P378">
        <f t="shared" si="231"/>
        <v>0</v>
      </c>
      <c r="Q378">
        <f t="shared" si="232"/>
        <v>0</v>
      </c>
      <c r="S378">
        <f t="shared" si="233"/>
        <v>40</v>
      </c>
      <c r="T378">
        <f t="shared" si="234"/>
        <v>35</v>
      </c>
      <c r="U378">
        <f t="shared" si="235"/>
        <v>16</v>
      </c>
      <c r="V378">
        <f t="shared" si="236"/>
        <v>15</v>
      </c>
      <c r="W378">
        <f t="shared" si="237"/>
        <v>88</v>
      </c>
      <c r="X378">
        <f t="shared" si="238"/>
        <v>72</v>
      </c>
      <c r="Y378">
        <f t="shared" si="239"/>
        <v>18</v>
      </c>
      <c r="Z378">
        <f t="shared" si="240"/>
        <v>8</v>
      </c>
      <c r="AA378">
        <f t="shared" si="241"/>
        <v>4</v>
      </c>
      <c r="AB378">
        <f t="shared" si="242"/>
        <v>5</v>
      </c>
      <c r="AC378">
        <f t="shared" si="243"/>
        <v>112</v>
      </c>
      <c r="AD378">
        <f t="shared" si="244"/>
        <v>2</v>
      </c>
      <c r="AF378">
        <f t="shared" si="245"/>
        <v>0</v>
      </c>
      <c r="AG378">
        <f t="shared" si="246"/>
        <v>0</v>
      </c>
      <c r="AH378">
        <f t="shared" si="247"/>
        <v>0</v>
      </c>
      <c r="AI378">
        <f t="shared" si="248"/>
        <v>0</v>
      </c>
      <c r="AJ378">
        <f t="shared" si="249"/>
        <v>0</v>
      </c>
      <c r="AK378">
        <f t="shared" si="250"/>
        <v>0</v>
      </c>
      <c r="AL378">
        <f t="shared" si="251"/>
        <v>0</v>
      </c>
      <c r="AM378">
        <f t="shared" si="252"/>
        <v>0</v>
      </c>
      <c r="AN378">
        <f t="shared" si="253"/>
        <v>0</v>
      </c>
      <c r="AO378">
        <f t="shared" si="254"/>
        <v>0</v>
      </c>
      <c r="AP378">
        <f t="shared" si="255"/>
        <v>0</v>
      </c>
      <c r="AQ378">
        <f t="shared" si="256"/>
        <v>0</v>
      </c>
    </row>
    <row r="379" spans="1:43" x14ac:dyDescent="0.45">
      <c r="A379" s="51">
        <v>78</v>
      </c>
      <c r="B379" s="51" t="s">
        <v>339</v>
      </c>
      <c r="C379" s="56" t="s">
        <v>153</v>
      </c>
      <c r="D379" s="50" t="s">
        <v>94</v>
      </c>
      <c r="E379" s="19">
        <v>2847.2678001686168</v>
      </c>
      <c r="F379">
        <f t="shared" si="221"/>
        <v>0</v>
      </c>
      <c r="G379">
        <f t="shared" si="222"/>
        <v>0</v>
      </c>
      <c r="H379">
        <f t="shared" si="223"/>
        <v>0</v>
      </c>
      <c r="I379">
        <f t="shared" si="224"/>
        <v>0</v>
      </c>
      <c r="J379">
        <f t="shared" si="225"/>
        <v>0</v>
      </c>
      <c r="K379">
        <f t="shared" si="226"/>
        <v>0</v>
      </c>
      <c r="L379">
        <f t="shared" si="227"/>
        <v>2847.2678001686168</v>
      </c>
      <c r="M379">
        <f t="shared" si="228"/>
        <v>0</v>
      </c>
      <c r="N379">
        <f t="shared" si="229"/>
        <v>0</v>
      </c>
      <c r="O379">
        <f t="shared" si="230"/>
        <v>0</v>
      </c>
      <c r="P379">
        <f t="shared" si="231"/>
        <v>0</v>
      </c>
      <c r="Q379">
        <f t="shared" si="232"/>
        <v>0</v>
      </c>
      <c r="S379">
        <f t="shared" si="233"/>
        <v>40</v>
      </c>
      <c r="T379">
        <f t="shared" si="234"/>
        <v>35</v>
      </c>
      <c r="U379">
        <f t="shared" si="235"/>
        <v>16</v>
      </c>
      <c r="V379">
        <f t="shared" si="236"/>
        <v>15</v>
      </c>
      <c r="W379">
        <f t="shared" si="237"/>
        <v>88</v>
      </c>
      <c r="X379">
        <f t="shared" si="238"/>
        <v>71</v>
      </c>
      <c r="Y379">
        <f t="shared" si="239"/>
        <v>18</v>
      </c>
      <c r="Z379">
        <f t="shared" si="240"/>
        <v>8</v>
      </c>
      <c r="AA379">
        <f t="shared" si="241"/>
        <v>4</v>
      </c>
      <c r="AB379">
        <f t="shared" si="242"/>
        <v>5</v>
      </c>
      <c r="AC379">
        <f t="shared" si="243"/>
        <v>112</v>
      </c>
      <c r="AD379">
        <f t="shared" si="244"/>
        <v>2</v>
      </c>
      <c r="AF379">
        <f t="shared" si="245"/>
        <v>0</v>
      </c>
      <c r="AG379">
        <f t="shared" si="246"/>
        <v>0</v>
      </c>
      <c r="AH379">
        <f t="shared" si="247"/>
        <v>0</v>
      </c>
      <c r="AI379">
        <f t="shared" si="248"/>
        <v>0</v>
      </c>
      <c r="AJ379">
        <f t="shared" si="249"/>
        <v>0</v>
      </c>
      <c r="AK379">
        <f t="shared" si="250"/>
        <v>0</v>
      </c>
      <c r="AL379">
        <f t="shared" si="251"/>
        <v>0</v>
      </c>
      <c r="AM379">
        <f t="shared" si="252"/>
        <v>0</v>
      </c>
      <c r="AN379">
        <f t="shared" si="253"/>
        <v>0</v>
      </c>
      <c r="AO379">
        <f t="shared" si="254"/>
        <v>0</v>
      </c>
      <c r="AP379">
        <f t="shared" si="255"/>
        <v>0</v>
      </c>
      <c r="AQ379">
        <f t="shared" si="256"/>
        <v>0</v>
      </c>
    </row>
    <row r="380" spans="1:43" x14ac:dyDescent="0.35">
      <c r="A380" s="51">
        <v>79</v>
      </c>
      <c r="B380" s="51" t="s">
        <v>339</v>
      </c>
      <c r="C380" s="62" t="s">
        <v>158</v>
      </c>
      <c r="D380" s="51" t="s">
        <v>227</v>
      </c>
      <c r="E380" s="19">
        <v>3086.1409608091021</v>
      </c>
      <c r="F380">
        <f t="shared" si="221"/>
        <v>0</v>
      </c>
      <c r="G380">
        <f t="shared" si="222"/>
        <v>3086.1409608091021</v>
      </c>
      <c r="H380">
        <f t="shared" si="223"/>
        <v>0</v>
      </c>
      <c r="I380">
        <f t="shared" si="224"/>
        <v>0</v>
      </c>
      <c r="J380">
        <f t="shared" si="225"/>
        <v>0</v>
      </c>
      <c r="K380">
        <f t="shared" si="226"/>
        <v>0</v>
      </c>
      <c r="L380">
        <f t="shared" si="227"/>
        <v>0</v>
      </c>
      <c r="M380">
        <f t="shared" si="228"/>
        <v>0</v>
      </c>
      <c r="N380">
        <f t="shared" si="229"/>
        <v>0</v>
      </c>
      <c r="O380">
        <f t="shared" si="230"/>
        <v>0</v>
      </c>
      <c r="P380">
        <f t="shared" si="231"/>
        <v>0</v>
      </c>
      <c r="Q380">
        <f t="shared" si="232"/>
        <v>0</v>
      </c>
      <c r="S380">
        <f t="shared" si="233"/>
        <v>40</v>
      </c>
      <c r="T380">
        <f t="shared" si="234"/>
        <v>35</v>
      </c>
      <c r="U380">
        <f t="shared" si="235"/>
        <v>16</v>
      </c>
      <c r="V380">
        <f t="shared" si="236"/>
        <v>15</v>
      </c>
      <c r="W380">
        <f t="shared" si="237"/>
        <v>88</v>
      </c>
      <c r="X380">
        <f t="shared" si="238"/>
        <v>71</v>
      </c>
      <c r="Y380">
        <f t="shared" si="239"/>
        <v>17</v>
      </c>
      <c r="Z380">
        <f t="shared" si="240"/>
        <v>8</v>
      </c>
      <c r="AA380">
        <f t="shared" si="241"/>
        <v>4</v>
      </c>
      <c r="AB380">
        <f t="shared" si="242"/>
        <v>5</v>
      </c>
      <c r="AC380">
        <f t="shared" si="243"/>
        <v>112</v>
      </c>
      <c r="AD380">
        <f t="shared" si="244"/>
        <v>2</v>
      </c>
      <c r="AF380">
        <f t="shared" si="245"/>
        <v>0</v>
      </c>
      <c r="AG380">
        <f t="shared" si="246"/>
        <v>0</v>
      </c>
      <c r="AH380">
        <f t="shared" si="247"/>
        <v>0</v>
      </c>
      <c r="AI380">
        <f t="shared" si="248"/>
        <v>0</v>
      </c>
      <c r="AJ380">
        <f t="shared" si="249"/>
        <v>0</v>
      </c>
      <c r="AK380">
        <f t="shared" si="250"/>
        <v>0</v>
      </c>
      <c r="AL380">
        <f t="shared" si="251"/>
        <v>0</v>
      </c>
      <c r="AM380">
        <f t="shared" si="252"/>
        <v>0</v>
      </c>
      <c r="AN380">
        <f t="shared" si="253"/>
        <v>0</v>
      </c>
      <c r="AO380">
        <f t="shared" si="254"/>
        <v>0</v>
      </c>
      <c r="AP380">
        <f t="shared" si="255"/>
        <v>0</v>
      </c>
      <c r="AQ380">
        <f t="shared" si="256"/>
        <v>0</v>
      </c>
    </row>
    <row r="381" spans="1:43" x14ac:dyDescent="0.45">
      <c r="A381" s="51">
        <v>80</v>
      </c>
      <c r="B381" s="51" t="s">
        <v>341</v>
      </c>
      <c r="C381" s="56" t="s">
        <v>157</v>
      </c>
      <c r="D381" s="50" t="s">
        <v>60</v>
      </c>
      <c r="E381" s="19">
        <v>3082.2879837415544</v>
      </c>
      <c r="F381">
        <f t="shared" si="221"/>
        <v>0</v>
      </c>
      <c r="G381">
        <f t="shared" si="222"/>
        <v>0</v>
      </c>
      <c r="H381">
        <f t="shared" si="223"/>
        <v>0</v>
      </c>
      <c r="I381">
        <f t="shared" si="224"/>
        <v>0</v>
      </c>
      <c r="J381">
        <f t="shared" si="225"/>
        <v>3082.2879837415544</v>
      </c>
      <c r="K381">
        <f t="shared" si="226"/>
        <v>0</v>
      </c>
      <c r="L381">
        <f t="shared" si="227"/>
        <v>0</v>
      </c>
      <c r="M381">
        <f t="shared" si="228"/>
        <v>0</v>
      </c>
      <c r="N381">
        <f t="shared" si="229"/>
        <v>0</v>
      </c>
      <c r="O381">
        <f t="shared" si="230"/>
        <v>0</v>
      </c>
      <c r="P381">
        <f t="shared" si="231"/>
        <v>0</v>
      </c>
      <c r="Q381">
        <f t="shared" si="232"/>
        <v>0</v>
      </c>
      <c r="S381">
        <f t="shared" si="233"/>
        <v>40</v>
      </c>
      <c r="T381">
        <f t="shared" si="234"/>
        <v>34</v>
      </c>
      <c r="U381">
        <f t="shared" si="235"/>
        <v>16</v>
      </c>
      <c r="V381">
        <f t="shared" si="236"/>
        <v>15</v>
      </c>
      <c r="W381">
        <f t="shared" si="237"/>
        <v>88</v>
      </c>
      <c r="X381">
        <f t="shared" si="238"/>
        <v>71</v>
      </c>
      <c r="Y381">
        <f t="shared" si="239"/>
        <v>17</v>
      </c>
      <c r="Z381">
        <f t="shared" si="240"/>
        <v>8</v>
      </c>
      <c r="AA381">
        <f t="shared" si="241"/>
        <v>4</v>
      </c>
      <c r="AB381">
        <f t="shared" si="242"/>
        <v>5</v>
      </c>
      <c r="AC381">
        <f t="shared" si="243"/>
        <v>112</v>
      </c>
      <c r="AD381">
        <f t="shared" si="244"/>
        <v>2</v>
      </c>
      <c r="AF381">
        <f t="shared" si="245"/>
        <v>0</v>
      </c>
      <c r="AG381">
        <f t="shared" si="246"/>
        <v>0</v>
      </c>
      <c r="AH381">
        <f t="shared" si="247"/>
        <v>0</v>
      </c>
      <c r="AI381">
        <f t="shared" si="248"/>
        <v>0</v>
      </c>
      <c r="AJ381">
        <f t="shared" si="249"/>
        <v>0</v>
      </c>
      <c r="AK381">
        <f t="shared" si="250"/>
        <v>0</v>
      </c>
      <c r="AL381">
        <f t="shared" si="251"/>
        <v>0</v>
      </c>
      <c r="AM381">
        <f t="shared" si="252"/>
        <v>0</v>
      </c>
      <c r="AN381">
        <f t="shared" si="253"/>
        <v>0</v>
      </c>
      <c r="AO381">
        <f t="shared" si="254"/>
        <v>0</v>
      </c>
      <c r="AP381">
        <f t="shared" si="255"/>
        <v>0</v>
      </c>
      <c r="AQ381">
        <f t="shared" si="256"/>
        <v>0</v>
      </c>
    </row>
    <row r="382" spans="1:43" x14ac:dyDescent="0.45">
      <c r="A382" s="51">
        <v>81</v>
      </c>
      <c r="B382" s="51" t="s">
        <v>341</v>
      </c>
      <c r="C382" s="56" t="s">
        <v>255</v>
      </c>
      <c r="D382" s="51" t="s">
        <v>227</v>
      </c>
      <c r="E382" s="19">
        <v>3540.2170174942139</v>
      </c>
      <c r="F382">
        <f t="shared" si="221"/>
        <v>0</v>
      </c>
      <c r="G382">
        <f t="shared" si="222"/>
        <v>3540.2170174942139</v>
      </c>
      <c r="H382">
        <f t="shared" si="223"/>
        <v>0</v>
      </c>
      <c r="I382">
        <f t="shared" si="224"/>
        <v>0</v>
      </c>
      <c r="J382">
        <f t="shared" si="225"/>
        <v>0</v>
      </c>
      <c r="K382">
        <f t="shared" si="226"/>
        <v>0</v>
      </c>
      <c r="L382">
        <f t="shared" si="227"/>
        <v>0</v>
      </c>
      <c r="M382">
        <f t="shared" si="228"/>
        <v>0</v>
      </c>
      <c r="N382">
        <f t="shared" si="229"/>
        <v>0</v>
      </c>
      <c r="O382">
        <f t="shared" si="230"/>
        <v>0</v>
      </c>
      <c r="P382">
        <f t="shared" si="231"/>
        <v>0</v>
      </c>
      <c r="Q382">
        <f t="shared" si="232"/>
        <v>0</v>
      </c>
      <c r="S382">
        <f t="shared" si="233"/>
        <v>40</v>
      </c>
      <c r="T382">
        <f t="shared" si="234"/>
        <v>34</v>
      </c>
      <c r="U382">
        <f t="shared" si="235"/>
        <v>16</v>
      </c>
      <c r="V382">
        <f t="shared" si="236"/>
        <v>15</v>
      </c>
      <c r="W382">
        <f t="shared" si="237"/>
        <v>87</v>
      </c>
      <c r="X382">
        <f t="shared" si="238"/>
        <v>71</v>
      </c>
      <c r="Y382">
        <f t="shared" si="239"/>
        <v>17</v>
      </c>
      <c r="Z382">
        <f t="shared" si="240"/>
        <v>8</v>
      </c>
      <c r="AA382">
        <f t="shared" si="241"/>
        <v>4</v>
      </c>
      <c r="AB382">
        <f t="shared" si="242"/>
        <v>5</v>
      </c>
      <c r="AC382">
        <f t="shared" si="243"/>
        <v>112</v>
      </c>
      <c r="AD382">
        <f t="shared" si="244"/>
        <v>2</v>
      </c>
      <c r="AF382">
        <f t="shared" si="245"/>
        <v>0</v>
      </c>
      <c r="AG382">
        <f t="shared" si="246"/>
        <v>0</v>
      </c>
      <c r="AH382">
        <f t="shared" si="247"/>
        <v>0</v>
      </c>
      <c r="AI382">
        <f t="shared" si="248"/>
        <v>0</v>
      </c>
      <c r="AJ382">
        <f t="shared" si="249"/>
        <v>0</v>
      </c>
      <c r="AK382">
        <f t="shared" si="250"/>
        <v>0</v>
      </c>
      <c r="AL382">
        <f t="shared" si="251"/>
        <v>0</v>
      </c>
      <c r="AM382">
        <f t="shared" si="252"/>
        <v>0</v>
      </c>
      <c r="AN382">
        <f t="shared" si="253"/>
        <v>0</v>
      </c>
      <c r="AO382">
        <f t="shared" si="254"/>
        <v>0</v>
      </c>
      <c r="AP382">
        <f t="shared" si="255"/>
        <v>0</v>
      </c>
      <c r="AQ382">
        <f t="shared" si="256"/>
        <v>0</v>
      </c>
    </row>
    <row r="383" spans="1:43" x14ac:dyDescent="0.35">
      <c r="A383" s="51">
        <v>82</v>
      </c>
      <c r="B383" s="51" t="s">
        <v>341</v>
      </c>
      <c r="C383" s="62" t="s">
        <v>160</v>
      </c>
      <c r="D383" s="51" t="s">
        <v>227</v>
      </c>
      <c r="E383" s="19">
        <v>3480.1396510405716</v>
      </c>
      <c r="F383">
        <f t="shared" si="221"/>
        <v>0</v>
      </c>
      <c r="G383">
        <f t="shared" si="222"/>
        <v>3480.1396510405716</v>
      </c>
      <c r="H383">
        <f t="shared" si="223"/>
        <v>0</v>
      </c>
      <c r="I383">
        <f t="shared" si="224"/>
        <v>0</v>
      </c>
      <c r="J383">
        <f t="shared" si="225"/>
        <v>0</v>
      </c>
      <c r="K383">
        <f t="shared" si="226"/>
        <v>0</v>
      </c>
      <c r="L383">
        <f t="shared" si="227"/>
        <v>0</v>
      </c>
      <c r="M383">
        <f t="shared" si="228"/>
        <v>0</v>
      </c>
      <c r="N383">
        <f t="shared" si="229"/>
        <v>0</v>
      </c>
      <c r="O383">
        <f t="shared" si="230"/>
        <v>0</v>
      </c>
      <c r="P383">
        <f t="shared" si="231"/>
        <v>0</v>
      </c>
      <c r="Q383">
        <f t="shared" si="232"/>
        <v>0</v>
      </c>
      <c r="S383">
        <f t="shared" si="233"/>
        <v>40</v>
      </c>
      <c r="T383">
        <f t="shared" si="234"/>
        <v>33</v>
      </c>
      <c r="U383">
        <f t="shared" si="235"/>
        <v>16</v>
      </c>
      <c r="V383">
        <f t="shared" si="236"/>
        <v>15</v>
      </c>
      <c r="W383">
        <f t="shared" si="237"/>
        <v>87</v>
      </c>
      <c r="X383">
        <f t="shared" si="238"/>
        <v>71</v>
      </c>
      <c r="Y383">
        <f t="shared" si="239"/>
        <v>17</v>
      </c>
      <c r="Z383">
        <f t="shared" si="240"/>
        <v>8</v>
      </c>
      <c r="AA383">
        <f t="shared" si="241"/>
        <v>4</v>
      </c>
      <c r="AB383">
        <f t="shared" si="242"/>
        <v>5</v>
      </c>
      <c r="AC383">
        <f t="shared" si="243"/>
        <v>112</v>
      </c>
      <c r="AD383">
        <f t="shared" si="244"/>
        <v>2</v>
      </c>
      <c r="AF383">
        <f t="shared" si="245"/>
        <v>0</v>
      </c>
      <c r="AG383">
        <f t="shared" si="246"/>
        <v>0</v>
      </c>
      <c r="AH383">
        <f t="shared" si="247"/>
        <v>0</v>
      </c>
      <c r="AI383">
        <f t="shared" si="248"/>
        <v>0</v>
      </c>
      <c r="AJ383">
        <f t="shared" si="249"/>
        <v>0</v>
      </c>
      <c r="AK383">
        <f t="shared" si="250"/>
        <v>0</v>
      </c>
      <c r="AL383">
        <f t="shared" si="251"/>
        <v>0</v>
      </c>
      <c r="AM383">
        <f t="shared" si="252"/>
        <v>0</v>
      </c>
      <c r="AN383">
        <f t="shared" si="253"/>
        <v>0</v>
      </c>
      <c r="AO383">
        <f t="shared" si="254"/>
        <v>0</v>
      </c>
      <c r="AP383">
        <f t="shared" si="255"/>
        <v>0</v>
      </c>
      <c r="AQ383">
        <f t="shared" si="256"/>
        <v>0</v>
      </c>
    </row>
    <row r="384" spans="1:43" x14ac:dyDescent="0.35">
      <c r="A384" s="51">
        <v>83</v>
      </c>
      <c r="B384" s="51" t="s">
        <v>342</v>
      </c>
      <c r="C384" s="62" t="s">
        <v>161</v>
      </c>
      <c r="D384" s="51" t="s">
        <v>54</v>
      </c>
      <c r="E384" s="19">
        <v>3177.381459759823</v>
      </c>
      <c r="F384">
        <f t="shared" si="221"/>
        <v>0</v>
      </c>
      <c r="G384">
        <f t="shared" si="222"/>
        <v>0</v>
      </c>
      <c r="H384">
        <f t="shared" si="223"/>
        <v>0</v>
      </c>
      <c r="I384">
        <f t="shared" si="224"/>
        <v>0</v>
      </c>
      <c r="J384">
        <f t="shared" si="225"/>
        <v>0</v>
      </c>
      <c r="K384">
        <f t="shared" si="226"/>
        <v>3177.381459759823</v>
      </c>
      <c r="L384">
        <f t="shared" si="227"/>
        <v>0</v>
      </c>
      <c r="M384">
        <f t="shared" si="228"/>
        <v>0</v>
      </c>
      <c r="N384">
        <f t="shared" si="229"/>
        <v>0</v>
      </c>
      <c r="O384">
        <f t="shared" si="230"/>
        <v>0</v>
      </c>
      <c r="P384">
        <f t="shared" si="231"/>
        <v>0</v>
      </c>
      <c r="Q384">
        <f t="shared" si="232"/>
        <v>0</v>
      </c>
      <c r="S384">
        <f t="shared" si="233"/>
        <v>40</v>
      </c>
      <c r="T384">
        <f t="shared" si="234"/>
        <v>32</v>
      </c>
      <c r="U384">
        <f t="shared" si="235"/>
        <v>16</v>
      </c>
      <c r="V384">
        <f t="shared" si="236"/>
        <v>15</v>
      </c>
      <c r="W384">
        <f t="shared" si="237"/>
        <v>87</v>
      </c>
      <c r="X384">
        <f t="shared" si="238"/>
        <v>71</v>
      </c>
      <c r="Y384">
        <f t="shared" si="239"/>
        <v>17</v>
      </c>
      <c r="Z384">
        <f t="shared" si="240"/>
        <v>8</v>
      </c>
      <c r="AA384">
        <f t="shared" si="241"/>
        <v>4</v>
      </c>
      <c r="AB384">
        <f t="shared" si="242"/>
        <v>5</v>
      </c>
      <c r="AC384">
        <f t="shared" si="243"/>
        <v>112</v>
      </c>
      <c r="AD384">
        <f t="shared" si="244"/>
        <v>2</v>
      </c>
      <c r="AF384">
        <f t="shared" si="245"/>
        <v>0</v>
      </c>
      <c r="AG384">
        <f t="shared" si="246"/>
        <v>0</v>
      </c>
      <c r="AH384">
        <f t="shared" si="247"/>
        <v>0</v>
      </c>
      <c r="AI384">
        <f t="shared" si="248"/>
        <v>0</v>
      </c>
      <c r="AJ384">
        <f t="shared" si="249"/>
        <v>0</v>
      </c>
      <c r="AK384">
        <f t="shared" si="250"/>
        <v>0</v>
      </c>
      <c r="AL384">
        <f t="shared" si="251"/>
        <v>0</v>
      </c>
      <c r="AM384">
        <f t="shared" si="252"/>
        <v>0</v>
      </c>
      <c r="AN384">
        <f t="shared" si="253"/>
        <v>0</v>
      </c>
      <c r="AO384">
        <f t="shared" si="254"/>
        <v>0</v>
      </c>
      <c r="AP384">
        <f t="shared" si="255"/>
        <v>0</v>
      </c>
      <c r="AQ384">
        <f t="shared" si="256"/>
        <v>0</v>
      </c>
    </row>
    <row r="385" spans="1:43" x14ac:dyDescent="0.45">
      <c r="A385" s="51">
        <v>84</v>
      </c>
      <c r="B385" s="51" t="s">
        <v>342</v>
      </c>
      <c r="C385" s="56" t="s">
        <v>164</v>
      </c>
      <c r="D385" s="50" t="s">
        <v>60</v>
      </c>
      <c r="E385" s="19">
        <v>3470.6246682090646</v>
      </c>
      <c r="F385">
        <f t="shared" si="221"/>
        <v>0</v>
      </c>
      <c r="G385">
        <f t="shared" si="222"/>
        <v>0</v>
      </c>
      <c r="H385">
        <f t="shared" si="223"/>
        <v>0</v>
      </c>
      <c r="I385">
        <f t="shared" si="224"/>
        <v>0</v>
      </c>
      <c r="J385">
        <f t="shared" si="225"/>
        <v>3470.6246682090646</v>
      </c>
      <c r="K385">
        <f t="shared" si="226"/>
        <v>0</v>
      </c>
      <c r="L385">
        <f t="shared" si="227"/>
        <v>0</v>
      </c>
      <c r="M385">
        <f t="shared" si="228"/>
        <v>0</v>
      </c>
      <c r="N385">
        <f t="shared" si="229"/>
        <v>0</v>
      </c>
      <c r="O385">
        <f t="shared" si="230"/>
        <v>0</v>
      </c>
      <c r="P385">
        <f t="shared" si="231"/>
        <v>0</v>
      </c>
      <c r="Q385">
        <f t="shared" si="232"/>
        <v>0</v>
      </c>
      <c r="S385">
        <f t="shared" si="233"/>
        <v>40</v>
      </c>
      <c r="T385">
        <f t="shared" si="234"/>
        <v>32</v>
      </c>
      <c r="U385">
        <f t="shared" si="235"/>
        <v>16</v>
      </c>
      <c r="V385">
        <f t="shared" si="236"/>
        <v>15</v>
      </c>
      <c r="W385">
        <f t="shared" si="237"/>
        <v>87</v>
      </c>
      <c r="X385">
        <f t="shared" si="238"/>
        <v>70</v>
      </c>
      <c r="Y385">
        <f t="shared" si="239"/>
        <v>17</v>
      </c>
      <c r="Z385">
        <f t="shared" si="240"/>
        <v>8</v>
      </c>
      <c r="AA385">
        <f t="shared" si="241"/>
        <v>4</v>
      </c>
      <c r="AB385">
        <f t="shared" si="242"/>
        <v>5</v>
      </c>
      <c r="AC385">
        <f t="shared" si="243"/>
        <v>112</v>
      </c>
      <c r="AD385">
        <f t="shared" si="244"/>
        <v>2</v>
      </c>
      <c r="AF385">
        <f t="shared" si="245"/>
        <v>0</v>
      </c>
      <c r="AG385">
        <f t="shared" si="246"/>
        <v>0</v>
      </c>
      <c r="AH385">
        <f t="shared" si="247"/>
        <v>0</v>
      </c>
      <c r="AI385">
        <f t="shared" si="248"/>
        <v>0</v>
      </c>
      <c r="AJ385">
        <f t="shared" si="249"/>
        <v>0</v>
      </c>
      <c r="AK385">
        <f t="shared" si="250"/>
        <v>0</v>
      </c>
      <c r="AL385">
        <f t="shared" si="251"/>
        <v>0</v>
      </c>
      <c r="AM385">
        <f t="shared" si="252"/>
        <v>0</v>
      </c>
      <c r="AN385">
        <f t="shared" si="253"/>
        <v>0</v>
      </c>
      <c r="AO385">
        <f t="shared" si="254"/>
        <v>0</v>
      </c>
      <c r="AP385">
        <f t="shared" si="255"/>
        <v>0</v>
      </c>
      <c r="AQ385">
        <f t="shared" si="256"/>
        <v>0</v>
      </c>
    </row>
    <row r="386" spans="1:43" x14ac:dyDescent="0.45">
      <c r="A386" s="51">
        <v>85</v>
      </c>
      <c r="B386" s="51" t="s">
        <v>342</v>
      </c>
      <c r="C386" s="56" t="s">
        <v>162</v>
      </c>
      <c r="D386" s="50" t="s">
        <v>54</v>
      </c>
      <c r="E386" s="19">
        <v>2826.1414441411175</v>
      </c>
      <c r="F386">
        <f t="shared" si="221"/>
        <v>0</v>
      </c>
      <c r="G386">
        <f t="shared" si="222"/>
        <v>0</v>
      </c>
      <c r="H386">
        <f t="shared" si="223"/>
        <v>0</v>
      </c>
      <c r="I386">
        <f t="shared" si="224"/>
        <v>0</v>
      </c>
      <c r="J386">
        <f t="shared" si="225"/>
        <v>0</v>
      </c>
      <c r="K386">
        <f t="shared" si="226"/>
        <v>2826.1414441411175</v>
      </c>
      <c r="L386">
        <f t="shared" si="227"/>
        <v>0</v>
      </c>
      <c r="M386">
        <f t="shared" si="228"/>
        <v>0</v>
      </c>
      <c r="N386">
        <f t="shared" si="229"/>
        <v>0</v>
      </c>
      <c r="O386">
        <f t="shared" si="230"/>
        <v>0</v>
      </c>
      <c r="P386">
        <f t="shared" si="231"/>
        <v>0</v>
      </c>
      <c r="Q386">
        <f t="shared" si="232"/>
        <v>0</v>
      </c>
      <c r="S386">
        <f t="shared" si="233"/>
        <v>40</v>
      </c>
      <c r="T386">
        <f t="shared" si="234"/>
        <v>32</v>
      </c>
      <c r="U386">
        <f t="shared" si="235"/>
        <v>16</v>
      </c>
      <c r="V386">
        <f t="shared" si="236"/>
        <v>15</v>
      </c>
      <c r="W386">
        <f t="shared" si="237"/>
        <v>86</v>
      </c>
      <c r="X386">
        <f t="shared" si="238"/>
        <v>70</v>
      </c>
      <c r="Y386">
        <f t="shared" si="239"/>
        <v>17</v>
      </c>
      <c r="Z386">
        <f t="shared" si="240"/>
        <v>8</v>
      </c>
      <c r="AA386">
        <f t="shared" si="241"/>
        <v>4</v>
      </c>
      <c r="AB386">
        <f t="shared" si="242"/>
        <v>5</v>
      </c>
      <c r="AC386">
        <f t="shared" si="243"/>
        <v>112</v>
      </c>
      <c r="AD386">
        <f t="shared" si="244"/>
        <v>2</v>
      </c>
      <c r="AF386">
        <f t="shared" si="245"/>
        <v>0</v>
      </c>
      <c r="AG386">
        <f t="shared" si="246"/>
        <v>0</v>
      </c>
      <c r="AH386">
        <f t="shared" si="247"/>
        <v>0</v>
      </c>
      <c r="AI386">
        <f t="shared" si="248"/>
        <v>0</v>
      </c>
      <c r="AJ386">
        <f t="shared" si="249"/>
        <v>0</v>
      </c>
      <c r="AK386">
        <f t="shared" si="250"/>
        <v>0</v>
      </c>
      <c r="AL386">
        <f t="shared" si="251"/>
        <v>0</v>
      </c>
      <c r="AM386">
        <f t="shared" si="252"/>
        <v>0</v>
      </c>
      <c r="AN386">
        <f t="shared" si="253"/>
        <v>0</v>
      </c>
      <c r="AO386">
        <f t="shared" si="254"/>
        <v>0</v>
      </c>
      <c r="AP386">
        <f t="shared" si="255"/>
        <v>0</v>
      </c>
      <c r="AQ386">
        <f t="shared" si="256"/>
        <v>0</v>
      </c>
    </row>
    <row r="387" spans="1:43" x14ac:dyDescent="0.45">
      <c r="A387" s="51">
        <v>86</v>
      </c>
      <c r="B387" s="51" t="s">
        <v>343</v>
      </c>
      <c r="C387" s="56" t="s">
        <v>165</v>
      </c>
      <c r="D387" s="50" t="s">
        <v>54</v>
      </c>
      <c r="E387" s="19">
        <v>3284.0266338442157</v>
      </c>
      <c r="F387">
        <f t="shared" si="221"/>
        <v>0</v>
      </c>
      <c r="G387">
        <f t="shared" si="222"/>
        <v>0</v>
      </c>
      <c r="H387">
        <f t="shared" si="223"/>
        <v>0</v>
      </c>
      <c r="I387">
        <f t="shared" si="224"/>
        <v>0</v>
      </c>
      <c r="J387">
        <f t="shared" si="225"/>
        <v>0</v>
      </c>
      <c r="K387">
        <f t="shared" si="226"/>
        <v>3284.0266338442157</v>
      </c>
      <c r="L387">
        <f t="shared" si="227"/>
        <v>0</v>
      </c>
      <c r="M387">
        <f t="shared" si="228"/>
        <v>0</v>
      </c>
      <c r="N387">
        <f t="shared" si="229"/>
        <v>0</v>
      </c>
      <c r="O387">
        <f t="shared" si="230"/>
        <v>0</v>
      </c>
      <c r="P387">
        <f t="shared" si="231"/>
        <v>0</v>
      </c>
      <c r="Q387">
        <f t="shared" si="232"/>
        <v>0</v>
      </c>
      <c r="S387">
        <f t="shared" si="233"/>
        <v>40</v>
      </c>
      <c r="T387">
        <f t="shared" si="234"/>
        <v>32</v>
      </c>
      <c r="U387">
        <f t="shared" si="235"/>
        <v>16</v>
      </c>
      <c r="V387">
        <f t="shared" si="236"/>
        <v>15</v>
      </c>
      <c r="W387">
        <f t="shared" si="237"/>
        <v>86</v>
      </c>
      <c r="X387">
        <f t="shared" si="238"/>
        <v>69</v>
      </c>
      <c r="Y387">
        <f t="shared" si="239"/>
        <v>17</v>
      </c>
      <c r="Z387">
        <f t="shared" si="240"/>
        <v>8</v>
      </c>
      <c r="AA387">
        <f t="shared" si="241"/>
        <v>4</v>
      </c>
      <c r="AB387">
        <f t="shared" si="242"/>
        <v>5</v>
      </c>
      <c r="AC387">
        <f t="shared" si="243"/>
        <v>112</v>
      </c>
      <c r="AD387">
        <f t="shared" si="244"/>
        <v>2</v>
      </c>
      <c r="AF387">
        <f t="shared" si="245"/>
        <v>0</v>
      </c>
      <c r="AG387">
        <f t="shared" si="246"/>
        <v>0</v>
      </c>
      <c r="AH387">
        <f t="shared" si="247"/>
        <v>0</v>
      </c>
      <c r="AI387">
        <f t="shared" si="248"/>
        <v>0</v>
      </c>
      <c r="AJ387">
        <f t="shared" si="249"/>
        <v>0</v>
      </c>
      <c r="AK387">
        <f t="shared" si="250"/>
        <v>0</v>
      </c>
      <c r="AL387">
        <f t="shared" si="251"/>
        <v>0</v>
      </c>
      <c r="AM387">
        <f t="shared" si="252"/>
        <v>0</v>
      </c>
      <c r="AN387">
        <f t="shared" si="253"/>
        <v>0</v>
      </c>
      <c r="AO387">
        <f t="shared" si="254"/>
        <v>0</v>
      </c>
      <c r="AP387">
        <f t="shared" si="255"/>
        <v>0</v>
      </c>
      <c r="AQ387">
        <f t="shared" si="256"/>
        <v>0</v>
      </c>
    </row>
    <row r="388" spans="1:43" x14ac:dyDescent="0.45">
      <c r="A388" s="51">
        <v>87</v>
      </c>
      <c r="B388" s="51" t="s">
        <v>343</v>
      </c>
      <c r="C388" s="56" t="s">
        <v>340</v>
      </c>
      <c r="D388" s="50" t="s">
        <v>94</v>
      </c>
      <c r="E388" s="19">
        <v>3550.8593026440531</v>
      </c>
      <c r="F388">
        <f t="shared" si="221"/>
        <v>0</v>
      </c>
      <c r="G388">
        <f t="shared" si="222"/>
        <v>0</v>
      </c>
      <c r="H388">
        <f t="shared" si="223"/>
        <v>0</v>
      </c>
      <c r="I388">
        <f t="shared" si="224"/>
        <v>0</v>
      </c>
      <c r="J388">
        <f t="shared" si="225"/>
        <v>0</v>
      </c>
      <c r="K388">
        <f t="shared" si="226"/>
        <v>0</v>
      </c>
      <c r="L388">
        <f t="shared" si="227"/>
        <v>3550.8593026440531</v>
      </c>
      <c r="M388">
        <f t="shared" si="228"/>
        <v>0</v>
      </c>
      <c r="N388">
        <f t="shared" si="229"/>
        <v>0</v>
      </c>
      <c r="O388">
        <f t="shared" si="230"/>
        <v>0</v>
      </c>
      <c r="P388">
        <f t="shared" si="231"/>
        <v>0</v>
      </c>
      <c r="Q388">
        <f t="shared" si="232"/>
        <v>0</v>
      </c>
      <c r="S388">
        <f t="shared" si="233"/>
        <v>40</v>
      </c>
      <c r="T388">
        <f t="shared" si="234"/>
        <v>32</v>
      </c>
      <c r="U388">
        <f t="shared" si="235"/>
        <v>16</v>
      </c>
      <c r="V388">
        <f t="shared" si="236"/>
        <v>15</v>
      </c>
      <c r="W388">
        <f t="shared" si="237"/>
        <v>86</v>
      </c>
      <c r="X388">
        <f t="shared" si="238"/>
        <v>68</v>
      </c>
      <c r="Y388">
        <f t="shared" si="239"/>
        <v>17</v>
      </c>
      <c r="Z388">
        <f t="shared" si="240"/>
        <v>8</v>
      </c>
      <c r="AA388">
        <f t="shared" si="241"/>
        <v>4</v>
      </c>
      <c r="AB388">
        <f t="shared" si="242"/>
        <v>5</v>
      </c>
      <c r="AC388">
        <f t="shared" si="243"/>
        <v>112</v>
      </c>
      <c r="AD388">
        <f t="shared" si="244"/>
        <v>2</v>
      </c>
      <c r="AF388">
        <f t="shared" si="245"/>
        <v>0</v>
      </c>
      <c r="AG388">
        <f t="shared" si="246"/>
        <v>0</v>
      </c>
      <c r="AH388">
        <f t="shared" si="247"/>
        <v>0</v>
      </c>
      <c r="AI388">
        <f t="shared" si="248"/>
        <v>0</v>
      </c>
      <c r="AJ388">
        <f t="shared" si="249"/>
        <v>0</v>
      </c>
      <c r="AK388">
        <f t="shared" si="250"/>
        <v>0</v>
      </c>
      <c r="AL388">
        <f t="shared" si="251"/>
        <v>0</v>
      </c>
      <c r="AM388">
        <f t="shared" si="252"/>
        <v>0</v>
      </c>
      <c r="AN388">
        <f t="shared" si="253"/>
        <v>0</v>
      </c>
      <c r="AO388">
        <f t="shared" si="254"/>
        <v>0</v>
      </c>
      <c r="AP388">
        <f t="shared" si="255"/>
        <v>0</v>
      </c>
      <c r="AQ388">
        <f t="shared" si="256"/>
        <v>0</v>
      </c>
    </row>
    <row r="389" spans="1:43" x14ac:dyDescent="0.35">
      <c r="A389" s="51">
        <v>88</v>
      </c>
      <c r="B389" s="51" t="s">
        <v>343</v>
      </c>
      <c r="C389" s="62" t="s">
        <v>167</v>
      </c>
      <c r="D389" s="51" t="s">
        <v>76</v>
      </c>
      <c r="E389" s="19">
        <v>3355.9690338929363</v>
      </c>
      <c r="F389">
        <f t="shared" si="221"/>
        <v>3355.9690338929363</v>
      </c>
      <c r="G389">
        <f t="shared" si="222"/>
        <v>0</v>
      </c>
      <c r="H389">
        <f t="shared" si="223"/>
        <v>0</v>
      </c>
      <c r="I389">
        <f t="shared" si="224"/>
        <v>0</v>
      </c>
      <c r="J389">
        <f t="shared" si="225"/>
        <v>0</v>
      </c>
      <c r="K389">
        <f t="shared" si="226"/>
        <v>0</v>
      </c>
      <c r="L389">
        <f t="shared" si="227"/>
        <v>0</v>
      </c>
      <c r="M389">
        <f t="shared" si="228"/>
        <v>0</v>
      </c>
      <c r="N389">
        <f t="shared" si="229"/>
        <v>0</v>
      </c>
      <c r="O389">
        <f t="shared" si="230"/>
        <v>0</v>
      </c>
      <c r="P389">
        <f t="shared" si="231"/>
        <v>0</v>
      </c>
      <c r="Q389">
        <f t="shared" si="232"/>
        <v>0</v>
      </c>
      <c r="S389">
        <f t="shared" si="233"/>
        <v>40</v>
      </c>
      <c r="T389">
        <f t="shared" si="234"/>
        <v>32</v>
      </c>
      <c r="U389">
        <f t="shared" si="235"/>
        <v>16</v>
      </c>
      <c r="V389">
        <f t="shared" si="236"/>
        <v>15</v>
      </c>
      <c r="W389">
        <f t="shared" si="237"/>
        <v>86</v>
      </c>
      <c r="X389">
        <f t="shared" si="238"/>
        <v>68</v>
      </c>
      <c r="Y389">
        <f t="shared" si="239"/>
        <v>16</v>
      </c>
      <c r="Z389">
        <f t="shared" si="240"/>
        <v>8</v>
      </c>
      <c r="AA389">
        <f t="shared" si="241"/>
        <v>4</v>
      </c>
      <c r="AB389">
        <f t="shared" si="242"/>
        <v>5</v>
      </c>
      <c r="AC389">
        <f t="shared" si="243"/>
        <v>112</v>
      </c>
      <c r="AD389">
        <f t="shared" si="244"/>
        <v>2</v>
      </c>
      <c r="AF389">
        <f t="shared" si="245"/>
        <v>0</v>
      </c>
      <c r="AG389">
        <f t="shared" si="246"/>
        <v>0</v>
      </c>
      <c r="AH389">
        <f t="shared" si="247"/>
        <v>0</v>
      </c>
      <c r="AI389">
        <f t="shared" si="248"/>
        <v>0</v>
      </c>
      <c r="AJ389">
        <f t="shared" si="249"/>
        <v>0</v>
      </c>
      <c r="AK389">
        <f t="shared" si="250"/>
        <v>0</v>
      </c>
      <c r="AL389">
        <f t="shared" si="251"/>
        <v>0</v>
      </c>
      <c r="AM389">
        <f t="shared" si="252"/>
        <v>0</v>
      </c>
      <c r="AN389">
        <f t="shared" si="253"/>
        <v>0</v>
      </c>
      <c r="AO389">
        <f t="shared" si="254"/>
        <v>0</v>
      </c>
      <c r="AP389">
        <f t="shared" si="255"/>
        <v>0</v>
      </c>
      <c r="AQ389">
        <f t="shared" si="256"/>
        <v>0</v>
      </c>
    </row>
    <row r="390" spans="1:43" x14ac:dyDescent="0.45">
      <c r="A390" s="51">
        <v>89</v>
      </c>
      <c r="B390" s="51" t="s">
        <v>343</v>
      </c>
      <c r="C390" s="56" t="s">
        <v>170</v>
      </c>
      <c r="D390" s="51" t="s">
        <v>227</v>
      </c>
      <c r="E390" s="19">
        <v>3469.8092410320955</v>
      </c>
      <c r="F390">
        <f t="shared" si="221"/>
        <v>0</v>
      </c>
      <c r="G390">
        <f t="shared" si="222"/>
        <v>3469.8092410320955</v>
      </c>
      <c r="H390">
        <f t="shared" si="223"/>
        <v>0</v>
      </c>
      <c r="I390">
        <f t="shared" si="224"/>
        <v>0</v>
      </c>
      <c r="J390">
        <f t="shared" si="225"/>
        <v>0</v>
      </c>
      <c r="K390">
        <f t="shared" si="226"/>
        <v>0</v>
      </c>
      <c r="L390">
        <f t="shared" si="227"/>
        <v>0</v>
      </c>
      <c r="M390">
        <f t="shared" si="228"/>
        <v>0</v>
      </c>
      <c r="N390">
        <f t="shared" si="229"/>
        <v>0</v>
      </c>
      <c r="O390">
        <f t="shared" si="230"/>
        <v>0</v>
      </c>
      <c r="P390">
        <f t="shared" si="231"/>
        <v>0</v>
      </c>
      <c r="Q390">
        <f t="shared" si="232"/>
        <v>0</v>
      </c>
      <c r="S390">
        <f t="shared" si="233"/>
        <v>39</v>
      </c>
      <c r="T390">
        <f t="shared" si="234"/>
        <v>32</v>
      </c>
      <c r="U390">
        <f t="shared" si="235"/>
        <v>16</v>
      </c>
      <c r="V390">
        <f t="shared" si="236"/>
        <v>15</v>
      </c>
      <c r="W390">
        <f t="shared" si="237"/>
        <v>86</v>
      </c>
      <c r="X390">
        <f t="shared" si="238"/>
        <v>68</v>
      </c>
      <c r="Y390">
        <f t="shared" si="239"/>
        <v>16</v>
      </c>
      <c r="Z390">
        <f t="shared" si="240"/>
        <v>8</v>
      </c>
      <c r="AA390">
        <f t="shared" si="241"/>
        <v>4</v>
      </c>
      <c r="AB390">
        <f t="shared" si="242"/>
        <v>5</v>
      </c>
      <c r="AC390">
        <f t="shared" si="243"/>
        <v>112</v>
      </c>
      <c r="AD390">
        <f t="shared" si="244"/>
        <v>2</v>
      </c>
      <c r="AF390">
        <f t="shared" si="245"/>
        <v>0</v>
      </c>
      <c r="AG390">
        <f t="shared" si="246"/>
        <v>0</v>
      </c>
      <c r="AH390">
        <f t="shared" si="247"/>
        <v>0</v>
      </c>
      <c r="AI390">
        <f t="shared" si="248"/>
        <v>0</v>
      </c>
      <c r="AJ390">
        <f t="shared" si="249"/>
        <v>0</v>
      </c>
      <c r="AK390">
        <f t="shared" si="250"/>
        <v>0</v>
      </c>
      <c r="AL390">
        <f t="shared" si="251"/>
        <v>0</v>
      </c>
      <c r="AM390">
        <f t="shared" si="252"/>
        <v>0</v>
      </c>
      <c r="AN390">
        <f t="shared" si="253"/>
        <v>0</v>
      </c>
      <c r="AO390">
        <f t="shared" si="254"/>
        <v>0</v>
      </c>
      <c r="AP390">
        <f t="shared" si="255"/>
        <v>0</v>
      </c>
      <c r="AQ390">
        <f t="shared" si="256"/>
        <v>0</v>
      </c>
    </row>
    <row r="391" spans="1:43" x14ac:dyDescent="0.45">
      <c r="A391" s="51">
        <v>90</v>
      </c>
      <c r="B391" s="51" t="s">
        <v>344</v>
      </c>
      <c r="C391" s="56" t="s">
        <v>172</v>
      </c>
      <c r="D391" s="50" t="s">
        <v>228</v>
      </c>
      <c r="E391" s="19">
        <v>3553.2430022116901</v>
      </c>
      <c r="F391">
        <f t="shared" si="221"/>
        <v>0</v>
      </c>
      <c r="G391">
        <f t="shared" si="222"/>
        <v>0</v>
      </c>
      <c r="H391">
        <f t="shared" si="223"/>
        <v>0</v>
      </c>
      <c r="I391">
        <f t="shared" si="224"/>
        <v>0</v>
      </c>
      <c r="J391">
        <f t="shared" si="225"/>
        <v>0</v>
      </c>
      <c r="K391">
        <f t="shared" si="226"/>
        <v>0</v>
      </c>
      <c r="L391">
        <f t="shared" si="227"/>
        <v>0</v>
      </c>
      <c r="M391">
        <f t="shared" si="228"/>
        <v>0</v>
      </c>
      <c r="N391">
        <f t="shared" si="229"/>
        <v>0</v>
      </c>
      <c r="O391">
        <f t="shared" si="230"/>
        <v>0</v>
      </c>
      <c r="P391">
        <f t="shared" si="231"/>
        <v>3553.2430022116901</v>
      </c>
      <c r="Q391">
        <f t="shared" si="232"/>
        <v>0</v>
      </c>
      <c r="S391">
        <f t="shared" si="233"/>
        <v>39</v>
      </c>
      <c r="T391">
        <f t="shared" si="234"/>
        <v>31</v>
      </c>
      <c r="U391">
        <f t="shared" si="235"/>
        <v>16</v>
      </c>
      <c r="V391">
        <f t="shared" si="236"/>
        <v>15</v>
      </c>
      <c r="W391">
        <f t="shared" si="237"/>
        <v>86</v>
      </c>
      <c r="X391">
        <f t="shared" si="238"/>
        <v>68</v>
      </c>
      <c r="Y391">
        <f t="shared" si="239"/>
        <v>16</v>
      </c>
      <c r="Z391">
        <f t="shared" si="240"/>
        <v>8</v>
      </c>
      <c r="AA391">
        <f t="shared" si="241"/>
        <v>4</v>
      </c>
      <c r="AB391">
        <f t="shared" si="242"/>
        <v>5</v>
      </c>
      <c r="AC391">
        <f t="shared" si="243"/>
        <v>112</v>
      </c>
      <c r="AD391">
        <f t="shared" si="244"/>
        <v>2</v>
      </c>
      <c r="AF391">
        <f t="shared" si="245"/>
        <v>0</v>
      </c>
      <c r="AG391">
        <f t="shared" si="246"/>
        <v>0</v>
      </c>
      <c r="AH391">
        <f t="shared" si="247"/>
        <v>0</v>
      </c>
      <c r="AI391">
        <f t="shared" si="248"/>
        <v>0</v>
      </c>
      <c r="AJ391">
        <f t="shared" si="249"/>
        <v>0</v>
      </c>
      <c r="AK391">
        <f t="shared" si="250"/>
        <v>0</v>
      </c>
      <c r="AL391">
        <f t="shared" si="251"/>
        <v>0</v>
      </c>
      <c r="AM391">
        <f t="shared" si="252"/>
        <v>0</v>
      </c>
      <c r="AN391">
        <f t="shared" si="253"/>
        <v>0</v>
      </c>
      <c r="AO391">
        <f t="shared" si="254"/>
        <v>0</v>
      </c>
      <c r="AP391">
        <f t="shared" si="255"/>
        <v>0</v>
      </c>
      <c r="AQ391">
        <f t="shared" si="256"/>
        <v>0</v>
      </c>
    </row>
    <row r="392" spans="1:43" x14ac:dyDescent="0.45">
      <c r="A392" s="51">
        <v>91</v>
      </c>
      <c r="B392" s="51" t="s">
        <v>344</v>
      </c>
      <c r="C392" s="56" t="s">
        <v>169</v>
      </c>
      <c r="D392" s="51" t="s">
        <v>227</v>
      </c>
      <c r="E392" s="19">
        <v>3398.809776103019</v>
      </c>
      <c r="F392">
        <f t="shared" si="221"/>
        <v>0</v>
      </c>
      <c r="G392">
        <f t="shared" si="222"/>
        <v>3398.809776103019</v>
      </c>
      <c r="H392">
        <f t="shared" si="223"/>
        <v>0</v>
      </c>
      <c r="I392">
        <f t="shared" si="224"/>
        <v>0</v>
      </c>
      <c r="J392">
        <f t="shared" si="225"/>
        <v>0</v>
      </c>
      <c r="K392">
        <f t="shared" si="226"/>
        <v>0</v>
      </c>
      <c r="L392">
        <f t="shared" si="227"/>
        <v>0</v>
      </c>
      <c r="M392">
        <f t="shared" si="228"/>
        <v>0</v>
      </c>
      <c r="N392">
        <f t="shared" si="229"/>
        <v>0</v>
      </c>
      <c r="O392">
        <f t="shared" si="230"/>
        <v>0</v>
      </c>
      <c r="P392">
        <f t="shared" si="231"/>
        <v>0</v>
      </c>
      <c r="Q392">
        <f t="shared" si="232"/>
        <v>0</v>
      </c>
      <c r="S392">
        <f t="shared" si="233"/>
        <v>39</v>
      </c>
      <c r="T392">
        <f t="shared" si="234"/>
        <v>31</v>
      </c>
      <c r="U392">
        <f t="shared" si="235"/>
        <v>16</v>
      </c>
      <c r="V392">
        <f t="shared" si="236"/>
        <v>15</v>
      </c>
      <c r="W392">
        <f t="shared" si="237"/>
        <v>86</v>
      </c>
      <c r="X392">
        <f t="shared" si="238"/>
        <v>68</v>
      </c>
      <c r="Y392">
        <f t="shared" si="239"/>
        <v>16</v>
      </c>
      <c r="Z392">
        <f t="shared" si="240"/>
        <v>8</v>
      </c>
      <c r="AA392">
        <f t="shared" si="241"/>
        <v>4</v>
      </c>
      <c r="AB392">
        <f t="shared" si="242"/>
        <v>5</v>
      </c>
      <c r="AC392">
        <f t="shared" si="243"/>
        <v>111</v>
      </c>
      <c r="AD392">
        <f t="shared" si="244"/>
        <v>2</v>
      </c>
      <c r="AF392">
        <f t="shared" si="245"/>
        <v>0</v>
      </c>
      <c r="AG392">
        <f t="shared" si="246"/>
        <v>0</v>
      </c>
      <c r="AH392">
        <f t="shared" si="247"/>
        <v>0</v>
      </c>
      <c r="AI392">
        <f t="shared" si="248"/>
        <v>0</v>
      </c>
      <c r="AJ392">
        <f t="shared" si="249"/>
        <v>0</v>
      </c>
      <c r="AK392">
        <f t="shared" si="250"/>
        <v>0</v>
      </c>
      <c r="AL392">
        <f t="shared" si="251"/>
        <v>0</v>
      </c>
      <c r="AM392">
        <f t="shared" si="252"/>
        <v>0</v>
      </c>
      <c r="AN392">
        <f t="shared" si="253"/>
        <v>0</v>
      </c>
      <c r="AO392">
        <f t="shared" si="254"/>
        <v>0</v>
      </c>
      <c r="AP392">
        <f t="shared" si="255"/>
        <v>0</v>
      </c>
      <c r="AQ392">
        <f t="shared" si="256"/>
        <v>0</v>
      </c>
    </row>
    <row r="393" spans="1:43" x14ac:dyDescent="0.35">
      <c r="A393" s="51">
        <v>92</v>
      </c>
      <c r="B393" s="51" t="s">
        <v>344</v>
      </c>
      <c r="C393" s="62" t="s">
        <v>259</v>
      </c>
      <c r="D393" s="51" t="s">
        <v>222</v>
      </c>
      <c r="E393" s="19">
        <v>3380.5265249448357</v>
      </c>
      <c r="F393">
        <f t="shared" si="221"/>
        <v>0</v>
      </c>
      <c r="G393">
        <f t="shared" si="222"/>
        <v>0</v>
      </c>
      <c r="H393">
        <f t="shared" si="223"/>
        <v>0</v>
      </c>
      <c r="I393">
        <f t="shared" si="224"/>
        <v>0</v>
      </c>
      <c r="J393">
        <f t="shared" si="225"/>
        <v>0</v>
      </c>
      <c r="K393">
        <f t="shared" si="226"/>
        <v>0</v>
      </c>
      <c r="L393">
        <f t="shared" si="227"/>
        <v>0</v>
      </c>
      <c r="M393">
        <f t="shared" si="228"/>
        <v>0</v>
      </c>
      <c r="N393">
        <f t="shared" si="229"/>
        <v>0</v>
      </c>
      <c r="O393">
        <f t="shared" si="230"/>
        <v>0</v>
      </c>
      <c r="P393">
        <f t="shared" si="231"/>
        <v>0</v>
      </c>
      <c r="Q393">
        <f t="shared" si="232"/>
        <v>3380.5265249448357</v>
      </c>
      <c r="S393">
        <f t="shared" si="233"/>
        <v>39</v>
      </c>
      <c r="T393">
        <f t="shared" si="234"/>
        <v>30</v>
      </c>
      <c r="U393">
        <f t="shared" si="235"/>
        <v>16</v>
      </c>
      <c r="V393">
        <f t="shared" si="236"/>
        <v>15</v>
      </c>
      <c r="W393">
        <f t="shared" si="237"/>
        <v>86</v>
      </c>
      <c r="X393">
        <f t="shared" si="238"/>
        <v>68</v>
      </c>
      <c r="Y393">
        <f t="shared" si="239"/>
        <v>16</v>
      </c>
      <c r="Z393">
        <f t="shared" si="240"/>
        <v>8</v>
      </c>
      <c r="AA393">
        <f t="shared" si="241"/>
        <v>4</v>
      </c>
      <c r="AB393">
        <f t="shared" si="242"/>
        <v>5</v>
      </c>
      <c r="AC393">
        <f t="shared" si="243"/>
        <v>111</v>
      </c>
      <c r="AD393">
        <f t="shared" si="244"/>
        <v>2</v>
      </c>
      <c r="AF393">
        <f t="shared" si="245"/>
        <v>0</v>
      </c>
      <c r="AG393">
        <f t="shared" si="246"/>
        <v>0</v>
      </c>
      <c r="AH393">
        <f t="shared" si="247"/>
        <v>0</v>
      </c>
      <c r="AI393">
        <f t="shared" si="248"/>
        <v>0</v>
      </c>
      <c r="AJ393">
        <f t="shared" si="249"/>
        <v>0</v>
      </c>
      <c r="AK393">
        <f t="shared" si="250"/>
        <v>0</v>
      </c>
      <c r="AL393">
        <f t="shared" si="251"/>
        <v>0</v>
      </c>
      <c r="AM393">
        <f t="shared" si="252"/>
        <v>0</v>
      </c>
      <c r="AN393">
        <f t="shared" si="253"/>
        <v>0</v>
      </c>
      <c r="AO393">
        <f t="shared" si="254"/>
        <v>0</v>
      </c>
      <c r="AP393">
        <f t="shared" si="255"/>
        <v>0</v>
      </c>
      <c r="AQ393">
        <f t="shared" si="256"/>
        <v>3380.5265249448357</v>
      </c>
    </row>
    <row r="394" spans="1:43" x14ac:dyDescent="0.45">
      <c r="A394" s="51">
        <v>93</v>
      </c>
      <c r="B394" s="51" t="s">
        <v>345</v>
      </c>
      <c r="C394" s="56" t="s">
        <v>175</v>
      </c>
      <c r="D394" s="50" t="s">
        <v>54</v>
      </c>
      <c r="E394" s="19">
        <v>3252.4047888068362</v>
      </c>
      <c r="F394">
        <f t="shared" si="221"/>
        <v>0</v>
      </c>
      <c r="G394">
        <f t="shared" si="222"/>
        <v>0</v>
      </c>
      <c r="H394">
        <f t="shared" si="223"/>
        <v>0</v>
      </c>
      <c r="I394">
        <f t="shared" si="224"/>
        <v>0</v>
      </c>
      <c r="J394">
        <f t="shared" si="225"/>
        <v>0</v>
      </c>
      <c r="K394">
        <f t="shared" si="226"/>
        <v>3252.4047888068362</v>
      </c>
      <c r="L394">
        <f t="shared" si="227"/>
        <v>0</v>
      </c>
      <c r="M394">
        <f t="shared" si="228"/>
        <v>0</v>
      </c>
      <c r="N394">
        <f t="shared" si="229"/>
        <v>0</v>
      </c>
      <c r="O394">
        <f t="shared" si="230"/>
        <v>0</v>
      </c>
      <c r="P394">
        <f t="shared" si="231"/>
        <v>0</v>
      </c>
      <c r="Q394">
        <f t="shared" si="232"/>
        <v>0</v>
      </c>
      <c r="S394">
        <f t="shared" si="233"/>
        <v>39</v>
      </c>
      <c r="T394">
        <f t="shared" si="234"/>
        <v>30</v>
      </c>
      <c r="U394">
        <f t="shared" si="235"/>
        <v>16</v>
      </c>
      <c r="V394">
        <f t="shared" si="236"/>
        <v>15</v>
      </c>
      <c r="W394">
        <f t="shared" si="237"/>
        <v>86</v>
      </c>
      <c r="X394">
        <f t="shared" si="238"/>
        <v>68</v>
      </c>
      <c r="Y394">
        <f t="shared" si="239"/>
        <v>16</v>
      </c>
      <c r="Z394">
        <f t="shared" si="240"/>
        <v>8</v>
      </c>
      <c r="AA394">
        <f t="shared" si="241"/>
        <v>4</v>
      </c>
      <c r="AB394">
        <f t="shared" si="242"/>
        <v>5</v>
      </c>
      <c r="AC394">
        <f t="shared" si="243"/>
        <v>111</v>
      </c>
      <c r="AD394">
        <f t="shared" si="244"/>
        <v>1</v>
      </c>
      <c r="AF394">
        <f t="shared" si="245"/>
        <v>0</v>
      </c>
      <c r="AG394">
        <f t="shared" si="246"/>
        <v>0</v>
      </c>
      <c r="AH394">
        <f t="shared" si="247"/>
        <v>0</v>
      </c>
      <c r="AI394">
        <f t="shared" si="248"/>
        <v>0</v>
      </c>
      <c r="AJ394">
        <f t="shared" si="249"/>
        <v>0</v>
      </c>
      <c r="AK394">
        <f t="shared" si="250"/>
        <v>0</v>
      </c>
      <c r="AL394">
        <f t="shared" si="251"/>
        <v>0</v>
      </c>
      <c r="AM394">
        <f t="shared" si="252"/>
        <v>0</v>
      </c>
      <c r="AN394">
        <f t="shared" si="253"/>
        <v>0</v>
      </c>
      <c r="AO394">
        <f t="shared" si="254"/>
        <v>0</v>
      </c>
      <c r="AP394">
        <f t="shared" si="255"/>
        <v>0</v>
      </c>
      <c r="AQ394">
        <f t="shared" si="256"/>
        <v>0</v>
      </c>
    </row>
    <row r="395" spans="1:43" x14ac:dyDescent="0.45">
      <c r="A395" s="51">
        <v>94</v>
      </c>
      <c r="B395" s="51" t="s">
        <v>345</v>
      </c>
      <c r="C395" s="56" t="s">
        <v>177</v>
      </c>
      <c r="D395" s="50" t="s">
        <v>228</v>
      </c>
      <c r="E395" s="19">
        <v>3249.4322037207844</v>
      </c>
      <c r="F395">
        <f t="shared" si="221"/>
        <v>0</v>
      </c>
      <c r="G395">
        <f t="shared" si="222"/>
        <v>0</v>
      </c>
      <c r="H395">
        <f t="shared" si="223"/>
        <v>0</v>
      </c>
      <c r="I395">
        <f t="shared" si="224"/>
        <v>0</v>
      </c>
      <c r="J395">
        <f t="shared" si="225"/>
        <v>0</v>
      </c>
      <c r="K395">
        <f t="shared" si="226"/>
        <v>0</v>
      </c>
      <c r="L395">
        <f t="shared" si="227"/>
        <v>0</v>
      </c>
      <c r="M395">
        <f t="shared" si="228"/>
        <v>0</v>
      </c>
      <c r="N395">
        <f t="shared" si="229"/>
        <v>0</v>
      </c>
      <c r="O395">
        <f t="shared" si="230"/>
        <v>0</v>
      </c>
      <c r="P395">
        <f t="shared" si="231"/>
        <v>3249.4322037207844</v>
      </c>
      <c r="Q395">
        <f t="shared" si="232"/>
        <v>0</v>
      </c>
      <c r="S395">
        <f t="shared" si="233"/>
        <v>39</v>
      </c>
      <c r="T395">
        <f t="shared" si="234"/>
        <v>30</v>
      </c>
      <c r="U395">
        <f t="shared" si="235"/>
        <v>16</v>
      </c>
      <c r="V395">
        <f t="shared" si="236"/>
        <v>15</v>
      </c>
      <c r="W395">
        <f t="shared" si="237"/>
        <v>86</v>
      </c>
      <c r="X395">
        <f t="shared" si="238"/>
        <v>67</v>
      </c>
      <c r="Y395">
        <f t="shared" si="239"/>
        <v>16</v>
      </c>
      <c r="Z395">
        <f t="shared" si="240"/>
        <v>8</v>
      </c>
      <c r="AA395">
        <f t="shared" si="241"/>
        <v>4</v>
      </c>
      <c r="AB395">
        <f t="shared" si="242"/>
        <v>5</v>
      </c>
      <c r="AC395">
        <f t="shared" si="243"/>
        <v>111</v>
      </c>
      <c r="AD395">
        <f t="shared" si="244"/>
        <v>1</v>
      </c>
      <c r="AF395">
        <f t="shared" si="245"/>
        <v>0</v>
      </c>
      <c r="AG395">
        <f t="shared" si="246"/>
        <v>0</v>
      </c>
      <c r="AH395">
        <f t="shared" si="247"/>
        <v>0</v>
      </c>
      <c r="AI395">
        <f t="shared" si="248"/>
        <v>0</v>
      </c>
      <c r="AJ395">
        <f t="shared" si="249"/>
        <v>0</v>
      </c>
      <c r="AK395">
        <f t="shared" si="250"/>
        <v>0</v>
      </c>
      <c r="AL395">
        <f t="shared" si="251"/>
        <v>0</v>
      </c>
      <c r="AM395">
        <f t="shared" si="252"/>
        <v>0</v>
      </c>
      <c r="AN395">
        <f t="shared" si="253"/>
        <v>0</v>
      </c>
      <c r="AO395">
        <f t="shared" si="254"/>
        <v>0</v>
      </c>
      <c r="AP395">
        <f t="shared" si="255"/>
        <v>0</v>
      </c>
      <c r="AQ395">
        <f t="shared" si="256"/>
        <v>0</v>
      </c>
    </row>
    <row r="396" spans="1:43" x14ac:dyDescent="0.45">
      <c r="A396" s="51">
        <v>95</v>
      </c>
      <c r="B396" s="51" t="s">
        <v>345</v>
      </c>
      <c r="C396" s="56" t="s">
        <v>178</v>
      </c>
      <c r="D396" s="50" t="s">
        <v>222</v>
      </c>
      <c r="E396" s="19">
        <v>3402.6980796276707</v>
      </c>
      <c r="F396">
        <f t="shared" si="221"/>
        <v>0</v>
      </c>
      <c r="G396">
        <f t="shared" si="222"/>
        <v>0</v>
      </c>
      <c r="H396">
        <f t="shared" si="223"/>
        <v>0</v>
      </c>
      <c r="I396">
        <f t="shared" si="224"/>
        <v>0</v>
      </c>
      <c r="J396">
        <f t="shared" si="225"/>
        <v>0</v>
      </c>
      <c r="K396">
        <f t="shared" si="226"/>
        <v>0</v>
      </c>
      <c r="L396">
        <f t="shared" si="227"/>
        <v>0</v>
      </c>
      <c r="M396">
        <f t="shared" si="228"/>
        <v>0</v>
      </c>
      <c r="N396">
        <f t="shared" si="229"/>
        <v>0</v>
      </c>
      <c r="O396">
        <f t="shared" si="230"/>
        <v>0</v>
      </c>
      <c r="P396">
        <f t="shared" si="231"/>
        <v>0</v>
      </c>
      <c r="Q396">
        <f t="shared" si="232"/>
        <v>3402.6980796276707</v>
      </c>
      <c r="S396">
        <f t="shared" si="233"/>
        <v>39</v>
      </c>
      <c r="T396">
        <f t="shared" si="234"/>
        <v>30</v>
      </c>
      <c r="U396">
        <f t="shared" si="235"/>
        <v>16</v>
      </c>
      <c r="V396">
        <f t="shared" si="236"/>
        <v>15</v>
      </c>
      <c r="W396">
        <f t="shared" si="237"/>
        <v>86</v>
      </c>
      <c r="X396">
        <f t="shared" si="238"/>
        <v>67</v>
      </c>
      <c r="Y396">
        <f t="shared" si="239"/>
        <v>16</v>
      </c>
      <c r="Z396">
        <f t="shared" si="240"/>
        <v>8</v>
      </c>
      <c r="AA396">
        <f t="shared" si="241"/>
        <v>4</v>
      </c>
      <c r="AB396">
        <f t="shared" si="242"/>
        <v>5</v>
      </c>
      <c r="AC396">
        <f t="shared" si="243"/>
        <v>110</v>
      </c>
      <c r="AD396">
        <f t="shared" si="244"/>
        <v>1</v>
      </c>
      <c r="AF396">
        <f t="shared" si="245"/>
        <v>0</v>
      </c>
      <c r="AG396">
        <f t="shared" si="246"/>
        <v>0</v>
      </c>
      <c r="AH396">
        <f t="shared" si="247"/>
        <v>0</v>
      </c>
      <c r="AI396">
        <f t="shared" si="248"/>
        <v>0</v>
      </c>
      <c r="AJ396">
        <f t="shared" si="249"/>
        <v>0</v>
      </c>
      <c r="AK396">
        <f t="shared" si="250"/>
        <v>0</v>
      </c>
      <c r="AL396">
        <f t="shared" si="251"/>
        <v>0</v>
      </c>
      <c r="AM396">
        <f t="shared" si="252"/>
        <v>0</v>
      </c>
      <c r="AN396">
        <f t="shared" si="253"/>
        <v>0</v>
      </c>
      <c r="AO396">
        <f t="shared" si="254"/>
        <v>0</v>
      </c>
      <c r="AP396">
        <f t="shared" si="255"/>
        <v>0</v>
      </c>
      <c r="AQ396">
        <f t="shared" si="256"/>
        <v>3402.6980796276707</v>
      </c>
    </row>
    <row r="397" spans="1:43" x14ac:dyDescent="0.45">
      <c r="A397" s="51">
        <v>96</v>
      </c>
      <c r="B397" s="51" t="s">
        <v>345</v>
      </c>
      <c r="C397" s="56" t="s">
        <v>180</v>
      </c>
      <c r="D397" s="50" t="s">
        <v>60</v>
      </c>
      <c r="E397" s="19">
        <v>3274.4725128167383</v>
      </c>
      <c r="F397">
        <f t="shared" si="221"/>
        <v>0</v>
      </c>
      <c r="G397">
        <f t="shared" si="222"/>
        <v>0</v>
      </c>
      <c r="H397">
        <f t="shared" si="223"/>
        <v>0</v>
      </c>
      <c r="I397">
        <f t="shared" si="224"/>
        <v>0</v>
      </c>
      <c r="J397">
        <f t="shared" si="225"/>
        <v>3274.4725128167383</v>
      </c>
      <c r="K397">
        <f t="shared" si="226"/>
        <v>0</v>
      </c>
      <c r="L397">
        <f t="shared" si="227"/>
        <v>0</v>
      </c>
      <c r="M397">
        <f t="shared" si="228"/>
        <v>0</v>
      </c>
      <c r="N397">
        <f t="shared" si="229"/>
        <v>0</v>
      </c>
      <c r="O397">
        <f t="shared" si="230"/>
        <v>0</v>
      </c>
      <c r="P397">
        <f t="shared" si="231"/>
        <v>0</v>
      </c>
      <c r="Q397">
        <f t="shared" si="232"/>
        <v>0</v>
      </c>
      <c r="S397">
        <f t="shared" si="233"/>
        <v>39</v>
      </c>
      <c r="T397">
        <f t="shared" si="234"/>
        <v>30</v>
      </c>
      <c r="U397">
        <f t="shared" si="235"/>
        <v>16</v>
      </c>
      <c r="V397">
        <f t="shared" si="236"/>
        <v>15</v>
      </c>
      <c r="W397">
        <f t="shared" si="237"/>
        <v>86</v>
      </c>
      <c r="X397">
        <f t="shared" si="238"/>
        <v>67</v>
      </c>
      <c r="Y397">
        <f t="shared" si="239"/>
        <v>16</v>
      </c>
      <c r="Z397">
        <f t="shared" si="240"/>
        <v>8</v>
      </c>
      <c r="AA397">
        <f t="shared" si="241"/>
        <v>4</v>
      </c>
      <c r="AB397">
        <f t="shared" si="242"/>
        <v>5</v>
      </c>
      <c r="AC397">
        <f t="shared" si="243"/>
        <v>110</v>
      </c>
      <c r="AD397">
        <f t="shared" si="244"/>
        <v>0</v>
      </c>
      <c r="AF397">
        <f t="shared" si="245"/>
        <v>0</v>
      </c>
      <c r="AG397">
        <f t="shared" si="246"/>
        <v>0</v>
      </c>
      <c r="AH397">
        <f t="shared" si="247"/>
        <v>0</v>
      </c>
      <c r="AI397">
        <f t="shared" si="248"/>
        <v>0</v>
      </c>
      <c r="AJ397">
        <f t="shared" si="249"/>
        <v>0</v>
      </c>
      <c r="AK397">
        <f t="shared" si="250"/>
        <v>0</v>
      </c>
      <c r="AL397">
        <f t="shared" si="251"/>
        <v>0</v>
      </c>
      <c r="AM397">
        <f t="shared" si="252"/>
        <v>0</v>
      </c>
      <c r="AN397">
        <f t="shared" si="253"/>
        <v>0</v>
      </c>
      <c r="AO397">
        <f t="shared" si="254"/>
        <v>0</v>
      </c>
      <c r="AP397">
        <f t="shared" si="255"/>
        <v>0</v>
      </c>
      <c r="AQ397">
        <f t="shared" si="256"/>
        <v>0</v>
      </c>
    </row>
    <row r="398" spans="1:43" x14ac:dyDescent="0.45">
      <c r="A398" s="51">
        <v>97</v>
      </c>
      <c r="B398" s="51" t="s">
        <v>345</v>
      </c>
      <c r="C398" s="56" t="s">
        <v>261</v>
      </c>
      <c r="D398" s="50" t="s">
        <v>102</v>
      </c>
      <c r="E398" s="19">
        <v>3545.2166028424044</v>
      </c>
      <c r="F398">
        <f t="shared" si="221"/>
        <v>0</v>
      </c>
      <c r="G398">
        <f t="shared" si="222"/>
        <v>0</v>
      </c>
      <c r="H398">
        <f t="shared" si="223"/>
        <v>0</v>
      </c>
      <c r="I398">
        <f t="shared" si="224"/>
        <v>0</v>
      </c>
      <c r="J398">
        <f t="shared" si="225"/>
        <v>0</v>
      </c>
      <c r="K398">
        <f t="shared" si="226"/>
        <v>0</v>
      </c>
      <c r="L398">
        <f t="shared" si="227"/>
        <v>0</v>
      </c>
      <c r="M398">
        <f t="shared" si="228"/>
        <v>0</v>
      </c>
      <c r="N398">
        <f t="shared" si="229"/>
        <v>0</v>
      </c>
      <c r="O398">
        <f t="shared" si="230"/>
        <v>3545.2166028424044</v>
      </c>
      <c r="P398">
        <f t="shared" si="231"/>
        <v>0</v>
      </c>
      <c r="Q398">
        <f t="shared" si="232"/>
        <v>0</v>
      </c>
      <c r="S398">
        <f t="shared" si="233"/>
        <v>39</v>
      </c>
      <c r="T398">
        <f t="shared" si="234"/>
        <v>30</v>
      </c>
      <c r="U398">
        <f t="shared" si="235"/>
        <v>16</v>
      </c>
      <c r="V398">
        <f t="shared" si="236"/>
        <v>15</v>
      </c>
      <c r="W398">
        <f t="shared" si="237"/>
        <v>85</v>
      </c>
      <c r="X398">
        <f t="shared" si="238"/>
        <v>67</v>
      </c>
      <c r="Y398">
        <f t="shared" si="239"/>
        <v>16</v>
      </c>
      <c r="Z398">
        <f t="shared" si="240"/>
        <v>8</v>
      </c>
      <c r="AA398">
        <f t="shared" si="241"/>
        <v>4</v>
      </c>
      <c r="AB398">
        <f t="shared" si="242"/>
        <v>5</v>
      </c>
      <c r="AC398">
        <f t="shared" si="243"/>
        <v>110</v>
      </c>
      <c r="AD398">
        <f t="shared" si="244"/>
        <v>0</v>
      </c>
      <c r="AF398">
        <f t="shared" si="245"/>
        <v>0</v>
      </c>
      <c r="AG398">
        <f t="shared" si="246"/>
        <v>0</v>
      </c>
      <c r="AH398">
        <f t="shared" si="247"/>
        <v>0</v>
      </c>
      <c r="AI398">
        <f t="shared" si="248"/>
        <v>0</v>
      </c>
      <c r="AJ398">
        <f t="shared" si="249"/>
        <v>0</v>
      </c>
      <c r="AK398">
        <f t="shared" si="250"/>
        <v>0</v>
      </c>
      <c r="AL398">
        <f t="shared" si="251"/>
        <v>0</v>
      </c>
      <c r="AM398">
        <f t="shared" si="252"/>
        <v>0</v>
      </c>
      <c r="AN398">
        <f t="shared" si="253"/>
        <v>0</v>
      </c>
      <c r="AO398">
        <f t="shared" si="254"/>
        <v>3545.2166028424044</v>
      </c>
      <c r="AP398">
        <f t="shared" si="255"/>
        <v>0</v>
      </c>
      <c r="AQ398">
        <f t="shared" si="256"/>
        <v>0</v>
      </c>
    </row>
    <row r="399" spans="1:43" x14ac:dyDescent="0.35">
      <c r="A399" s="51">
        <v>1</v>
      </c>
      <c r="B399" s="51" t="s">
        <v>346</v>
      </c>
      <c r="C399" s="62" t="s">
        <v>183</v>
      </c>
      <c r="D399" s="50" t="s">
        <v>228</v>
      </c>
      <c r="E399" s="19">
        <v>3420.8831600507292</v>
      </c>
      <c r="F399">
        <f t="shared" si="221"/>
        <v>0</v>
      </c>
      <c r="G399">
        <f t="shared" si="222"/>
        <v>0</v>
      </c>
      <c r="H399">
        <f t="shared" si="223"/>
        <v>0</v>
      </c>
      <c r="I399">
        <f t="shared" si="224"/>
        <v>0</v>
      </c>
      <c r="J399">
        <f t="shared" si="225"/>
        <v>0</v>
      </c>
      <c r="K399">
        <f t="shared" si="226"/>
        <v>0</v>
      </c>
      <c r="L399">
        <f t="shared" si="227"/>
        <v>0</v>
      </c>
      <c r="M399">
        <f t="shared" si="228"/>
        <v>0</v>
      </c>
      <c r="N399">
        <f t="shared" si="229"/>
        <v>0</v>
      </c>
      <c r="O399">
        <f t="shared" si="230"/>
        <v>0</v>
      </c>
      <c r="P399">
        <f t="shared" si="231"/>
        <v>3420.8831600507292</v>
      </c>
      <c r="Q399">
        <f t="shared" si="232"/>
        <v>0</v>
      </c>
      <c r="S399">
        <f t="shared" si="233"/>
        <v>39</v>
      </c>
      <c r="T399">
        <f t="shared" si="234"/>
        <v>30</v>
      </c>
      <c r="U399">
        <f t="shared" si="235"/>
        <v>16</v>
      </c>
      <c r="V399">
        <f t="shared" si="236"/>
        <v>15</v>
      </c>
      <c r="W399">
        <f t="shared" si="237"/>
        <v>85</v>
      </c>
      <c r="X399">
        <f t="shared" si="238"/>
        <v>67</v>
      </c>
      <c r="Y399">
        <f t="shared" si="239"/>
        <v>16</v>
      </c>
      <c r="Z399">
        <f t="shared" si="240"/>
        <v>8</v>
      </c>
      <c r="AA399">
        <f t="shared" si="241"/>
        <v>4</v>
      </c>
      <c r="AB399">
        <f t="shared" si="242"/>
        <v>4</v>
      </c>
      <c r="AC399">
        <f t="shared" si="243"/>
        <v>110</v>
      </c>
      <c r="AD399">
        <f t="shared" si="244"/>
        <v>0</v>
      </c>
      <c r="AF399">
        <f t="shared" si="245"/>
        <v>0</v>
      </c>
      <c r="AG399">
        <f t="shared" si="246"/>
        <v>0</v>
      </c>
      <c r="AH399">
        <f t="shared" si="247"/>
        <v>0</v>
      </c>
      <c r="AI399">
        <f t="shared" si="248"/>
        <v>0</v>
      </c>
      <c r="AJ399">
        <f t="shared" si="249"/>
        <v>0</v>
      </c>
      <c r="AK399">
        <f t="shared" si="250"/>
        <v>0</v>
      </c>
      <c r="AL399">
        <f t="shared" si="251"/>
        <v>0</v>
      </c>
      <c r="AM399">
        <f t="shared" si="252"/>
        <v>0</v>
      </c>
      <c r="AN399">
        <f t="shared" si="253"/>
        <v>0</v>
      </c>
      <c r="AO399">
        <f t="shared" si="254"/>
        <v>0</v>
      </c>
      <c r="AP399">
        <f t="shared" si="255"/>
        <v>0</v>
      </c>
      <c r="AQ399">
        <f t="shared" si="256"/>
        <v>0</v>
      </c>
    </row>
    <row r="400" spans="1:43" x14ac:dyDescent="0.45">
      <c r="A400" s="51">
        <v>2</v>
      </c>
      <c r="B400" s="51" t="s">
        <v>346</v>
      </c>
      <c r="C400" s="56" t="s">
        <v>184</v>
      </c>
      <c r="D400" s="50" t="s">
        <v>54</v>
      </c>
      <c r="E400" s="19">
        <v>3395.0205080193646</v>
      </c>
      <c r="F400">
        <f t="shared" si="221"/>
        <v>0</v>
      </c>
      <c r="G400">
        <f t="shared" si="222"/>
        <v>0</v>
      </c>
      <c r="H400">
        <f t="shared" si="223"/>
        <v>0</v>
      </c>
      <c r="I400">
        <f t="shared" si="224"/>
        <v>0</v>
      </c>
      <c r="J400">
        <f t="shared" si="225"/>
        <v>0</v>
      </c>
      <c r="K400">
        <f t="shared" si="226"/>
        <v>3395.0205080193646</v>
      </c>
      <c r="L400">
        <f t="shared" si="227"/>
        <v>0</v>
      </c>
      <c r="M400">
        <f t="shared" si="228"/>
        <v>0</v>
      </c>
      <c r="N400">
        <f t="shared" si="229"/>
        <v>0</v>
      </c>
      <c r="O400">
        <f t="shared" si="230"/>
        <v>0</v>
      </c>
      <c r="P400">
        <f t="shared" si="231"/>
        <v>0</v>
      </c>
      <c r="Q400">
        <f t="shared" si="232"/>
        <v>0</v>
      </c>
      <c r="S400">
        <f t="shared" si="233"/>
        <v>39</v>
      </c>
      <c r="T400">
        <f t="shared" si="234"/>
        <v>30</v>
      </c>
      <c r="U400">
        <f t="shared" si="235"/>
        <v>16</v>
      </c>
      <c r="V400">
        <f t="shared" si="236"/>
        <v>15</v>
      </c>
      <c r="W400">
        <f t="shared" si="237"/>
        <v>85</v>
      </c>
      <c r="X400">
        <f t="shared" si="238"/>
        <v>67</v>
      </c>
      <c r="Y400">
        <f t="shared" si="239"/>
        <v>16</v>
      </c>
      <c r="Z400">
        <f t="shared" si="240"/>
        <v>8</v>
      </c>
      <c r="AA400">
        <f t="shared" si="241"/>
        <v>4</v>
      </c>
      <c r="AB400">
        <f t="shared" si="242"/>
        <v>4</v>
      </c>
      <c r="AC400">
        <f t="shared" si="243"/>
        <v>109</v>
      </c>
      <c r="AD400">
        <f t="shared" si="244"/>
        <v>0</v>
      </c>
      <c r="AF400">
        <f t="shared" si="245"/>
        <v>0</v>
      </c>
      <c r="AG400">
        <f t="shared" si="246"/>
        <v>0</v>
      </c>
      <c r="AH400">
        <f t="shared" si="247"/>
        <v>0</v>
      </c>
      <c r="AI400">
        <f t="shared" si="248"/>
        <v>0</v>
      </c>
      <c r="AJ400">
        <f t="shared" si="249"/>
        <v>0</v>
      </c>
      <c r="AK400">
        <f t="shared" si="250"/>
        <v>0</v>
      </c>
      <c r="AL400">
        <f t="shared" si="251"/>
        <v>0</v>
      </c>
      <c r="AM400">
        <f t="shared" si="252"/>
        <v>0</v>
      </c>
      <c r="AN400">
        <f t="shared" si="253"/>
        <v>0</v>
      </c>
      <c r="AO400">
        <f t="shared" si="254"/>
        <v>0</v>
      </c>
      <c r="AP400">
        <f t="shared" si="255"/>
        <v>0</v>
      </c>
      <c r="AQ400">
        <f t="shared" si="256"/>
        <v>0</v>
      </c>
    </row>
    <row r="401" spans="1:43" x14ac:dyDescent="0.45">
      <c r="A401" s="51">
        <v>3</v>
      </c>
      <c r="B401" s="51" t="s">
        <v>346</v>
      </c>
      <c r="C401" s="56" t="s">
        <v>181</v>
      </c>
      <c r="D401" s="50" t="s">
        <v>60</v>
      </c>
      <c r="E401" s="19">
        <v>3558.5098571428571</v>
      </c>
      <c r="F401">
        <f t="shared" si="221"/>
        <v>0</v>
      </c>
      <c r="G401">
        <f t="shared" si="222"/>
        <v>0</v>
      </c>
      <c r="H401">
        <f t="shared" si="223"/>
        <v>0</v>
      </c>
      <c r="I401">
        <f t="shared" si="224"/>
        <v>0</v>
      </c>
      <c r="J401">
        <f t="shared" si="225"/>
        <v>3558.5098571428571</v>
      </c>
      <c r="K401">
        <f t="shared" si="226"/>
        <v>0</v>
      </c>
      <c r="L401">
        <f t="shared" si="227"/>
        <v>0</v>
      </c>
      <c r="M401">
        <f t="shared" si="228"/>
        <v>0</v>
      </c>
      <c r="N401">
        <f t="shared" si="229"/>
        <v>0</v>
      </c>
      <c r="O401">
        <f t="shared" si="230"/>
        <v>0</v>
      </c>
      <c r="P401">
        <f t="shared" si="231"/>
        <v>0</v>
      </c>
      <c r="Q401">
        <f t="shared" si="232"/>
        <v>0</v>
      </c>
      <c r="S401">
        <f t="shared" si="233"/>
        <v>39</v>
      </c>
      <c r="T401">
        <f t="shared" si="234"/>
        <v>30</v>
      </c>
      <c r="U401">
        <f t="shared" si="235"/>
        <v>16</v>
      </c>
      <c r="V401">
        <f t="shared" si="236"/>
        <v>15</v>
      </c>
      <c r="W401">
        <f t="shared" si="237"/>
        <v>85</v>
      </c>
      <c r="X401">
        <f t="shared" si="238"/>
        <v>66</v>
      </c>
      <c r="Y401">
        <f t="shared" si="239"/>
        <v>16</v>
      </c>
      <c r="Z401">
        <f t="shared" si="240"/>
        <v>8</v>
      </c>
      <c r="AA401">
        <f t="shared" si="241"/>
        <v>4</v>
      </c>
      <c r="AB401">
        <f t="shared" si="242"/>
        <v>4</v>
      </c>
      <c r="AC401">
        <f t="shared" si="243"/>
        <v>109</v>
      </c>
      <c r="AD401">
        <f t="shared" si="244"/>
        <v>0</v>
      </c>
      <c r="AF401">
        <f t="shared" si="245"/>
        <v>0</v>
      </c>
      <c r="AG401">
        <f t="shared" si="246"/>
        <v>0</v>
      </c>
      <c r="AH401">
        <f t="shared" si="247"/>
        <v>0</v>
      </c>
      <c r="AI401">
        <f t="shared" si="248"/>
        <v>0</v>
      </c>
      <c r="AJ401">
        <f t="shared" si="249"/>
        <v>0</v>
      </c>
      <c r="AK401">
        <f t="shared" si="250"/>
        <v>0</v>
      </c>
      <c r="AL401">
        <f t="shared" si="251"/>
        <v>0</v>
      </c>
      <c r="AM401">
        <f t="shared" si="252"/>
        <v>0</v>
      </c>
      <c r="AN401">
        <f t="shared" si="253"/>
        <v>0</v>
      </c>
      <c r="AO401">
        <f t="shared" si="254"/>
        <v>0</v>
      </c>
      <c r="AP401">
        <f t="shared" si="255"/>
        <v>0</v>
      </c>
      <c r="AQ401">
        <f t="shared" si="256"/>
        <v>0</v>
      </c>
    </row>
    <row r="402" spans="1:43" x14ac:dyDescent="0.45">
      <c r="A402" s="51">
        <v>4</v>
      </c>
      <c r="B402" s="51" t="s">
        <v>347</v>
      </c>
      <c r="C402" s="56" t="s">
        <v>186</v>
      </c>
      <c r="D402" s="50" t="s">
        <v>67</v>
      </c>
      <c r="E402" s="19">
        <v>3587.9803982647336</v>
      </c>
      <c r="F402">
        <f t="shared" si="221"/>
        <v>0</v>
      </c>
      <c r="G402">
        <f t="shared" si="222"/>
        <v>0</v>
      </c>
      <c r="H402">
        <f t="shared" si="223"/>
        <v>0</v>
      </c>
      <c r="I402">
        <f t="shared" si="224"/>
        <v>3587.9803982647336</v>
      </c>
      <c r="J402">
        <f t="shared" si="225"/>
        <v>0</v>
      </c>
      <c r="K402">
        <f t="shared" si="226"/>
        <v>0</v>
      </c>
      <c r="L402">
        <f t="shared" si="227"/>
        <v>0</v>
      </c>
      <c r="M402">
        <f t="shared" si="228"/>
        <v>0</v>
      </c>
      <c r="N402">
        <f t="shared" si="229"/>
        <v>0</v>
      </c>
      <c r="O402">
        <f t="shared" si="230"/>
        <v>0</v>
      </c>
      <c r="P402">
        <f t="shared" si="231"/>
        <v>0</v>
      </c>
      <c r="Q402">
        <f t="shared" si="232"/>
        <v>0</v>
      </c>
      <c r="S402">
        <f t="shared" si="233"/>
        <v>39</v>
      </c>
      <c r="T402">
        <f t="shared" si="234"/>
        <v>30</v>
      </c>
      <c r="U402">
        <f t="shared" si="235"/>
        <v>16</v>
      </c>
      <c r="V402">
        <f t="shared" si="236"/>
        <v>15</v>
      </c>
      <c r="W402">
        <f t="shared" si="237"/>
        <v>84</v>
      </c>
      <c r="X402">
        <f t="shared" si="238"/>
        <v>66</v>
      </c>
      <c r="Y402">
        <f t="shared" si="239"/>
        <v>16</v>
      </c>
      <c r="Z402">
        <f t="shared" si="240"/>
        <v>8</v>
      </c>
      <c r="AA402">
        <f t="shared" si="241"/>
        <v>4</v>
      </c>
      <c r="AB402">
        <f t="shared" si="242"/>
        <v>4</v>
      </c>
      <c r="AC402">
        <f t="shared" si="243"/>
        <v>109</v>
      </c>
      <c r="AD402">
        <f t="shared" si="244"/>
        <v>0</v>
      </c>
      <c r="AF402">
        <f t="shared" si="245"/>
        <v>0</v>
      </c>
      <c r="AG402">
        <f t="shared" si="246"/>
        <v>0</v>
      </c>
      <c r="AH402">
        <f t="shared" si="247"/>
        <v>0</v>
      </c>
      <c r="AI402">
        <f t="shared" si="248"/>
        <v>0</v>
      </c>
      <c r="AJ402">
        <f t="shared" si="249"/>
        <v>0</v>
      </c>
      <c r="AK402">
        <f t="shared" si="250"/>
        <v>0</v>
      </c>
      <c r="AL402">
        <f t="shared" si="251"/>
        <v>0</v>
      </c>
      <c r="AM402">
        <f t="shared" si="252"/>
        <v>0</v>
      </c>
      <c r="AN402">
        <f t="shared" si="253"/>
        <v>0</v>
      </c>
      <c r="AO402">
        <f t="shared" si="254"/>
        <v>0</v>
      </c>
      <c r="AP402">
        <f t="shared" si="255"/>
        <v>0</v>
      </c>
      <c r="AQ402">
        <f t="shared" si="256"/>
        <v>0</v>
      </c>
    </row>
    <row r="403" spans="1:43" x14ac:dyDescent="0.45">
      <c r="A403" s="51">
        <v>5</v>
      </c>
      <c r="B403" s="51" t="s">
        <v>347</v>
      </c>
      <c r="C403" s="56" t="s">
        <v>189</v>
      </c>
      <c r="D403" s="50" t="s">
        <v>60</v>
      </c>
      <c r="E403" s="19">
        <v>3019.8548344370861</v>
      </c>
      <c r="F403">
        <f t="shared" si="221"/>
        <v>0</v>
      </c>
      <c r="G403">
        <f t="shared" si="222"/>
        <v>0</v>
      </c>
      <c r="H403">
        <f t="shared" si="223"/>
        <v>0</v>
      </c>
      <c r="I403">
        <f t="shared" si="224"/>
        <v>0</v>
      </c>
      <c r="J403">
        <f t="shared" si="225"/>
        <v>3019.8548344370861</v>
      </c>
      <c r="K403">
        <f t="shared" si="226"/>
        <v>0</v>
      </c>
      <c r="L403">
        <f t="shared" si="227"/>
        <v>0</v>
      </c>
      <c r="M403">
        <f t="shared" si="228"/>
        <v>0</v>
      </c>
      <c r="N403">
        <f t="shared" si="229"/>
        <v>0</v>
      </c>
      <c r="O403">
        <f t="shared" si="230"/>
        <v>0</v>
      </c>
      <c r="P403">
        <f t="shared" si="231"/>
        <v>0</v>
      </c>
      <c r="Q403">
        <f t="shared" si="232"/>
        <v>0</v>
      </c>
      <c r="S403">
        <f t="shared" si="233"/>
        <v>39</v>
      </c>
      <c r="T403">
        <f t="shared" si="234"/>
        <v>30</v>
      </c>
      <c r="U403">
        <f t="shared" si="235"/>
        <v>16</v>
      </c>
      <c r="V403">
        <f t="shared" si="236"/>
        <v>14</v>
      </c>
      <c r="W403">
        <f t="shared" si="237"/>
        <v>84</v>
      </c>
      <c r="X403">
        <f t="shared" si="238"/>
        <v>66</v>
      </c>
      <c r="Y403">
        <f t="shared" si="239"/>
        <v>16</v>
      </c>
      <c r="Z403">
        <f t="shared" si="240"/>
        <v>8</v>
      </c>
      <c r="AA403">
        <f t="shared" si="241"/>
        <v>4</v>
      </c>
      <c r="AB403">
        <f t="shared" si="242"/>
        <v>4</v>
      </c>
      <c r="AC403">
        <f t="shared" si="243"/>
        <v>109</v>
      </c>
      <c r="AD403">
        <f t="shared" si="244"/>
        <v>0</v>
      </c>
      <c r="AF403">
        <f t="shared" si="245"/>
        <v>0</v>
      </c>
      <c r="AG403">
        <f t="shared" si="246"/>
        <v>0</v>
      </c>
      <c r="AH403">
        <f t="shared" si="247"/>
        <v>0</v>
      </c>
      <c r="AI403">
        <f t="shared" si="248"/>
        <v>0</v>
      </c>
      <c r="AJ403">
        <f t="shared" si="249"/>
        <v>0</v>
      </c>
      <c r="AK403">
        <f t="shared" si="250"/>
        <v>0</v>
      </c>
      <c r="AL403">
        <f t="shared" si="251"/>
        <v>0</v>
      </c>
      <c r="AM403">
        <f t="shared" si="252"/>
        <v>0</v>
      </c>
      <c r="AN403">
        <f t="shared" si="253"/>
        <v>0</v>
      </c>
      <c r="AO403">
        <f t="shared" si="254"/>
        <v>0</v>
      </c>
      <c r="AP403">
        <f t="shared" si="255"/>
        <v>0</v>
      </c>
      <c r="AQ403">
        <f t="shared" si="256"/>
        <v>0</v>
      </c>
    </row>
    <row r="404" spans="1:43" x14ac:dyDescent="0.35">
      <c r="A404" s="51">
        <v>6</v>
      </c>
      <c r="B404" s="51" t="s">
        <v>347</v>
      </c>
      <c r="C404" s="62" t="s">
        <v>53</v>
      </c>
      <c r="D404" s="51" t="s">
        <v>54</v>
      </c>
      <c r="E404" s="19">
        <v>2780.5596471144754</v>
      </c>
      <c r="F404">
        <f t="shared" si="221"/>
        <v>0</v>
      </c>
      <c r="G404">
        <f t="shared" si="222"/>
        <v>0</v>
      </c>
      <c r="H404">
        <f t="shared" si="223"/>
        <v>0</v>
      </c>
      <c r="I404">
        <f t="shared" si="224"/>
        <v>0</v>
      </c>
      <c r="J404">
        <f t="shared" si="225"/>
        <v>0</v>
      </c>
      <c r="K404">
        <f t="shared" si="226"/>
        <v>2780.5596471144754</v>
      </c>
      <c r="L404">
        <f t="shared" si="227"/>
        <v>0</v>
      </c>
      <c r="M404">
        <f t="shared" si="228"/>
        <v>0</v>
      </c>
      <c r="N404">
        <f t="shared" si="229"/>
        <v>0</v>
      </c>
      <c r="O404">
        <f t="shared" si="230"/>
        <v>0</v>
      </c>
      <c r="P404">
        <f t="shared" si="231"/>
        <v>0</v>
      </c>
      <c r="Q404">
        <f t="shared" si="232"/>
        <v>0</v>
      </c>
      <c r="S404">
        <f t="shared" si="233"/>
        <v>39</v>
      </c>
      <c r="T404">
        <f t="shared" si="234"/>
        <v>30</v>
      </c>
      <c r="U404">
        <f t="shared" si="235"/>
        <v>16</v>
      </c>
      <c r="V404">
        <f t="shared" si="236"/>
        <v>14</v>
      </c>
      <c r="W404">
        <f t="shared" si="237"/>
        <v>83</v>
      </c>
      <c r="X404">
        <f t="shared" si="238"/>
        <v>66</v>
      </c>
      <c r="Y404">
        <f t="shared" si="239"/>
        <v>16</v>
      </c>
      <c r="Z404">
        <f t="shared" si="240"/>
        <v>8</v>
      </c>
      <c r="AA404">
        <f t="shared" si="241"/>
        <v>4</v>
      </c>
      <c r="AB404">
        <f t="shared" si="242"/>
        <v>4</v>
      </c>
      <c r="AC404">
        <f t="shared" si="243"/>
        <v>109</v>
      </c>
      <c r="AD404">
        <f t="shared" si="244"/>
        <v>0</v>
      </c>
      <c r="AF404">
        <f t="shared" si="245"/>
        <v>0</v>
      </c>
      <c r="AG404">
        <f t="shared" si="246"/>
        <v>0</v>
      </c>
      <c r="AH404">
        <f t="shared" si="247"/>
        <v>0</v>
      </c>
      <c r="AI404">
        <f t="shared" si="248"/>
        <v>0</v>
      </c>
      <c r="AJ404">
        <f t="shared" si="249"/>
        <v>0</v>
      </c>
      <c r="AK404">
        <f t="shared" si="250"/>
        <v>0</v>
      </c>
      <c r="AL404">
        <f t="shared" si="251"/>
        <v>0</v>
      </c>
      <c r="AM404">
        <f t="shared" si="252"/>
        <v>0</v>
      </c>
      <c r="AN404">
        <f t="shared" si="253"/>
        <v>0</v>
      </c>
      <c r="AO404">
        <f t="shared" si="254"/>
        <v>0</v>
      </c>
      <c r="AP404">
        <f t="shared" si="255"/>
        <v>0</v>
      </c>
      <c r="AQ404">
        <f t="shared" si="256"/>
        <v>0</v>
      </c>
    </row>
    <row r="405" spans="1:43" x14ac:dyDescent="0.45">
      <c r="A405" s="51">
        <v>7</v>
      </c>
      <c r="B405" s="51" t="s">
        <v>347</v>
      </c>
      <c r="C405" s="56" t="s">
        <v>56</v>
      </c>
      <c r="D405" s="50" t="s">
        <v>228</v>
      </c>
      <c r="E405" s="19">
        <v>2914.2253192863927</v>
      </c>
      <c r="F405">
        <f t="shared" si="221"/>
        <v>0</v>
      </c>
      <c r="G405">
        <f t="shared" si="222"/>
        <v>0</v>
      </c>
      <c r="H405">
        <f t="shared" si="223"/>
        <v>0</v>
      </c>
      <c r="I405">
        <f t="shared" si="224"/>
        <v>0</v>
      </c>
      <c r="J405">
        <f t="shared" si="225"/>
        <v>0</v>
      </c>
      <c r="K405">
        <f t="shared" si="226"/>
        <v>0</v>
      </c>
      <c r="L405">
        <f t="shared" si="227"/>
        <v>0</v>
      </c>
      <c r="M405">
        <f t="shared" si="228"/>
        <v>0</v>
      </c>
      <c r="N405">
        <f t="shared" si="229"/>
        <v>0</v>
      </c>
      <c r="O405">
        <f t="shared" si="230"/>
        <v>0</v>
      </c>
      <c r="P405">
        <f t="shared" si="231"/>
        <v>2914.2253192863927</v>
      </c>
      <c r="Q405">
        <f t="shared" si="232"/>
        <v>0</v>
      </c>
      <c r="S405">
        <f t="shared" si="233"/>
        <v>39</v>
      </c>
      <c r="T405">
        <f t="shared" si="234"/>
        <v>30</v>
      </c>
      <c r="U405">
        <f t="shared" si="235"/>
        <v>16</v>
      </c>
      <c r="V405">
        <f t="shared" si="236"/>
        <v>14</v>
      </c>
      <c r="W405">
        <f t="shared" si="237"/>
        <v>83</v>
      </c>
      <c r="X405">
        <f t="shared" si="238"/>
        <v>65</v>
      </c>
      <c r="Y405">
        <f t="shared" si="239"/>
        <v>16</v>
      </c>
      <c r="Z405">
        <f t="shared" si="240"/>
        <v>8</v>
      </c>
      <c r="AA405">
        <f t="shared" si="241"/>
        <v>4</v>
      </c>
      <c r="AB405">
        <f t="shared" si="242"/>
        <v>4</v>
      </c>
      <c r="AC405">
        <f t="shared" si="243"/>
        <v>109</v>
      </c>
      <c r="AD405">
        <f t="shared" si="244"/>
        <v>0</v>
      </c>
      <c r="AF405">
        <f t="shared" si="245"/>
        <v>0</v>
      </c>
      <c r="AG405">
        <f t="shared" si="246"/>
        <v>0</v>
      </c>
      <c r="AH405">
        <f t="shared" si="247"/>
        <v>0</v>
      </c>
      <c r="AI405">
        <f t="shared" si="248"/>
        <v>0</v>
      </c>
      <c r="AJ405">
        <f t="shared" si="249"/>
        <v>0</v>
      </c>
      <c r="AK405">
        <f t="shared" si="250"/>
        <v>0</v>
      </c>
      <c r="AL405">
        <f t="shared" si="251"/>
        <v>0</v>
      </c>
      <c r="AM405">
        <f t="shared" si="252"/>
        <v>0</v>
      </c>
      <c r="AN405">
        <f t="shared" si="253"/>
        <v>0</v>
      </c>
      <c r="AO405">
        <f t="shared" si="254"/>
        <v>0</v>
      </c>
      <c r="AP405">
        <f t="shared" si="255"/>
        <v>0</v>
      </c>
      <c r="AQ405">
        <f t="shared" si="256"/>
        <v>0</v>
      </c>
    </row>
    <row r="406" spans="1:43" x14ac:dyDescent="0.45">
      <c r="A406" s="51">
        <v>8</v>
      </c>
      <c r="B406" s="51" t="s">
        <v>348</v>
      </c>
      <c r="C406" s="56" t="s">
        <v>58</v>
      </c>
      <c r="D406" s="50" t="s">
        <v>60</v>
      </c>
      <c r="E406" s="19">
        <v>3402.2207508412198</v>
      </c>
      <c r="F406">
        <f t="shared" si="221"/>
        <v>0</v>
      </c>
      <c r="G406">
        <f t="shared" si="222"/>
        <v>0</v>
      </c>
      <c r="H406">
        <f t="shared" si="223"/>
        <v>0</v>
      </c>
      <c r="I406">
        <f t="shared" si="224"/>
        <v>0</v>
      </c>
      <c r="J406">
        <f t="shared" si="225"/>
        <v>3402.2207508412198</v>
      </c>
      <c r="K406">
        <f t="shared" si="226"/>
        <v>0</v>
      </c>
      <c r="L406">
        <f t="shared" si="227"/>
        <v>0</v>
      </c>
      <c r="M406">
        <f t="shared" si="228"/>
        <v>0</v>
      </c>
      <c r="N406">
        <f t="shared" si="229"/>
        <v>0</v>
      </c>
      <c r="O406">
        <f t="shared" si="230"/>
        <v>0</v>
      </c>
      <c r="P406">
        <f t="shared" si="231"/>
        <v>0</v>
      </c>
      <c r="Q406">
        <f t="shared" si="232"/>
        <v>0</v>
      </c>
      <c r="S406">
        <f t="shared" si="233"/>
        <v>39</v>
      </c>
      <c r="T406">
        <f t="shared" si="234"/>
        <v>30</v>
      </c>
      <c r="U406">
        <f t="shared" si="235"/>
        <v>16</v>
      </c>
      <c r="V406">
        <f t="shared" si="236"/>
        <v>14</v>
      </c>
      <c r="W406">
        <f t="shared" si="237"/>
        <v>83</v>
      </c>
      <c r="X406">
        <f t="shared" si="238"/>
        <v>65</v>
      </c>
      <c r="Y406">
        <f t="shared" si="239"/>
        <v>16</v>
      </c>
      <c r="Z406">
        <f t="shared" si="240"/>
        <v>8</v>
      </c>
      <c r="AA406">
        <f t="shared" si="241"/>
        <v>4</v>
      </c>
      <c r="AB406">
        <f t="shared" si="242"/>
        <v>4</v>
      </c>
      <c r="AC406">
        <f t="shared" si="243"/>
        <v>108</v>
      </c>
      <c r="AD406">
        <f t="shared" si="244"/>
        <v>0</v>
      </c>
      <c r="AF406">
        <f t="shared" si="245"/>
        <v>0</v>
      </c>
      <c r="AG406">
        <f t="shared" si="246"/>
        <v>0</v>
      </c>
      <c r="AH406">
        <f t="shared" si="247"/>
        <v>0</v>
      </c>
      <c r="AI406">
        <f t="shared" si="248"/>
        <v>0</v>
      </c>
      <c r="AJ406">
        <f t="shared" si="249"/>
        <v>0</v>
      </c>
      <c r="AK406">
        <f t="shared" si="250"/>
        <v>0</v>
      </c>
      <c r="AL406">
        <f t="shared" si="251"/>
        <v>0</v>
      </c>
      <c r="AM406">
        <f t="shared" si="252"/>
        <v>0</v>
      </c>
      <c r="AN406">
        <f t="shared" si="253"/>
        <v>0</v>
      </c>
      <c r="AO406">
        <f t="shared" si="254"/>
        <v>0</v>
      </c>
      <c r="AP406">
        <f t="shared" si="255"/>
        <v>0</v>
      </c>
      <c r="AQ406">
        <f t="shared" si="256"/>
        <v>0</v>
      </c>
    </row>
    <row r="407" spans="1:43" x14ac:dyDescent="0.45">
      <c r="A407" s="51">
        <v>9</v>
      </c>
      <c r="B407" s="51" t="s">
        <v>348</v>
      </c>
      <c r="C407" s="56" t="s">
        <v>61</v>
      </c>
      <c r="D407" s="50" t="s">
        <v>60</v>
      </c>
      <c r="E407" s="19">
        <v>3266.1546448104746</v>
      </c>
      <c r="F407">
        <f t="shared" si="221"/>
        <v>0</v>
      </c>
      <c r="G407">
        <f t="shared" si="222"/>
        <v>0</v>
      </c>
      <c r="H407">
        <f t="shared" si="223"/>
        <v>0</v>
      </c>
      <c r="I407">
        <f t="shared" si="224"/>
        <v>0</v>
      </c>
      <c r="J407">
        <f t="shared" si="225"/>
        <v>3266.1546448104746</v>
      </c>
      <c r="K407">
        <f t="shared" si="226"/>
        <v>0</v>
      </c>
      <c r="L407">
        <f t="shared" si="227"/>
        <v>0</v>
      </c>
      <c r="M407">
        <f t="shared" si="228"/>
        <v>0</v>
      </c>
      <c r="N407">
        <f t="shared" si="229"/>
        <v>0</v>
      </c>
      <c r="O407">
        <f t="shared" si="230"/>
        <v>0</v>
      </c>
      <c r="P407">
        <f t="shared" si="231"/>
        <v>0</v>
      </c>
      <c r="Q407">
        <f t="shared" si="232"/>
        <v>0</v>
      </c>
      <c r="S407">
        <f t="shared" si="233"/>
        <v>39</v>
      </c>
      <c r="T407">
        <f t="shared" si="234"/>
        <v>30</v>
      </c>
      <c r="U407">
        <f t="shared" si="235"/>
        <v>16</v>
      </c>
      <c r="V407">
        <f t="shared" si="236"/>
        <v>14</v>
      </c>
      <c r="W407">
        <f t="shared" si="237"/>
        <v>82</v>
      </c>
      <c r="X407">
        <f t="shared" si="238"/>
        <v>65</v>
      </c>
      <c r="Y407">
        <f t="shared" si="239"/>
        <v>16</v>
      </c>
      <c r="Z407">
        <f t="shared" si="240"/>
        <v>8</v>
      </c>
      <c r="AA407">
        <f t="shared" si="241"/>
        <v>4</v>
      </c>
      <c r="AB407">
        <f t="shared" si="242"/>
        <v>4</v>
      </c>
      <c r="AC407">
        <f t="shared" si="243"/>
        <v>108</v>
      </c>
      <c r="AD407">
        <f t="shared" si="244"/>
        <v>0</v>
      </c>
      <c r="AF407">
        <f t="shared" si="245"/>
        <v>0</v>
      </c>
      <c r="AG407">
        <f t="shared" si="246"/>
        <v>0</v>
      </c>
      <c r="AH407">
        <f t="shared" si="247"/>
        <v>0</v>
      </c>
      <c r="AI407">
        <f t="shared" si="248"/>
        <v>0</v>
      </c>
      <c r="AJ407">
        <f t="shared" si="249"/>
        <v>0</v>
      </c>
      <c r="AK407">
        <f t="shared" si="250"/>
        <v>0</v>
      </c>
      <c r="AL407">
        <f t="shared" si="251"/>
        <v>0</v>
      </c>
      <c r="AM407">
        <f t="shared" si="252"/>
        <v>0</v>
      </c>
      <c r="AN407">
        <f t="shared" si="253"/>
        <v>0</v>
      </c>
      <c r="AO407">
        <f t="shared" si="254"/>
        <v>0</v>
      </c>
      <c r="AP407">
        <f t="shared" si="255"/>
        <v>0</v>
      </c>
      <c r="AQ407">
        <f t="shared" si="256"/>
        <v>0</v>
      </c>
    </row>
    <row r="408" spans="1:43" x14ac:dyDescent="0.45">
      <c r="A408" s="51">
        <v>10</v>
      </c>
      <c r="B408" s="51" t="s">
        <v>348</v>
      </c>
      <c r="C408" s="56" t="s">
        <v>59</v>
      </c>
      <c r="D408" s="50" t="s">
        <v>228</v>
      </c>
      <c r="E408" s="19">
        <v>2998.8908024096386</v>
      </c>
      <c r="F408">
        <f t="shared" si="221"/>
        <v>0</v>
      </c>
      <c r="G408">
        <f t="shared" si="222"/>
        <v>0</v>
      </c>
      <c r="H408">
        <f t="shared" si="223"/>
        <v>0</v>
      </c>
      <c r="I408">
        <f t="shared" si="224"/>
        <v>0</v>
      </c>
      <c r="J408">
        <f t="shared" si="225"/>
        <v>0</v>
      </c>
      <c r="K408">
        <f t="shared" si="226"/>
        <v>0</v>
      </c>
      <c r="L408">
        <f t="shared" si="227"/>
        <v>0</v>
      </c>
      <c r="M408">
        <f t="shared" si="228"/>
        <v>0</v>
      </c>
      <c r="N408">
        <f t="shared" si="229"/>
        <v>0</v>
      </c>
      <c r="O408">
        <f t="shared" si="230"/>
        <v>0</v>
      </c>
      <c r="P408">
        <f t="shared" si="231"/>
        <v>2998.8908024096386</v>
      </c>
      <c r="Q408">
        <f t="shared" si="232"/>
        <v>0</v>
      </c>
      <c r="S408">
        <f t="shared" si="233"/>
        <v>39</v>
      </c>
      <c r="T408">
        <f t="shared" si="234"/>
        <v>30</v>
      </c>
      <c r="U408">
        <f t="shared" si="235"/>
        <v>16</v>
      </c>
      <c r="V408">
        <f t="shared" si="236"/>
        <v>14</v>
      </c>
      <c r="W408">
        <f t="shared" si="237"/>
        <v>81</v>
      </c>
      <c r="X408">
        <f t="shared" si="238"/>
        <v>65</v>
      </c>
      <c r="Y408">
        <f t="shared" si="239"/>
        <v>16</v>
      </c>
      <c r="Z408">
        <f t="shared" si="240"/>
        <v>8</v>
      </c>
      <c r="AA408">
        <f t="shared" si="241"/>
        <v>4</v>
      </c>
      <c r="AB408">
        <f t="shared" si="242"/>
        <v>4</v>
      </c>
      <c r="AC408">
        <f t="shared" si="243"/>
        <v>108</v>
      </c>
      <c r="AD408">
        <f t="shared" si="244"/>
        <v>0</v>
      </c>
      <c r="AF408">
        <f t="shared" si="245"/>
        <v>0</v>
      </c>
      <c r="AG408">
        <f t="shared" si="246"/>
        <v>0</v>
      </c>
      <c r="AH408">
        <f t="shared" si="247"/>
        <v>0</v>
      </c>
      <c r="AI408">
        <f t="shared" si="248"/>
        <v>0</v>
      </c>
      <c r="AJ408">
        <f t="shared" si="249"/>
        <v>0</v>
      </c>
      <c r="AK408">
        <f t="shared" si="250"/>
        <v>0</v>
      </c>
      <c r="AL408">
        <f t="shared" si="251"/>
        <v>0</v>
      </c>
      <c r="AM408">
        <f t="shared" si="252"/>
        <v>0</v>
      </c>
      <c r="AN408">
        <f t="shared" si="253"/>
        <v>0</v>
      </c>
      <c r="AO408">
        <f t="shared" si="254"/>
        <v>0</v>
      </c>
      <c r="AP408">
        <f t="shared" si="255"/>
        <v>0</v>
      </c>
      <c r="AQ408">
        <f t="shared" si="256"/>
        <v>0</v>
      </c>
    </row>
    <row r="409" spans="1:43" x14ac:dyDescent="0.35">
      <c r="A409" s="51">
        <v>11</v>
      </c>
      <c r="B409" s="51" t="s">
        <v>348</v>
      </c>
      <c r="C409" s="62" t="s">
        <v>63</v>
      </c>
      <c r="D409" s="51" t="s">
        <v>54</v>
      </c>
      <c r="E409" s="19">
        <v>2747.0606672824606</v>
      </c>
      <c r="F409">
        <f t="shared" si="221"/>
        <v>0</v>
      </c>
      <c r="G409">
        <f t="shared" si="222"/>
        <v>0</v>
      </c>
      <c r="H409">
        <f t="shared" si="223"/>
        <v>0</v>
      </c>
      <c r="I409">
        <f t="shared" si="224"/>
        <v>0</v>
      </c>
      <c r="J409">
        <f t="shared" si="225"/>
        <v>0</v>
      </c>
      <c r="K409">
        <f t="shared" si="226"/>
        <v>2747.0606672824606</v>
      </c>
      <c r="L409">
        <f t="shared" si="227"/>
        <v>0</v>
      </c>
      <c r="M409">
        <f t="shared" si="228"/>
        <v>0</v>
      </c>
      <c r="N409">
        <f t="shared" si="229"/>
        <v>0</v>
      </c>
      <c r="O409">
        <f t="shared" si="230"/>
        <v>0</v>
      </c>
      <c r="P409">
        <f t="shared" si="231"/>
        <v>0</v>
      </c>
      <c r="Q409">
        <f t="shared" si="232"/>
        <v>0</v>
      </c>
      <c r="S409">
        <f t="shared" si="233"/>
        <v>39</v>
      </c>
      <c r="T409">
        <f t="shared" si="234"/>
        <v>30</v>
      </c>
      <c r="U409">
        <f t="shared" si="235"/>
        <v>16</v>
      </c>
      <c r="V409">
        <f t="shared" si="236"/>
        <v>14</v>
      </c>
      <c r="W409">
        <f t="shared" si="237"/>
        <v>81</v>
      </c>
      <c r="X409">
        <f t="shared" si="238"/>
        <v>65</v>
      </c>
      <c r="Y409">
        <f t="shared" si="239"/>
        <v>16</v>
      </c>
      <c r="Z409">
        <f t="shared" si="240"/>
        <v>8</v>
      </c>
      <c r="AA409">
        <f t="shared" si="241"/>
        <v>4</v>
      </c>
      <c r="AB409">
        <f t="shared" si="242"/>
        <v>4</v>
      </c>
      <c r="AC409">
        <f t="shared" si="243"/>
        <v>107</v>
      </c>
      <c r="AD409">
        <f t="shared" si="244"/>
        <v>0</v>
      </c>
      <c r="AF409">
        <f t="shared" si="245"/>
        <v>0</v>
      </c>
      <c r="AG409">
        <f t="shared" si="246"/>
        <v>0</v>
      </c>
      <c r="AH409">
        <f t="shared" si="247"/>
        <v>0</v>
      </c>
      <c r="AI409">
        <f t="shared" si="248"/>
        <v>0</v>
      </c>
      <c r="AJ409">
        <f t="shared" si="249"/>
        <v>0</v>
      </c>
      <c r="AK409">
        <f t="shared" si="250"/>
        <v>0</v>
      </c>
      <c r="AL409">
        <f t="shared" si="251"/>
        <v>0</v>
      </c>
      <c r="AM409">
        <f t="shared" si="252"/>
        <v>0</v>
      </c>
      <c r="AN409">
        <f t="shared" si="253"/>
        <v>0</v>
      </c>
      <c r="AO409">
        <f t="shared" si="254"/>
        <v>0</v>
      </c>
      <c r="AP409">
        <f t="shared" si="255"/>
        <v>0</v>
      </c>
      <c r="AQ409">
        <f t="shared" si="256"/>
        <v>0</v>
      </c>
    </row>
    <row r="410" spans="1:43" x14ac:dyDescent="0.45">
      <c r="A410" s="51">
        <v>12</v>
      </c>
      <c r="B410" s="51" t="s">
        <v>349</v>
      </c>
      <c r="C410" s="56" t="s">
        <v>65</v>
      </c>
      <c r="D410" s="50" t="s">
        <v>228</v>
      </c>
      <c r="E410" s="19">
        <v>3680.0021817971378</v>
      </c>
      <c r="F410">
        <f t="shared" si="221"/>
        <v>0</v>
      </c>
      <c r="G410">
        <f t="shared" si="222"/>
        <v>0</v>
      </c>
      <c r="H410">
        <f t="shared" si="223"/>
        <v>0</v>
      </c>
      <c r="I410">
        <f t="shared" si="224"/>
        <v>0</v>
      </c>
      <c r="J410">
        <f t="shared" si="225"/>
        <v>0</v>
      </c>
      <c r="K410">
        <f t="shared" si="226"/>
        <v>0</v>
      </c>
      <c r="L410">
        <f t="shared" si="227"/>
        <v>0</v>
      </c>
      <c r="M410">
        <f t="shared" si="228"/>
        <v>0</v>
      </c>
      <c r="N410">
        <f t="shared" si="229"/>
        <v>0</v>
      </c>
      <c r="O410">
        <f t="shared" si="230"/>
        <v>0</v>
      </c>
      <c r="P410">
        <f t="shared" si="231"/>
        <v>3680.0021817971378</v>
      </c>
      <c r="Q410">
        <f t="shared" si="232"/>
        <v>0</v>
      </c>
      <c r="S410">
        <f t="shared" si="233"/>
        <v>39</v>
      </c>
      <c r="T410">
        <f t="shared" si="234"/>
        <v>30</v>
      </c>
      <c r="U410">
        <f t="shared" si="235"/>
        <v>16</v>
      </c>
      <c r="V410">
        <f t="shared" si="236"/>
        <v>14</v>
      </c>
      <c r="W410">
        <f t="shared" si="237"/>
        <v>81</v>
      </c>
      <c r="X410">
        <f t="shared" si="238"/>
        <v>64</v>
      </c>
      <c r="Y410">
        <f t="shared" si="239"/>
        <v>16</v>
      </c>
      <c r="Z410">
        <f t="shared" si="240"/>
        <v>8</v>
      </c>
      <c r="AA410">
        <f t="shared" si="241"/>
        <v>4</v>
      </c>
      <c r="AB410">
        <f t="shared" si="242"/>
        <v>4</v>
      </c>
      <c r="AC410">
        <f t="shared" si="243"/>
        <v>107</v>
      </c>
      <c r="AD410">
        <f t="shared" si="244"/>
        <v>0</v>
      </c>
      <c r="AF410">
        <f t="shared" si="245"/>
        <v>0</v>
      </c>
      <c r="AG410">
        <f t="shared" si="246"/>
        <v>0</v>
      </c>
      <c r="AH410">
        <f t="shared" si="247"/>
        <v>0</v>
      </c>
      <c r="AI410">
        <f t="shared" si="248"/>
        <v>0</v>
      </c>
      <c r="AJ410">
        <f t="shared" si="249"/>
        <v>0</v>
      </c>
      <c r="AK410">
        <f t="shared" si="250"/>
        <v>0</v>
      </c>
      <c r="AL410">
        <f t="shared" si="251"/>
        <v>0</v>
      </c>
      <c r="AM410">
        <f t="shared" si="252"/>
        <v>0</v>
      </c>
      <c r="AN410">
        <f t="shared" si="253"/>
        <v>0</v>
      </c>
      <c r="AO410">
        <f t="shared" si="254"/>
        <v>0</v>
      </c>
      <c r="AP410">
        <f t="shared" si="255"/>
        <v>0</v>
      </c>
      <c r="AQ410">
        <f t="shared" si="256"/>
        <v>0</v>
      </c>
    </row>
    <row r="411" spans="1:43" x14ac:dyDescent="0.45">
      <c r="A411" s="51">
        <v>13</v>
      </c>
      <c r="B411" s="51" t="s">
        <v>349</v>
      </c>
      <c r="C411" s="56" t="s">
        <v>64</v>
      </c>
      <c r="D411" s="50" t="s">
        <v>60</v>
      </c>
      <c r="E411" s="19">
        <v>3209.9322207012747</v>
      </c>
      <c r="F411">
        <f t="shared" si="221"/>
        <v>0</v>
      </c>
      <c r="G411">
        <f t="shared" si="222"/>
        <v>0</v>
      </c>
      <c r="H411">
        <f t="shared" si="223"/>
        <v>0</v>
      </c>
      <c r="I411">
        <f t="shared" si="224"/>
        <v>0</v>
      </c>
      <c r="J411">
        <f t="shared" si="225"/>
        <v>3209.9322207012747</v>
      </c>
      <c r="K411">
        <f t="shared" si="226"/>
        <v>0</v>
      </c>
      <c r="L411">
        <f t="shared" si="227"/>
        <v>0</v>
      </c>
      <c r="M411">
        <f t="shared" si="228"/>
        <v>0</v>
      </c>
      <c r="N411">
        <f t="shared" si="229"/>
        <v>0</v>
      </c>
      <c r="O411">
        <f t="shared" si="230"/>
        <v>0</v>
      </c>
      <c r="P411">
        <f t="shared" si="231"/>
        <v>0</v>
      </c>
      <c r="Q411">
        <f t="shared" si="232"/>
        <v>0</v>
      </c>
      <c r="S411">
        <f t="shared" si="233"/>
        <v>39</v>
      </c>
      <c r="T411">
        <f t="shared" si="234"/>
        <v>30</v>
      </c>
      <c r="U411">
        <f t="shared" si="235"/>
        <v>16</v>
      </c>
      <c r="V411">
        <f t="shared" si="236"/>
        <v>14</v>
      </c>
      <c r="W411">
        <f t="shared" si="237"/>
        <v>81</v>
      </c>
      <c r="X411">
        <f t="shared" si="238"/>
        <v>64</v>
      </c>
      <c r="Y411">
        <f t="shared" si="239"/>
        <v>16</v>
      </c>
      <c r="Z411">
        <f t="shared" si="240"/>
        <v>8</v>
      </c>
      <c r="AA411">
        <f t="shared" si="241"/>
        <v>4</v>
      </c>
      <c r="AB411">
        <f t="shared" si="242"/>
        <v>4</v>
      </c>
      <c r="AC411">
        <f t="shared" si="243"/>
        <v>106</v>
      </c>
      <c r="AD411">
        <f t="shared" si="244"/>
        <v>0</v>
      </c>
      <c r="AF411">
        <f t="shared" si="245"/>
        <v>0</v>
      </c>
      <c r="AG411">
        <f t="shared" si="246"/>
        <v>0</v>
      </c>
      <c r="AH411">
        <f t="shared" si="247"/>
        <v>0</v>
      </c>
      <c r="AI411">
        <f t="shared" si="248"/>
        <v>0</v>
      </c>
      <c r="AJ411">
        <f t="shared" si="249"/>
        <v>0</v>
      </c>
      <c r="AK411">
        <f t="shared" si="250"/>
        <v>0</v>
      </c>
      <c r="AL411">
        <f t="shared" si="251"/>
        <v>0</v>
      </c>
      <c r="AM411">
        <f t="shared" si="252"/>
        <v>0</v>
      </c>
      <c r="AN411">
        <f t="shared" si="253"/>
        <v>0</v>
      </c>
      <c r="AO411">
        <f t="shared" si="254"/>
        <v>0</v>
      </c>
      <c r="AP411">
        <f t="shared" si="255"/>
        <v>0</v>
      </c>
      <c r="AQ411">
        <f t="shared" si="256"/>
        <v>0</v>
      </c>
    </row>
    <row r="412" spans="1:43" x14ac:dyDescent="0.35">
      <c r="A412" s="51">
        <v>14</v>
      </c>
      <c r="B412" s="51" t="s">
        <v>349</v>
      </c>
      <c r="C412" s="62" t="s">
        <v>66</v>
      </c>
      <c r="D412" s="51" t="s">
        <v>60</v>
      </c>
      <c r="E412" s="19">
        <v>3138.1084536734475</v>
      </c>
      <c r="F412">
        <f t="shared" si="221"/>
        <v>0</v>
      </c>
      <c r="G412">
        <f t="shared" si="222"/>
        <v>0</v>
      </c>
      <c r="H412">
        <f t="shared" si="223"/>
        <v>0</v>
      </c>
      <c r="I412">
        <f t="shared" si="224"/>
        <v>0</v>
      </c>
      <c r="J412">
        <f t="shared" si="225"/>
        <v>3138.1084536734475</v>
      </c>
      <c r="K412">
        <f t="shared" si="226"/>
        <v>0</v>
      </c>
      <c r="L412">
        <f t="shared" si="227"/>
        <v>0</v>
      </c>
      <c r="M412">
        <f t="shared" si="228"/>
        <v>0</v>
      </c>
      <c r="N412">
        <f t="shared" si="229"/>
        <v>0</v>
      </c>
      <c r="O412">
        <f t="shared" si="230"/>
        <v>0</v>
      </c>
      <c r="P412">
        <f t="shared" si="231"/>
        <v>0</v>
      </c>
      <c r="Q412">
        <f t="shared" si="232"/>
        <v>0</v>
      </c>
      <c r="S412">
        <f t="shared" si="233"/>
        <v>39</v>
      </c>
      <c r="T412">
        <f t="shared" si="234"/>
        <v>30</v>
      </c>
      <c r="U412">
        <f t="shared" si="235"/>
        <v>16</v>
      </c>
      <c r="V412">
        <f t="shared" si="236"/>
        <v>14</v>
      </c>
      <c r="W412">
        <f t="shared" si="237"/>
        <v>80</v>
      </c>
      <c r="X412">
        <f t="shared" si="238"/>
        <v>64</v>
      </c>
      <c r="Y412">
        <f t="shared" si="239"/>
        <v>16</v>
      </c>
      <c r="Z412">
        <f t="shared" si="240"/>
        <v>8</v>
      </c>
      <c r="AA412">
        <f t="shared" si="241"/>
        <v>4</v>
      </c>
      <c r="AB412">
        <f t="shared" si="242"/>
        <v>4</v>
      </c>
      <c r="AC412">
        <f t="shared" si="243"/>
        <v>106</v>
      </c>
      <c r="AD412">
        <f t="shared" si="244"/>
        <v>0</v>
      </c>
      <c r="AF412">
        <f t="shared" si="245"/>
        <v>0</v>
      </c>
      <c r="AG412">
        <f t="shared" si="246"/>
        <v>0</v>
      </c>
      <c r="AH412">
        <f t="shared" si="247"/>
        <v>0</v>
      </c>
      <c r="AI412">
        <f t="shared" si="248"/>
        <v>0</v>
      </c>
      <c r="AJ412">
        <f t="shared" si="249"/>
        <v>0</v>
      </c>
      <c r="AK412">
        <f t="shared" si="250"/>
        <v>0</v>
      </c>
      <c r="AL412">
        <f t="shared" si="251"/>
        <v>0</v>
      </c>
      <c r="AM412">
        <f t="shared" si="252"/>
        <v>0</v>
      </c>
      <c r="AN412">
        <f t="shared" si="253"/>
        <v>0</v>
      </c>
      <c r="AO412">
        <f t="shared" si="254"/>
        <v>0</v>
      </c>
      <c r="AP412">
        <f t="shared" si="255"/>
        <v>0</v>
      </c>
      <c r="AQ412">
        <f t="shared" si="256"/>
        <v>0</v>
      </c>
    </row>
    <row r="413" spans="1:43" x14ac:dyDescent="0.45">
      <c r="A413" s="51">
        <v>15</v>
      </c>
      <c r="B413" s="51" t="s">
        <v>350</v>
      </c>
      <c r="C413" s="56" t="s">
        <v>211</v>
      </c>
      <c r="D413" s="50" t="s">
        <v>94</v>
      </c>
      <c r="E413" s="19">
        <v>3348.7463679966404</v>
      </c>
      <c r="F413">
        <f t="shared" si="221"/>
        <v>0</v>
      </c>
      <c r="G413">
        <f t="shared" si="222"/>
        <v>0</v>
      </c>
      <c r="H413">
        <f t="shared" si="223"/>
        <v>0</v>
      </c>
      <c r="I413">
        <f t="shared" si="224"/>
        <v>0</v>
      </c>
      <c r="J413">
        <f t="shared" si="225"/>
        <v>0</v>
      </c>
      <c r="K413">
        <f t="shared" si="226"/>
        <v>0</v>
      </c>
      <c r="L413">
        <f t="shared" si="227"/>
        <v>3348.7463679966404</v>
      </c>
      <c r="M413">
        <f t="shared" si="228"/>
        <v>0</v>
      </c>
      <c r="N413">
        <f t="shared" si="229"/>
        <v>0</v>
      </c>
      <c r="O413">
        <f t="shared" si="230"/>
        <v>0</v>
      </c>
      <c r="P413">
        <f t="shared" si="231"/>
        <v>0</v>
      </c>
      <c r="Q413">
        <f t="shared" si="232"/>
        <v>0</v>
      </c>
      <c r="S413">
        <f t="shared" si="233"/>
        <v>39</v>
      </c>
      <c r="T413">
        <f t="shared" si="234"/>
        <v>30</v>
      </c>
      <c r="U413">
        <f t="shared" si="235"/>
        <v>16</v>
      </c>
      <c r="V413">
        <f t="shared" si="236"/>
        <v>14</v>
      </c>
      <c r="W413">
        <f t="shared" si="237"/>
        <v>79</v>
      </c>
      <c r="X413">
        <f t="shared" si="238"/>
        <v>64</v>
      </c>
      <c r="Y413">
        <f t="shared" si="239"/>
        <v>16</v>
      </c>
      <c r="Z413">
        <f t="shared" si="240"/>
        <v>8</v>
      </c>
      <c r="AA413">
        <f t="shared" si="241"/>
        <v>4</v>
      </c>
      <c r="AB413">
        <f t="shared" si="242"/>
        <v>4</v>
      </c>
      <c r="AC413">
        <f t="shared" si="243"/>
        <v>106</v>
      </c>
      <c r="AD413">
        <f t="shared" si="244"/>
        <v>0</v>
      </c>
      <c r="AF413">
        <f t="shared" si="245"/>
        <v>0</v>
      </c>
      <c r="AG413">
        <f t="shared" si="246"/>
        <v>0</v>
      </c>
      <c r="AH413">
        <f t="shared" si="247"/>
        <v>0</v>
      </c>
      <c r="AI413">
        <f t="shared" si="248"/>
        <v>0</v>
      </c>
      <c r="AJ413">
        <f t="shared" si="249"/>
        <v>0</v>
      </c>
      <c r="AK413">
        <f t="shared" si="250"/>
        <v>0</v>
      </c>
      <c r="AL413">
        <f t="shared" si="251"/>
        <v>0</v>
      </c>
      <c r="AM413">
        <f t="shared" si="252"/>
        <v>0</v>
      </c>
      <c r="AN413">
        <f t="shared" si="253"/>
        <v>0</v>
      </c>
      <c r="AO413">
        <f t="shared" si="254"/>
        <v>0</v>
      </c>
      <c r="AP413">
        <f t="shared" si="255"/>
        <v>0</v>
      </c>
      <c r="AQ413">
        <f t="shared" si="256"/>
        <v>0</v>
      </c>
    </row>
    <row r="414" spans="1:43" x14ac:dyDescent="0.35">
      <c r="A414" s="51">
        <v>16</v>
      </c>
      <c r="B414" s="51" t="s">
        <v>350</v>
      </c>
      <c r="C414" s="62" t="s">
        <v>72</v>
      </c>
      <c r="D414" s="50" t="s">
        <v>228</v>
      </c>
      <c r="E414" s="19">
        <v>3268.6690007085444</v>
      </c>
      <c r="F414">
        <f t="shared" si="221"/>
        <v>0</v>
      </c>
      <c r="G414">
        <f t="shared" si="222"/>
        <v>0</v>
      </c>
      <c r="H414">
        <f t="shared" si="223"/>
        <v>0</v>
      </c>
      <c r="I414">
        <f t="shared" si="224"/>
        <v>0</v>
      </c>
      <c r="J414">
        <f t="shared" si="225"/>
        <v>0</v>
      </c>
      <c r="K414">
        <f t="shared" si="226"/>
        <v>0</v>
      </c>
      <c r="L414">
        <f t="shared" si="227"/>
        <v>0</v>
      </c>
      <c r="M414">
        <f t="shared" si="228"/>
        <v>0</v>
      </c>
      <c r="N414">
        <f t="shared" si="229"/>
        <v>0</v>
      </c>
      <c r="O414">
        <f t="shared" si="230"/>
        <v>0</v>
      </c>
      <c r="P414">
        <f t="shared" si="231"/>
        <v>3268.6690007085444</v>
      </c>
      <c r="Q414">
        <f t="shared" si="232"/>
        <v>0</v>
      </c>
      <c r="S414">
        <f t="shared" si="233"/>
        <v>39</v>
      </c>
      <c r="T414">
        <f t="shared" si="234"/>
        <v>30</v>
      </c>
      <c r="U414">
        <f t="shared" si="235"/>
        <v>16</v>
      </c>
      <c r="V414">
        <f t="shared" si="236"/>
        <v>14</v>
      </c>
      <c r="W414">
        <f t="shared" si="237"/>
        <v>79</v>
      </c>
      <c r="X414">
        <f t="shared" si="238"/>
        <v>64</v>
      </c>
      <c r="Y414">
        <f t="shared" si="239"/>
        <v>15</v>
      </c>
      <c r="Z414">
        <f t="shared" si="240"/>
        <v>8</v>
      </c>
      <c r="AA414">
        <f t="shared" si="241"/>
        <v>4</v>
      </c>
      <c r="AB414">
        <f t="shared" si="242"/>
        <v>4</v>
      </c>
      <c r="AC414">
        <f t="shared" si="243"/>
        <v>106</v>
      </c>
      <c r="AD414">
        <f t="shared" si="244"/>
        <v>0</v>
      </c>
      <c r="AF414">
        <f t="shared" si="245"/>
        <v>0</v>
      </c>
      <c r="AG414">
        <f t="shared" si="246"/>
        <v>0</v>
      </c>
      <c r="AH414">
        <f t="shared" si="247"/>
        <v>0</v>
      </c>
      <c r="AI414">
        <f t="shared" si="248"/>
        <v>0</v>
      </c>
      <c r="AJ414">
        <f t="shared" si="249"/>
        <v>0</v>
      </c>
      <c r="AK414">
        <f t="shared" si="250"/>
        <v>0</v>
      </c>
      <c r="AL414">
        <f t="shared" si="251"/>
        <v>0</v>
      </c>
      <c r="AM414">
        <f t="shared" si="252"/>
        <v>0</v>
      </c>
      <c r="AN414">
        <f t="shared" si="253"/>
        <v>0</v>
      </c>
      <c r="AO414">
        <f t="shared" si="254"/>
        <v>0</v>
      </c>
      <c r="AP414">
        <f t="shared" si="255"/>
        <v>0</v>
      </c>
      <c r="AQ414">
        <f t="shared" si="256"/>
        <v>0</v>
      </c>
    </row>
    <row r="415" spans="1:43" x14ac:dyDescent="0.45">
      <c r="A415" s="51">
        <v>17</v>
      </c>
      <c r="B415" s="51" t="s">
        <v>350</v>
      </c>
      <c r="C415" s="56" t="s">
        <v>73</v>
      </c>
      <c r="D415" s="50" t="s">
        <v>54</v>
      </c>
      <c r="E415" s="19">
        <v>3345.1162289334743</v>
      </c>
      <c r="F415">
        <f t="shared" si="221"/>
        <v>0</v>
      </c>
      <c r="G415">
        <f t="shared" si="222"/>
        <v>0</v>
      </c>
      <c r="H415">
        <f t="shared" si="223"/>
        <v>0</v>
      </c>
      <c r="I415">
        <f t="shared" si="224"/>
        <v>0</v>
      </c>
      <c r="J415">
        <f t="shared" si="225"/>
        <v>0</v>
      </c>
      <c r="K415">
        <f t="shared" si="226"/>
        <v>3345.1162289334743</v>
      </c>
      <c r="L415">
        <f t="shared" si="227"/>
        <v>0</v>
      </c>
      <c r="M415">
        <f t="shared" si="228"/>
        <v>0</v>
      </c>
      <c r="N415">
        <f t="shared" si="229"/>
        <v>0</v>
      </c>
      <c r="O415">
        <f t="shared" si="230"/>
        <v>0</v>
      </c>
      <c r="P415">
        <f t="shared" si="231"/>
        <v>0</v>
      </c>
      <c r="Q415">
        <f t="shared" si="232"/>
        <v>0</v>
      </c>
      <c r="S415">
        <f t="shared" si="233"/>
        <v>39</v>
      </c>
      <c r="T415">
        <f t="shared" si="234"/>
        <v>30</v>
      </c>
      <c r="U415">
        <f t="shared" si="235"/>
        <v>16</v>
      </c>
      <c r="V415">
        <f t="shared" si="236"/>
        <v>14</v>
      </c>
      <c r="W415">
        <f t="shared" si="237"/>
        <v>79</v>
      </c>
      <c r="X415">
        <f t="shared" si="238"/>
        <v>64</v>
      </c>
      <c r="Y415">
        <f t="shared" si="239"/>
        <v>15</v>
      </c>
      <c r="Z415">
        <f t="shared" si="240"/>
        <v>8</v>
      </c>
      <c r="AA415">
        <f t="shared" si="241"/>
        <v>4</v>
      </c>
      <c r="AB415">
        <f t="shared" si="242"/>
        <v>4</v>
      </c>
      <c r="AC415">
        <f t="shared" si="243"/>
        <v>105</v>
      </c>
      <c r="AD415">
        <f t="shared" si="244"/>
        <v>0</v>
      </c>
      <c r="AF415">
        <f t="shared" si="245"/>
        <v>0</v>
      </c>
      <c r="AG415">
        <f t="shared" si="246"/>
        <v>0</v>
      </c>
      <c r="AH415">
        <f t="shared" si="247"/>
        <v>0</v>
      </c>
      <c r="AI415">
        <f t="shared" si="248"/>
        <v>0</v>
      </c>
      <c r="AJ415">
        <f t="shared" si="249"/>
        <v>0</v>
      </c>
      <c r="AK415">
        <f t="shared" si="250"/>
        <v>0</v>
      </c>
      <c r="AL415">
        <f t="shared" si="251"/>
        <v>0</v>
      </c>
      <c r="AM415">
        <f t="shared" si="252"/>
        <v>0</v>
      </c>
      <c r="AN415">
        <f t="shared" si="253"/>
        <v>0</v>
      </c>
      <c r="AO415">
        <f t="shared" si="254"/>
        <v>0</v>
      </c>
      <c r="AP415">
        <f t="shared" si="255"/>
        <v>0</v>
      </c>
      <c r="AQ415">
        <f t="shared" si="256"/>
        <v>0</v>
      </c>
    </row>
    <row r="416" spans="1:43" x14ac:dyDescent="0.45">
      <c r="A416" s="51">
        <v>18</v>
      </c>
      <c r="B416" s="51" t="s">
        <v>350</v>
      </c>
      <c r="C416" s="56" t="s">
        <v>79</v>
      </c>
      <c r="D416" s="50" t="s">
        <v>228</v>
      </c>
      <c r="E416" s="19">
        <v>2857.1248669961096</v>
      </c>
      <c r="F416">
        <f t="shared" si="221"/>
        <v>0</v>
      </c>
      <c r="G416">
        <f t="shared" si="222"/>
        <v>0</v>
      </c>
      <c r="H416">
        <f t="shared" si="223"/>
        <v>0</v>
      </c>
      <c r="I416">
        <f t="shared" si="224"/>
        <v>0</v>
      </c>
      <c r="J416">
        <f t="shared" si="225"/>
        <v>0</v>
      </c>
      <c r="K416">
        <f t="shared" si="226"/>
        <v>0</v>
      </c>
      <c r="L416">
        <f t="shared" si="227"/>
        <v>0</v>
      </c>
      <c r="M416">
        <f t="shared" si="228"/>
        <v>0</v>
      </c>
      <c r="N416">
        <f t="shared" si="229"/>
        <v>0</v>
      </c>
      <c r="O416">
        <f t="shared" si="230"/>
        <v>0</v>
      </c>
      <c r="P416">
        <f t="shared" si="231"/>
        <v>2857.1248669961096</v>
      </c>
      <c r="Q416">
        <f t="shared" si="232"/>
        <v>0</v>
      </c>
      <c r="S416">
        <f t="shared" si="233"/>
        <v>39</v>
      </c>
      <c r="T416">
        <f t="shared" si="234"/>
        <v>30</v>
      </c>
      <c r="U416">
        <f t="shared" si="235"/>
        <v>16</v>
      </c>
      <c r="V416">
        <f t="shared" si="236"/>
        <v>14</v>
      </c>
      <c r="W416">
        <f t="shared" si="237"/>
        <v>79</v>
      </c>
      <c r="X416">
        <f t="shared" si="238"/>
        <v>63</v>
      </c>
      <c r="Y416">
        <f t="shared" si="239"/>
        <v>15</v>
      </c>
      <c r="Z416">
        <f t="shared" si="240"/>
        <v>8</v>
      </c>
      <c r="AA416">
        <f t="shared" si="241"/>
        <v>4</v>
      </c>
      <c r="AB416">
        <f t="shared" si="242"/>
        <v>4</v>
      </c>
      <c r="AC416">
        <f t="shared" si="243"/>
        <v>105</v>
      </c>
      <c r="AD416">
        <f t="shared" si="244"/>
        <v>0</v>
      </c>
      <c r="AF416">
        <f t="shared" si="245"/>
        <v>0</v>
      </c>
      <c r="AG416">
        <f t="shared" si="246"/>
        <v>0</v>
      </c>
      <c r="AH416">
        <f t="shared" si="247"/>
        <v>0</v>
      </c>
      <c r="AI416">
        <f t="shared" si="248"/>
        <v>0</v>
      </c>
      <c r="AJ416">
        <f t="shared" si="249"/>
        <v>0</v>
      </c>
      <c r="AK416">
        <f t="shared" si="250"/>
        <v>0</v>
      </c>
      <c r="AL416">
        <f t="shared" si="251"/>
        <v>0</v>
      </c>
      <c r="AM416">
        <f t="shared" si="252"/>
        <v>0</v>
      </c>
      <c r="AN416">
        <f t="shared" si="253"/>
        <v>0</v>
      </c>
      <c r="AO416">
        <f t="shared" si="254"/>
        <v>0</v>
      </c>
      <c r="AP416">
        <f t="shared" si="255"/>
        <v>0</v>
      </c>
      <c r="AQ416">
        <f t="shared" si="256"/>
        <v>0</v>
      </c>
    </row>
    <row r="417" spans="1:43" x14ac:dyDescent="0.45">
      <c r="A417" s="51">
        <v>19</v>
      </c>
      <c r="B417" s="51" t="s">
        <v>351</v>
      </c>
      <c r="C417" s="56" t="s">
        <v>75</v>
      </c>
      <c r="D417" s="50" t="s">
        <v>228</v>
      </c>
      <c r="E417" s="19">
        <v>3389.3248008729497</v>
      </c>
      <c r="F417">
        <f t="shared" si="221"/>
        <v>0</v>
      </c>
      <c r="G417">
        <f t="shared" si="222"/>
        <v>0</v>
      </c>
      <c r="H417">
        <f t="shared" si="223"/>
        <v>0</v>
      </c>
      <c r="I417">
        <f t="shared" si="224"/>
        <v>0</v>
      </c>
      <c r="J417">
        <f t="shared" si="225"/>
        <v>0</v>
      </c>
      <c r="K417">
        <f t="shared" si="226"/>
        <v>0</v>
      </c>
      <c r="L417">
        <f t="shared" si="227"/>
        <v>0</v>
      </c>
      <c r="M417">
        <f t="shared" si="228"/>
        <v>0</v>
      </c>
      <c r="N417">
        <f t="shared" si="229"/>
        <v>0</v>
      </c>
      <c r="O417">
        <f t="shared" si="230"/>
        <v>0</v>
      </c>
      <c r="P417">
        <f t="shared" si="231"/>
        <v>3389.3248008729497</v>
      </c>
      <c r="Q417">
        <f t="shared" si="232"/>
        <v>0</v>
      </c>
      <c r="S417">
        <f t="shared" si="233"/>
        <v>39</v>
      </c>
      <c r="T417">
        <f t="shared" si="234"/>
        <v>30</v>
      </c>
      <c r="U417">
        <f t="shared" si="235"/>
        <v>16</v>
      </c>
      <c r="V417">
        <f t="shared" si="236"/>
        <v>14</v>
      </c>
      <c r="W417">
        <f t="shared" si="237"/>
        <v>79</v>
      </c>
      <c r="X417">
        <f t="shared" si="238"/>
        <v>63</v>
      </c>
      <c r="Y417">
        <f t="shared" si="239"/>
        <v>15</v>
      </c>
      <c r="Z417">
        <f t="shared" si="240"/>
        <v>8</v>
      </c>
      <c r="AA417">
        <f t="shared" si="241"/>
        <v>4</v>
      </c>
      <c r="AB417">
        <f t="shared" si="242"/>
        <v>4</v>
      </c>
      <c r="AC417">
        <f t="shared" si="243"/>
        <v>104</v>
      </c>
      <c r="AD417">
        <f t="shared" si="244"/>
        <v>0</v>
      </c>
      <c r="AF417">
        <f t="shared" si="245"/>
        <v>0</v>
      </c>
      <c r="AG417">
        <f t="shared" si="246"/>
        <v>0</v>
      </c>
      <c r="AH417">
        <f t="shared" si="247"/>
        <v>0</v>
      </c>
      <c r="AI417">
        <f t="shared" si="248"/>
        <v>0</v>
      </c>
      <c r="AJ417">
        <f t="shared" si="249"/>
        <v>0</v>
      </c>
      <c r="AK417">
        <f t="shared" si="250"/>
        <v>0</v>
      </c>
      <c r="AL417">
        <f t="shared" si="251"/>
        <v>0</v>
      </c>
      <c r="AM417">
        <f t="shared" si="252"/>
        <v>0</v>
      </c>
      <c r="AN417">
        <f t="shared" si="253"/>
        <v>0</v>
      </c>
      <c r="AO417">
        <f t="shared" si="254"/>
        <v>0</v>
      </c>
      <c r="AP417">
        <f t="shared" si="255"/>
        <v>0</v>
      </c>
      <c r="AQ417">
        <f t="shared" si="256"/>
        <v>0</v>
      </c>
    </row>
    <row r="418" spans="1:43" x14ac:dyDescent="0.45">
      <c r="A418" s="51">
        <v>20</v>
      </c>
      <c r="B418" s="51" t="s">
        <v>350</v>
      </c>
      <c r="C418" s="56" t="s">
        <v>352</v>
      </c>
      <c r="D418" s="50" t="s">
        <v>102</v>
      </c>
      <c r="E418" s="19">
        <v>2867.5237010339733</v>
      </c>
      <c r="F418">
        <f t="shared" si="221"/>
        <v>0</v>
      </c>
      <c r="G418">
        <f t="shared" si="222"/>
        <v>0</v>
      </c>
      <c r="H418">
        <f t="shared" si="223"/>
        <v>0</v>
      </c>
      <c r="I418">
        <f t="shared" si="224"/>
        <v>0</v>
      </c>
      <c r="J418">
        <f t="shared" si="225"/>
        <v>0</v>
      </c>
      <c r="K418">
        <f t="shared" si="226"/>
        <v>0</v>
      </c>
      <c r="L418">
        <f t="shared" si="227"/>
        <v>0</v>
      </c>
      <c r="M418">
        <f t="shared" si="228"/>
        <v>0</v>
      </c>
      <c r="N418">
        <f t="shared" si="229"/>
        <v>0</v>
      </c>
      <c r="O418">
        <f t="shared" si="230"/>
        <v>2867.5237010339733</v>
      </c>
      <c r="P418">
        <f t="shared" si="231"/>
        <v>0</v>
      </c>
      <c r="Q418">
        <f t="shared" si="232"/>
        <v>0</v>
      </c>
      <c r="S418">
        <f t="shared" si="233"/>
        <v>39</v>
      </c>
      <c r="T418">
        <f t="shared" si="234"/>
        <v>30</v>
      </c>
      <c r="U418">
        <f t="shared" si="235"/>
        <v>16</v>
      </c>
      <c r="V418">
        <f t="shared" si="236"/>
        <v>14</v>
      </c>
      <c r="W418">
        <f t="shared" si="237"/>
        <v>79</v>
      </c>
      <c r="X418">
        <f t="shared" si="238"/>
        <v>63</v>
      </c>
      <c r="Y418">
        <f t="shared" si="239"/>
        <v>15</v>
      </c>
      <c r="Z418">
        <f t="shared" si="240"/>
        <v>8</v>
      </c>
      <c r="AA418">
        <f t="shared" si="241"/>
        <v>4</v>
      </c>
      <c r="AB418">
        <f t="shared" si="242"/>
        <v>4</v>
      </c>
      <c r="AC418">
        <f t="shared" si="243"/>
        <v>103</v>
      </c>
      <c r="AD418">
        <f t="shared" si="244"/>
        <v>0</v>
      </c>
      <c r="AF418">
        <f t="shared" si="245"/>
        <v>0</v>
      </c>
      <c r="AG418">
        <f t="shared" si="246"/>
        <v>0</v>
      </c>
      <c r="AH418">
        <f t="shared" si="247"/>
        <v>0</v>
      </c>
      <c r="AI418">
        <f t="shared" si="248"/>
        <v>0</v>
      </c>
      <c r="AJ418">
        <f t="shared" si="249"/>
        <v>0</v>
      </c>
      <c r="AK418">
        <f t="shared" si="250"/>
        <v>0</v>
      </c>
      <c r="AL418">
        <f t="shared" si="251"/>
        <v>0</v>
      </c>
      <c r="AM418">
        <f t="shared" si="252"/>
        <v>0</v>
      </c>
      <c r="AN418">
        <f t="shared" si="253"/>
        <v>0</v>
      </c>
      <c r="AO418">
        <f t="shared" si="254"/>
        <v>2867.5237010339733</v>
      </c>
      <c r="AP418">
        <f t="shared" si="255"/>
        <v>0</v>
      </c>
      <c r="AQ418">
        <f t="shared" si="256"/>
        <v>0</v>
      </c>
    </row>
    <row r="419" spans="1:43" x14ac:dyDescent="0.45">
      <c r="A419" s="51">
        <v>21</v>
      </c>
      <c r="B419" s="51" t="s">
        <v>351</v>
      </c>
      <c r="C419" s="56" t="s">
        <v>78</v>
      </c>
      <c r="D419" s="50" t="s">
        <v>54</v>
      </c>
      <c r="E419" s="19">
        <v>3090.6353532373341</v>
      </c>
      <c r="F419">
        <f t="shared" si="221"/>
        <v>0</v>
      </c>
      <c r="G419">
        <f t="shared" si="222"/>
        <v>0</v>
      </c>
      <c r="H419">
        <f t="shared" si="223"/>
        <v>0</v>
      </c>
      <c r="I419">
        <f t="shared" si="224"/>
        <v>0</v>
      </c>
      <c r="J419">
        <f t="shared" si="225"/>
        <v>0</v>
      </c>
      <c r="K419">
        <f t="shared" si="226"/>
        <v>3090.6353532373341</v>
      </c>
      <c r="L419">
        <f t="shared" si="227"/>
        <v>0</v>
      </c>
      <c r="M419">
        <f t="shared" si="228"/>
        <v>0</v>
      </c>
      <c r="N419">
        <f t="shared" si="229"/>
        <v>0</v>
      </c>
      <c r="O419">
        <f t="shared" si="230"/>
        <v>0</v>
      </c>
      <c r="P419">
        <f t="shared" si="231"/>
        <v>0</v>
      </c>
      <c r="Q419">
        <f t="shared" si="232"/>
        <v>0</v>
      </c>
      <c r="S419">
        <f t="shared" si="233"/>
        <v>39</v>
      </c>
      <c r="T419">
        <f t="shared" si="234"/>
        <v>30</v>
      </c>
      <c r="U419">
        <f t="shared" si="235"/>
        <v>16</v>
      </c>
      <c r="V419">
        <f t="shared" si="236"/>
        <v>14</v>
      </c>
      <c r="W419">
        <f t="shared" si="237"/>
        <v>79</v>
      </c>
      <c r="X419">
        <f t="shared" si="238"/>
        <v>63</v>
      </c>
      <c r="Y419">
        <f t="shared" si="239"/>
        <v>15</v>
      </c>
      <c r="Z419">
        <f t="shared" si="240"/>
        <v>8</v>
      </c>
      <c r="AA419">
        <f t="shared" si="241"/>
        <v>4</v>
      </c>
      <c r="AB419">
        <f t="shared" si="242"/>
        <v>3</v>
      </c>
      <c r="AC419">
        <f t="shared" si="243"/>
        <v>103</v>
      </c>
      <c r="AD419">
        <f t="shared" si="244"/>
        <v>0</v>
      </c>
      <c r="AF419">
        <f t="shared" si="245"/>
        <v>0</v>
      </c>
      <c r="AG419">
        <f t="shared" si="246"/>
        <v>0</v>
      </c>
      <c r="AH419">
        <f t="shared" si="247"/>
        <v>0</v>
      </c>
      <c r="AI419">
        <f t="shared" si="248"/>
        <v>0</v>
      </c>
      <c r="AJ419">
        <f t="shared" si="249"/>
        <v>0</v>
      </c>
      <c r="AK419">
        <f t="shared" si="250"/>
        <v>0</v>
      </c>
      <c r="AL419">
        <f t="shared" si="251"/>
        <v>0</v>
      </c>
      <c r="AM419">
        <f t="shared" si="252"/>
        <v>0</v>
      </c>
      <c r="AN419">
        <f t="shared" si="253"/>
        <v>0</v>
      </c>
      <c r="AO419">
        <f t="shared" si="254"/>
        <v>0</v>
      </c>
      <c r="AP419">
        <f t="shared" si="255"/>
        <v>0</v>
      </c>
      <c r="AQ419">
        <f t="shared" si="256"/>
        <v>0</v>
      </c>
    </row>
    <row r="420" spans="1:43" x14ac:dyDescent="0.35">
      <c r="A420" s="51">
        <v>22</v>
      </c>
      <c r="B420" s="51" t="s">
        <v>351</v>
      </c>
      <c r="C420" s="62" t="s">
        <v>77</v>
      </c>
      <c r="D420" s="51" t="s">
        <v>54</v>
      </c>
      <c r="E420" s="19">
        <v>3411.3045086851253</v>
      </c>
      <c r="F420">
        <f t="shared" si="221"/>
        <v>0</v>
      </c>
      <c r="G420">
        <f t="shared" si="222"/>
        <v>0</v>
      </c>
      <c r="H420">
        <f t="shared" si="223"/>
        <v>0</v>
      </c>
      <c r="I420">
        <f t="shared" si="224"/>
        <v>0</v>
      </c>
      <c r="J420">
        <f t="shared" si="225"/>
        <v>0</v>
      </c>
      <c r="K420">
        <f t="shared" si="226"/>
        <v>3411.3045086851253</v>
      </c>
      <c r="L420">
        <f t="shared" si="227"/>
        <v>0</v>
      </c>
      <c r="M420">
        <f t="shared" si="228"/>
        <v>0</v>
      </c>
      <c r="N420">
        <f t="shared" si="229"/>
        <v>0</v>
      </c>
      <c r="O420">
        <f t="shared" si="230"/>
        <v>0</v>
      </c>
      <c r="P420">
        <f t="shared" si="231"/>
        <v>0</v>
      </c>
      <c r="Q420">
        <f t="shared" si="232"/>
        <v>0</v>
      </c>
      <c r="S420">
        <f t="shared" si="233"/>
        <v>39</v>
      </c>
      <c r="T420">
        <f t="shared" si="234"/>
        <v>30</v>
      </c>
      <c r="U420">
        <f t="shared" si="235"/>
        <v>16</v>
      </c>
      <c r="V420">
        <f t="shared" si="236"/>
        <v>14</v>
      </c>
      <c r="W420">
        <f t="shared" si="237"/>
        <v>79</v>
      </c>
      <c r="X420">
        <f t="shared" si="238"/>
        <v>62</v>
      </c>
      <c r="Y420">
        <f t="shared" si="239"/>
        <v>15</v>
      </c>
      <c r="Z420">
        <f t="shared" si="240"/>
        <v>8</v>
      </c>
      <c r="AA420">
        <f t="shared" si="241"/>
        <v>4</v>
      </c>
      <c r="AB420">
        <f t="shared" si="242"/>
        <v>3</v>
      </c>
      <c r="AC420">
        <f t="shared" si="243"/>
        <v>103</v>
      </c>
      <c r="AD420">
        <f t="shared" si="244"/>
        <v>0</v>
      </c>
      <c r="AF420">
        <f t="shared" si="245"/>
        <v>0</v>
      </c>
      <c r="AG420">
        <f t="shared" si="246"/>
        <v>0</v>
      </c>
      <c r="AH420">
        <f t="shared" si="247"/>
        <v>0</v>
      </c>
      <c r="AI420">
        <f t="shared" si="248"/>
        <v>0</v>
      </c>
      <c r="AJ420">
        <f t="shared" si="249"/>
        <v>0</v>
      </c>
      <c r="AK420">
        <f t="shared" si="250"/>
        <v>0</v>
      </c>
      <c r="AL420">
        <f t="shared" si="251"/>
        <v>0</v>
      </c>
      <c r="AM420">
        <f t="shared" si="252"/>
        <v>0</v>
      </c>
      <c r="AN420">
        <f t="shared" si="253"/>
        <v>0</v>
      </c>
      <c r="AO420">
        <f t="shared" si="254"/>
        <v>0</v>
      </c>
      <c r="AP420">
        <f t="shared" si="255"/>
        <v>0</v>
      </c>
      <c r="AQ420">
        <f t="shared" si="256"/>
        <v>0</v>
      </c>
    </row>
    <row r="421" spans="1:43" x14ac:dyDescent="0.35">
      <c r="A421" s="51">
        <v>23</v>
      </c>
      <c r="B421" s="53" t="s">
        <v>355</v>
      </c>
      <c r="C421" s="60" t="s">
        <v>82</v>
      </c>
      <c r="D421" s="53" t="s">
        <v>60</v>
      </c>
      <c r="E421" s="53">
        <v>3675</v>
      </c>
      <c r="F421">
        <f t="shared" si="221"/>
        <v>0</v>
      </c>
      <c r="G421">
        <f t="shared" si="222"/>
        <v>0</v>
      </c>
      <c r="H421">
        <f t="shared" si="223"/>
        <v>0</v>
      </c>
      <c r="I421">
        <f t="shared" si="224"/>
        <v>0</v>
      </c>
      <c r="J421">
        <f t="shared" si="225"/>
        <v>3675</v>
      </c>
      <c r="K421">
        <f t="shared" si="226"/>
        <v>0</v>
      </c>
      <c r="L421">
        <f t="shared" si="227"/>
        <v>0</v>
      </c>
      <c r="M421">
        <f t="shared" si="228"/>
        <v>0</v>
      </c>
      <c r="N421">
        <f t="shared" si="229"/>
        <v>0</v>
      </c>
      <c r="O421">
        <f t="shared" si="230"/>
        <v>0</v>
      </c>
      <c r="P421">
        <f t="shared" si="231"/>
        <v>0</v>
      </c>
      <c r="Q421">
        <f t="shared" si="232"/>
        <v>0</v>
      </c>
      <c r="S421">
        <f t="shared" si="233"/>
        <v>39</v>
      </c>
      <c r="T421">
        <f t="shared" si="234"/>
        <v>30</v>
      </c>
      <c r="U421">
        <f t="shared" si="235"/>
        <v>16</v>
      </c>
      <c r="V421">
        <f t="shared" si="236"/>
        <v>14</v>
      </c>
      <c r="W421">
        <f t="shared" si="237"/>
        <v>79</v>
      </c>
      <c r="X421">
        <f t="shared" si="238"/>
        <v>61</v>
      </c>
      <c r="Y421">
        <f t="shared" si="239"/>
        <v>15</v>
      </c>
      <c r="Z421">
        <f t="shared" si="240"/>
        <v>8</v>
      </c>
      <c r="AA421">
        <f t="shared" si="241"/>
        <v>4</v>
      </c>
      <c r="AB421">
        <f t="shared" si="242"/>
        <v>3</v>
      </c>
      <c r="AC421">
        <f t="shared" si="243"/>
        <v>103</v>
      </c>
      <c r="AD421">
        <f t="shared" si="244"/>
        <v>0</v>
      </c>
      <c r="AF421">
        <f t="shared" si="245"/>
        <v>0</v>
      </c>
      <c r="AG421">
        <f t="shared" si="246"/>
        <v>0</v>
      </c>
      <c r="AH421">
        <f t="shared" si="247"/>
        <v>0</v>
      </c>
      <c r="AI421">
        <f t="shared" si="248"/>
        <v>0</v>
      </c>
      <c r="AJ421">
        <f t="shared" si="249"/>
        <v>0</v>
      </c>
      <c r="AK421">
        <f t="shared" si="250"/>
        <v>0</v>
      </c>
      <c r="AL421">
        <f t="shared" si="251"/>
        <v>0</v>
      </c>
      <c r="AM421">
        <f t="shared" si="252"/>
        <v>0</v>
      </c>
      <c r="AN421">
        <f t="shared" si="253"/>
        <v>0</v>
      </c>
      <c r="AO421">
        <f t="shared" si="254"/>
        <v>0</v>
      </c>
      <c r="AP421">
        <f t="shared" si="255"/>
        <v>0</v>
      </c>
      <c r="AQ421">
        <f t="shared" si="256"/>
        <v>0</v>
      </c>
    </row>
    <row r="422" spans="1:43" x14ac:dyDescent="0.45">
      <c r="A422" s="51">
        <v>24</v>
      </c>
      <c r="B422" s="53" t="s">
        <v>355</v>
      </c>
      <c r="C422" s="61" t="s">
        <v>84</v>
      </c>
      <c r="D422" s="76" t="s">
        <v>228</v>
      </c>
      <c r="E422" s="53">
        <v>3563</v>
      </c>
      <c r="F422">
        <f t="shared" si="221"/>
        <v>0</v>
      </c>
      <c r="G422">
        <f t="shared" si="222"/>
        <v>0</v>
      </c>
      <c r="H422">
        <f t="shared" si="223"/>
        <v>0</v>
      </c>
      <c r="I422">
        <f t="shared" si="224"/>
        <v>0</v>
      </c>
      <c r="J422">
        <f t="shared" si="225"/>
        <v>0</v>
      </c>
      <c r="K422">
        <f t="shared" si="226"/>
        <v>0</v>
      </c>
      <c r="L422">
        <f t="shared" si="227"/>
        <v>0</v>
      </c>
      <c r="M422">
        <f t="shared" si="228"/>
        <v>0</v>
      </c>
      <c r="N422">
        <f t="shared" si="229"/>
        <v>0</v>
      </c>
      <c r="O422">
        <f t="shared" si="230"/>
        <v>0</v>
      </c>
      <c r="P422">
        <f t="shared" si="231"/>
        <v>3563</v>
      </c>
      <c r="Q422">
        <f t="shared" si="232"/>
        <v>0</v>
      </c>
      <c r="S422">
        <f t="shared" si="233"/>
        <v>39</v>
      </c>
      <c r="T422">
        <f t="shared" si="234"/>
        <v>30</v>
      </c>
      <c r="U422">
        <f t="shared" si="235"/>
        <v>16</v>
      </c>
      <c r="V422">
        <f t="shared" si="236"/>
        <v>14</v>
      </c>
      <c r="W422">
        <f t="shared" si="237"/>
        <v>78</v>
      </c>
      <c r="X422">
        <f t="shared" si="238"/>
        <v>61</v>
      </c>
      <c r="Y422">
        <f t="shared" si="239"/>
        <v>15</v>
      </c>
      <c r="Z422">
        <f t="shared" si="240"/>
        <v>8</v>
      </c>
      <c r="AA422">
        <f t="shared" si="241"/>
        <v>4</v>
      </c>
      <c r="AB422">
        <f t="shared" si="242"/>
        <v>3</v>
      </c>
      <c r="AC422">
        <f t="shared" si="243"/>
        <v>103</v>
      </c>
      <c r="AD422">
        <f t="shared" si="244"/>
        <v>0</v>
      </c>
      <c r="AF422">
        <f t="shared" si="245"/>
        <v>0</v>
      </c>
      <c r="AG422">
        <f t="shared" si="246"/>
        <v>0</v>
      </c>
      <c r="AH422">
        <f t="shared" si="247"/>
        <v>0</v>
      </c>
      <c r="AI422">
        <f t="shared" si="248"/>
        <v>0</v>
      </c>
      <c r="AJ422">
        <f t="shared" si="249"/>
        <v>0</v>
      </c>
      <c r="AK422">
        <f t="shared" si="250"/>
        <v>0</v>
      </c>
      <c r="AL422">
        <f t="shared" si="251"/>
        <v>0</v>
      </c>
      <c r="AM422">
        <f t="shared" si="252"/>
        <v>0</v>
      </c>
      <c r="AN422">
        <f t="shared" si="253"/>
        <v>0</v>
      </c>
      <c r="AO422">
        <f t="shared" si="254"/>
        <v>0</v>
      </c>
      <c r="AP422">
        <f t="shared" si="255"/>
        <v>0</v>
      </c>
      <c r="AQ422">
        <f t="shared" si="256"/>
        <v>0</v>
      </c>
    </row>
    <row r="423" spans="1:43" x14ac:dyDescent="0.45">
      <c r="A423" s="51">
        <v>25</v>
      </c>
      <c r="B423" s="53" t="s">
        <v>355</v>
      </c>
      <c r="C423" s="61" t="s">
        <v>83</v>
      </c>
      <c r="D423" s="76" t="s">
        <v>60</v>
      </c>
      <c r="E423" s="53">
        <v>3320</v>
      </c>
      <c r="F423">
        <f t="shared" si="221"/>
        <v>0</v>
      </c>
      <c r="G423">
        <f t="shared" si="222"/>
        <v>0</v>
      </c>
      <c r="H423">
        <f t="shared" si="223"/>
        <v>0</v>
      </c>
      <c r="I423">
        <f t="shared" si="224"/>
        <v>0</v>
      </c>
      <c r="J423">
        <f t="shared" si="225"/>
        <v>3320</v>
      </c>
      <c r="K423">
        <f t="shared" si="226"/>
        <v>0</v>
      </c>
      <c r="L423">
        <f t="shared" si="227"/>
        <v>0</v>
      </c>
      <c r="M423">
        <f t="shared" si="228"/>
        <v>0</v>
      </c>
      <c r="N423">
        <f t="shared" si="229"/>
        <v>0</v>
      </c>
      <c r="O423">
        <f t="shared" si="230"/>
        <v>0</v>
      </c>
      <c r="P423">
        <f t="shared" si="231"/>
        <v>0</v>
      </c>
      <c r="Q423">
        <f t="shared" si="232"/>
        <v>0</v>
      </c>
      <c r="S423">
        <f t="shared" si="233"/>
        <v>39</v>
      </c>
      <c r="T423">
        <f t="shared" si="234"/>
        <v>30</v>
      </c>
      <c r="U423">
        <f t="shared" si="235"/>
        <v>16</v>
      </c>
      <c r="V423">
        <f t="shared" si="236"/>
        <v>14</v>
      </c>
      <c r="W423">
        <f t="shared" si="237"/>
        <v>78</v>
      </c>
      <c r="X423">
        <f t="shared" si="238"/>
        <v>61</v>
      </c>
      <c r="Y423">
        <f t="shared" si="239"/>
        <v>15</v>
      </c>
      <c r="Z423">
        <f t="shared" si="240"/>
        <v>8</v>
      </c>
      <c r="AA423">
        <f t="shared" si="241"/>
        <v>4</v>
      </c>
      <c r="AB423">
        <f t="shared" si="242"/>
        <v>3</v>
      </c>
      <c r="AC423">
        <f t="shared" si="243"/>
        <v>102</v>
      </c>
      <c r="AD423">
        <f t="shared" si="244"/>
        <v>0</v>
      </c>
      <c r="AF423">
        <f t="shared" si="245"/>
        <v>0</v>
      </c>
      <c r="AG423">
        <f t="shared" si="246"/>
        <v>0</v>
      </c>
      <c r="AH423">
        <f t="shared" si="247"/>
        <v>0</v>
      </c>
      <c r="AI423">
        <f t="shared" si="248"/>
        <v>0</v>
      </c>
      <c r="AJ423">
        <f t="shared" si="249"/>
        <v>0</v>
      </c>
      <c r="AK423">
        <f t="shared" si="250"/>
        <v>0</v>
      </c>
      <c r="AL423">
        <f t="shared" si="251"/>
        <v>0</v>
      </c>
      <c r="AM423">
        <f t="shared" si="252"/>
        <v>0</v>
      </c>
      <c r="AN423">
        <f t="shared" si="253"/>
        <v>0</v>
      </c>
      <c r="AO423">
        <f t="shared" si="254"/>
        <v>0</v>
      </c>
      <c r="AP423">
        <f t="shared" si="255"/>
        <v>0</v>
      </c>
      <c r="AQ423">
        <f t="shared" si="256"/>
        <v>0</v>
      </c>
    </row>
    <row r="424" spans="1:43" x14ac:dyDescent="0.35">
      <c r="A424" s="51">
        <v>26</v>
      </c>
      <c r="B424" s="51" t="s">
        <v>353</v>
      </c>
      <c r="C424" s="62" t="s">
        <v>89</v>
      </c>
      <c r="D424" s="51" t="s">
        <v>228</v>
      </c>
      <c r="E424" s="19">
        <v>3355.6495400063018</v>
      </c>
      <c r="F424">
        <f t="shared" si="221"/>
        <v>0</v>
      </c>
      <c r="G424">
        <f t="shared" si="222"/>
        <v>0</v>
      </c>
      <c r="H424">
        <f t="shared" si="223"/>
        <v>0</v>
      </c>
      <c r="I424">
        <f t="shared" si="224"/>
        <v>0</v>
      </c>
      <c r="J424">
        <f t="shared" si="225"/>
        <v>0</v>
      </c>
      <c r="K424">
        <f t="shared" si="226"/>
        <v>0</v>
      </c>
      <c r="L424">
        <f t="shared" si="227"/>
        <v>0</v>
      </c>
      <c r="M424">
        <f t="shared" si="228"/>
        <v>0</v>
      </c>
      <c r="N424">
        <f t="shared" si="229"/>
        <v>0</v>
      </c>
      <c r="O424">
        <f t="shared" si="230"/>
        <v>0</v>
      </c>
      <c r="P424">
        <f t="shared" si="231"/>
        <v>3355.6495400063018</v>
      </c>
      <c r="Q424">
        <f t="shared" si="232"/>
        <v>0</v>
      </c>
      <c r="S424">
        <f t="shared" si="233"/>
        <v>39</v>
      </c>
      <c r="T424">
        <f t="shared" si="234"/>
        <v>30</v>
      </c>
      <c r="U424">
        <f t="shared" si="235"/>
        <v>16</v>
      </c>
      <c r="V424">
        <f t="shared" si="236"/>
        <v>14</v>
      </c>
      <c r="W424">
        <f t="shared" si="237"/>
        <v>77</v>
      </c>
      <c r="X424">
        <f t="shared" si="238"/>
        <v>61</v>
      </c>
      <c r="Y424">
        <f t="shared" si="239"/>
        <v>15</v>
      </c>
      <c r="Z424">
        <f t="shared" si="240"/>
        <v>8</v>
      </c>
      <c r="AA424">
        <f t="shared" si="241"/>
        <v>4</v>
      </c>
      <c r="AB424">
        <f t="shared" si="242"/>
        <v>3</v>
      </c>
      <c r="AC424">
        <f t="shared" si="243"/>
        <v>102</v>
      </c>
      <c r="AD424">
        <f t="shared" si="244"/>
        <v>0</v>
      </c>
      <c r="AF424">
        <f t="shared" si="245"/>
        <v>0</v>
      </c>
      <c r="AG424">
        <f t="shared" si="246"/>
        <v>0</v>
      </c>
      <c r="AH424">
        <f t="shared" si="247"/>
        <v>0</v>
      </c>
      <c r="AI424">
        <f t="shared" si="248"/>
        <v>0</v>
      </c>
      <c r="AJ424">
        <f t="shared" si="249"/>
        <v>0</v>
      </c>
      <c r="AK424">
        <f t="shared" si="250"/>
        <v>0</v>
      </c>
      <c r="AL424">
        <f t="shared" si="251"/>
        <v>0</v>
      </c>
      <c r="AM424">
        <f t="shared" si="252"/>
        <v>0</v>
      </c>
      <c r="AN424">
        <f t="shared" si="253"/>
        <v>0</v>
      </c>
      <c r="AO424">
        <f t="shared" si="254"/>
        <v>0</v>
      </c>
      <c r="AP424">
        <f t="shared" si="255"/>
        <v>0</v>
      </c>
      <c r="AQ424">
        <f t="shared" si="256"/>
        <v>0</v>
      </c>
    </row>
    <row r="425" spans="1:43" x14ac:dyDescent="0.45">
      <c r="A425" s="51">
        <v>27</v>
      </c>
      <c r="B425" s="51" t="s">
        <v>353</v>
      </c>
      <c r="C425" s="56" t="s">
        <v>86</v>
      </c>
      <c r="D425" s="50" t="s">
        <v>54</v>
      </c>
      <c r="E425" s="19">
        <v>3123.929331788986</v>
      </c>
      <c r="F425">
        <f t="shared" si="221"/>
        <v>0</v>
      </c>
      <c r="G425">
        <f t="shared" si="222"/>
        <v>0</v>
      </c>
      <c r="H425">
        <f t="shared" si="223"/>
        <v>0</v>
      </c>
      <c r="I425">
        <f t="shared" si="224"/>
        <v>0</v>
      </c>
      <c r="J425">
        <f t="shared" si="225"/>
        <v>0</v>
      </c>
      <c r="K425">
        <f t="shared" si="226"/>
        <v>3123.929331788986</v>
      </c>
      <c r="L425">
        <f t="shared" si="227"/>
        <v>0</v>
      </c>
      <c r="M425">
        <f t="shared" si="228"/>
        <v>0</v>
      </c>
      <c r="N425">
        <f t="shared" si="229"/>
        <v>0</v>
      </c>
      <c r="O425">
        <f t="shared" si="230"/>
        <v>0</v>
      </c>
      <c r="P425">
        <f t="shared" si="231"/>
        <v>0</v>
      </c>
      <c r="Q425">
        <f t="shared" si="232"/>
        <v>0</v>
      </c>
      <c r="S425">
        <f t="shared" si="233"/>
        <v>39</v>
      </c>
      <c r="T425">
        <f t="shared" si="234"/>
        <v>30</v>
      </c>
      <c r="U425">
        <f t="shared" si="235"/>
        <v>16</v>
      </c>
      <c r="V425">
        <f t="shared" si="236"/>
        <v>14</v>
      </c>
      <c r="W425">
        <f t="shared" si="237"/>
        <v>77</v>
      </c>
      <c r="X425">
        <f t="shared" si="238"/>
        <v>61</v>
      </c>
      <c r="Y425">
        <f t="shared" si="239"/>
        <v>15</v>
      </c>
      <c r="Z425">
        <f t="shared" si="240"/>
        <v>8</v>
      </c>
      <c r="AA425">
        <f t="shared" si="241"/>
        <v>4</v>
      </c>
      <c r="AB425">
        <f t="shared" si="242"/>
        <v>3</v>
      </c>
      <c r="AC425">
        <f t="shared" si="243"/>
        <v>101</v>
      </c>
      <c r="AD425">
        <f t="shared" si="244"/>
        <v>0</v>
      </c>
      <c r="AF425">
        <f t="shared" si="245"/>
        <v>0</v>
      </c>
      <c r="AG425">
        <f t="shared" si="246"/>
        <v>0</v>
      </c>
      <c r="AH425">
        <f t="shared" si="247"/>
        <v>0</v>
      </c>
      <c r="AI425">
        <f t="shared" si="248"/>
        <v>0</v>
      </c>
      <c r="AJ425">
        <f t="shared" si="249"/>
        <v>0</v>
      </c>
      <c r="AK425">
        <f t="shared" si="250"/>
        <v>0</v>
      </c>
      <c r="AL425">
        <f t="shared" si="251"/>
        <v>0</v>
      </c>
      <c r="AM425">
        <f t="shared" si="252"/>
        <v>0</v>
      </c>
      <c r="AN425">
        <f t="shared" si="253"/>
        <v>0</v>
      </c>
      <c r="AO425">
        <f t="shared" si="254"/>
        <v>0</v>
      </c>
      <c r="AP425">
        <f t="shared" si="255"/>
        <v>0</v>
      </c>
      <c r="AQ425">
        <f t="shared" si="256"/>
        <v>0</v>
      </c>
    </row>
    <row r="426" spans="1:43" x14ac:dyDescent="0.45">
      <c r="A426" s="51">
        <v>28</v>
      </c>
      <c r="B426" s="51" t="s">
        <v>354</v>
      </c>
      <c r="C426" s="56" t="s">
        <v>88</v>
      </c>
      <c r="D426" s="50" t="s">
        <v>54</v>
      </c>
      <c r="E426" s="19">
        <v>3409.1519987923971</v>
      </c>
      <c r="F426">
        <f t="shared" si="221"/>
        <v>0</v>
      </c>
      <c r="G426">
        <f t="shared" si="222"/>
        <v>0</v>
      </c>
      <c r="H426">
        <f t="shared" si="223"/>
        <v>0</v>
      </c>
      <c r="I426">
        <f t="shared" si="224"/>
        <v>0</v>
      </c>
      <c r="J426">
        <f t="shared" si="225"/>
        <v>0</v>
      </c>
      <c r="K426">
        <f t="shared" si="226"/>
        <v>3409.1519987923971</v>
      </c>
      <c r="L426">
        <f t="shared" si="227"/>
        <v>0</v>
      </c>
      <c r="M426">
        <f t="shared" si="228"/>
        <v>0</v>
      </c>
      <c r="N426">
        <f t="shared" si="229"/>
        <v>0</v>
      </c>
      <c r="O426">
        <f t="shared" si="230"/>
        <v>0</v>
      </c>
      <c r="P426">
        <f t="shared" si="231"/>
        <v>0</v>
      </c>
      <c r="Q426">
        <f t="shared" si="232"/>
        <v>0</v>
      </c>
      <c r="S426">
        <f t="shared" si="233"/>
        <v>39</v>
      </c>
      <c r="T426">
        <f t="shared" si="234"/>
        <v>30</v>
      </c>
      <c r="U426">
        <f t="shared" si="235"/>
        <v>16</v>
      </c>
      <c r="V426">
        <f t="shared" si="236"/>
        <v>14</v>
      </c>
      <c r="W426">
        <f t="shared" si="237"/>
        <v>77</v>
      </c>
      <c r="X426">
        <f t="shared" si="238"/>
        <v>60</v>
      </c>
      <c r="Y426">
        <f t="shared" si="239"/>
        <v>15</v>
      </c>
      <c r="Z426">
        <f t="shared" si="240"/>
        <v>8</v>
      </c>
      <c r="AA426">
        <f t="shared" si="241"/>
        <v>4</v>
      </c>
      <c r="AB426">
        <f t="shared" si="242"/>
        <v>3</v>
      </c>
      <c r="AC426">
        <f t="shared" si="243"/>
        <v>101</v>
      </c>
      <c r="AD426">
        <f t="shared" si="244"/>
        <v>0</v>
      </c>
      <c r="AF426">
        <f t="shared" si="245"/>
        <v>0</v>
      </c>
      <c r="AG426">
        <f t="shared" si="246"/>
        <v>0</v>
      </c>
      <c r="AH426">
        <f t="shared" si="247"/>
        <v>0</v>
      </c>
      <c r="AI426">
        <f t="shared" si="248"/>
        <v>0</v>
      </c>
      <c r="AJ426">
        <f t="shared" si="249"/>
        <v>0</v>
      </c>
      <c r="AK426">
        <f t="shared" si="250"/>
        <v>0</v>
      </c>
      <c r="AL426">
        <f t="shared" si="251"/>
        <v>0</v>
      </c>
      <c r="AM426">
        <f t="shared" si="252"/>
        <v>0</v>
      </c>
      <c r="AN426">
        <f t="shared" si="253"/>
        <v>0</v>
      </c>
      <c r="AO426">
        <f t="shared" si="254"/>
        <v>0</v>
      </c>
      <c r="AP426">
        <f t="shared" si="255"/>
        <v>0</v>
      </c>
      <c r="AQ426">
        <f t="shared" si="256"/>
        <v>0</v>
      </c>
    </row>
    <row r="427" spans="1:43" x14ac:dyDescent="0.35">
      <c r="A427" s="51">
        <v>29</v>
      </c>
      <c r="B427" s="51" t="s">
        <v>354</v>
      </c>
      <c r="C427" s="62" t="s">
        <v>91</v>
      </c>
      <c r="D427" s="50" t="s">
        <v>60</v>
      </c>
      <c r="E427" s="19">
        <v>3123.929331788986</v>
      </c>
      <c r="F427">
        <f t="shared" ref="F427:F490" si="257">IF(D427="SPUR-01",E427,0)</f>
        <v>0</v>
      </c>
      <c r="G427">
        <f t="shared" ref="G427:G490" si="258">IF(D427="SPUR-02",E427,0)</f>
        <v>0</v>
      </c>
      <c r="H427">
        <f t="shared" ref="H427:H490" si="259">IF(D427="SPUR-03",E427,0)</f>
        <v>0</v>
      </c>
      <c r="I427">
        <f t="shared" ref="I427:I490" si="260">IF(D427="SPUR-04",E427,0)</f>
        <v>0</v>
      </c>
      <c r="J427">
        <f t="shared" ref="J427:J490" si="261">IF(D427="SPUR-05",E427,0)</f>
        <v>3123.929331788986</v>
      </c>
      <c r="K427">
        <f t="shared" ref="K427:K490" si="262">IF(D427="SPUR-06",E427,0)</f>
        <v>0</v>
      </c>
      <c r="L427">
        <f t="shared" ref="L427:L490" si="263">IF(D427="SPUR-07",E427,0)</f>
        <v>0</v>
      </c>
      <c r="M427">
        <f t="shared" ref="M427:M490" si="264">IF(D427="SPUR-08",E427,0)</f>
        <v>0</v>
      </c>
      <c r="N427">
        <f t="shared" ref="N427:N490" si="265">IF(D427="SPUR-09",E427,0)</f>
        <v>0</v>
      </c>
      <c r="O427">
        <f t="shared" ref="O427:O490" si="266">IF(D427="SPUR-10",E427,0)</f>
        <v>0</v>
      </c>
      <c r="P427">
        <f t="shared" ref="P427:P490" si="267">IF(D427="SPUR-SILO",E427,0)</f>
        <v>0</v>
      </c>
      <c r="Q427">
        <f t="shared" ref="Q427:Q490" si="268">IF(D427="SPUR-DB",E427,0)</f>
        <v>0</v>
      </c>
      <c r="S427">
        <f t="shared" ref="S427:S490" si="269">IF(F427&gt;0,1,0)+S428</f>
        <v>39</v>
      </c>
      <c r="T427">
        <f t="shared" ref="T427:T490" si="270">IF(G427&gt;0,1,0)+T428</f>
        <v>30</v>
      </c>
      <c r="U427">
        <f t="shared" ref="U427:U490" si="271">IF(H427&gt;0,1,0)+U428</f>
        <v>16</v>
      </c>
      <c r="V427">
        <f t="shared" ref="V427:V490" si="272">IF(I427&gt;0,1,0)+V428</f>
        <v>14</v>
      </c>
      <c r="W427">
        <f t="shared" ref="W427:W490" si="273">IF(J427&gt;0,1,0)+W428</f>
        <v>77</v>
      </c>
      <c r="X427">
        <f t="shared" ref="X427:X490" si="274">IF(K427&gt;0,1,0)+X428</f>
        <v>59</v>
      </c>
      <c r="Y427">
        <f t="shared" ref="Y427:Y490" si="275">IF(L427&gt;0,1,0)+Y428</f>
        <v>15</v>
      </c>
      <c r="Z427">
        <f t="shared" ref="Z427:Z490" si="276">IF(M427&gt;0,1,0)+Z428</f>
        <v>8</v>
      </c>
      <c r="AA427">
        <f t="shared" ref="AA427:AA490" si="277">IF(N427&gt;0,1,0)+AA428</f>
        <v>4</v>
      </c>
      <c r="AB427">
        <f t="shared" ref="AB427:AB490" si="278">IF(O427&gt;0,1,0)+AB428</f>
        <v>3</v>
      </c>
      <c r="AC427">
        <f t="shared" ref="AC427:AC490" si="279">IF(P427&gt;0,1,0)+AC428</f>
        <v>101</v>
      </c>
      <c r="AD427">
        <f t="shared" ref="AD427:AD490" si="280">IF(Q427&gt;0,1,0)+AD428</f>
        <v>0</v>
      </c>
      <c r="AF427">
        <f t="shared" ref="AF427:AF490" si="281">IF(S427&lt;=$AT$1,F427,0)</f>
        <v>0</v>
      </c>
      <c r="AG427">
        <f t="shared" ref="AG427:AG490" si="282">IF(T427&lt;=$AT$1,G427,0)</f>
        <v>0</v>
      </c>
      <c r="AH427">
        <f t="shared" ref="AH427:AH490" si="283">IF(U427&lt;=$AT$1,H427,0)</f>
        <v>0</v>
      </c>
      <c r="AI427">
        <f t="shared" ref="AI427:AI490" si="284">IF(V427&lt;=$AT$1,I427,0)</f>
        <v>0</v>
      </c>
      <c r="AJ427">
        <f t="shared" ref="AJ427:AJ490" si="285">IF(W427&lt;=$AT$1,J427,0)</f>
        <v>0</v>
      </c>
      <c r="AK427">
        <f t="shared" ref="AK427:AK490" si="286">IF(X427&lt;=$AT$1,K427,0)</f>
        <v>0</v>
      </c>
      <c r="AL427">
        <f t="shared" ref="AL427:AL490" si="287">IF(Y427&lt;=$AT$1,L427,0)</f>
        <v>0</v>
      </c>
      <c r="AM427">
        <f t="shared" ref="AM427:AM490" si="288">IF(Z427&lt;=$AT$1,M427,0)</f>
        <v>0</v>
      </c>
      <c r="AN427">
        <f t="shared" ref="AN427:AN490" si="289">IF(AA427&lt;=$AT$1,N427,0)</f>
        <v>0</v>
      </c>
      <c r="AO427">
        <f t="shared" ref="AO427:AO490" si="290">IF(AB427&lt;=$AT$1,O427,0)</f>
        <v>0</v>
      </c>
      <c r="AP427">
        <f t="shared" ref="AP427:AP490" si="291">IF(AC427&lt;=$AT$1,P427,0)</f>
        <v>0</v>
      </c>
      <c r="AQ427">
        <f t="shared" ref="AQ427:AQ490" si="292">IF(AD427&lt;=$AT$1,Q427,0)</f>
        <v>0</v>
      </c>
    </row>
    <row r="428" spans="1:43" x14ac:dyDescent="0.45">
      <c r="A428" s="51">
        <v>30</v>
      </c>
      <c r="B428" s="51" t="s">
        <v>357</v>
      </c>
      <c r="C428" s="56" t="s">
        <v>87</v>
      </c>
      <c r="D428" s="50" t="s">
        <v>80</v>
      </c>
      <c r="E428" s="19">
        <v>3409.1519987923971</v>
      </c>
      <c r="F428">
        <f t="shared" si="257"/>
        <v>0</v>
      </c>
      <c r="G428">
        <f t="shared" si="258"/>
        <v>0</v>
      </c>
      <c r="H428">
        <f t="shared" si="259"/>
        <v>3409.1519987923971</v>
      </c>
      <c r="I428">
        <f t="shared" si="260"/>
        <v>0</v>
      </c>
      <c r="J428">
        <f t="shared" si="261"/>
        <v>0</v>
      </c>
      <c r="K428">
        <f t="shared" si="262"/>
        <v>0</v>
      </c>
      <c r="L428">
        <f t="shared" si="263"/>
        <v>0</v>
      </c>
      <c r="M428">
        <f t="shared" si="264"/>
        <v>0</v>
      </c>
      <c r="N428">
        <f t="shared" si="265"/>
        <v>0</v>
      </c>
      <c r="O428">
        <f t="shared" si="266"/>
        <v>0</v>
      </c>
      <c r="P428">
        <f t="shared" si="267"/>
        <v>0</v>
      </c>
      <c r="Q428">
        <f t="shared" si="268"/>
        <v>0</v>
      </c>
      <c r="S428">
        <f t="shared" si="269"/>
        <v>39</v>
      </c>
      <c r="T428">
        <f t="shared" si="270"/>
        <v>30</v>
      </c>
      <c r="U428">
        <f t="shared" si="271"/>
        <v>16</v>
      </c>
      <c r="V428">
        <f t="shared" si="272"/>
        <v>14</v>
      </c>
      <c r="W428">
        <f t="shared" si="273"/>
        <v>76</v>
      </c>
      <c r="X428">
        <f t="shared" si="274"/>
        <v>59</v>
      </c>
      <c r="Y428">
        <f t="shared" si="275"/>
        <v>15</v>
      </c>
      <c r="Z428">
        <f t="shared" si="276"/>
        <v>8</v>
      </c>
      <c r="AA428">
        <f t="shared" si="277"/>
        <v>4</v>
      </c>
      <c r="AB428">
        <f t="shared" si="278"/>
        <v>3</v>
      </c>
      <c r="AC428">
        <f t="shared" si="279"/>
        <v>101</v>
      </c>
      <c r="AD428">
        <f t="shared" si="280"/>
        <v>0</v>
      </c>
      <c r="AF428">
        <f t="shared" si="281"/>
        <v>0</v>
      </c>
      <c r="AG428">
        <f t="shared" si="282"/>
        <v>0</v>
      </c>
      <c r="AH428">
        <f t="shared" si="283"/>
        <v>0</v>
      </c>
      <c r="AI428">
        <f t="shared" si="284"/>
        <v>0</v>
      </c>
      <c r="AJ428">
        <f t="shared" si="285"/>
        <v>0</v>
      </c>
      <c r="AK428">
        <f t="shared" si="286"/>
        <v>0</v>
      </c>
      <c r="AL428">
        <f t="shared" si="287"/>
        <v>0</v>
      </c>
      <c r="AM428">
        <f t="shared" si="288"/>
        <v>0</v>
      </c>
      <c r="AN428">
        <f t="shared" si="289"/>
        <v>0</v>
      </c>
      <c r="AO428">
        <f t="shared" si="290"/>
        <v>0</v>
      </c>
      <c r="AP428">
        <f t="shared" si="291"/>
        <v>0</v>
      </c>
      <c r="AQ428">
        <f t="shared" si="292"/>
        <v>0</v>
      </c>
    </row>
    <row r="429" spans="1:43" x14ac:dyDescent="0.35">
      <c r="A429" s="51">
        <v>31</v>
      </c>
      <c r="B429" s="51" t="s">
        <v>357</v>
      </c>
      <c r="C429" s="62" t="s">
        <v>92</v>
      </c>
      <c r="D429" s="51" t="s">
        <v>54</v>
      </c>
      <c r="E429" s="19">
        <v>3236.283145316429</v>
      </c>
      <c r="F429">
        <f t="shared" si="257"/>
        <v>0</v>
      </c>
      <c r="G429">
        <f t="shared" si="258"/>
        <v>0</v>
      </c>
      <c r="H429">
        <f t="shared" si="259"/>
        <v>0</v>
      </c>
      <c r="I429">
        <f t="shared" si="260"/>
        <v>0</v>
      </c>
      <c r="J429">
        <f t="shared" si="261"/>
        <v>0</v>
      </c>
      <c r="K429">
        <f t="shared" si="262"/>
        <v>3236.283145316429</v>
      </c>
      <c r="L429">
        <f t="shared" si="263"/>
        <v>0</v>
      </c>
      <c r="M429">
        <f t="shared" si="264"/>
        <v>0</v>
      </c>
      <c r="N429">
        <f t="shared" si="265"/>
        <v>0</v>
      </c>
      <c r="O429">
        <f t="shared" si="266"/>
        <v>0</v>
      </c>
      <c r="P429">
        <f t="shared" si="267"/>
        <v>0</v>
      </c>
      <c r="Q429">
        <f t="shared" si="268"/>
        <v>0</v>
      </c>
      <c r="S429">
        <f t="shared" si="269"/>
        <v>39</v>
      </c>
      <c r="T429">
        <f t="shared" si="270"/>
        <v>30</v>
      </c>
      <c r="U429">
        <f t="shared" si="271"/>
        <v>15</v>
      </c>
      <c r="V429">
        <f t="shared" si="272"/>
        <v>14</v>
      </c>
      <c r="W429">
        <f t="shared" si="273"/>
        <v>76</v>
      </c>
      <c r="X429">
        <f t="shared" si="274"/>
        <v>59</v>
      </c>
      <c r="Y429">
        <f t="shared" si="275"/>
        <v>15</v>
      </c>
      <c r="Z429">
        <f t="shared" si="276"/>
        <v>8</v>
      </c>
      <c r="AA429">
        <f t="shared" si="277"/>
        <v>4</v>
      </c>
      <c r="AB429">
        <f t="shared" si="278"/>
        <v>3</v>
      </c>
      <c r="AC429">
        <f t="shared" si="279"/>
        <v>101</v>
      </c>
      <c r="AD429">
        <f t="shared" si="280"/>
        <v>0</v>
      </c>
      <c r="AF429">
        <f t="shared" si="281"/>
        <v>0</v>
      </c>
      <c r="AG429">
        <f t="shared" si="282"/>
        <v>0</v>
      </c>
      <c r="AH429">
        <f t="shared" si="283"/>
        <v>0</v>
      </c>
      <c r="AI429">
        <f t="shared" si="284"/>
        <v>0</v>
      </c>
      <c r="AJ429">
        <f t="shared" si="285"/>
        <v>0</v>
      </c>
      <c r="AK429">
        <f t="shared" si="286"/>
        <v>0</v>
      </c>
      <c r="AL429">
        <f t="shared" si="287"/>
        <v>0</v>
      </c>
      <c r="AM429">
        <f t="shared" si="288"/>
        <v>0</v>
      </c>
      <c r="AN429">
        <f t="shared" si="289"/>
        <v>0</v>
      </c>
      <c r="AO429">
        <f t="shared" si="290"/>
        <v>0</v>
      </c>
      <c r="AP429">
        <f t="shared" si="291"/>
        <v>0</v>
      </c>
      <c r="AQ429">
        <f t="shared" si="292"/>
        <v>0</v>
      </c>
    </row>
    <row r="430" spans="1:43" x14ac:dyDescent="0.45">
      <c r="A430" s="51">
        <v>32</v>
      </c>
      <c r="B430" s="51" t="s">
        <v>357</v>
      </c>
      <c r="C430" s="56" t="s">
        <v>95</v>
      </c>
      <c r="D430" s="50" t="s">
        <v>228</v>
      </c>
      <c r="E430" s="19">
        <v>2419.7837492335343</v>
      </c>
      <c r="F430">
        <f t="shared" si="257"/>
        <v>0</v>
      </c>
      <c r="G430">
        <f t="shared" si="258"/>
        <v>0</v>
      </c>
      <c r="H430">
        <f t="shared" si="259"/>
        <v>0</v>
      </c>
      <c r="I430">
        <f t="shared" si="260"/>
        <v>0</v>
      </c>
      <c r="J430">
        <f t="shared" si="261"/>
        <v>0</v>
      </c>
      <c r="K430">
        <f t="shared" si="262"/>
        <v>0</v>
      </c>
      <c r="L430">
        <f t="shared" si="263"/>
        <v>0</v>
      </c>
      <c r="M430">
        <f t="shared" si="264"/>
        <v>0</v>
      </c>
      <c r="N430">
        <f t="shared" si="265"/>
        <v>0</v>
      </c>
      <c r="O430">
        <f t="shared" si="266"/>
        <v>0</v>
      </c>
      <c r="P430">
        <f t="shared" si="267"/>
        <v>2419.7837492335343</v>
      </c>
      <c r="Q430">
        <f t="shared" si="268"/>
        <v>0</v>
      </c>
      <c r="S430">
        <f t="shared" si="269"/>
        <v>39</v>
      </c>
      <c r="T430">
        <f t="shared" si="270"/>
        <v>30</v>
      </c>
      <c r="U430">
        <f t="shared" si="271"/>
        <v>15</v>
      </c>
      <c r="V430">
        <f t="shared" si="272"/>
        <v>14</v>
      </c>
      <c r="W430">
        <f t="shared" si="273"/>
        <v>76</v>
      </c>
      <c r="X430">
        <f t="shared" si="274"/>
        <v>58</v>
      </c>
      <c r="Y430">
        <f t="shared" si="275"/>
        <v>15</v>
      </c>
      <c r="Z430">
        <f t="shared" si="276"/>
        <v>8</v>
      </c>
      <c r="AA430">
        <f t="shared" si="277"/>
        <v>4</v>
      </c>
      <c r="AB430">
        <f t="shared" si="278"/>
        <v>3</v>
      </c>
      <c r="AC430">
        <f t="shared" si="279"/>
        <v>101</v>
      </c>
      <c r="AD430">
        <f t="shared" si="280"/>
        <v>0</v>
      </c>
      <c r="AF430">
        <f t="shared" si="281"/>
        <v>0</v>
      </c>
      <c r="AG430">
        <f t="shared" si="282"/>
        <v>0</v>
      </c>
      <c r="AH430">
        <f t="shared" si="283"/>
        <v>0</v>
      </c>
      <c r="AI430">
        <f t="shared" si="284"/>
        <v>0</v>
      </c>
      <c r="AJ430">
        <f t="shared" si="285"/>
        <v>0</v>
      </c>
      <c r="AK430">
        <f t="shared" si="286"/>
        <v>0</v>
      </c>
      <c r="AL430">
        <f t="shared" si="287"/>
        <v>0</v>
      </c>
      <c r="AM430">
        <f t="shared" si="288"/>
        <v>0</v>
      </c>
      <c r="AN430">
        <f t="shared" si="289"/>
        <v>0</v>
      </c>
      <c r="AO430">
        <f t="shared" si="290"/>
        <v>0</v>
      </c>
      <c r="AP430">
        <f t="shared" si="291"/>
        <v>0</v>
      </c>
      <c r="AQ430">
        <f t="shared" si="292"/>
        <v>0</v>
      </c>
    </row>
    <row r="431" spans="1:43" x14ac:dyDescent="0.45">
      <c r="A431" s="51">
        <v>33</v>
      </c>
      <c r="B431" s="51" t="s">
        <v>357</v>
      </c>
      <c r="C431" s="56" t="s">
        <v>93</v>
      </c>
      <c r="D431" s="50" t="s">
        <v>60</v>
      </c>
      <c r="E431" s="19">
        <v>2883.8494600336558</v>
      </c>
      <c r="F431">
        <f t="shared" si="257"/>
        <v>0</v>
      </c>
      <c r="G431">
        <f t="shared" si="258"/>
        <v>0</v>
      </c>
      <c r="H431">
        <f t="shared" si="259"/>
        <v>0</v>
      </c>
      <c r="I431">
        <f t="shared" si="260"/>
        <v>0</v>
      </c>
      <c r="J431">
        <f t="shared" si="261"/>
        <v>2883.8494600336558</v>
      </c>
      <c r="K431">
        <f t="shared" si="262"/>
        <v>0</v>
      </c>
      <c r="L431">
        <f t="shared" si="263"/>
        <v>0</v>
      </c>
      <c r="M431">
        <f t="shared" si="264"/>
        <v>0</v>
      </c>
      <c r="N431">
        <f t="shared" si="265"/>
        <v>0</v>
      </c>
      <c r="O431">
        <f t="shared" si="266"/>
        <v>0</v>
      </c>
      <c r="P431">
        <f t="shared" si="267"/>
        <v>0</v>
      </c>
      <c r="Q431">
        <f t="shared" si="268"/>
        <v>0</v>
      </c>
      <c r="S431">
        <f t="shared" si="269"/>
        <v>39</v>
      </c>
      <c r="T431">
        <f t="shared" si="270"/>
        <v>30</v>
      </c>
      <c r="U431">
        <f t="shared" si="271"/>
        <v>15</v>
      </c>
      <c r="V431">
        <f t="shared" si="272"/>
        <v>14</v>
      </c>
      <c r="W431">
        <f t="shared" si="273"/>
        <v>76</v>
      </c>
      <c r="X431">
        <f t="shared" si="274"/>
        <v>58</v>
      </c>
      <c r="Y431">
        <f t="shared" si="275"/>
        <v>15</v>
      </c>
      <c r="Z431">
        <f t="shared" si="276"/>
        <v>8</v>
      </c>
      <c r="AA431">
        <f t="shared" si="277"/>
        <v>4</v>
      </c>
      <c r="AB431">
        <f t="shared" si="278"/>
        <v>3</v>
      </c>
      <c r="AC431">
        <f t="shared" si="279"/>
        <v>100</v>
      </c>
      <c r="AD431">
        <f t="shared" si="280"/>
        <v>0</v>
      </c>
      <c r="AF431">
        <f t="shared" si="281"/>
        <v>0</v>
      </c>
      <c r="AG431">
        <f t="shared" si="282"/>
        <v>0</v>
      </c>
      <c r="AH431">
        <f t="shared" si="283"/>
        <v>0</v>
      </c>
      <c r="AI431">
        <f t="shared" si="284"/>
        <v>0</v>
      </c>
      <c r="AJ431">
        <f t="shared" si="285"/>
        <v>0</v>
      </c>
      <c r="AK431">
        <f t="shared" si="286"/>
        <v>0</v>
      </c>
      <c r="AL431">
        <f t="shared" si="287"/>
        <v>0</v>
      </c>
      <c r="AM431">
        <f t="shared" si="288"/>
        <v>0</v>
      </c>
      <c r="AN431">
        <f t="shared" si="289"/>
        <v>0</v>
      </c>
      <c r="AO431">
        <f t="shared" si="290"/>
        <v>0</v>
      </c>
      <c r="AP431">
        <f t="shared" si="291"/>
        <v>0</v>
      </c>
      <c r="AQ431">
        <f t="shared" si="292"/>
        <v>0</v>
      </c>
    </row>
    <row r="432" spans="1:43" x14ac:dyDescent="0.45">
      <c r="A432" s="51">
        <v>34</v>
      </c>
      <c r="B432" s="65" t="s">
        <v>356</v>
      </c>
      <c r="C432" s="56" t="s">
        <v>97</v>
      </c>
      <c r="D432" s="50" t="s">
        <v>54</v>
      </c>
      <c r="E432" s="19">
        <v>3124.7984155609292</v>
      </c>
      <c r="F432">
        <f t="shared" si="257"/>
        <v>0</v>
      </c>
      <c r="G432">
        <f t="shared" si="258"/>
        <v>0</v>
      </c>
      <c r="H432">
        <f t="shared" si="259"/>
        <v>0</v>
      </c>
      <c r="I432">
        <f t="shared" si="260"/>
        <v>0</v>
      </c>
      <c r="J432">
        <f t="shared" si="261"/>
        <v>0</v>
      </c>
      <c r="K432">
        <f t="shared" si="262"/>
        <v>3124.7984155609292</v>
      </c>
      <c r="L432">
        <f t="shared" si="263"/>
        <v>0</v>
      </c>
      <c r="M432">
        <f t="shared" si="264"/>
        <v>0</v>
      </c>
      <c r="N432">
        <f t="shared" si="265"/>
        <v>0</v>
      </c>
      <c r="O432">
        <f t="shared" si="266"/>
        <v>0</v>
      </c>
      <c r="P432">
        <f t="shared" si="267"/>
        <v>0</v>
      </c>
      <c r="Q432">
        <f t="shared" si="268"/>
        <v>0</v>
      </c>
      <c r="S432">
        <f t="shared" si="269"/>
        <v>39</v>
      </c>
      <c r="T432">
        <f t="shared" si="270"/>
        <v>30</v>
      </c>
      <c r="U432">
        <f t="shared" si="271"/>
        <v>15</v>
      </c>
      <c r="V432">
        <f t="shared" si="272"/>
        <v>14</v>
      </c>
      <c r="W432">
        <f t="shared" si="273"/>
        <v>75</v>
      </c>
      <c r="X432">
        <f t="shared" si="274"/>
        <v>58</v>
      </c>
      <c r="Y432">
        <f t="shared" si="275"/>
        <v>15</v>
      </c>
      <c r="Z432">
        <f t="shared" si="276"/>
        <v>8</v>
      </c>
      <c r="AA432">
        <f t="shared" si="277"/>
        <v>4</v>
      </c>
      <c r="AB432">
        <f t="shared" si="278"/>
        <v>3</v>
      </c>
      <c r="AC432">
        <f t="shared" si="279"/>
        <v>100</v>
      </c>
      <c r="AD432">
        <f t="shared" si="280"/>
        <v>0</v>
      </c>
      <c r="AF432">
        <f t="shared" si="281"/>
        <v>0</v>
      </c>
      <c r="AG432">
        <f t="shared" si="282"/>
        <v>0</v>
      </c>
      <c r="AH432">
        <f t="shared" si="283"/>
        <v>0</v>
      </c>
      <c r="AI432">
        <f t="shared" si="284"/>
        <v>0</v>
      </c>
      <c r="AJ432">
        <f t="shared" si="285"/>
        <v>0</v>
      </c>
      <c r="AK432">
        <f t="shared" si="286"/>
        <v>0</v>
      </c>
      <c r="AL432">
        <f t="shared" si="287"/>
        <v>0</v>
      </c>
      <c r="AM432">
        <f t="shared" si="288"/>
        <v>0</v>
      </c>
      <c r="AN432">
        <f t="shared" si="289"/>
        <v>0</v>
      </c>
      <c r="AO432">
        <f t="shared" si="290"/>
        <v>0</v>
      </c>
      <c r="AP432">
        <f t="shared" si="291"/>
        <v>0</v>
      </c>
      <c r="AQ432">
        <f t="shared" si="292"/>
        <v>0</v>
      </c>
    </row>
    <row r="433" spans="1:43" x14ac:dyDescent="0.45">
      <c r="A433" s="51">
        <v>35</v>
      </c>
      <c r="B433" s="65" t="s">
        <v>356</v>
      </c>
      <c r="C433" s="56" t="s">
        <v>99</v>
      </c>
      <c r="D433" s="50" t="s">
        <v>76</v>
      </c>
      <c r="E433" s="19">
        <v>2949.259580162327</v>
      </c>
      <c r="F433">
        <f t="shared" si="257"/>
        <v>2949.259580162327</v>
      </c>
      <c r="G433">
        <f t="shared" si="258"/>
        <v>0</v>
      </c>
      <c r="H433">
        <f t="shared" si="259"/>
        <v>0</v>
      </c>
      <c r="I433">
        <f t="shared" si="260"/>
        <v>0</v>
      </c>
      <c r="J433">
        <f t="shared" si="261"/>
        <v>0</v>
      </c>
      <c r="K433">
        <f t="shared" si="262"/>
        <v>0</v>
      </c>
      <c r="L433">
        <f t="shared" si="263"/>
        <v>0</v>
      </c>
      <c r="M433">
        <f t="shared" si="264"/>
        <v>0</v>
      </c>
      <c r="N433">
        <f t="shared" si="265"/>
        <v>0</v>
      </c>
      <c r="O433">
        <f t="shared" si="266"/>
        <v>0</v>
      </c>
      <c r="P433">
        <f t="shared" si="267"/>
        <v>0</v>
      </c>
      <c r="Q433">
        <f t="shared" si="268"/>
        <v>0</v>
      </c>
      <c r="S433">
        <f t="shared" si="269"/>
        <v>39</v>
      </c>
      <c r="T433">
        <f t="shared" si="270"/>
        <v>30</v>
      </c>
      <c r="U433">
        <f t="shared" si="271"/>
        <v>15</v>
      </c>
      <c r="V433">
        <f t="shared" si="272"/>
        <v>14</v>
      </c>
      <c r="W433">
        <f t="shared" si="273"/>
        <v>75</v>
      </c>
      <c r="X433">
        <f t="shared" si="274"/>
        <v>57</v>
      </c>
      <c r="Y433">
        <f t="shared" si="275"/>
        <v>15</v>
      </c>
      <c r="Z433">
        <f t="shared" si="276"/>
        <v>8</v>
      </c>
      <c r="AA433">
        <f t="shared" si="277"/>
        <v>4</v>
      </c>
      <c r="AB433">
        <f t="shared" si="278"/>
        <v>3</v>
      </c>
      <c r="AC433">
        <f t="shared" si="279"/>
        <v>100</v>
      </c>
      <c r="AD433">
        <f t="shared" si="280"/>
        <v>0</v>
      </c>
      <c r="AF433">
        <f t="shared" si="281"/>
        <v>0</v>
      </c>
      <c r="AG433">
        <f t="shared" si="282"/>
        <v>0</v>
      </c>
      <c r="AH433">
        <f t="shared" si="283"/>
        <v>0</v>
      </c>
      <c r="AI433">
        <f t="shared" si="284"/>
        <v>0</v>
      </c>
      <c r="AJ433">
        <f t="shared" si="285"/>
        <v>0</v>
      </c>
      <c r="AK433">
        <f t="shared" si="286"/>
        <v>0</v>
      </c>
      <c r="AL433">
        <f t="shared" si="287"/>
        <v>0</v>
      </c>
      <c r="AM433">
        <f t="shared" si="288"/>
        <v>0</v>
      </c>
      <c r="AN433">
        <f t="shared" si="289"/>
        <v>0</v>
      </c>
      <c r="AO433">
        <f t="shared" si="290"/>
        <v>0</v>
      </c>
      <c r="AP433">
        <f t="shared" si="291"/>
        <v>0</v>
      </c>
      <c r="AQ433">
        <f t="shared" si="292"/>
        <v>0</v>
      </c>
    </row>
    <row r="434" spans="1:43" x14ac:dyDescent="0.45">
      <c r="A434" s="51">
        <v>36</v>
      </c>
      <c r="B434" s="65" t="s">
        <v>356</v>
      </c>
      <c r="C434" s="56" t="s">
        <v>98</v>
      </c>
      <c r="D434" s="50" t="s">
        <v>228</v>
      </c>
      <c r="E434" s="19">
        <v>2820.3250457539721</v>
      </c>
      <c r="F434">
        <f t="shared" si="257"/>
        <v>0</v>
      </c>
      <c r="G434">
        <f t="shared" si="258"/>
        <v>0</v>
      </c>
      <c r="H434">
        <f t="shared" si="259"/>
        <v>0</v>
      </c>
      <c r="I434">
        <f t="shared" si="260"/>
        <v>0</v>
      </c>
      <c r="J434">
        <f t="shared" si="261"/>
        <v>0</v>
      </c>
      <c r="K434">
        <f t="shared" si="262"/>
        <v>0</v>
      </c>
      <c r="L434">
        <f t="shared" si="263"/>
        <v>0</v>
      </c>
      <c r="M434">
        <f t="shared" si="264"/>
        <v>0</v>
      </c>
      <c r="N434">
        <f t="shared" si="265"/>
        <v>0</v>
      </c>
      <c r="O434">
        <f t="shared" si="266"/>
        <v>0</v>
      </c>
      <c r="P434">
        <f t="shared" si="267"/>
        <v>2820.3250457539721</v>
      </c>
      <c r="Q434">
        <f t="shared" si="268"/>
        <v>0</v>
      </c>
      <c r="S434">
        <f t="shared" si="269"/>
        <v>38</v>
      </c>
      <c r="T434">
        <f t="shared" si="270"/>
        <v>30</v>
      </c>
      <c r="U434">
        <f t="shared" si="271"/>
        <v>15</v>
      </c>
      <c r="V434">
        <f t="shared" si="272"/>
        <v>14</v>
      </c>
      <c r="W434">
        <f t="shared" si="273"/>
        <v>75</v>
      </c>
      <c r="X434">
        <f t="shared" si="274"/>
        <v>57</v>
      </c>
      <c r="Y434">
        <f t="shared" si="275"/>
        <v>15</v>
      </c>
      <c r="Z434">
        <f t="shared" si="276"/>
        <v>8</v>
      </c>
      <c r="AA434">
        <f t="shared" si="277"/>
        <v>4</v>
      </c>
      <c r="AB434">
        <f t="shared" si="278"/>
        <v>3</v>
      </c>
      <c r="AC434">
        <f t="shared" si="279"/>
        <v>100</v>
      </c>
      <c r="AD434">
        <f t="shared" si="280"/>
        <v>0</v>
      </c>
      <c r="AF434">
        <f t="shared" si="281"/>
        <v>0</v>
      </c>
      <c r="AG434">
        <f t="shared" si="282"/>
        <v>0</v>
      </c>
      <c r="AH434">
        <f t="shared" si="283"/>
        <v>0</v>
      </c>
      <c r="AI434">
        <f t="shared" si="284"/>
        <v>0</v>
      </c>
      <c r="AJ434">
        <f t="shared" si="285"/>
        <v>0</v>
      </c>
      <c r="AK434">
        <f t="shared" si="286"/>
        <v>0</v>
      </c>
      <c r="AL434">
        <f t="shared" si="287"/>
        <v>0</v>
      </c>
      <c r="AM434">
        <f t="shared" si="288"/>
        <v>0</v>
      </c>
      <c r="AN434">
        <f t="shared" si="289"/>
        <v>0</v>
      </c>
      <c r="AO434">
        <f t="shared" si="290"/>
        <v>0</v>
      </c>
      <c r="AP434">
        <f t="shared" si="291"/>
        <v>0</v>
      </c>
      <c r="AQ434">
        <f t="shared" si="292"/>
        <v>0</v>
      </c>
    </row>
    <row r="435" spans="1:43" x14ac:dyDescent="0.45">
      <c r="A435" s="51">
        <v>37</v>
      </c>
      <c r="B435" s="51" t="s">
        <v>358</v>
      </c>
      <c r="C435" s="56" t="s">
        <v>101</v>
      </c>
      <c r="D435" s="50" t="s">
        <v>60</v>
      </c>
      <c r="E435" s="19">
        <v>2880.4121945911816</v>
      </c>
      <c r="F435">
        <f t="shared" si="257"/>
        <v>0</v>
      </c>
      <c r="G435">
        <f t="shared" si="258"/>
        <v>0</v>
      </c>
      <c r="H435">
        <f t="shared" si="259"/>
        <v>0</v>
      </c>
      <c r="I435">
        <f t="shared" si="260"/>
        <v>0</v>
      </c>
      <c r="J435">
        <f t="shared" si="261"/>
        <v>2880.4121945911816</v>
      </c>
      <c r="K435">
        <f t="shared" si="262"/>
        <v>0</v>
      </c>
      <c r="L435">
        <f t="shared" si="263"/>
        <v>0</v>
      </c>
      <c r="M435">
        <f t="shared" si="264"/>
        <v>0</v>
      </c>
      <c r="N435">
        <f t="shared" si="265"/>
        <v>0</v>
      </c>
      <c r="O435">
        <f t="shared" si="266"/>
        <v>0</v>
      </c>
      <c r="P435">
        <f t="shared" si="267"/>
        <v>0</v>
      </c>
      <c r="Q435">
        <f t="shared" si="268"/>
        <v>0</v>
      </c>
      <c r="S435">
        <f t="shared" si="269"/>
        <v>38</v>
      </c>
      <c r="T435">
        <f t="shared" si="270"/>
        <v>30</v>
      </c>
      <c r="U435">
        <f t="shared" si="271"/>
        <v>15</v>
      </c>
      <c r="V435">
        <f t="shared" si="272"/>
        <v>14</v>
      </c>
      <c r="W435">
        <f t="shared" si="273"/>
        <v>75</v>
      </c>
      <c r="X435">
        <f t="shared" si="274"/>
        <v>57</v>
      </c>
      <c r="Y435">
        <f t="shared" si="275"/>
        <v>15</v>
      </c>
      <c r="Z435">
        <f t="shared" si="276"/>
        <v>8</v>
      </c>
      <c r="AA435">
        <f t="shared" si="277"/>
        <v>4</v>
      </c>
      <c r="AB435">
        <f t="shared" si="278"/>
        <v>3</v>
      </c>
      <c r="AC435">
        <f t="shared" si="279"/>
        <v>99</v>
      </c>
      <c r="AD435">
        <f t="shared" si="280"/>
        <v>0</v>
      </c>
      <c r="AF435">
        <f t="shared" si="281"/>
        <v>0</v>
      </c>
      <c r="AG435">
        <f t="shared" si="282"/>
        <v>0</v>
      </c>
      <c r="AH435">
        <f t="shared" si="283"/>
        <v>0</v>
      </c>
      <c r="AI435">
        <f t="shared" si="284"/>
        <v>0</v>
      </c>
      <c r="AJ435">
        <f t="shared" si="285"/>
        <v>0</v>
      </c>
      <c r="AK435">
        <f t="shared" si="286"/>
        <v>0</v>
      </c>
      <c r="AL435">
        <f t="shared" si="287"/>
        <v>0</v>
      </c>
      <c r="AM435">
        <f t="shared" si="288"/>
        <v>0</v>
      </c>
      <c r="AN435">
        <f t="shared" si="289"/>
        <v>0</v>
      </c>
      <c r="AO435">
        <f t="shared" si="290"/>
        <v>0</v>
      </c>
      <c r="AP435">
        <f t="shared" si="291"/>
        <v>0</v>
      </c>
      <c r="AQ435">
        <f t="shared" si="292"/>
        <v>0</v>
      </c>
    </row>
    <row r="436" spans="1:43" x14ac:dyDescent="0.45">
      <c r="A436" s="51">
        <v>38</v>
      </c>
      <c r="B436" s="51" t="s">
        <v>358</v>
      </c>
      <c r="C436" s="56" t="s">
        <v>103</v>
      </c>
      <c r="D436" s="50" t="s">
        <v>228</v>
      </c>
      <c r="E436" s="19">
        <v>2565.6769187817258</v>
      </c>
      <c r="F436">
        <f t="shared" si="257"/>
        <v>0</v>
      </c>
      <c r="G436">
        <f t="shared" si="258"/>
        <v>0</v>
      </c>
      <c r="H436">
        <f t="shared" si="259"/>
        <v>0</v>
      </c>
      <c r="I436">
        <f t="shared" si="260"/>
        <v>0</v>
      </c>
      <c r="J436">
        <f t="shared" si="261"/>
        <v>0</v>
      </c>
      <c r="K436">
        <f t="shared" si="262"/>
        <v>0</v>
      </c>
      <c r="L436">
        <f t="shared" si="263"/>
        <v>0</v>
      </c>
      <c r="M436">
        <f t="shared" si="264"/>
        <v>0</v>
      </c>
      <c r="N436">
        <f t="shared" si="265"/>
        <v>0</v>
      </c>
      <c r="O436">
        <f t="shared" si="266"/>
        <v>0</v>
      </c>
      <c r="P436">
        <f t="shared" si="267"/>
        <v>2565.6769187817258</v>
      </c>
      <c r="Q436">
        <f t="shared" si="268"/>
        <v>0</v>
      </c>
      <c r="S436">
        <f t="shared" si="269"/>
        <v>38</v>
      </c>
      <c r="T436">
        <f t="shared" si="270"/>
        <v>30</v>
      </c>
      <c r="U436">
        <f t="shared" si="271"/>
        <v>15</v>
      </c>
      <c r="V436">
        <f t="shared" si="272"/>
        <v>14</v>
      </c>
      <c r="W436">
        <f t="shared" si="273"/>
        <v>74</v>
      </c>
      <c r="X436">
        <f t="shared" si="274"/>
        <v>57</v>
      </c>
      <c r="Y436">
        <f t="shared" si="275"/>
        <v>15</v>
      </c>
      <c r="Z436">
        <f t="shared" si="276"/>
        <v>8</v>
      </c>
      <c r="AA436">
        <f t="shared" si="277"/>
        <v>4</v>
      </c>
      <c r="AB436">
        <f t="shared" si="278"/>
        <v>3</v>
      </c>
      <c r="AC436">
        <f t="shared" si="279"/>
        <v>99</v>
      </c>
      <c r="AD436">
        <f t="shared" si="280"/>
        <v>0</v>
      </c>
      <c r="AF436">
        <f t="shared" si="281"/>
        <v>0</v>
      </c>
      <c r="AG436">
        <f t="shared" si="282"/>
        <v>0</v>
      </c>
      <c r="AH436">
        <f t="shared" si="283"/>
        <v>0</v>
      </c>
      <c r="AI436">
        <f t="shared" si="284"/>
        <v>0</v>
      </c>
      <c r="AJ436">
        <f t="shared" si="285"/>
        <v>0</v>
      </c>
      <c r="AK436">
        <f t="shared" si="286"/>
        <v>0</v>
      </c>
      <c r="AL436">
        <f t="shared" si="287"/>
        <v>0</v>
      </c>
      <c r="AM436">
        <f t="shared" si="288"/>
        <v>0</v>
      </c>
      <c r="AN436">
        <f t="shared" si="289"/>
        <v>0</v>
      </c>
      <c r="AO436">
        <f t="shared" si="290"/>
        <v>0</v>
      </c>
      <c r="AP436">
        <f t="shared" si="291"/>
        <v>0</v>
      </c>
      <c r="AQ436">
        <f t="shared" si="292"/>
        <v>0</v>
      </c>
    </row>
    <row r="437" spans="1:43" x14ac:dyDescent="0.45">
      <c r="A437" s="51">
        <v>39</v>
      </c>
      <c r="B437" s="51" t="s">
        <v>358</v>
      </c>
      <c r="C437" s="56" t="s">
        <v>105</v>
      </c>
      <c r="D437" s="50" t="s">
        <v>227</v>
      </c>
      <c r="E437" s="19">
        <v>2580.3097901364117</v>
      </c>
      <c r="F437">
        <f t="shared" si="257"/>
        <v>0</v>
      </c>
      <c r="G437">
        <f t="shared" si="258"/>
        <v>2580.3097901364117</v>
      </c>
      <c r="H437">
        <f t="shared" si="259"/>
        <v>0</v>
      </c>
      <c r="I437">
        <f t="shared" si="260"/>
        <v>0</v>
      </c>
      <c r="J437">
        <f t="shared" si="261"/>
        <v>0</v>
      </c>
      <c r="K437">
        <f t="shared" si="262"/>
        <v>0</v>
      </c>
      <c r="L437">
        <f t="shared" si="263"/>
        <v>0</v>
      </c>
      <c r="M437">
        <f t="shared" si="264"/>
        <v>0</v>
      </c>
      <c r="N437">
        <f t="shared" si="265"/>
        <v>0</v>
      </c>
      <c r="O437">
        <f t="shared" si="266"/>
        <v>0</v>
      </c>
      <c r="P437">
        <f t="shared" si="267"/>
        <v>0</v>
      </c>
      <c r="Q437">
        <f t="shared" si="268"/>
        <v>0</v>
      </c>
      <c r="S437">
        <f t="shared" si="269"/>
        <v>38</v>
      </c>
      <c r="T437">
        <f t="shared" si="270"/>
        <v>30</v>
      </c>
      <c r="U437">
        <f t="shared" si="271"/>
        <v>15</v>
      </c>
      <c r="V437">
        <f t="shared" si="272"/>
        <v>14</v>
      </c>
      <c r="W437">
        <f t="shared" si="273"/>
        <v>74</v>
      </c>
      <c r="X437">
        <f t="shared" si="274"/>
        <v>57</v>
      </c>
      <c r="Y437">
        <f t="shared" si="275"/>
        <v>15</v>
      </c>
      <c r="Z437">
        <f t="shared" si="276"/>
        <v>8</v>
      </c>
      <c r="AA437">
        <f t="shared" si="277"/>
        <v>4</v>
      </c>
      <c r="AB437">
        <f t="shared" si="278"/>
        <v>3</v>
      </c>
      <c r="AC437">
        <f t="shared" si="279"/>
        <v>98</v>
      </c>
      <c r="AD437">
        <f t="shared" si="280"/>
        <v>0</v>
      </c>
      <c r="AF437">
        <f t="shared" si="281"/>
        <v>0</v>
      </c>
      <c r="AG437">
        <f t="shared" si="282"/>
        <v>0</v>
      </c>
      <c r="AH437">
        <f t="shared" si="283"/>
        <v>0</v>
      </c>
      <c r="AI437">
        <f t="shared" si="284"/>
        <v>0</v>
      </c>
      <c r="AJ437">
        <f t="shared" si="285"/>
        <v>0</v>
      </c>
      <c r="AK437">
        <f t="shared" si="286"/>
        <v>0</v>
      </c>
      <c r="AL437">
        <f t="shared" si="287"/>
        <v>0</v>
      </c>
      <c r="AM437">
        <f t="shared" si="288"/>
        <v>0</v>
      </c>
      <c r="AN437">
        <f t="shared" si="289"/>
        <v>0</v>
      </c>
      <c r="AO437">
        <f t="shared" si="290"/>
        <v>0</v>
      </c>
      <c r="AP437">
        <f t="shared" si="291"/>
        <v>0</v>
      </c>
      <c r="AQ437">
        <f t="shared" si="292"/>
        <v>0</v>
      </c>
    </row>
    <row r="438" spans="1:43" x14ac:dyDescent="0.45">
      <c r="A438" s="51">
        <v>40</v>
      </c>
      <c r="B438" s="51" t="s">
        <v>359</v>
      </c>
      <c r="C438" s="56" t="s">
        <v>107</v>
      </c>
      <c r="D438" s="50" t="s">
        <v>228</v>
      </c>
      <c r="E438" s="19">
        <v>3182.7558255218714</v>
      </c>
      <c r="F438">
        <f t="shared" si="257"/>
        <v>0</v>
      </c>
      <c r="G438">
        <f t="shared" si="258"/>
        <v>0</v>
      </c>
      <c r="H438">
        <f t="shared" si="259"/>
        <v>0</v>
      </c>
      <c r="I438">
        <f t="shared" si="260"/>
        <v>0</v>
      </c>
      <c r="J438">
        <f t="shared" si="261"/>
        <v>0</v>
      </c>
      <c r="K438">
        <f t="shared" si="262"/>
        <v>0</v>
      </c>
      <c r="L438">
        <f t="shared" si="263"/>
        <v>0</v>
      </c>
      <c r="M438">
        <f t="shared" si="264"/>
        <v>0</v>
      </c>
      <c r="N438">
        <f t="shared" si="265"/>
        <v>0</v>
      </c>
      <c r="O438">
        <f t="shared" si="266"/>
        <v>0</v>
      </c>
      <c r="P438">
        <f t="shared" si="267"/>
        <v>3182.7558255218714</v>
      </c>
      <c r="Q438">
        <f t="shared" si="268"/>
        <v>0</v>
      </c>
      <c r="S438">
        <f t="shared" si="269"/>
        <v>38</v>
      </c>
      <c r="T438">
        <f t="shared" si="270"/>
        <v>29</v>
      </c>
      <c r="U438">
        <f t="shared" si="271"/>
        <v>15</v>
      </c>
      <c r="V438">
        <f t="shared" si="272"/>
        <v>14</v>
      </c>
      <c r="W438">
        <f t="shared" si="273"/>
        <v>74</v>
      </c>
      <c r="X438">
        <f t="shared" si="274"/>
        <v>57</v>
      </c>
      <c r="Y438">
        <f t="shared" si="275"/>
        <v>15</v>
      </c>
      <c r="Z438">
        <f t="shared" si="276"/>
        <v>8</v>
      </c>
      <c r="AA438">
        <f t="shared" si="277"/>
        <v>4</v>
      </c>
      <c r="AB438">
        <f t="shared" si="278"/>
        <v>3</v>
      </c>
      <c r="AC438">
        <f t="shared" si="279"/>
        <v>98</v>
      </c>
      <c r="AD438">
        <f t="shared" si="280"/>
        <v>0</v>
      </c>
      <c r="AF438">
        <f t="shared" si="281"/>
        <v>0</v>
      </c>
      <c r="AG438">
        <f t="shared" si="282"/>
        <v>0</v>
      </c>
      <c r="AH438">
        <f t="shared" si="283"/>
        <v>0</v>
      </c>
      <c r="AI438">
        <f t="shared" si="284"/>
        <v>0</v>
      </c>
      <c r="AJ438">
        <f t="shared" si="285"/>
        <v>0</v>
      </c>
      <c r="AK438">
        <f t="shared" si="286"/>
        <v>0</v>
      </c>
      <c r="AL438">
        <f t="shared" si="287"/>
        <v>0</v>
      </c>
      <c r="AM438">
        <f t="shared" si="288"/>
        <v>0</v>
      </c>
      <c r="AN438">
        <f t="shared" si="289"/>
        <v>0</v>
      </c>
      <c r="AO438">
        <f t="shared" si="290"/>
        <v>0</v>
      </c>
      <c r="AP438">
        <f t="shared" si="291"/>
        <v>0</v>
      </c>
      <c r="AQ438">
        <f t="shared" si="292"/>
        <v>0</v>
      </c>
    </row>
    <row r="439" spans="1:43" x14ac:dyDescent="0.45">
      <c r="A439" s="51">
        <v>41</v>
      </c>
      <c r="B439" s="51" t="s">
        <v>359</v>
      </c>
      <c r="C439" s="56" t="s">
        <v>104</v>
      </c>
      <c r="D439" s="50" t="s">
        <v>76</v>
      </c>
      <c r="E439" s="19">
        <v>3396.3715705047321</v>
      </c>
      <c r="F439">
        <f t="shared" si="257"/>
        <v>3396.3715705047321</v>
      </c>
      <c r="G439">
        <f t="shared" si="258"/>
        <v>0</v>
      </c>
      <c r="H439">
        <f t="shared" si="259"/>
        <v>0</v>
      </c>
      <c r="I439">
        <f t="shared" si="260"/>
        <v>0</v>
      </c>
      <c r="J439">
        <f t="shared" si="261"/>
        <v>0</v>
      </c>
      <c r="K439">
        <f t="shared" si="262"/>
        <v>0</v>
      </c>
      <c r="L439">
        <f t="shared" si="263"/>
        <v>0</v>
      </c>
      <c r="M439">
        <f t="shared" si="264"/>
        <v>0</v>
      </c>
      <c r="N439">
        <f t="shared" si="265"/>
        <v>0</v>
      </c>
      <c r="O439">
        <f t="shared" si="266"/>
        <v>0</v>
      </c>
      <c r="P439">
        <f t="shared" si="267"/>
        <v>0</v>
      </c>
      <c r="Q439">
        <f t="shared" si="268"/>
        <v>0</v>
      </c>
      <c r="S439">
        <f t="shared" si="269"/>
        <v>38</v>
      </c>
      <c r="T439">
        <f t="shared" si="270"/>
        <v>29</v>
      </c>
      <c r="U439">
        <f t="shared" si="271"/>
        <v>15</v>
      </c>
      <c r="V439">
        <f t="shared" si="272"/>
        <v>14</v>
      </c>
      <c r="W439">
        <f t="shared" si="273"/>
        <v>74</v>
      </c>
      <c r="X439">
        <f t="shared" si="274"/>
        <v>57</v>
      </c>
      <c r="Y439">
        <f t="shared" si="275"/>
        <v>15</v>
      </c>
      <c r="Z439">
        <f t="shared" si="276"/>
        <v>8</v>
      </c>
      <c r="AA439">
        <f t="shared" si="277"/>
        <v>4</v>
      </c>
      <c r="AB439">
        <f t="shared" si="278"/>
        <v>3</v>
      </c>
      <c r="AC439">
        <f t="shared" si="279"/>
        <v>97</v>
      </c>
      <c r="AD439">
        <f t="shared" si="280"/>
        <v>0</v>
      </c>
      <c r="AF439">
        <f t="shared" si="281"/>
        <v>0</v>
      </c>
      <c r="AG439">
        <f t="shared" si="282"/>
        <v>0</v>
      </c>
      <c r="AH439">
        <f t="shared" si="283"/>
        <v>0</v>
      </c>
      <c r="AI439">
        <f t="shared" si="284"/>
        <v>0</v>
      </c>
      <c r="AJ439">
        <f t="shared" si="285"/>
        <v>0</v>
      </c>
      <c r="AK439">
        <f t="shared" si="286"/>
        <v>0</v>
      </c>
      <c r="AL439">
        <f t="shared" si="287"/>
        <v>0</v>
      </c>
      <c r="AM439">
        <f t="shared" si="288"/>
        <v>0</v>
      </c>
      <c r="AN439">
        <f t="shared" si="289"/>
        <v>0</v>
      </c>
      <c r="AO439">
        <f t="shared" si="290"/>
        <v>0</v>
      </c>
      <c r="AP439">
        <f t="shared" si="291"/>
        <v>0</v>
      </c>
      <c r="AQ439">
        <f t="shared" si="292"/>
        <v>0</v>
      </c>
    </row>
    <row r="440" spans="1:43" x14ac:dyDescent="0.45">
      <c r="A440" s="51">
        <v>42</v>
      </c>
      <c r="B440" s="51" t="s">
        <v>359</v>
      </c>
      <c r="C440" s="56" t="s">
        <v>108</v>
      </c>
      <c r="D440" s="50" t="s">
        <v>228</v>
      </c>
      <c r="E440" s="19">
        <v>2675.23066889541</v>
      </c>
      <c r="F440">
        <f t="shared" si="257"/>
        <v>0</v>
      </c>
      <c r="G440">
        <f t="shared" si="258"/>
        <v>0</v>
      </c>
      <c r="H440">
        <f t="shared" si="259"/>
        <v>0</v>
      </c>
      <c r="I440">
        <f t="shared" si="260"/>
        <v>0</v>
      </c>
      <c r="J440">
        <f t="shared" si="261"/>
        <v>0</v>
      </c>
      <c r="K440">
        <f t="shared" si="262"/>
        <v>0</v>
      </c>
      <c r="L440">
        <f t="shared" si="263"/>
        <v>0</v>
      </c>
      <c r="M440">
        <f t="shared" si="264"/>
        <v>0</v>
      </c>
      <c r="N440">
        <f t="shared" si="265"/>
        <v>0</v>
      </c>
      <c r="O440">
        <f t="shared" si="266"/>
        <v>0</v>
      </c>
      <c r="P440">
        <f t="shared" si="267"/>
        <v>2675.23066889541</v>
      </c>
      <c r="Q440">
        <f t="shared" si="268"/>
        <v>0</v>
      </c>
      <c r="S440">
        <f t="shared" si="269"/>
        <v>37</v>
      </c>
      <c r="T440">
        <f t="shared" si="270"/>
        <v>29</v>
      </c>
      <c r="U440">
        <f t="shared" si="271"/>
        <v>15</v>
      </c>
      <c r="V440">
        <f t="shared" si="272"/>
        <v>14</v>
      </c>
      <c r="W440">
        <f t="shared" si="273"/>
        <v>74</v>
      </c>
      <c r="X440">
        <f t="shared" si="274"/>
        <v>57</v>
      </c>
      <c r="Y440">
        <f t="shared" si="275"/>
        <v>15</v>
      </c>
      <c r="Z440">
        <f t="shared" si="276"/>
        <v>8</v>
      </c>
      <c r="AA440">
        <f t="shared" si="277"/>
        <v>4</v>
      </c>
      <c r="AB440">
        <f t="shared" si="278"/>
        <v>3</v>
      </c>
      <c r="AC440">
        <f t="shared" si="279"/>
        <v>97</v>
      </c>
      <c r="AD440">
        <f t="shared" si="280"/>
        <v>0</v>
      </c>
      <c r="AF440">
        <f t="shared" si="281"/>
        <v>0</v>
      </c>
      <c r="AG440">
        <f t="shared" si="282"/>
        <v>0</v>
      </c>
      <c r="AH440">
        <f t="shared" si="283"/>
        <v>0</v>
      </c>
      <c r="AI440">
        <f t="shared" si="284"/>
        <v>0</v>
      </c>
      <c r="AJ440">
        <f t="shared" si="285"/>
        <v>0</v>
      </c>
      <c r="AK440">
        <f t="shared" si="286"/>
        <v>0</v>
      </c>
      <c r="AL440">
        <f t="shared" si="287"/>
        <v>0</v>
      </c>
      <c r="AM440">
        <f t="shared" si="288"/>
        <v>0</v>
      </c>
      <c r="AN440">
        <f t="shared" si="289"/>
        <v>0</v>
      </c>
      <c r="AO440">
        <f t="shared" si="290"/>
        <v>0</v>
      </c>
      <c r="AP440">
        <f t="shared" si="291"/>
        <v>0</v>
      </c>
      <c r="AQ440">
        <f t="shared" si="292"/>
        <v>0</v>
      </c>
    </row>
    <row r="441" spans="1:43" x14ac:dyDescent="0.45">
      <c r="A441" s="51">
        <v>43</v>
      </c>
      <c r="B441" s="51" t="s">
        <v>360</v>
      </c>
      <c r="C441" s="56" t="s">
        <v>109</v>
      </c>
      <c r="D441" s="50" t="s">
        <v>60</v>
      </c>
      <c r="E441" s="19">
        <v>2970.8509541505691</v>
      </c>
      <c r="F441">
        <f t="shared" si="257"/>
        <v>0</v>
      </c>
      <c r="G441">
        <f t="shared" si="258"/>
        <v>0</v>
      </c>
      <c r="H441">
        <f t="shared" si="259"/>
        <v>0</v>
      </c>
      <c r="I441">
        <f t="shared" si="260"/>
        <v>0</v>
      </c>
      <c r="J441">
        <f t="shared" si="261"/>
        <v>2970.8509541505691</v>
      </c>
      <c r="K441">
        <f t="shared" si="262"/>
        <v>0</v>
      </c>
      <c r="L441">
        <f t="shared" si="263"/>
        <v>0</v>
      </c>
      <c r="M441">
        <f t="shared" si="264"/>
        <v>0</v>
      </c>
      <c r="N441">
        <f t="shared" si="265"/>
        <v>0</v>
      </c>
      <c r="O441">
        <f t="shared" si="266"/>
        <v>0</v>
      </c>
      <c r="P441">
        <f t="shared" si="267"/>
        <v>0</v>
      </c>
      <c r="Q441">
        <f t="shared" si="268"/>
        <v>0</v>
      </c>
      <c r="S441">
        <f t="shared" si="269"/>
        <v>37</v>
      </c>
      <c r="T441">
        <f t="shared" si="270"/>
        <v>29</v>
      </c>
      <c r="U441">
        <f t="shared" si="271"/>
        <v>15</v>
      </c>
      <c r="V441">
        <f t="shared" si="272"/>
        <v>14</v>
      </c>
      <c r="W441">
        <f t="shared" si="273"/>
        <v>74</v>
      </c>
      <c r="X441">
        <f t="shared" si="274"/>
        <v>57</v>
      </c>
      <c r="Y441">
        <f t="shared" si="275"/>
        <v>15</v>
      </c>
      <c r="Z441">
        <f t="shared" si="276"/>
        <v>8</v>
      </c>
      <c r="AA441">
        <f t="shared" si="277"/>
        <v>4</v>
      </c>
      <c r="AB441">
        <f t="shared" si="278"/>
        <v>3</v>
      </c>
      <c r="AC441">
        <f t="shared" si="279"/>
        <v>96</v>
      </c>
      <c r="AD441">
        <f t="shared" si="280"/>
        <v>0</v>
      </c>
      <c r="AF441">
        <f t="shared" si="281"/>
        <v>0</v>
      </c>
      <c r="AG441">
        <f t="shared" si="282"/>
        <v>0</v>
      </c>
      <c r="AH441">
        <f t="shared" si="283"/>
        <v>0</v>
      </c>
      <c r="AI441">
        <f t="shared" si="284"/>
        <v>0</v>
      </c>
      <c r="AJ441">
        <f t="shared" si="285"/>
        <v>0</v>
      </c>
      <c r="AK441">
        <f t="shared" si="286"/>
        <v>0</v>
      </c>
      <c r="AL441">
        <f t="shared" si="287"/>
        <v>0</v>
      </c>
      <c r="AM441">
        <f t="shared" si="288"/>
        <v>0</v>
      </c>
      <c r="AN441">
        <f t="shared" si="289"/>
        <v>0</v>
      </c>
      <c r="AO441">
        <f t="shared" si="290"/>
        <v>0</v>
      </c>
      <c r="AP441">
        <f t="shared" si="291"/>
        <v>0</v>
      </c>
      <c r="AQ441">
        <f t="shared" si="292"/>
        <v>0</v>
      </c>
    </row>
    <row r="442" spans="1:43" x14ac:dyDescent="0.45">
      <c r="A442" s="51">
        <v>44</v>
      </c>
      <c r="B442" s="51" t="s">
        <v>360</v>
      </c>
      <c r="C442" s="56" t="s">
        <v>111</v>
      </c>
      <c r="D442" s="50" t="s">
        <v>76</v>
      </c>
      <c r="E442" s="19">
        <v>2898.4002178899082</v>
      </c>
      <c r="F442">
        <f t="shared" si="257"/>
        <v>2898.4002178899082</v>
      </c>
      <c r="G442">
        <f t="shared" si="258"/>
        <v>0</v>
      </c>
      <c r="H442">
        <f t="shared" si="259"/>
        <v>0</v>
      </c>
      <c r="I442">
        <f t="shared" si="260"/>
        <v>0</v>
      </c>
      <c r="J442">
        <f t="shared" si="261"/>
        <v>0</v>
      </c>
      <c r="K442">
        <f t="shared" si="262"/>
        <v>0</v>
      </c>
      <c r="L442">
        <f t="shared" si="263"/>
        <v>0</v>
      </c>
      <c r="M442">
        <f t="shared" si="264"/>
        <v>0</v>
      </c>
      <c r="N442">
        <f t="shared" si="265"/>
        <v>0</v>
      </c>
      <c r="O442">
        <f t="shared" si="266"/>
        <v>0</v>
      </c>
      <c r="P442">
        <f t="shared" si="267"/>
        <v>0</v>
      </c>
      <c r="Q442">
        <f t="shared" si="268"/>
        <v>0</v>
      </c>
      <c r="S442">
        <f t="shared" si="269"/>
        <v>37</v>
      </c>
      <c r="T442">
        <f t="shared" si="270"/>
        <v>29</v>
      </c>
      <c r="U442">
        <f t="shared" si="271"/>
        <v>15</v>
      </c>
      <c r="V442">
        <f t="shared" si="272"/>
        <v>14</v>
      </c>
      <c r="W442">
        <f t="shared" si="273"/>
        <v>73</v>
      </c>
      <c r="X442">
        <f t="shared" si="274"/>
        <v>57</v>
      </c>
      <c r="Y442">
        <f t="shared" si="275"/>
        <v>15</v>
      </c>
      <c r="Z442">
        <f t="shared" si="276"/>
        <v>8</v>
      </c>
      <c r="AA442">
        <f t="shared" si="277"/>
        <v>4</v>
      </c>
      <c r="AB442">
        <f t="shared" si="278"/>
        <v>3</v>
      </c>
      <c r="AC442">
        <f t="shared" si="279"/>
        <v>96</v>
      </c>
      <c r="AD442">
        <f t="shared" si="280"/>
        <v>0</v>
      </c>
      <c r="AF442">
        <f t="shared" si="281"/>
        <v>0</v>
      </c>
      <c r="AG442">
        <f t="shared" si="282"/>
        <v>0</v>
      </c>
      <c r="AH442">
        <f t="shared" si="283"/>
        <v>0</v>
      </c>
      <c r="AI442">
        <f t="shared" si="284"/>
        <v>0</v>
      </c>
      <c r="AJ442">
        <f t="shared" si="285"/>
        <v>0</v>
      </c>
      <c r="AK442">
        <f t="shared" si="286"/>
        <v>0</v>
      </c>
      <c r="AL442">
        <f t="shared" si="287"/>
        <v>0</v>
      </c>
      <c r="AM442">
        <f t="shared" si="288"/>
        <v>0</v>
      </c>
      <c r="AN442">
        <f t="shared" si="289"/>
        <v>0</v>
      </c>
      <c r="AO442">
        <f t="shared" si="290"/>
        <v>0</v>
      </c>
      <c r="AP442">
        <f t="shared" si="291"/>
        <v>0</v>
      </c>
      <c r="AQ442">
        <f t="shared" si="292"/>
        <v>0</v>
      </c>
    </row>
    <row r="443" spans="1:43" x14ac:dyDescent="0.45">
      <c r="A443" s="51">
        <v>45</v>
      </c>
      <c r="B443" s="51" t="s">
        <v>360</v>
      </c>
      <c r="C443" s="56" t="s">
        <v>113</v>
      </c>
      <c r="D443" s="50" t="s">
        <v>228</v>
      </c>
      <c r="E443" s="19">
        <v>3248.1362373794127</v>
      </c>
      <c r="F443">
        <f t="shared" si="257"/>
        <v>0</v>
      </c>
      <c r="G443">
        <f t="shared" si="258"/>
        <v>0</v>
      </c>
      <c r="H443">
        <f t="shared" si="259"/>
        <v>0</v>
      </c>
      <c r="I443">
        <f t="shared" si="260"/>
        <v>0</v>
      </c>
      <c r="J443">
        <f t="shared" si="261"/>
        <v>0</v>
      </c>
      <c r="K443">
        <f t="shared" si="262"/>
        <v>0</v>
      </c>
      <c r="L443">
        <f t="shared" si="263"/>
        <v>0</v>
      </c>
      <c r="M443">
        <f t="shared" si="264"/>
        <v>0</v>
      </c>
      <c r="N443">
        <f t="shared" si="265"/>
        <v>0</v>
      </c>
      <c r="O443">
        <f t="shared" si="266"/>
        <v>0</v>
      </c>
      <c r="P443">
        <f t="shared" si="267"/>
        <v>3248.1362373794127</v>
      </c>
      <c r="Q443">
        <f t="shared" si="268"/>
        <v>0</v>
      </c>
      <c r="S443">
        <f t="shared" si="269"/>
        <v>36</v>
      </c>
      <c r="T443">
        <f t="shared" si="270"/>
        <v>29</v>
      </c>
      <c r="U443">
        <f t="shared" si="271"/>
        <v>15</v>
      </c>
      <c r="V443">
        <f t="shared" si="272"/>
        <v>14</v>
      </c>
      <c r="W443">
        <f t="shared" si="273"/>
        <v>73</v>
      </c>
      <c r="X443">
        <f t="shared" si="274"/>
        <v>57</v>
      </c>
      <c r="Y443">
        <f t="shared" si="275"/>
        <v>15</v>
      </c>
      <c r="Z443">
        <f t="shared" si="276"/>
        <v>8</v>
      </c>
      <c r="AA443">
        <f t="shared" si="277"/>
        <v>4</v>
      </c>
      <c r="AB443">
        <f t="shared" si="278"/>
        <v>3</v>
      </c>
      <c r="AC443">
        <f t="shared" si="279"/>
        <v>96</v>
      </c>
      <c r="AD443">
        <f t="shared" si="280"/>
        <v>0</v>
      </c>
      <c r="AF443">
        <f t="shared" si="281"/>
        <v>0</v>
      </c>
      <c r="AG443">
        <f t="shared" si="282"/>
        <v>0</v>
      </c>
      <c r="AH443">
        <f t="shared" si="283"/>
        <v>0</v>
      </c>
      <c r="AI443">
        <f t="shared" si="284"/>
        <v>0</v>
      </c>
      <c r="AJ443">
        <f t="shared" si="285"/>
        <v>0</v>
      </c>
      <c r="AK443">
        <f t="shared" si="286"/>
        <v>0</v>
      </c>
      <c r="AL443">
        <f t="shared" si="287"/>
        <v>0</v>
      </c>
      <c r="AM443">
        <f t="shared" si="288"/>
        <v>0</v>
      </c>
      <c r="AN443">
        <f t="shared" si="289"/>
        <v>0</v>
      </c>
      <c r="AO443">
        <f t="shared" si="290"/>
        <v>0</v>
      </c>
      <c r="AP443">
        <f t="shared" si="291"/>
        <v>0</v>
      </c>
      <c r="AQ443">
        <f t="shared" si="292"/>
        <v>0</v>
      </c>
    </row>
    <row r="444" spans="1:43" x14ac:dyDescent="0.45">
      <c r="A444" s="51">
        <v>46</v>
      </c>
      <c r="B444" s="51" t="s">
        <v>360</v>
      </c>
      <c r="C444" s="56" t="s">
        <v>112</v>
      </c>
      <c r="D444" s="50" t="s">
        <v>60</v>
      </c>
      <c r="E444" s="19">
        <v>3275.1866305665903</v>
      </c>
      <c r="F444">
        <f t="shared" si="257"/>
        <v>0</v>
      </c>
      <c r="G444">
        <f t="shared" si="258"/>
        <v>0</v>
      </c>
      <c r="H444">
        <f t="shared" si="259"/>
        <v>0</v>
      </c>
      <c r="I444">
        <f t="shared" si="260"/>
        <v>0</v>
      </c>
      <c r="J444">
        <f t="shared" si="261"/>
        <v>3275.1866305665903</v>
      </c>
      <c r="K444">
        <f t="shared" si="262"/>
        <v>0</v>
      </c>
      <c r="L444">
        <f t="shared" si="263"/>
        <v>0</v>
      </c>
      <c r="M444">
        <f t="shared" si="264"/>
        <v>0</v>
      </c>
      <c r="N444">
        <f t="shared" si="265"/>
        <v>0</v>
      </c>
      <c r="O444">
        <f t="shared" si="266"/>
        <v>0</v>
      </c>
      <c r="P444">
        <f t="shared" si="267"/>
        <v>0</v>
      </c>
      <c r="Q444">
        <f t="shared" si="268"/>
        <v>0</v>
      </c>
      <c r="S444">
        <f t="shared" si="269"/>
        <v>36</v>
      </c>
      <c r="T444">
        <f t="shared" si="270"/>
        <v>29</v>
      </c>
      <c r="U444">
        <f t="shared" si="271"/>
        <v>15</v>
      </c>
      <c r="V444">
        <f t="shared" si="272"/>
        <v>14</v>
      </c>
      <c r="W444">
        <f t="shared" si="273"/>
        <v>73</v>
      </c>
      <c r="X444">
        <f t="shared" si="274"/>
        <v>57</v>
      </c>
      <c r="Y444">
        <f t="shared" si="275"/>
        <v>15</v>
      </c>
      <c r="Z444">
        <f t="shared" si="276"/>
        <v>8</v>
      </c>
      <c r="AA444">
        <f t="shared" si="277"/>
        <v>4</v>
      </c>
      <c r="AB444">
        <f t="shared" si="278"/>
        <v>3</v>
      </c>
      <c r="AC444">
        <f t="shared" si="279"/>
        <v>95</v>
      </c>
      <c r="AD444">
        <f t="shared" si="280"/>
        <v>0</v>
      </c>
      <c r="AF444">
        <f t="shared" si="281"/>
        <v>0</v>
      </c>
      <c r="AG444">
        <f t="shared" si="282"/>
        <v>0</v>
      </c>
      <c r="AH444">
        <f t="shared" si="283"/>
        <v>0</v>
      </c>
      <c r="AI444">
        <f t="shared" si="284"/>
        <v>0</v>
      </c>
      <c r="AJ444">
        <f t="shared" si="285"/>
        <v>0</v>
      </c>
      <c r="AK444">
        <f t="shared" si="286"/>
        <v>0</v>
      </c>
      <c r="AL444">
        <f t="shared" si="287"/>
        <v>0</v>
      </c>
      <c r="AM444">
        <f t="shared" si="288"/>
        <v>0</v>
      </c>
      <c r="AN444">
        <f t="shared" si="289"/>
        <v>0</v>
      </c>
      <c r="AO444">
        <f t="shared" si="290"/>
        <v>0</v>
      </c>
      <c r="AP444">
        <f t="shared" si="291"/>
        <v>0</v>
      </c>
      <c r="AQ444">
        <f t="shared" si="292"/>
        <v>0</v>
      </c>
    </row>
    <row r="445" spans="1:43" x14ac:dyDescent="0.45">
      <c r="A445" s="51">
        <v>47</v>
      </c>
      <c r="B445" s="51" t="s">
        <v>361</v>
      </c>
      <c r="C445" s="56" t="s">
        <v>117</v>
      </c>
      <c r="D445" s="50" t="s">
        <v>60</v>
      </c>
      <c r="E445" s="19">
        <v>3180.5196462413137</v>
      </c>
      <c r="F445">
        <f t="shared" si="257"/>
        <v>0</v>
      </c>
      <c r="G445">
        <f t="shared" si="258"/>
        <v>0</v>
      </c>
      <c r="H445">
        <f t="shared" si="259"/>
        <v>0</v>
      </c>
      <c r="I445">
        <f t="shared" si="260"/>
        <v>0</v>
      </c>
      <c r="J445">
        <f t="shared" si="261"/>
        <v>3180.5196462413137</v>
      </c>
      <c r="K445">
        <f t="shared" si="262"/>
        <v>0</v>
      </c>
      <c r="L445">
        <f t="shared" si="263"/>
        <v>0</v>
      </c>
      <c r="M445">
        <f t="shared" si="264"/>
        <v>0</v>
      </c>
      <c r="N445">
        <f t="shared" si="265"/>
        <v>0</v>
      </c>
      <c r="O445">
        <f t="shared" si="266"/>
        <v>0</v>
      </c>
      <c r="P445">
        <f t="shared" si="267"/>
        <v>0</v>
      </c>
      <c r="Q445">
        <f t="shared" si="268"/>
        <v>0</v>
      </c>
      <c r="S445">
        <f t="shared" si="269"/>
        <v>36</v>
      </c>
      <c r="T445">
        <f t="shared" si="270"/>
        <v>29</v>
      </c>
      <c r="U445">
        <f t="shared" si="271"/>
        <v>15</v>
      </c>
      <c r="V445">
        <f t="shared" si="272"/>
        <v>14</v>
      </c>
      <c r="W445">
        <f t="shared" si="273"/>
        <v>72</v>
      </c>
      <c r="X445">
        <f t="shared" si="274"/>
        <v>57</v>
      </c>
      <c r="Y445">
        <f t="shared" si="275"/>
        <v>15</v>
      </c>
      <c r="Z445">
        <f t="shared" si="276"/>
        <v>8</v>
      </c>
      <c r="AA445">
        <f t="shared" si="277"/>
        <v>4</v>
      </c>
      <c r="AB445">
        <f t="shared" si="278"/>
        <v>3</v>
      </c>
      <c r="AC445">
        <f t="shared" si="279"/>
        <v>95</v>
      </c>
      <c r="AD445">
        <f t="shared" si="280"/>
        <v>0</v>
      </c>
      <c r="AF445">
        <f t="shared" si="281"/>
        <v>0</v>
      </c>
      <c r="AG445">
        <f t="shared" si="282"/>
        <v>0</v>
      </c>
      <c r="AH445">
        <f t="shared" si="283"/>
        <v>0</v>
      </c>
      <c r="AI445">
        <f t="shared" si="284"/>
        <v>0</v>
      </c>
      <c r="AJ445">
        <f t="shared" si="285"/>
        <v>0</v>
      </c>
      <c r="AK445">
        <f t="shared" si="286"/>
        <v>0</v>
      </c>
      <c r="AL445">
        <f t="shared" si="287"/>
        <v>0</v>
      </c>
      <c r="AM445">
        <f t="shared" si="288"/>
        <v>0</v>
      </c>
      <c r="AN445">
        <f t="shared" si="289"/>
        <v>0</v>
      </c>
      <c r="AO445">
        <f t="shared" si="290"/>
        <v>0</v>
      </c>
      <c r="AP445">
        <f t="shared" si="291"/>
        <v>0</v>
      </c>
      <c r="AQ445">
        <f t="shared" si="292"/>
        <v>0</v>
      </c>
    </row>
    <row r="446" spans="1:43" x14ac:dyDescent="0.45">
      <c r="A446" s="51">
        <v>48</v>
      </c>
      <c r="B446" s="51" t="s">
        <v>361</v>
      </c>
      <c r="C446" s="56" t="s">
        <v>115</v>
      </c>
      <c r="D446" s="50" t="s">
        <v>228</v>
      </c>
      <c r="E446" s="19">
        <v>3281.4486899746194</v>
      </c>
      <c r="F446">
        <f t="shared" si="257"/>
        <v>0</v>
      </c>
      <c r="G446">
        <f t="shared" si="258"/>
        <v>0</v>
      </c>
      <c r="H446">
        <f t="shared" si="259"/>
        <v>0</v>
      </c>
      <c r="I446">
        <f t="shared" si="260"/>
        <v>0</v>
      </c>
      <c r="J446">
        <f t="shared" si="261"/>
        <v>0</v>
      </c>
      <c r="K446">
        <f t="shared" si="262"/>
        <v>0</v>
      </c>
      <c r="L446">
        <f t="shared" si="263"/>
        <v>0</v>
      </c>
      <c r="M446">
        <f t="shared" si="264"/>
        <v>0</v>
      </c>
      <c r="N446">
        <f t="shared" si="265"/>
        <v>0</v>
      </c>
      <c r="O446">
        <f t="shared" si="266"/>
        <v>0</v>
      </c>
      <c r="P446">
        <f t="shared" si="267"/>
        <v>3281.4486899746194</v>
      </c>
      <c r="Q446">
        <f t="shared" si="268"/>
        <v>0</v>
      </c>
      <c r="S446">
        <f t="shared" si="269"/>
        <v>36</v>
      </c>
      <c r="T446">
        <f t="shared" si="270"/>
        <v>29</v>
      </c>
      <c r="U446">
        <f t="shared" si="271"/>
        <v>15</v>
      </c>
      <c r="V446">
        <f t="shared" si="272"/>
        <v>14</v>
      </c>
      <c r="W446">
        <f t="shared" si="273"/>
        <v>71</v>
      </c>
      <c r="X446">
        <f t="shared" si="274"/>
        <v>57</v>
      </c>
      <c r="Y446">
        <f t="shared" si="275"/>
        <v>15</v>
      </c>
      <c r="Z446">
        <f t="shared" si="276"/>
        <v>8</v>
      </c>
      <c r="AA446">
        <f t="shared" si="277"/>
        <v>4</v>
      </c>
      <c r="AB446">
        <f t="shared" si="278"/>
        <v>3</v>
      </c>
      <c r="AC446">
        <f t="shared" si="279"/>
        <v>95</v>
      </c>
      <c r="AD446">
        <f t="shared" si="280"/>
        <v>0</v>
      </c>
      <c r="AF446">
        <f t="shared" si="281"/>
        <v>0</v>
      </c>
      <c r="AG446">
        <f t="shared" si="282"/>
        <v>0</v>
      </c>
      <c r="AH446">
        <f t="shared" si="283"/>
        <v>0</v>
      </c>
      <c r="AI446">
        <f t="shared" si="284"/>
        <v>0</v>
      </c>
      <c r="AJ446">
        <f t="shared" si="285"/>
        <v>0</v>
      </c>
      <c r="AK446">
        <f t="shared" si="286"/>
        <v>0</v>
      </c>
      <c r="AL446">
        <f t="shared" si="287"/>
        <v>0</v>
      </c>
      <c r="AM446">
        <f t="shared" si="288"/>
        <v>0</v>
      </c>
      <c r="AN446">
        <f t="shared" si="289"/>
        <v>0</v>
      </c>
      <c r="AO446">
        <f t="shared" si="290"/>
        <v>0</v>
      </c>
      <c r="AP446">
        <f t="shared" si="291"/>
        <v>0</v>
      </c>
      <c r="AQ446">
        <f t="shared" si="292"/>
        <v>0</v>
      </c>
    </row>
    <row r="447" spans="1:43" x14ac:dyDescent="0.45">
      <c r="A447" s="51">
        <v>49</v>
      </c>
      <c r="B447" s="51" t="s">
        <v>361</v>
      </c>
      <c r="C447" s="56" t="s">
        <v>116</v>
      </c>
      <c r="D447" s="50" t="s">
        <v>54</v>
      </c>
      <c r="E447" s="19">
        <v>3132.9237605904063</v>
      </c>
      <c r="F447">
        <f t="shared" si="257"/>
        <v>0</v>
      </c>
      <c r="G447">
        <f t="shared" si="258"/>
        <v>0</v>
      </c>
      <c r="H447">
        <f t="shared" si="259"/>
        <v>0</v>
      </c>
      <c r="I447">
        <f t="shared" si="260"/>
        <v>0</v>
      </c>
      <c r="J447">
        <f t="shared" si="261"/>
        <v>0</v>
      </c>
      <c r="K447">
        <f t="shared" si="262"/>
        <v>3132.9237605904063</v>
      </c>
      <c r="L447">
        <f t="shared" si="263"/>
        <v>0</v>
      </c>
      <c r="M447">
        <f t="shared" si="264"/>
        <v>0</v>
      </c>
      <c r="N447">
        <f t="shared" si="265"/>
        <v>0</v>
      </c>
      <c r="O447">
        <f t="shared" si="266"/>
        <v>0</v>
      </c>
      <c r="P447">
        <f t="shared" si="267"/>
        <v>0</v>
      </c>
      <c r="Q447">
        <f t="shared" si="268"/>
        <v>0</v>
      </c>
      <c r="S447">
        <f t="shared" si="269"/>
        <v>36</v>
      </c>
      <c r="T447">
        <f t="shared" si="270"/>
        <v>29</v>
      </c>
      <c r="U447">
        <f t="shared" si="271"/>
        <v>15</v>
      </c>
      <c r="V447">
        <f t="shared" si="272"/>
        <v>14</v>
      </c>
      <c r="W447">
        <f t="shared" si="273"/>
        <v>71</v>
      </c>
      <c r="X447">
        <f t="shared" si="274"/>
        <v>57</v>
      </c>
      <c r="Y447">
        <f t="shared" si="275"/>
        <v>15</v>
      </c>
      <c r="Z447">
        <f t="shared" si="276"/>
        <v>8</v>
      </c>
      <c r="AA447">
        <f t="shared" si="277"/>
        <v>4</v>
      </c>
      <c r="AB447">
        <f t="shared" si="278"/>
        <v>3</v>
      </c>
      <c r="AC447">
        <f t="shared" si="279"/>
        <v>94</v>
      </c>
      <c r="AD447">
        <f t="shared" si="280"/>
        <v>0</v>
      </c>
      <c r="AF447">
        <f t="shared" si="281"/>
        <v>0</v>
      </c>
      <c r="AG447">
        <f t="shared" si="282"/>
        <v>0</v>
      </c>
      <c r="AH447">
        <f t="shared" si="283"/>
        <v>0</v>
      </c>
      <c r="AI447">
        <f t="shared" si="284"/>
        <v>0</v>
      </c>
      <c r="AJ447">
        <f t="shared" si="285"/>
        <v>0</v>
      </c>
      <c r="AK447">
        <f t="shared" si="286"/>
        <v>0</v>
      </c>
      <c r="AL447">
        <f t="shared" si="287"/>
        <v>0</v>
      </c>
      <c r="AM447">
        <f t="shared" si="288"/>
        <v>0</v>
      </c>
      <c r="AN447">
        <f t="shared" si="289"/>
        <v>0</v>
      </c>
      <c r="AO447">
        <f t="shared" si="290"/>
        <v>0</v>
      </c>
      <c r="AP447">
        <f t="shared" si="291"/>
        <v>0</v>
      </c>
      <c r="AQ447">
        <f t="shared" si="292"/>
        <v>0</v>
      </c>
    </row>
    <row r="448" spans="1:43" x14ac:dyDescent="0.35">
      <c r="A448" s="51">
        <v>50</v>
      </c>
      <c r="B448" s="51" t="s">
        <v>362</v>
      </c>
      <c r="C448" s="55" t="s">
        <v>121</v>
      </c>
      <c r="D448" s="50" t="s">
        <v>54</v>
      </c>
      <c r="E448" s="19">
        <v>2618.3745191167195</v>
      </c>
      <c r="F448">
        <f t="shared" si="257"/>
        <v>0</v>
      </c>
      <c r="G448">
        <f t="shared" si="258"/>
        <v>0</v>
      </c>
      <c r="H448">
        <f t="shared" si="259"/>
        <v>0</v>
      </c>
      <c r="I448">
        <f t="shared" si="260"/>
        <v>0</v>
      </c>
      <c r="J448">
        <f t="shared" si="261"/>
        <v>0</v>
      </c>
      <c r="K448">
        <f t="shared" si="262"/>
        <v>2618.3745191167195</v>
      </c>
      <c r="L448">
        <f t="shared" si="263"/>
        <v>0</v>
      </c>
      <c r="M448">
        <f t="shared" si="264"/>
        <v>0</v>
      </c>
      <c r="N448">
        <f t="shared" si="265"/>
        <v>0</v>
      </c>
      <c r="O448">
        <f t="shared" si="266"/>
        <v>0</v>
      </c>
      <c r="P448">
        <f t="shared" si="267"/>
        <v>0</v>
      </c>
      <c r="Q448">
        <f t="shared" si="268"/>
        <v>0</v>
      </c>
      <c r="S448">
        <f t="shared" si="269"/>
        <v>36</v>
      </c>
      <c r="T448">
        <f t="shared" si="270"/>
        <v>29</v>
      </c>
      <c r="U448">
        <f t="shared" si="271"/>
        <v>15</v>
      </c>
      <c r="V448">
        <f t="shared" si="272"/>
        <v>14</v>
      </c>
      <c r="W448">
        <f t="shared" si="273"/>
        <v>71</v>
      </c>
      <c r="X448">
        <f t="shared" si="274"/>
        <v>56</v>
      </c>
      <c r="Y448">
        <f t="shared" si="275"/>
        <v>15</v>
      </c>
      <c r="Z448">
        <f t="shared" si="276"/>
        <v>8</v>
      </c>
      <c r="AA448">
        <f t="shared" si="277"/>
        <v>4</v>
      </c>
      <c r="AB448">
        <f t="shared" si="278"/>
        <v>3</v>
      </c>
      <c r="AC448">
        <f t="shared" si="279"/>
        <v>94</v>
      </c>
      <c r="AD448">
        <f t="shared" si="280"/>
        <v>0</v>
      </c>
      <c r="AF448">
        <f t="shared" si="281"/>
        <v>0</v>
      </c>
      <c r="AG448">
        <f t="shared" si="282"/>
        <v>0</v>
      </c>
      <c r="AH448">
        <f t="shared" si="283"/>
        <v>0</v>
      </c>
      <c r="AI448">
        <f t="shared" si="284"/>
        <v>0</v>
      </c>
      <c r="AJ448">
        <f t="shared" si="285"/>
        <v>0</v>
      </c>
      <c r="AK448">
        <f t="shared" si="286"/>
        <v>0</v>
      </c>
      <c r="AL448">
        <f t="shared" si="287"/>
        <v>0</v>
      </c>
      <c r="AM448">
        <f t="shared" si="288"/>
        <v>0</v>
      </c>
      <c r="AN448">
        <f t="shared" si="289"/>
        <v>0</v>
      </c>
      <c r="AO448">
        <f t="shared" si="290"/>
        <v>0</v>
      </c>
      <c r="AP448">
        <f t="shared" si="291"/>
        <v>0</v>
      </c>
      <c r="AQ448">
        <f t="shared" si="292"/>
        <v>0</v>
      </c>
    </row>
    <row r="449" spans="1:43" x14ac:dyDescent="0.35">
      <c r="A449" s="51">
        <v>51</v>
      </c>
      <c r="B449" s="51" t="s">
        <v>362</v>
      </c>
      <c r="C449" s="55" t="s">
        <v>120</v>
      </c>
      <c r="D449" s="50" t="s">
        <v>60</v>
      </c>
      <c r="E449" s="19">
        <v>3259.7220209163352</v>
      </c>
      <c r="F449">
        <f t="shared" si="257"/>
        <v>0</v>
      </c>
      <c r="G449">
        <f t="shared" si="258"/>
        <v>0</v>
      </c>
      <c r="H449">
        <f t="shared" si="259"/>
        <v>0</v>
      </c>
      <c r="I449">
        <f t="shared" si="260"/>
        <v>0</v>
      </c>
      <c r="J449">
        <f t="shared" si="261"/>
        <v>3259.7220209163352</v>
      </c>
      <c r="K449">
        <f t="shared" si="262"/>
        <v>0</v>
      </c>
      <c r="L449">
        <f t="shared" si="263"/>
        <v>0</v>
      </c>
      <c r="M449">
        <f t="shared" si="264"/>
        <v>0</v>
      </c>
      <c r="N449">
        <f t="shared" si="265"/>
        <v>0</v>
      </c>
      <c r="O449">
        <f t="shared" si="266"/>
        <v>0</v>
      </c>
      <c r="P449">
        <f t="shared" si="267"/>
        <v>0</v>
      </c>
      <c r="Q449">
        <f t="shared" si="268"/>
        <v>0</v>
      </c>
      <c r="S449">
        <f t="shared" si="269"/>
        <v>36</v>
      </c>
      <c r="T449">
        <f t="shared" si="270"/>
        <v>29</v>
      </c>
      <c r="U449">
        <f t="shared" si="271"/>
        <v>15</v>
      </c>
      <c r="V449">
        <f t="shared" si="272"/>
        <v>14</v>
      </c>
      <c r="W449">
        <f t="shared" si="273"/>
        <v>71</v>
      </c>
      <c r="X449">
        <f t="shared" si="274"/>
        <v>55</v>
      </c>
      <c r="Y449">
        <f t="shared" si="275"/>
        <v>15</v>
      </c>
      <c r="Z449">
        <f t="shared" si="276"/>
        <v>8</v>
      </c>
      <c r="AA449">
        <f t="shared" si="277"/>
        <v>4</v>
      </c>
      <c r="AB449">
        <f t="shared" si="278"/>
        <v>3</v>
      </c>
      <c r="AC449">
        <f t="shared" si="279"/>
        <v>94</v>
      </c>
      <c r="AD449">
        <f t="shared" si="280"/>
        <v>0</v>
      </c>
      <c r="AF449">
        <f t="shared" si="281"/>
        <v>0</v>
      </c>
      <c r="AG449">
        <f t="shared" si="282"/>
        <v>0</v>
      </c>
      <c r="AH449">
        <f t="shared" si="283"/>
        <v>0</v>
      </c>
      <c r="AI449">
        <f t="shared" si="284"/>
        <v>0</v>
      </c>
      <c r="AJ449">
        <f t="shared" si="285"/>
        <v>0</v>
      </c>
      <c r="AK449">
        <f t="shared" si="286"/>
        <v>0</v>
      </c>
      <c r="AL449">
        <f t="shared" si="287"/>
        <v>0</v>
      </c>
      <c r="AM449">
        <f t="shared" si="288"/>
        <v>0</v>
      </c>
      <c r="AN449">
        <f t="shared" si="289"/>
        <v>0</v>
      </c>
      <c r="AO449">
        <f t="shared" si="290"/>
        <v>0</v>
      </c>
      <c r="AP449">
        <f t="shared" si="291"/>
        <v>0</v>
      </c>
      <c r="AQ449">
        <f t="shared" si="292"/>
        <v>0</v>
      </c>
    </row>
    <row r="450" spans="1:43" x14ac:dyDescent="0.35">
      <c r="A450" s="51">
        <v>52</v>
      </c>
      <c r="B450" s="51" t="s">
        <v>362</v>
      </c>
      <c r="C450" s="55" t="s">
        <v>118</v>
      </c>
      <c r="D450" s="50" t="s">
        <v>227</v>
      </c>
      <c r="E450" s="19">
        <v>3012.518128094634</v>
      </c>
      <c r="F450">
        <f t="shared" si="257"/>
        <v>0</v>
      </c>
      <c r="G450">
        <f t="shared" si="258"/>
        <v>3012.518128094634</v>
      </c>
      <c r="H450">
        <f t="shared" si="259"/>
        <v>0</v>
      </c>
      <c r="I450">
        <f t="shared" si="260"/>
        <v>0</v>
      </c>
      <c r="J450">
        <f t="shared" si="261"/>
        <v>0</v>
      </c>
      <c r="K450">
        <f t="shared" si="262"/>
        <v>0</v>
      </c>
      <c r="L450">
        <f t="shared" si="263"/>
        <v>0</v>
      </c>
      <c r="M450">
        <f t="shared" si="264"/>
        <v>0</v>
      </c>
      <c r="N450">
        <f t="shared" si="265"/>
        <v>0</v>
      </c>
      <c r="O450">
        <f t="shared" si="266"/>
        <v>0</v>
      </c>
      <c r="P450">
        <f t="shared" si="267"/>
        <v>0</v>
      </c>
      <c r="Q450">
        <f t="shared" si="268"/>
        <v>0</v>
      </c>
      <c r="S450">
        <f t="shared" si="269"/>
        <v>36</v>
      </c>
      <c r="T450">
        <f t="shared" si="270"/>
        <v>29</v>
      </c>
      <c r="U450">
        <f t="shared" si="271"/>
        <v>15</v>
      </c>
      <c r="V450">
        <f t="shared" si="272"/>
        <v>14</v>
      </c>
      <c r="W450">
        <f t="shared" si="273"/>
        <v>70</v>
      </c>
      <c r="X450">
        <f t="shared" si="274"/>
        <v>55</v>
      </c>
      <c r="Y450">
        <f t="shared" si="275"/>
        <v>15</v>
      </c>
      <c r="Z450">
        <f t="shared" si="276"/>
        <v>8</v>
      </c>
      <c r="AA450">
        <f t="shared" si="277"/>
        <v>4</v>
      </c>
      <c r="AB450">
        <f t="shared" si="278"/>
        <v>3</v>
      </c>
      <c r="AC450">
        <f t="shared" si="279"/>
        <v>94</v>
      </c>
      <c r="AD450">
        <f t="shared" si="280"/>
        <v>0</v>
      </c>
      <c r="AF450">
        <f t="shared" si="281"/>
        <v>0</v>
      </c>
      <c r="AG450">
        <f t="shared" si="282"/>
        <v>0</v>
      </c>
      <c r="AH450">
        <f t="shared" si="283"/>
        <v>0</v>
      </c>
      <c r="AI450">
        <f t="shared" si="284"/>
        <v>0</v>
      </c>
      <c r="AJ450">
        <f t="shared" si="285"/>
        <v>0</v>
      </c>
      <c r="AK450">
        <f t="shared" si="286"/>
        <v>0</v>
      </c>
      <c r="AL450">
        <f t="shared" si="287"/>
        <v>0</v>
      </c>
      <c r="AM450">
        <f t="shared" si="288"/>
        <v>0</v>
      </c>
      <c r="AN450">
        <f t="shared" si="289"/>
        <v>0</v>
      </c>
      <c r="AO450">
        <f t="shared" si="290"/>
        <v>0</v>
      </c>
      <c r="AP450">
        <f t="shared" si="291"/>
        <v>0</v>
      </c>
      <c r="AQ450">
        <f t="shared" si="292"/>
        <v>0</v>
      </c>
    </row>
    <row r="451" spans="1:43" x14ac:dyDescent="0.35">
      <c r="A451" s="51">
        <v>53</v>
      </c>
      <c r="B451" s="51" t="s">
        <v>363</v>
      </c>
      <c r="C451" s="55" t="s">
        <v>122</v>
      </c>
      <c r="D451" s="50" t="s">
        <v>60</v>
      </c>
      <c r="E451" s="19">
        <v>3186.3819532728039</v>
      </c>
      <c r="F451">
        <f t="shared" si="257"/>
        <v>0</v>
      </c>
      <c r="G451">
        <f t="shared" si="258"/>
        <v>0</v>
      </c>
      <c r="H451">
        <f t="shared" si="259"/>
        <v>0</v>
      </c>
      <c r="I451">
        <f t="shared" si="260"/>
        <v>0</v>
      </c>
      <c r="J451">
        <f t="shared" si="261"/>
        <v>3186.3819532728039</v>
      </c>
      <c r="K451">
        <f t="shared" si="262"/>
        <v>0</v>
      </c>
      <c r="L451">
        <f t="shared" si="263"/>
        <v>0</v>
      </c>
      <c r="M451">
        <f t="shared" si="264"/>
        <v>0</v>
      </c>
      <c r="N451">
        <f t="shared" si="265"/>
        <v>0</v>
      </c>
      <c r="O451">
        <f t="shared" si="266"/>
        <v>0</v>
      </c>
      <c r="P451">
        <f t="shared" si="267"/>
        <v>0</v>
      </c>
      <c r="Q451">
        <f t="shared" si="268"/>
        <v>0</v>
      </c>
      <c r="S451">
        <f t="shared" si="269"/>
        <v>36</v>
      </c>
      <c r="T451">
        <f t="shared" si="270"/>
        <v>28</v>
      </c>
      <c r="U451">
        <f t="shared" si="271"/>
        <v>15</v>
      </c>
      <c r="V451">
        <f t="shared" si="272"/>
        <v>14</v>
      </c>
      <c r="W451">
        <f t="shared" si="273"/>
        <v>70</v>
      </c>
      <c r="X451">
        <f t="shared" si="274"/>
        <v>55</v>
      </c>
      <c r="Y451">
        <f t="shared" si="275"/>
        <v>15</v>
      </c>
      <c r="Z451">
        <f t="shared" si="276"/>
        <v>8</v>
      </c>
      <c r="AA451">
        <f t="shared" si="277"/>
        <v>4</v>
      </c>
      <c r="AB451">
        <f t="shared" si="278"/>
        <v>3</v>
      </c>
      <c r="AC451">
        <f t="shared" si="279"/>
        <v>94</v>
      </c>
      <c r="AD451">
        <f t="shared" si="280"/>
        <v>0</v>
      </c>
      <c r="AF451">
        <f t="shared" si="281"/>
        <v>0</v>
      </c>
      <c r="AG451">
        <f t="shared" si="282"/>
        <v>0</v>
      </c>
      <c r="AH451">
        <f t="shared" si="283"/>
        <v>0</v>
      </c>
      <c r="AI451">
        <f t="shared" si="284"/>
        <v>0</v>
      </c>
      <c r="AJ451">
        <f t="shared" si="285"/>
        <v>0</v>
      </c>
      <c r="AK451">
        <f t="shared" si="286"/>
        <v>0</v>
      </c>
      <c r="AL451">
        <f t="shared" si="287"/>
        <v>0</v>
      </c>
      <c r="AM451">
        <f t="shared" si="288"/>
        <v>0</v>
      </c>
      <c r="AN451">
        <f t="shared" si="289"/>
        <v>0</v>
      </c>
      <c r="AO451">
        <f t="shared" si="290"/>
        <v>0</v>
      </c>
      <c r="AP451">
        <f t="shared" si="291"/>
        <v>0</v>
      </c>
      <c r="AQ451">
        <f t="shared" si="292"/>
        <v>0</v>
      </c>
    </row>
    <row r="452" spans="1:43" x14ac:dyDescent="0.35">
      <c r="A452" s="51">
        <v>54</v>
      </c>
      <c r="B452" s="51" t="s">
        <v>363</v>
      </c>
      <c r="C452" s="55" t="s">
        <v>125</v>
      </c>
      <c r="D452" s="50" t="s">
        <v>228</v>
      </c>
      <c r="E452" s="19">
        <v>2377.4929921415778</v>
      </c>
      <c r="F452">
        <f t="shared" si="257"/>
        <v>0</v>
      </c>
      <c r="G452">
        <f t="shared" si="258"/>
        <v>0</v>
      </c>
      <c r="H452">
        <f t="shared" si="259"/>
        <v>0</v>
      </c>
      <c r="I452">
        <f t="shared" si="260"/>
        <v>0</v>
      </c>
      <c r="J452">
        <f t="shared" si="261"/>
        <v>0</v>
      </c>
      <c r="K452">
        <f t="shared" si="262"/>
        <v>0</v>
      </c>
      <c r="L452">
        <f t="shared" si="263"/>
        <v>0</v>
      </c>
      <c r="M452">
        <f t="shared" si="264"/>
        <v>0</v>
      </c>
      <c r="N452">
        <f t="shared" si="265"/>
        <v>0</v>
      </c>
      <c r="O452">
        <f t="shared" si="266"/>
        <v>0</v>
      </c>
      <c r="P452">
        <f t="shared" si="267"/>
        <v>2377.4929921415778</v>
      </c>
      <c r="Q452">
        <f t="shared" si="268"/>
        <v>0</v>
      </c>
      <c r="S452">
        <f t="shared" si="269"/>
        <v>36</v>
      </c>
      <c r="T452">
        <f t="shared" si="270"/>
        <v>28</v>
      </c>
      <c r="U452">
        <f t="shared" si="271"/>
        <v>15</v>
      </c>
      <c r="V452">
        <f t="shared" si="272"/>
        <v>14</v>
      </c>
      <c r="W452">
        <f t="shared" si="273"/>
        <v>69</v>
      </c>
      <c r="X452">
        <f t="shared" si="274"/>
        <v>55</v>
      </c>
      <c r="Y452">
        <f t="shared" si="275"/>
        <v>15</v>
      </c>
      <c r="Z452">
        <f t="shared" si="276"/>
        <v>8</v>
      </c>
      <c r="AA452">
        <f t="shared" si="277"/>
        <v>4</v>
      </c>
      <c r="AB452">
        <f t="shared" si="278"/>
        <v>3</v>
      </c>
      <c r="AC452">
        <f t="shared" si="279"/>
        <v>94</v>
      </c>
      <c r="AD452">
        <f t="shared" si="280"/>
        <v>0</v>
      </c>
      <c r="AF452">
        <f t="shared" si="281"/>
        <v>0</v>
      </c>
      <c r="AG452">
        <f t="shared" si="282"/>
        <v>0</v>
      </c>
      <c r="AH452">
        <f t="shared" si="283"/>
        <v>0</v>
      </c>
      <c r="AI452">
        <f t="shared" si="284"/>
        <v>0</v>
      </c>
      <c r="AJ452">
        <f t="shared" si="285"/>
        <v>0</v>
      </c>
      <c r="AK452">
        <f t="shared" si="286"/>
        <v>0</v>
      </c>
      <c r="AL452">
        <f t="shared" si="287"/>
        <v>0</v>
      </c>
      <c r="AM452">
        <f t="shared" si="288"/>
        <v>0</v>
      </c>
      <c r="AN452">
        <f t="shared" si="289"/>
        <v>0</v>
      </c>
      <c r="AO452">
        <f t="shared" si="290"/>
        <v>0</v>
      </c>
      <c r="AP452">
        <f t="shared" si="291"/>
        <v>0</v>
      </c>
      <c r="AQ452">
        <f t="shared" si="292"/>
        <v>0</v>
      </c>
    </row>
    <row r="453" spans="1:43" x14ac:dyDescent="0.35">
      <c r="A453" s="51">
        <v>55</v>
      </c>
      <c r="B453" s="51" t="s">
        <v>363</v>
      </c>
      <c r="C453" s="55" t="s">
        <v>124</v>
      </c>
      <c r="D453" s="50" t="s">
        <v>54</v>
      </c>
      <c r="E453" s="19">
        <v>3529.9815699758888</v>
      </c>
      <c r="F453">
        <f t="shared" si="257"/>
        <v>0</v>
      </c>
      <c r="G453">
        <f t="shared" si="258"/>
        <v>0</v>
      </c>
      <c r="H453">
        <f t="shared" si="259"/>
        <v>0</v>
      </c>
      <c r="I453">
        <f t="shared" si="260"/>
        <v>0</v>
      </c>
      <c r="J453">
        <f t="shared" si="261"/>
        <v>0</v>
      </c>
      <c r="K453">
        <f t="shared" si="262"/>
        <v>3529.9815699758888</v>
      </c>
      <c r="L453">
        <f t="shared" si="263"/>
        <v>0</v>
      </c>
      <c r="M453">
        <f t="shared" si="264"/>
        <v>0</v>
      </c>
      <c r="N453">
        <f t="shared" si="265"/>
        <v>0</v>
      </c>
      <c r="O453">
        <f t="shared" si="266"/>
        <v>0</v>
      </c>
      <c r="P453">
        <f t="shared" si="267"/>
        <v>0</v>
      </c>
      <c r="Q453">
        <f t="shared" si="268"/>
        <v>0</v>
      </c>
      <c r="S453">
        <f t="shared" si="269"/>
        <v>36</v>
      </c>
      <c r="T453">
        <f t="shared" si="270"/>
        <v>28</v>
      </c>
      <c r="U453">
        <f t="shared" si="271"/>
        <v>15</v>
      </c>
      <c r="V453">
        <f t="shared" si="272"/>
        <v>14</v>
      </c>
      <c r="W453">
        <f t="shared" si="273"/>
        <v>69</v>
      </c>
      <c r="X453">
        <f t="shared" si="274"/>
        <v>55</v>
      </c>
      <c r="Y453">
        <f t="shared" si="275"/>
        <v>15</v>
      </c>
      <c r="Z453">
        <f t="shared" si="276"/>
        <v>8</v>
      </c>
      <c r="AA453">
        <f t="shared" si="277"/>
        <v>4</v>
      </c>
      <c r="AB453">
        <f t="shared" si="278"/>
        <v>3</v>
      </c>
      <c r="AC453">
        <f t="shared" si="279"/>
        <v>93</v>
      </c>
      <c r="AD453">
        <f t="shared" si="280"/>
        <v>0</v>
      </c>
      <c r="AF453">
        <f t="shared" si="281"/>
        <v>0</v>
      </c>
      <c r="AG453">
        <f t="shared" si="282"/>
        <v>0</v>
      </c>
      <c r="AH453">
        <f t="shared" si="283"/>
        <v>0</v>
      </c>
      <c r="AI453">
        <f t="shared" si="284"/>
        <v>0</v>
      </c>
      <c r="AJ453">
        <f t="shared" si="285"/>
        <v>0</v>
      </c>
      <c r="AK453">
        <f t="shared" si="286"/>
        <v>0</v>
      </c>
      <c r="AL453">
        <f t="shared" si="287"/>
        <v>0</v>
      </c>
      <c r="AM453">
        <f t="shared" si="288"/>
        <v>0</v>
      </c>
      <c r="AN453">
        <f t="shared" si="289"/>
        <v>0</v>
      </c>
      <c r="AO453">
        <f t="shared" si="290"/>
        <v>0</v>
      </c>
      <c r="AP453">
        <f t="shared" si="291"/>
        <v>0</v>
      </c>
      <c r="AQ453">
        <f t="shared" si="292"/>
        <v>0</v>
      </c>
    </row>
    <row r="454" spans="1:43" x14ac:dyDescent="0.35">
      <c r="A454" s="51">
        <v>56</v>
      </c>
      <c r="B454" s="51" t="s">
        <v>364</v>
      </c>
      <c r="C454" s="55" t="s">
        <v>126</v>
      </c>
      <c r="D454" s="50" t="s">
        <v>76</v>
      </c>
      <c r="E454" s="19">
        <v>2733.7002451394756</v>
      </c>
      <c r="F454">
        <f t="shared" si="257"/>
        <v>2733.7002451394756</v>
      </c>
      <c r="G454">
        <f t="shared" si="258"/>
        <v>0</v>
      </c>
      <c r="H454">
        <f t="shared" si="259"/>
        <v>0</v>
      </c>
      <c r="I454">
        <f t="shared" si="260"/>
        <v>0</v>
      </c>
      <c r="J454">
        <f t="shared" si="261"/>
        <v>0</v>
      </c>
      <c r="K454">
        <f t="shared" si="262"/>
        <v>0</v>
      </c>
      <c r="L454">
        <f t="shared" si="263"/>
        <v>0</v>
      </c>
      <c r="M454">
        <f t="shared" si="264"/>
        <v>0</v>
      </c>
      <c r="N454">
        <f t="shared" si="265"/>
        <v>0</v>
      </c>
      <c r="O454">
        <f t="shared" si="266"/>
        <v>0</v>
      </c>
      <c r="P454">
        <f t="shared" si="267"/>
        <v>0</v>
      </c>
      <c r="Q454">
        <f t="shared" si="268"/>
        <v>0</v>
      </c>
      <c r="S454">
        <f t="shared" si="269"/>
        <v>36</v>
      </c>
      <c r="T454">
        <f t="shared" si="270"/>
        <v>28</v>
      </c>
      <c r="U454">
        <f t="shared" si="271"/>
        <v>15</v>
      </c>
      <c r="V454">
        <f t="shared" si="272"/>
        <v>14</v>
      </c>
      <c r="W454">
        <f t="shared" si="273"/>
        <v>69</v>
      </c>
      <c r="X454">
        <f t="shared" si="274"/>
        <v>54</v>
      </c>
      <c r="Y454">
        <f t="shared" si="275"/>
        <v>15</v>
      </c>
      <c r="Z454">
        <f t="shared" si="276"/>
        <v>8</v>
      </c>
      <c r="AA454">
        <f t="shared" si="277"/>
        <v>4</v>
      </c>
      <c r="AB454">
        <f t="shared" si="278"/>
        <v>3</v>
      </c>
      <c r="AC454">
        <f t="shared" si="279"/>
        <v>93</v>
      </c>
      <c r="AD454">
        <f t="shared" si="280"/>
        <v>0</v>
      </c>
      <c r="AF454">
        <f t="shared" si="281"/>
        <v>0</v>
      </c>
      <c r="AG454">
        <f t="shared" si="282"/>
        <v>0</v>
      </c>
      <c r="AH454">
        <f t="shared" si="283"/>
        <v>0</v>
      </c>
      <c r="AI454">
        <f t="shared" si="284"/>
        <v>0</v>
      </c>
      <c r="AJ454">
        <f t="shared" si="285"/>
        <v>0</v>
      </c>
      <c r="AK454">
        <f t="shared" si="286"/>
        <v>0</v>
      </c>
      <c r="AL454">
        <f t="shared" si="287"/>
        <v>0</v>
      </c>
      <c r="AM454">
        <f t="shared" si="288"/>
        <v>0</v>
      </c>
      <c r="AN454">
        <f t="shared" si="289"/>
        <v>0</v>
      </c>
      <c r="AO454">
        <f t="shared" si="290"/>
        <v>0</v>
      </c>
      <c r="AP454">
        <f t="shared" si="291"/>
        <v>0</v>
      </c>
      <c r="AQ454">
        <f t="shared" si="292"/>
        <v>0</v>
      </c>
    </row>
    <row r="455" spans="1:43" x14ac:dyDescent="0.35">
      <c r="A455" s="51">
        <v>57</v>
      </c>
      <c r="B455" s="51" t="s">
        <v>364</v>
      </c>
      <c r="C455" s="55" t="s">
        <v>128</v>
      </c>
      <c r="D455" s="50" t="s">
        <v>228</v>
      </c>
      <c r="E455" s="19">
        <v>3321.6280573827262</v>
      </c>
      <c r="F455">
        <f t="shared" si="257"/>
        <v>0</v>
      </c>
      <c r="G455">
        <f t="shared" si="258"/>
        <v>0</v>
      </c>
      <c r="H455">
        <f t="shared" si="259"/>
        <v>0</v>
      </c>
      <c r="I455">
        <f t="shared" si="260"/>
        <v>0</v>
      </c>
      <c r="J455">
        <f t="shared" si="261"/>
        <v>0</v>
      </c>
      <c r="K455">
        <f t="shared" si="262"/>
        <v>0</v>
      </c>
      <c r="L455">
        <f t="shared" si="263"/>
        <v>0</v>
      </c>
      <c r="M455">
        <f t="shared" si="264"/>
        <v>0</v>
      </c>
      <c r="N455">
        <f t="shared" si="265"/>
        <v>0</v>
      </c>
      <c r="O455">
        <f t="shared" si="266"/>
        <v>0</v>
      </c>
      <c r="P455">
        <f t="shared" si="267"/>
        <v>3321.6280573827262</v>
      </c>
      <c r="Q455">
        <f t="shared" si="268"/>
        <v>0</v>
      </c>
      <c r="S455">
        <f t="shared" si="269"/>
        <v>35</v>
      </c>
      <c r="T455">
        <f t="shared" si="270"/>
        <v>28</v>
      </c>
      <c r="U455">
        <f t="shared" si="271"/>
        <v>15</v>
      </c>
      <c r="V455">
        <f t="shared" si="272"/>
        <v>14</v>
      </c>
      <c r="W455">
        <f t="shared" si="273"/>
        <v>69</v>
      </c>
      <c r="X455">
        <f t="shared" si="274"/>
        <v>54</v>
      </c>
      <c r="Y455">
        <f t="shared" si="275"/>
        <v>15</v>
      </c>
      <c r="Z455">
        <f t="shared" si="276"/>
        <v>8</v>
      </c>
      <c r="AA455">
        <f t="shared" si="277"/>
        <v>4</v>
      </c>
      <c r="AB455">
        <f t="shared" si="278"/>
        <v>3</v>
      </c>
      <c r="AC455">
        <f t="shared" si="279"/>
        <v>93</v>
      </c>
      <c r="AD455">
        <f t="shared" si="280"/>
        <v>0</v>
      </c>
      <c r="AF455">
        <f t="shared" si="281"/>
        <v>0</v>
      </c>
      <c r="AG455">
        <f t="shared" si="282"/>
        <v>0</v>
      </c>
      <c r="AH455">
        <f t="shared" si="283"/>
        <v>0</v>
      </c>
      <c r="AI455">
        <f t="shared" si="284"/>
        <v>0</v>
      </c>
      <c r="AJ455">
        <f t="shared" si="285"/>
        <v>0</v>
      </c>
      <c r="AK455">
        <f t="shared" si="286"/>
        <v>0</v>
      </c>
      <c r="AL455">
        <f t="shared" si="287"/>
        <v>0</v>
      </c>
      <c r="AM455">
        <f t="shared" si="288"/>
        <v>0</v>
      </c>
      <c r="AN455">
        <f t="shared" si="289"/>
        <v>0</v>
      </c>
      <c r="AO455">
        <f t="shared" si="290"/>
        <v>0</v>
      </c>
      <c r="AP455">
        <f t="shared" si="291"/>
        <v>0</v>
      </c>
      <c r="AQ455">
        <f t="shared" si="292"/>
        <v>0</v>
      </c>
    </row>
    <row r="456" spans="1:43" x14ac:dyDescent="0.35">
      <c r="A456" s="51">
        <v>58</v>
      </c>
      <c r="B456" s="51" t="s">
        <v>364</v>
      </c>
      <c r="C456" s="55" t="s">
        <v>130</v>
      </c>
      <c r="D456" s="50" t="s">
        <v>228</v>
      </c>
      <c r="E456" s="19">
        <v>3069.8929425707051</v>
      </c>
      <c r="F456">
        <f t="shared" si="257"/>
        <v>0</v>
      </c>
      <c r="G456">
        <f t="shared" si="258"/>
        <v>0</v>
      </c>
      <c r="H456">
        <f t="shared" si="259"/>
        <v>0</v>
      </c>
      <c r="I456">
        <f t="shared" si="260"/>
        <v>0</v>
      </c>
      <c r="J456">
        <f t="shared" si="261"/>
        <v>0</v>
      </c>
      <c r="K456">
        <f t="shared" si="262"/>
        <v>0</v>
      </c>
      <c r="L456">
        <f t="shared" si="263"/>
        <v>0</v>
      </c>
      <c r="M456">
        <f t="shared" si="264"/>
        <v>0</v>
      </c>
      <c r="N456">
        <f t="shared" si="265"/>
        <v>0</v>
      </c>
      <c r="O456">
        <f t="shared" si="266"/>
        <v>0</v>
      </c>
      <c r="P456">
        <f t="shared" si="267"/>
        <v>3069.8929425707051</v>
      </c>
      <c r="Q456">
        <f t="shared" si="268"/>
        <v>0</v>
      </c>
      <c r="S456">
        <f t="shared" si="269"/>
        <v>35</v>
      </c>
      <c r="T456">
        <f t="shared" si="270"/>
        <v>28</v>
      </c>
      <c r="U456">
        <f t="shared" si="271"/>
        <v>15</v>
      </c>
      <c r="V456">
        <f t="shared" si="272"/>
        <v>14</v>
      </c>
      <c r="W456">
        <f t="shared" si="273"/>
        <v>69</v>
      </c>
      <c r="X456">
        <f t="shared" si="274"/>
        <v>54</v>
      </c>
      <c r="Y456">
        <f t="shared" si="275"/>
        <v>15</v>
      </c>
      <c r="Z456">
        <f t="shared" si="276"/>
        <v>8</v>
      </c>
      <c r="AA456">
        <f t="shared" si="277"/>
        <v>4</v>
      </c>
      <c r="AB456">
        <f t="shared" si="278"/>
        <v>3</v>
      </c>
      <c r="AC456">
        <f t="shared" si="279"/>
        <v>92</v>
      </c>
      <c r="AD456">
        <f t="shared" si="280"/>
        <v>0</v>
      </c>
      <c r="AF456">
        <f t="shared" si="281"/>
        <v>0</v>
      </c>
      <c r="AG456">
        <f t="shared" si="282"/>
        <v>0</v>
      </c>
      <c r="AH456">
        <f t="shared" si="283"/>
        <v>0</v>
      </c>
      <c r="AI456">
        <f t="shared" si="284"/>
        <v>0</v>
      </c>
      <c r="AJ456">
        <f t="shared" si="285"/>
        <v>0</v>
      </c>
      <c r="AK456">
        <f t="shared" si="286"/>
        <v>0</v>
      </c>
      <c r="AL456">
        <f t="shared" si="287"/>
        <v>0</v>
      </c>
      <c r="AM456">
        <f t="shared" si="288"/>
        <v>0</v>
      </c>
      <c r="AN456">
        <f t="shared" si="289"/>
        <v>0</v>
      </c>
      <c r="AO456">
        <f t="shared" si="290"/>
        <v>0</v>
      </c>
      <c r="AP456">
        <f t="shared" si="291"/>
        <v>0</v>
      </c>
      <c r="AQ456">
        <f t="shared" si="292"/>
        <v>0</v>
      </c>
    </row>
    <row r="457" spans="1:43" x14ac:dyDescent="0.35">
      <c r="A457" s="51">
        <v>59</v>
      </c>
      <c r="B457" s="51" t="s">
        <v>365</v>
      </c>
      <c r="C457" s="55" t="s">
        <v>134</v>
      </c>
      <c r="D457" s="50" t="s">
        <v>228</v>
      </c>
      <c r="E457" s="19">
        <v>2998.1304227944283</v>
      </c>
      <c r="F457">
        <f t="shared" si="257"/>
        <v>0</v>
      </c>
      <c r="G457">
        <f t="shared" si="258"/>
        <v>0</v>
      </c>
      <c r="H457">
        <f t="shared" si="259"/>
        <v>0</v>
      </c>
      <c r="I457">
        <f t="shared" si="260"/>
        <v>0</v>
      </c>
      <c r="J457">
        <f t="shared" si="261"/>
        <v>0</v>
      </c>
      <c r="K457">
        <f t="shared" si="262"/>
        <v>0</v>
      </c>
      <c r="L457">
        <f t="shared" si="263"/>
        <v>0</v>
      </c>
      <c r="M457">
        <f t="shared" si="264"/>
        <v>0</v>
      </c>
      <c r="N457">
        <f t="shared" si="265"/>
        <v>0</v>
      </c>
      <c r="O457">
        <f t="shared" si="266"/>
        <v>0</v>
      </c>
      <c r="P457">
        <f t="shared" si="267"/>
        <v>2998.1304227944283</v>
      </c>
      <c r="Q457">
        <f t="shared" si="268"/>
        <v>0</v>
      </c>
      <c r="S457">
        <f t="shared" si="269"/>
        <v>35</v>
      </c>
      <c r="T457">
        <f t="shared" si="270"/>
        <v>28</v>
      </c>
      <c r="U457">
        <f t="shared" si="271"/>
        <v>15</v>
      </c>
      <c r="V457">
        <f t="shared" si="272"/>
        <v>14</v>
      </c>
      <c r="W457">
        <f t="shared" si="273"/>
        <v>69</v>
      </c>
      <c r="X457">
        <f t="shared" si="274"/>
        <v>54</v>
      </c>
      <c r="Y457">
        <f t="shared" si="275"/>
        <v>15</v>
      </c>
      <c r="Z457">
        <f t="shared" si="276"/>
        <v>8</v>
      </c>
      <c r="AA457">
        <f t="shared" si="277"/>
        <v>4</v>
      </c>
      <c r="AB457">
        <f t="shared" si="278"/>
        <v>3</v>
      </c>
      <c r="AC457">
        <f t="shared" si="279"/>
        <v>91</v>
      </c>
      <c r="AD457">
        <f t="shared" si="280"/>
        <v>0</v>
      </c>
      <c r="AF457">
        <f t="shared" si="281"/>
        <v>0</v>
      </c>
      <c r="AG457">
        <f t="shared" si="282"/>
        <v>0</v>
      </c>
      <c r="AH457">
        <f t="shared" si="283"/>
        <v>0</v>
      </c>
      <c r="AI457">
        <f t="shared" si="284"/>
        <v>0</v>
      </c>
      <c r="AJ457">
        <f t="shared" si="285"/>
        <v>0</v>
      </c>
      <c r="AK457">
        <f t="shared" si="286"/>
        <v>0</v>
      </c>
      <c r="AL457">
        <f t="shared" si="287"/>
        <v>0</v>
      </c>
      <c r="AM457">
        <f t="shared" si="288"/>
        <v>0</v>
      </c>
      <c r="AN457">
        <f t="shared" si="289"/>
        <v>0</v>
      </c>
      <c r="AO457">
        <f t="shared" si="290"/>
        <v>0</v>
      </c>
      <c r="AP457">
        <f t="shared" si="291"/>
        <v>0</v>
      </c>
      <c r="AQ457">
        <f t="shared" si="292"/>
        <v>0</v>
      </c>
    </row>
    <row r="458" spans="1:43" x14ac:dyDescent="0.35">
      <c r="A458" s="51">
        <v>60</v>
      </c>
      <c r="B458" s="51" t="s">
        <v>365</v>
      </c>
      <c r="C458" s="55" t="s">
        <v>131</v>
      </c>
      <c r="D458" s="50" t="s">
        <v>80</v>
      </c>
      <c r="E458" s="19">
        <v>3295.3461086092711</v>
      </c>
      <c r="F458">
        <f t="shared" si="257"/>
        <v>0</v>
      </c>
      <c r="G458">
        <f t="shared" si="258"/>
        <v>0</v>
      </c>
      <c r="H458">
        <f t="shared" si="259"/>
        <v>3295.3461086092711</v>
      </c>
      <c r="I458">
        <f t="shared" si="260"/>
        <v>0</v>
      </c>
      <c r="J458">
        <f t="shared" si="261"/>
        <v>0</v>
      </c>
      <c r="K458">
        <f t="shared" si="262"/>
        <v>0</v>
      </c>
      <c r="L458">
        <f t="shared" si="263"/>
        <v>0</v>
      </c>
      <c r="M458">
        <f t="shared" si="264"/>
        <v>0</v>
      </c>
      <c r="N458">
        <f t="shared" si="265"/>
        <v>0</v>
      </c>
      <c r="O458">
        <f t="shared" si="266"/>
        <v>0</v>
      </c>
      <c r="P458">
        <f t="shared" si="267"/>
        <v>0</v>
      </c>
      <c r="Q458">
        <f t="shared" si="268"/>
        <v>0</v>
      </c>
      <c r="S458">
        <f t="shared" si="269"/>
        <v>35</v>
      </c>
      <c r="T458">
        <f t="shared" si="270"/>
        <v>28</v>
      </c>
      <c r="U458">
        <f t="shared" si="271"/>
        <v>15</v>
      </c>
      <c r="V458">
        <f t="shared" si="272"/>
        <v>14</v>
      </c>
      <c r="W458">
        <f t="shared" si="273"/>
        <v>69</v>
      </c>
      <c r="X458">
        <f t="shared" si="274"/>
        <v>54</v>
      </c>
      <c r="Y458">
        <f t="shared" si="275"/>
        <v>15</v>
      </c>
      <c r="Z458">
        <f t="shared" si="276"/>
        <v>8</v>
      </c>
      <c r="AA458">
        <f t="shared" si="277"/>
        <v>4</v>
      </c>
      <c r="AB458">
        <f t="shared" si="278"/>
        <v>3</v>
      </c>
      <c r="AC458">
        <f t="shared" si="279"/>
        <v>90</v>
      </c>
      <c r="AD458">
        <f t="shared" si="280"/>
        <v>0</v>
      </c>
      <c r="AF458">
        <f t="shared" si="281"/>
        <v>0</v>
      </c>
      <c r="AG458">
        <f t="shared" si="282"/>
        <v>0</v>
      </c>
      <c r="AH458">
        <f t="shared" si="283"/>
        <v>0</v>
      </c>
      <c r="AI458">
        <f t="shared" si="284"/>
        <v>0</v>
      </c>
      <c r="AJ458">
        <f t="shared" si="285"/>
        <v>0</v>
      </c>
      <c r="AK458">
        <f t="shared" si="286"/>
        <v>0</v>
      </c>
      <c r="AL458">
        <f t="shared" si="287"/>
        <v>0</v>
      </c>
      <c r="AM458">
        <f t="shared" si="288"/>
        <v>0</v>
      </c>
      <c r="AN458">
        <f t="shared" si="289"/>
        <v>0</v>
      </c>
      <c r="AO458">
        <f t="shared" si="290"/>
        <v>0</v>
      </c>
      <c r="AP458">
        <f t="shared" si="291"/>
        <v>0</v>
      </c>
      <c r="AQ458">
        <f t="shared" si="292"/>
        <v>0</v>
      </c>
    </row>
    <row r="459" spans="1:43" x14ac:dyDescent="0.35">
      <c r="A459" s="51">
        <v>61</v>
      </c>
      <c r="B459" s="51" t="s">
        <v>365</v>
      </c>
      <c r="C459" s="55" t="s">
        <v>135</v>
      </c>
      <c r="D459" s="50" t="s">
        <v>76</v>
      </c>
      <c r="E459" s="19">
        <v>3000.867683056897</v>
      </c>
      <c r="F459">
        <f t="shared" si="257"/>
        <v>3000.867683056897</v>
      </c>
      <c r="G459">
        <f t="shared" si="258"/>
        <v>0</v>
      </c>
      <c r="H459">
        <f t="shared" si="259"/>
        <v>0</v>
      </c>
      <c r="I459">
        <f t="shared" si="260"/>
        <v>0</v>
      </c>
      <c r="J459">
        <f t="shared" si="261"/>
        <v>0</v>
      </c>
      <c r="K459">
        <f t="shared" si="262"/>
        <v>0</v>
      </c>
      <c r="L459">
        <f t="shared" si="263"/>
        <v>0</v>
      </c>
      <c r="M459">
        <f t="shared" si="264"/>
        <v>0</v>
      </c>
      <c r="N459">
        <f t="shared" si="265"/>
        <v>0</v>
      </c>
      <c r="O459">
        <f t="shared" si="266"/>
        <v>0</v>
      </c>
      <c r="P459">
        <f t="shared" si="267"/>
        <v>0</v>
      </c>
      <c r="Q459">
        <f t="shared" si="268"/>
        <v>0</v>
      </c>
      <c r="S459">
        <f t="shared" si="269"/>
        <v>35</v>
      </c>
      <c r="T459">
        <f t="shared" si="270"/>
        <v>28</v>
      </c>
      <c r="U459">
        <f t="shared" si="271"/>
        <v>14</v>
      </c>
      <c r="V459">
        <f t="shared" si="272"/>
        <v>14</v>
      </c>
      <c r="W459">
        <f t="shared" si="273"/>
        <v>69</v>
      </c>
      <c r="X459">
        <f t="shared" si="274"/>
        <v>54</v>
      </c>
      <c r="Y459">
        <f t="shared" si="275"/>
        <v>15</v>
      </c>
      <c r="Z459">
        <f t="shared" si="276"/>
        <v>8</v>
      </c>
      <c r="AA459">
        <f t="shared" si="277"/>
        <v>4</v>
      </c>
      <c r="AB459">
        <f t="shared" si="278"/>
        <v>3</v>
      </c>
      <c r="AC459">
        <f t="shared" si="279"/>
        <v>90</v>
      </c>
      <c r="AD459">
        <f t="shared" si="280"/>
        <v>0</v>
      </c>
      <c r="AF459">
        <f t="shared" si="281"/>
        <v>0</v>
      </c>
      <c r="AG459">
        <f t="shared" si="282"/>
        <v>0</v>
      </c>
      <c r="AH459">
        <f t="shared" si="283"/>
        <v>0</v>
      </c>
      <c r="AI459">
        <f t="shared" si="284"/>
        <v>0</v>
      </c>
      <c r="AJ459">
        <f t="shared" si="285"/>
        <v>0</v>
      </c>
      <c r="AK459">
        <f t="shared" si="286"/>
        <v>0</v>
      </c>
      <c r="AL459">
        <f t="shared" si="287"/>
        <v>0</v>
      </c>
      <c r="AM459">
        <f t="shared" si="288"/>
        <v>0</v>
      </c>
      <c r="AN459">
        <f t="shared" si="289"/>
        <v>0</v>
      </c>
      <c r="AO459">
        <f t="shared" si="290"/>
        <v>0</v>
      </c>
      <c r="AP459">
        <f t="shared" si="291"/>
        <v>0</v>
      </c>
      <c r="AQ459">
        <f t="shared" si="292"/>
        <v>0</v>
      </c>
    </row>
    <row r="460" spans="1:43" x14ac:dyDescent="0.35">
      <c r="A460" s="51">
        <v>62</v>
      </c>
      <c r="B460" s="51" t="s">
        <v>366</v>
      </c>
      <c r="C460" s="55" t="s">
        <v>133</v>
      </c>
      <c r="D460" s="50" t="s">
        <v>80</v>
      </c>
      <c r="E460" s="19">
        <v>2790.1525522586076</v>
      </c>
      <c r="F460">
        <f t="shared" si="257"/>
        <v>0</v>
      </c>
      <c r="G460">
        <f t="shared" si="258"/>
        <v>0</v>
      </c>
      <c r="H460">
        <f t="shared" si="259"/>
        <v>2790.1525522586076</v>
      </c>
      <c r="I460">
        <f t="shared" si="260"/>
        <v>0</v>
      </c>
      <c r="J460">
        <f t="shared" si="261"/>
        <v>0</v>
      </c>
      <c r="K460">
        <f t="shared" si="262"/>
        <v>0</v>
      </c>
      <c r="L460">
        <f t="shared" si="263"/>
        <v>0</v>
      </c>
      <c r="M460">
        <f t="shared" si="264"/>
        <v>0</v>
      </c>
      <c r="N460">
        <f t="shared" si="265"/>
        <v>0</v>
      </c>
      <c r="O460">
        <f t="shared" si="266"/>
        <v>0</v>
      </c>
      <c r="P460">
        <f t="shared" si="267"/>
        <v>0</v>
      </c>
      <c r="Q460">
        <f t="shared" si="268"/>
        <v>0</v>
      </c>
      <c r="S460">
        <f t="shared" si="269"/>
        <v>34</v>
      </c>
      <c r="T460">
        <f t="shared" si="270"/>
        <v>28</v>
      </c>
      <c r="U460">
        <f t="shared" si="271"/>
        <v>14</v>
      </c>
      <c r="V460">
        <f t="shared" si="272"/>
        <v>14</v>
      </c>
      <c r="W460">
        <f t="shared" si="273"/>
        <v>69</v>
      </c>
      <c r="X460">
        <f t="shared" si="274"/>
        <v>54</v>
      </c>
      <c r="Y460">
        <f t="shared" si="275"/>
        <v>15</v>
      </c>
      <c r="Z460">
        <f t="shared" si="276"/>
        <v>8</v>
      </c>
      <c r="AA460">
        <f t="shared" si="277"/>
        <v>4</v>
      </c>
      <c r="AB460">
        <f t="shared" si="278"/>
        <v>3</v>
      </c>
      <c r="AC460">
        <f t="shared" si="279"/>
        <v>90</v>
      </c>
      <c r="AD460">
        <f t="shared" si="280"/>
        <v>0</v>
      </c>
      <c r="AF460">
        <f t="shared" si="281"/>
        <v>0</v>
      </c>
      <c r="AG460">
        <f t="shared" si="282"/>
        <v>0</v>
      </c>
      <c r="AH460">
        <f t="shared" si="283"/>
        <v>0</v>
      </c>
      <c r="AI460">
        <f t="shared" si="284"/>
        <v>0</v>
      </c>
      <c r="AJ460">
        <f t="shared" si="285"/>
        <v>0</v>
      </c>
      <c r="AK460">
        <f t="shared" si="286"/>
        <v>0</v>
      </c>
      <c r="AL460">
        <f t="shared" si="287"/>
        <v>0</v>
      </c>
      <c r="AM460">
        <f t="shared" si="288"/>
        <v>0</v>
      </c>
      <c r="AN460">
        <f t="shared" si="289"/>
        <v>0</v>
      </c>
      <c r="AO460">
        <f t="shared" si="290"/>
        <v>0</v>
      </c>
      <c r="AP460">
        <f t="shared" si="291"/>
        <v>0</v>
      </c>
      <c r="AQ460">
        <f t="shared" si="292"/>
        <v>0</v>
      </c>
    </row>
    <row r="461" spans="1:43" ht="15.5" x14ac:dyDescent="0.35">
      <c r="A461" s="51">
        <v>63</v>
      </c>
      <c r="B461" s="13" t="s">
        <v>367</v>
      </c>
      <c r="C461" s="51" t="s">
        <v>138</v>
      </c>
      <c r="D461" s="50" t="s">
        <v>227</v>
      </c>
      <c r="E461" s="19">
        <v>2929.7059827040712</v>
      </c>
      <c r="F461">
        <f t="shared" si="257"/>
        <v>0</v>
      </c>
      <c r="G461">
        <f t="shared" si="258"/>
        <v>2929.7059827040712</v>
      </c>
      <c r="H461">
        <f t="shared" si="259"/>
        <v>0</v>
      </c>
      <c r="I461">
        <f t="shared" si="260"/>
        <v>0</v>
      </c>
      <c r="J461">
        <f t="shared" si="261"/>
        <v>0</v>
      </c>
      <c r="K461">
        <f t="shared" si="262"/>
        <v>0</v>
      </c>
      <c r="L461">
        <f t="shared" si="263"/>
        <v>0</v>
      </c>
      <c r="M461">
        <f t="shared" si="264"/>
        <v>0</v>
      </c>
      <c r="N461">
        <f t="shared" si="265"/>
        <v>0</v>
      </c>
      <c r="O461">
        <f t="shared" si="266"/>
        <v>0</v>
      </c>
      <c r="P461">
        <f t="shared" si="267"/>
        <v>0</v>
      </c>
      <c r="Q461">
        <f t="shared" si="268"/>
        <v>0</v>
      </c>
      <c r="S461">
        <f t="shared" si="269"/>
        <v>34</v>
      </c>
      <c r="T461">
        <f t="shared" si="270"/>
        <v>28</v>
      </c>
      <c r="U461">
        <f t="shared" si="271"/>
        <v>13</v>
      </c>
      <c r="V461">
        <f t="shared" si="272"/>
        <v>14</v>
      </c>
      <c r="W461">
        <f t="shared" si="273"/>
        <v>69</v>
      </c>
      <c r="X461">
        <f t="shared" si="274"/>
        <v>54</v>
      </c>
      <c r="Y461">
        <f t="shared" si="275"/>
        <v>15</v>
      </c>
      <c r="Z461">
        <f t="shared" si="276"/>
        <v>8</v>
      </c>
      <c r="AA461">
        <f t="shared" si="277"/>
        <v>4</v>
      </c>
      <c r="AB461">
        <f t="shared" si="278"/>
        <v>3</v>
      </c>
      <c r="AC461">
        <f t="shared" si="279"/>
        <v>90</v>
      </c>
      <c r="AD461">
        <f t="shared" si="280"/>
        <v>0</v>
      </c>
      <c r="AF461">
        <f t="shared" si="281"/>
        <v>0</v>
      </c>
      <c r="AG461">
        <f t="shared" si="282"/>
        <v>0</v>
      </c>
      <c r="AH461">
        <f t="shared" si="283"/>
        <v>0</v>
      </c>
      <c r="AI461">
        <f t="shared" si="284"/>
        <v>0</v>
      </c>
      <c r="AJ461">
        <f t="shared" si="285"/>
        <v>0</v>
      </c>
      <c r="AK461">
        <f t="shared" si="286"/>
        <v>0</v>
      </c>
      <c r="AL461">
        <f t="shared" si="287"/>
        <v>0</v>
      </c>
      <c r="AM461">
        <f t="shared" si="288"/>
        <v>0</v>
      </c>
      <c r="AN461">
        <f t="shared" si="289"/>
        <v>0</v>
      </c>
      <c r="AO461">
        <f t="shared" si="290"/>
        <v>0</v>
      </c>
      <c r="AP461">
        <f t="shared" si="291"/>
        <v>0</v>
      </c>
      <c r="AQ461">
        <f t="shared" si="292"/>
        <v>0</v>
      </c>
    </row>
    <row r="462" spans="1:43" ht="15.5" x14ac:dyDescent="0.35">
      <c r="A462" s="51">
        <v>64</v>
      </c>
      <c r="B462" s="13" t="s">
        <v>368</v>
      </c>
      <c r="C462" s="51" t="s">
        <v>140</v>
      </c>
      <c r="D462" s="50" t="s">
        <v>54</v>
      </c>
      <c r="E462" s="19">
        <v>3215.4580000000001</v>
      </c>
      <c r="F462">
        <f t="shared" si="257"/>
        <v>0</v>
      </c>
      <c r="G462">
        <f t="shared" si="258"/>
        <v>0</v>
      </c>
      <c r="H462">
        <f t="shared" si="259"/>
        <v>0</v>
      </c>
      <c r="I462">
        <f t="shared" si="260"/>
        <v>0</v>
      </c>
      <c r="J462">
        <f t="shared" si="261"/>
        <v>0</v>
      </c>
      <c r="K462">
        <f t="shared" si="262"/>
        <v>3215.4580000000001</v>
      </c>
      <c r="L462">
        <f t="shared" si="263"/>
        <v>0</v>
      </c>
      <c r="M462">
        <f t="shared" si="264"/>
        <v>0</v>
      </c>
      <c r="N462">
        <f t="shared" si="265"/>
        <v>0</v>
      </c>
      <c r="O462">
        <f t="shared" si="266"/>
        <v>0</v>
      </c>
      <c r="P462">
        <f t="shared" si="267"/>
        <v>0</v>
      </c>
      <c r="Q462">
        <f t="shared" si="268"/>
        <v>0</v>
      </c>
      <c r="S462">
        <f t="shared" si="269"/>
        <v>34</v>
      </c>
      <c r="T462">
        <f t="shared" si="270"/>
        <v>27</v>
      </c>
      <c r="U462">
        <f t="shared" si="271"/>
        <v>13</v>
      </c>
      <c r="V462">
        <f t="shared" si="272"/>
        <v>14</v>
      </c>
      <c r="W462">
        <f t="shared" si="273"/>
        <v>69</v>
      </c>
      <c r="X462">
        <f t="shared" si="274"/>
        <v>54</v>
      </c>
      <c r="Y462">
        <f t="shared" si="275"/>
        <v>15</v>
      </c>
      <c r="Z462">
        <f t="shared" si="276"/>
        <v>8</v>
      </c>
      <c r="AA462">
        <f t="shared" si="277"/>
        <v>4</v>
      </c>
      <c r="AB462">
        <f t="shared" si="278"/>
        <v>3</v>
      </c>
      <c r="AC462">
        <f t="shared" si="279"/>
        <v>90</v>
      </c>
      <c r="AD462">
        <f t="shared" si="280"/>
        <v>0</v>
      </c>
      <c r="AF462">
        <f t="shared" si="281"/>
        <v>0</v>
      </c>
      <c r="AG462">
        <f t="shared" si="282"/>
        <v>0</v>
      </c>
      <c r="AH462">
        <f t="shared" si="283"/>
        <v>0</v>
      </c>
      <c r="AI462">
        <f t="shared" si="284"/>
        <v>0</v>
      </c>
      <c r="AJ462">
        <f t="shared" si="285"/>
        <v>0</v>
      </c>
      <c r="AK462">
        <f t="shared" si="286"/>
        <v>0</v>
      </c>
      <c r="AL462">
        <f t="shared" si="287"/>
        <v>0</v>
      </c>
      <c r="AM462">
        <f t="shared" si="288"/>
        <v>0</v>
      </c>
      <c r="AN462">
        <f t="shared" si="289"/>
        <v>0</v>
      </c>
      <c r="AO462">
        <f t="shared" si="290"/>
        <v>0</v>
      </c>
      <c r="AP462">
        <f t="shared" si="291"/>
        <v>0</v>
      </c>
      <c r="AQ462">
        <f t="shared" si="292"/>
        <v>0</v>
      </c>
    </row>
    <row r="463" spans="1:43" x14ac:dyDescent="0.35">
      <c r="A463" s="51">
        <v>65</v>
      </c>
      <c r="B463" s="51" t="s">
        <v>369</v>
      </c>
      <c r="C463" s="55" t="s">
        <v>142</v>
      </c>
      <c r="D463" s="50" t="s">
        <v>370</v>
      </c>
      <c r="E463" s="19">
        <v>2918.5985714285712</v>
      </c>
      <c r="F463">
        <f t="shared" si="257"/>
        <v>0</v>
      </c>
      <c r="G463">
        <f t="shared" si="258"/>
        <v>0</v>
      </c>
      <c r="H463">
        <f t="shared" si="259"/>
        <v>0</v>
      </c>
      <c r="I463">
        <f t="shared" si="260"/>
        <v>0</v>
      </c>
      <c r="J463">
        <f t="shared" si="261"/>
        <v>0</v>
      </c>
      <c r="K463">
        <f t="shared" si="262"/>
        <v>0</v>
      </c>
      <c r="L463">
        <f t="shared" si="263"/>
        <v>0</v>
      </c>
      <c r="M463">
        <f t="shared" si="264"/>
        <v>0</v>
      </c>
      <c r="N463">
        <f t="shared" si="265"/>
        <v>0</v>
      </c>
      <c r="O463">
        <f t="shared" si="266"/>
        <v>0</v>
      </c>
      <c r="P463">
        <f t="shared" si="267"/>
        <v>0</v>
      </c>
      <c r="Q463">
        <f t="shared" si="268"/>
        <v>0</v>
      </c>
      <c r="S463">
        <f t="shared" si="269"/>
        <v>34</v>
      </c>
      <c r="T463">
        <f t="shared" si="270"/>
        <v>27</v>
      </c>
      <c r="U463">
        <f t="shared" si="271"/>
        <v>13</v>
      </c>
      <c r="V463">
        <f t="shared" si="272"/>
        <v>14</v>
      </c>
      <c r="W463">
        <f t="shared" si="273"/>
        <v>69</v>
      </c>
      <c r="X463">
        <f t="shared" si="274"/>
        <v>53</v>
      </c>
      <c r="Y463">
        <f t="shared" si="275"/>
        <v>15</v>
      </c>
      <c r="Z463">
        <f t="shared" si="276"/>
        <v>8</v>
      </c>
      <c r="AA463">
        <f t="shared" si="277"/>
        <v>4</v>
      </c>
      <c r="AB463">
        <f t="shared" si="278"/>
        <v>3</v>
      </c>
      <c r="AC463">
        <f t="shared" si="279"/>
        <v>90</v>
      </c>
      <c r="AD463">
        <f t="shared" si="280"/>
        <v>0</v>
      </c>
      <c r="AF463">
        <f t="shared" si="281"/>
        <v>0</v>
      </c>
      <c r="AG463">
        <f t="shared" si="282"/>
        <v>0</v>
      </c>
      <c r="AH463">
        <f t="shared" si="283"/>
        <v>0</v>
      </c>
      <c r="AI463">
        <f t="shared" si="284"/>
        <v>0</v>
      </c>
      <c r="AJ463">
        <f t="shared" si="285"/>
        <v>0</v>
      </c>
      <c r="AK463">
        <f t="shared" si="286"/>
        <v>0</v>
      </c>
      <c r="AL463">
        <f t="shared" si="287"/>
        <v>0</v>
      </c>
      <c r="AM463">
        <f t="shared" si="288"/>
        <v>0</v>
      </c>
      <c r="AN463">
        <f t="shared" si="289"/>
        <v>0</v>
      </c>
      <c r="AO463">
        <f t="shared" si="290"/>
        <v>0</v>
      </c>
      <c r="AP463">
        <f t="shared" si="291"/>
        <v>0</v>
      </c>
      <c r="AQ463">
        <f t="shared" si="292"/>
        <v>0</v>
      </c>
    </row>
    <row r="464" spans="1:43" ht="15.5" x14ac:dyDescent="0.35">
      <c r="A464" s="51">
        <v>66</v>
      </c>
      <c r="B464" s="13" t="s">
        <v>369</v>
      </c>
      <c r="C464" s="51" t="s">
        <v>143</v>
      </c>
      <c r="D464" s="50" t="s">
        <v>60</v>
      </c>
      <c r="E464" s="19">
        <v>2799.3516229411766</v>
      </c>
      <c r="F464">
        <f t="shared" si="257"/>
        <v>0</v>
      </c>
      <c r="G464">
        <f t="shared" si="258"/>
        <v>0</v>
      </c>
      <c r="H464">
        <f t="shared" si="259"/>
        <v>0</v>
      </c>
      <c r="I464">
        <f t="shared" si="260"/>
        <v>0</v>
      </c>
      <c r="J464">
        <f t="shared" si="261"/>
        <v>2799.3516229411766</v>
      </c>
      <c r="K464">
        <f t="shared" si="262"/>
        <v>0</v>
      </c>
      <c r="L464">
        <f t="shared" si="263"/>
        <v>0</v>
      </c>
      <c r="M464">
        <f t="shared" si="264"/>
        <v>0</v>
      </c>
      <c r="N464">
        <f t="shared" si="265"/>
        <v>0</v>
      </c>
      <c r="O464">
        <f t="shared" si="266"/>
        <v>0</v>
      </c>
      <c r="P464">
        <f t="shared" si="267"/>
        <v>0</v>
      </c>
      <c r="Q464">
        <f t="shared" si="268"/>
        <v>0</v>
      </c>
      <c r="S464">
        <f t="shared" si="269"/>
        <v>34</v>
      </c>
      <c r="T464">
        <f t="shared" si="270"/>
        <v>27</v>
      </c>
      <c r="U464">
        <f t="shared" si="271"/>
        <v>13</v>
      </c>
      <c r="V464">
        <f t="shared" si="272"/>
        <v>14</v>
      </c>
      <c r="W464">
        <f t="shared" si="273"/>
        <v>69</v>
      </c>
      <c r="X464">
        <f t="shared" si="274"/>
        <v>53</v>
      </c>
      <c r="Y464">
        <f t="shared" si="275"/>
        <v>15</v>
      </c>
      <c r="Z464">
        <f t="shared" si="276"/>
        <v>8</v>
      </c>
      <c r="AA464">
        <f t="shared" si="277"/>
        <v>4</v>
      </c>
      <c r="AB464">
        <f t="shared" si="278"/>
        <v>3</v>
      </c>
      <c r="AC464">
        <f t="shared" si="279"/>
        <v>90</v>
      </c>
      <c r="AD464">
        <f t="shared" si="280"/>
        <v>0</v>
      </c>
      <c r="AF464">
        <f t="shared" si="281"/>
        <v>0</v>
      </c>
      <c r="AG464">
        <f t="shared" si="282"/>
        <v>0</v>
      </c>
      <c r="AH464">
        <f t="shared" si="283"/>
        <v>0</v>
      </c>
      <c r="AI464">
        <f t="shared" si="284"/>
        <v>0</v>
      </c>
      <c r="AJ464">
        <f t="shared" si="285"/>
        <v>0</v>
      </c>
      <c r="AK464">
        <f t="shared" si="286"/>
        <v>0</v>
      </c>
      <c r="AL464">
        <f t="shared" si="287"/>
        <v>0</v>
      </c>
      <c r="AM464">
        <f t="shared" si="288"/>
        <v>0</v>
      </c>
      <c r="AN464">
        <f t="shared" si="289"/>
        <v>0</v>
      </c>
      <c r="AO464">
        <f t="shared" si="290"/>
        <v>0</v>
      </c>
      <c r="AP464">
        <f t="shared" si="291"/>
        <v>0</v>
      </c>
      <c r="AQ464">
        <f t="shared" si="292"/>
        <v>0</v>
      </c>
    </row>
    <row r="465" spans="1:43" ht="15.5" x14ac:dyDescent="0.35">
      <c r="A465" s="51">
        <v>67</v>
      </c>
      <c r="B465" s="13" t="s">
        <v>369</v>
      </c>
      <c r="C465" s="51" t="s">
        <v>141</v>
      </c>
      <c r="D465" s="50" t="s">
        <v>80</v>
      </c>
      <c r="E465" s="70">
        <v>2225.1500256111754</v>
      </c>
      <c r="F465">
        <f t="shared" si="257"/>
        <v>0</v>
      </c>
      <c r="G465">
        <f t="shared" si="258"/>
        <v>0</v>
      </c>
      <c r="H465">
        <f t="shared" si="259"/>
        <v>2225.1500256111754</v>
      </c>
      <c r="I465">
        <f t="shared" si="260"/>
        <v>0</v>
      </c>
      <c r="J465">
        <f t="shared" si="261"/>
        <v>0</v>
      </c>
      <c r="K465">
        <f t="shared" si="262"/>
        <v>0</v>
      </c>
      <c r="L465">
        <f t="shared" si="263"/>
        <v>0</v>
      </c>
      <c r="M465">
        <f t="shared" si="264"/>
        <v>0</v>
      </c>
      <c r="N465">
        <f t="shared" si="265"/>
        <v>0</v>
      </c>
      <c r="O465">
        <f t="shared" si="266"/>
        <v>0</v>
      </c>
      <c r="P465">
        <f t="shared" si="267"/>
        <v>0</v>
      </c>
      <c r="Q465">
        <f t="shared" si="268"/>
        <v>0</v>
      </c>
      <c r="S465">
        <f t="shared" si="269"/>
        <v>34</v>
      </c>
      <c r="T465">
        <f t="shared" si="270"/>
        <v>27</v>
      </c>
      <c r="U465">
        <f t="shared" si="271"/>
        <v>13</v>
      </c>
      <c r="V465">
        <f t="shared" si="272"/>
        <v>14</v>
      </c>
      <c r="W465">
        <f t="shared" si="273"/>
        <v>68</v>
      </c>
      <c r="X465">
        <f t="shared" si="274"/>
        <v>53</v>
      </c>
      <c r="Y465">
        <f t="shared" si="275"/>
        <v>15</v>
      </c>
      <c r="Z465">
        <f t="shared" si="276"/>
        <v>8</v>
      </c>
      <c r="AA465">
        <f t="shared" si="277"/>
        <v>4</v>
      </c>
      <c r="AB465">
        <f t="shared" si="278"/>
        <v>3</v>
      </c>
      <c r="AC465">
        <f t="shared" si="279"/>
        <v>90</v>
      </c>
      <c r="AD465">
        <f t="shared" si="280"/>
        <v>0</v>
      </c>
      <c r="AF465">
        <f t="shared" si="281"/>
        <v>0</v>
      </c>
      <c r="AG465">
        <f t="shared" si="282"/>
        <v>0</v>
      </c>
      <c r="AH465">
        <f t="shared" si="283"/>
        <v>0</v>
      </c>
      <c r="AI465">
        <f t="shared" si="284"/>
        <v>0</v>
      </c>
      <c r="AJ465">
        <f t="shared" si="285"/>
        <v>0</v>
      </c>
      <c r="AK465">
        <f t="shared" si="286"/>
        <v>0</v>
      </c>
      <c r="AL465">
        <f t="shared" si="287"/>
        <v>0</v>
      </c>
      <c r="AM465">
        <f t="shared" si="288"/>
        <v>0</v>
      </c>
      <c r="AN465">
        <f t="shared" si="289"/>
        <v>0</v>
      </c>
      <c r="AO465">
        <f t="shared" si="290"/>
        <v>0</v>
      </c>
      <c r="AP465">
        <f t="shared" si="291"/>
        <v>0</v>
      </c>
      <c r="AQ465">
        <f t="shared" si="292"/>
        <v>0</v>
      </c>
    </row>
    <row r="466" spans="1:43" ht="15.5" x14ac:dyDescent="0.35">
      <c r="A466" s="51">
        <v>68</v>
      </c>
      <c r="B466" s="13" t="s">
        <v>369</v>
      </c>
      <c r="C466" s="51" t="s">
        <v>146</v>
      </c>
      <c r="D466" s="50" t="s">
        <v>57</v>
      </c>
      <c r="E466" s="19">
        <v>2794.244125888325</v>
      </c>
      <c r="F466">
        <f t="shared" si="257"/>
        <v>0</v>
      </c>
      <c r="G466">
        <f t="shared" si="258"/>
        <v>0</v>
      </c>
      <c r="H466">
        <f t="shared" si="259"/>
        <v>0</v>
      </c>
      <c r="I466">
        <f t="shared" si="260"/>
        <v>0</v>
      </c>
      <c r="J466">
        <f t="shared" si="261"/>
        <v>0</v>
      </c>
      <c r="K466">
        <f t="shared" si="262"/>
        <v>0</v>
      </c>
      <c r="L466">
        <f t="shared" si="263"/>
        <v>0</v>
      </c>
      <c r="M466">
        <f t="shared" si="264"/>
        <v>2794.244125888325</v>
      </c>
      <c r="N466">
        <f t="shared" si="265"/>
        <v>0</v>
      </c>
      <c r="O466">
        <f t="shared" si="266"/>
        <v>0</v>
      </c>
      <c r="P466">
        <f t="shared" si="267"/>
        <v>0</v>
      </c>
      <c r="Q466">
        <f t="shared" si="268"/>
        <v>0</v>
      </c>
      <c r="S466">
        <f t="shared" si="269"/>
        <v>34</v>
      </c>
      <c r="T466">
        <f t="shared" si="270"/>
        <v>27</v>
      </c>
      <c r="U466">
        <f t="shared" si="271"/>
        <v>12</v>
      </c>
      <c r="V466">
        <f t="shared" si="272"/>
        <v>14</v>
      </c>
      <c r="W466">
        <f t="shared" si="273"/>
        <v>68</v>
      </c>
      <c r="X466">
        <f t="shared" si="274"/>
        <v>53</v>
      </c>
      <c r="Y466">
        <f t="shared" si="275"/>
        <v>15</v>
      </c>
      <c r="Z466">
        <f t="shared" si="276"/>
        <v>8</v>
      </c>
      <c r="AA466">
        <f t="shared" si="277"/>
        <v>4</v>
      </c>
      <c r="AB466">
        <f t="shared" si="278"/>
        <v>3</v>
      </c>
      <c r="AC466">
        <f t="shared" si="279"/>
        <v>90</v>
      </c>
      <c r="AD466">
        <f t="shared" si="280"/>
        <v>0</v>
      </c>
      <c r="AF466">
        <f t="shared" si="281"/>
        <v>0</v>
      </c>
      <c r="AG466">
        <f t="shared" si="282"/>
        <v>0</v>
      </c>
      <c r="AH466">
        <f t="shared" si="283"/>
        <v>0</v>
      </c>
      <c r="AI466">
        <f t="shared" si="284"/>
        <v>0</v>
      </c>
      <c r="AJ466">
        <f t="shared" si="285"/>
        <v>0</v>
      </c>
      <c r="AK466">
        <f t="shared" si="286"/>
        <v>0</v>
      </c>
      <c r="AL466">
        <f t="shared" si="287"/>
        <v>0</v>
      </c>
      <c r="AM466">
        <f t="shared" si="288"/>
        <v>2794.244125888325</v>
      </c>
      <c r="AN466">
        <f t="shared" si="289"/>
        <v>0</v>
      </c>
      <c r="AO466">
        <f t="shared" si="290"/>
        <v>0</v>
      </c>
      <c r="AP466">
        <f t="shared" si="291"/>
        <v>0</v>
      </c>
      <c r="AQ466">
        <f t="shared" si="292"/>
        <v>0</v>
      </c>
    </row>
    <row r="467" spans="1:43" ht="15.5" x14ac:dyDescent="0.35">
      <c r="A467" s="51">
        <v>69</v>
      </c>
      <c r="B467" s="13" t="s">
        <v>371</v>
      </c>
      <c r="C467" s="1" t="s">
        <v>145</v>
      </c>
      <c r="D467" s="50" t="s">
        <v>102</v>
      </c>
      <c r="E467" s="19">
        <v>3138.1184694866915</v>
      </c>
      <c r="F467">
        <f t="shared" si="257"/>
        <v>0</v>
      </c>
      <c r="G467">
        <f t="shared" si="258"/>
        <v>0</v>
      </c>
      <c r="H467">
        <f t="shared" si="259"/>
        <v>0</v>
      </c>
      <c r="I467">
        <f t="shared" si="260"/>
        <v>0</v>
      </c>
      <c r="J467">
        <f t="shared" si="261"/>
        <v>0</v>
      </c>
      <c r="K467">
        <f t="shared" si="262"/>
        <v>0</v>
      </c>
      <c r="L467">
        <f t="shared" si="263"/>
        <v>0</v>
      </c>
      <c r="M467">
        <f t="shared" si="264"/>
        <v>0</v>
      </c>
      <c r="N467">
        <f t="shared" si="265"/>
        <v>0</v>
      </c>
      <c r="O467">
        <f t="shared" si="266"/>
        <v>3138.1184694866915</v>
      </c>
      <c r="P467">
        <f t="shared" si="267"/>
        <v>0</v>
      </c>
      <c r="Q467">
        <f t="shared" si="268"/>
        <v>0</v>
      </c>
      <c r="S467">
        <f t="shared" si="269"/>
        <v>34</v>
      </c>
      <c r="T467">
        <f t="shared" si="270"/>
        <v>27</v>
      </c>
      <c r="U467">
        <f t="shared" si="271"/>
        <v>12</v>
      </c>
      <c r="V467">
        <f t="shared" si="272"/>
        <v>14</v>
      </c>
      <c r="W467">
        <f t="shared" si="273"/>
        <v>68</v>
      </c>
      <c r="X467">
        <f t="shared" si="274"/>
        <v>53</v>
      </c>
      <c r="Y467">
        <f t="shared" si="275"/>
        <v>15</v>
      </c>
      <c r="Z467">
        <f t="shared" si="276"/>
        <v>7</v>
      </c>
      <c r="AA467">
        <f t="shared" si="277"/>
        <v>4</v>
      </c>
      <c r="AB467">
        <f t="shared" si="278"/>
        <v>3</v>
      </c>
      <c r="AC467">
        <f t="shared" si="279"/>
        <v>90</v>
      </c>
      <c r="AD467">
        <f t="shared" si="280"/>
        <v>0</v>
      </c>
      <c r="AF467">
        <f t="shared" si="281"/>
        <v>0</v>
      </c>
      <c r="AG467">
        <f t="shared" si="282"/>
        <v>0</v>
      </c>
      <c r="AH467">
        <f t="shared" si="283"/>
        <v>0</v>
      </c>
      <c r="AI467">
        <f t="shared" si="284"/>
        <v>0</v>
      </c>
      <c r="AJ467">
        <f t="shared" si="285"/>
        <v>0</v>
      </c>
      <c r="AK467">
        <f t="shared" si="286"/>
        <v>0</v>
      </c>
      <c r="AL467">
        <f t="shared" si="287"/>
        <v>0</v>
      </c>
      <c r="AM467">
        <f t="shared" si="288"/>
        <v>0</v>
      </c>
      <c r="AN467">
        <f t="shared" si="289"/>
        <v>0</v>
      </c>
      <c r="AO467">
        <f t="shared" si="290"/>
        <v>3138.1184694866915</v>
      </c>
      <c r="AP467">
        <f t="shared" si="291"/>
        <v>0</v>
      </c>
      <c r="AQ467">
        <f t="shared" si="292"/>
        <v>0</v>
      </c>
    </row>
    <row r="468" spans="1:43" ht="15.5" x14ac:dyDescent="0.35">
      <c r="A468" s="51">
        <v>70</v>
      </c>
      <c r="B468" s="13" t="s">
        <v>371</v>
      </c>
      <c r="C468" s="1" t="s">
        <v>147</v>
      </c>
      <c r="D468" s="50" t="s">
        <v>80</v>
      </c>
      <c r="E468" s="19">
        <v>2913.6792174960378</v>
      </c>
      <c r="F468">
        <f t="shared" si="257"/>
        <v>0</v>
      </c>
      <c r="G468">
        <f t="shared" si="258"/>
        <v>0</v>
      </c>
      <c r="H468">
        <f t="shared" si="259"/>
        <v>2913.6792174960378</v>
      </c>
      <c r="I468">
        <f t="shared" si="260"/>
        <v>0</v>
      </c>
      <c r="J468">
        <f t="shared" si="261"/>
        <v>0</v>
      </c>
      <c r="K468">
        <f t="shared" si="262"/>
        <v>0</v>
      </c>
      <c r="L468">
        <f t="shared" si="263"/>
        <v>0</v>
      </c>
      <c r="M468">
        <f t="shared" si="264"/>
        <v>0</v>
      </c>
      <c r="N468">
        <f t="shared" si="265"/>
        <v>0</v>
      </c>
      <c r="O468">
        <f t="shared" si="266"/>
        <v>0</v>
      </c>
      <c r="P468">
        <f t="shared" si="267"/>
        <v>0</v>
      </c>
      <c r="Q468">
        <f t="shared" si="268"/>
        <v>0</v>
      </c>
      <c r="S468">
        <f t="shared" si="269"/>
        <v>34</v>
      </c>
      <c r="T468">
        <f t="shared" si="270"/>
        <v>27</v>
      </c>
      <c r="U468">
        <f t="shared" si="271"/>
        <v>12</v>
      </c>
      <c r="V468">
        <f t="shared" si="272"/>
        <v>14</v>
      </c>
      <c r="W468">
        <f t="shared" si="273"/>
        <v>68</v>
      </c>
      <c r="X468">
        <f t="shared" si="274"/>
        <v>53</v>
      </c>
      <c r="Y468">
        <f t="shared" si="275"/>
        <v>15</v>
      </c>
      <c r="Z468">
        <f t="shared" si="276"/>
        <v>7</v>
      </c>
      <c r="AA468">
        <f t="shared" si="277"/>
        <v>4</v>
      </c>
      <c r="AB468">
        <f t="shared" si="278"/>
        <v>2</v>
      </c>
      <c r="AC468">
        <f t="shared" si="279"/>
        <v>90</v>
      </c>
      <c r="AD468">
        <f t="shared" si="280"/>
        <v>0</v>
      </c>
      <c r="AF468">
        <f t="shared" si="281"/>
        <v>0</v>
      </c>
      <c r="AG468">
        <f t="shared" si="282"/>
        <v>0</v>
      </c>
      <c r="AH468">
        <f t="shared" si="283"/>
        <v>0</v>
      </c>
      <c r="AI468">
        <f t="shared" si="284"/>
        <v>0</v>
      </c>
      <c r="AJ468">
        <f t="shared" si="285"/>
        <v>0</v>
      </c>
      <c r="AK468">
        <f t="shared" si="286"/>
        <v>0</v>
      </c>
      <c r="AL468">
        <f t="shared" si="287"/>
        <v>0</v>
      </c>
      <c r="AM468">
        <f t="shared" si="288"/>
        <v>0</v>
      </c>
      <c r="AN468">
        <f t="shared" si="289"/>
        <v>0</v>
      </c>
      <c r="AO468">
        <f t="shared" si="290"/>
        <v>0</v>
      </c>
      <c r="AP468">
        <f t="shared" si="291"/>
        <v>0</v>
      </c>
      <c r="AQ468">
        <f t="shared" si="292"/>
        <v>0</v>
      </c>
    </row>
    <row r="469" spans="1:43" ht="15.5" x14ac:dyDescent="0.35">
      <c r="A469" s="51">
        <v>71</v>
      </c>
      <c r="B469" s="13" t="s">
        <v>371</v>
      </c>
      <c r="C469" s="51" t="s">
        <v>148</v>
      </c>
      <c r="D469" s="50" t="s">
        <v>60</v>
      </c>
      <c r="E469" s="19">
        <v>2948.5962867338371</v>
      </c>
      <c r="F469">
        <f t="shared" si="257"/>
        <v>0</v>
      </c>
      <c r="G469">
        <f t="shared" si="258"/>
        <v>0</v>
      </c>
      <c r="H469">
        <f t="shared" si="259"/>
        <v>0</v>
      </c>
      <c r="I469">
        <f t="shared" si="260"/>
        <v>0</v>
      </c>
      <c r="J469">
        <f t="shared" si="261"/>
        <v>2948.5962867338371</v>
      </c>
      <c r="K469">
        <f t="shared" si="262"/>
        <v>0</v>
      </c>
      <c r="L469">
        <f t="shared" si="263"/>
        <v>0</v>
      </c>
      <c r="M469">
        <f t="shared" si="264"/>
        <v>0</v>
      </c>
      <c r="N469">
        <f t="shared" si="265"/>
        <v>0</v>
      </c>
      <c r="O469">
        <f t="shared" si="266"/>
        <v>0</v>
      </c>
      <c r="P469">
        <f t="shared" si="267"/>
        <v>0</v>
      </c>
      <c r="Q469">
        <f t="shared" si="268"/>
        <v>0</v>
      </c>
      <c r="S469">
        <f t="shared" si="269"/>
        <v>34</v>
      </c>
      <c r="T469">
        <f t="shared" si="270"/>
        <v>27</v>
      </c>
      <c r="U469">
        <f t="shared" si="271"/>
        <v>11</v>
      </c>
      <c r="V469">
        <f t="shared" si="272"/>
        <v>14</v>
      </c>
      <c r="W469">
        <f t="shared" si="273"/>
        <v>68</v>
      </c>
      <c r="X469">
        <f t="shared" si="274"/>
        <v>53</v>
      </c>
      <c r="Y469">
        <f t="shared" si="275"/>
        <v>15</v>
      </c>
      <c r="Z469">
        <f t="shared" si="276"/>
        <v>7</v>
      </c>
      <c r="AA469">
        <f t="shared" si="277"/>
        <v>4</v>
      </c>
      <c r="AB469">
        <f t="shared" si="278"/>
        <v>2</v>
      </c>
      <c r="AC469">
        <f t="shared" si="279"/>
        <v>90</v>
      </c>
      <c r="AD469">
        <f t="shared" si="280"/>
        <v>0</v>
      </c>
      <c r="AF469">
        <f t="shared" si="281"/>
        <v>0</v>
      </c>
      <c r="AG469">
        <f t="shared" si="282"/>
        <v>0</v>
      </c>
      <c r="AH469">
        <f t="shared" si="283"/>
        <v>0</v>
      </c>
      <c r="AI469">
        <f t="shared" si="284"/>
        <v>0</v>
      </c>
      <c r="AJ469">
        <f t="shared" si="285"/>
        <v>0</v>
      </c>
      <c r="AK469">
        <f t="shared" si="286"/>
        <v>0</v>
      </c>
      <c r="AL469">
        <f t="shared" si="287"/>
        <v>0</v>
      </c>
      <c r="AM469">
        <f t="shared" si="288"/>
        <v>0</v>
      </c>
      <c r="AN469">
        <f t="shared" si="289"/>
        <v>0</v>
      </c>
      <c r="AO469">
        <f t="shared" si="290"/>
        <v>0</v>
      </c>
      <c r="AP469">
        <f t="shared" si="291"/>
        <v>0</v>
      </c>
      <c r="AQ469">
        <f t="shared" si="292"/>
        <v>0</v>
      </c>
    </row>
    <row r="470" spans="1:43" ht="15.5" x14ac:dyDescent="0.35">
      <c r="A470" s="51">
        <v>72</v>
      </c>
      <c r="B470" s="13" t="s">
        <v>371</v>
      </c>
      <c r="C470" s="51" t="s">
        <v>150</v>
      </c>
      <c r="D470" s="50" t="s">
        <v>150</v>
      </c>
      <c r="E470" s="19">
        <v>3196.0829834688061</v>
      </c>
      <c r="F470">
        <f t="shared" si="257"/>
        <v>0</v>
      </c>
      <c r="G470">
        <f t="shared" si="258"/>
        <v>0</v>
      </c>
      <c r="H470">
        <f t="shared" si="259"/>
        <v>0</v>
      </c>
      <c r="I470">
        <f t="shared" si="260"/>
        <v>0</v>
      </c>
      <c r="J470">
        <f t="shared" si="261"/>
        <v>0</v>
      </c>
      <c r="K470">
        <f t="shared" si="262"/>
        <v>0</v>
      </c>
      <c r="L470">
        <f t="shared" si="263"/>
        <v>0</v>
      </c>
      <c r="M470">
        <f t="shared" si="264"/>
        <v>0</v>
      </c>
      <c r="N470">
        <f t="shared" si="265"/>
        <v>0</v>
      </c>
      <c r="O470">
        <f t="shared" si="266"/>
        <v>0</v>
      </c>
      <c r="P470">
        <f t="shared" si="267"/>
        <v>0</v>
      </c>
      <c r="Q470">
        <f t="shared" si="268"/>
        <v>0</v>
      </c>
      <c r="S470">
        <f t="shared" si="269"/>
        <v>34</v>
      </c>
      <c r="T470">
        <f t="shared" si="270"/>
        <v>27</v>
      </c>
      <c r="U470">
        <f t="shared" si="271"/>
        <v>11</v>
      </c>
      <c r="V470">
        <f t="shared" si="272"/>
        <v>14</v>
      </c>
      <c r="W470">
        <f t="shared" si="273"/>
        <v>67</v>
      </c>
      <c r="X470">
        <f t="shared" si="274"/>
        <v>53</v>
      </c>
      <c r="Y470">
        <f t="shared" si="275"/>
        <v>15</v>
      </c>
      <c r="Z470">
        <f t="shared" si="276"/>
        <v>7</v>
      </c>
      <c r="AA470">
        <f t="shared" si="277"/>
        <v>4</v>
      </c>
      <c r="AB470">
        <f t="shared" si="278"/>
        <v>2</v>
      </c>
      <c r="AC470">
        <f t="shared" si="279"/>
        <v>90</v>
      </c>
      <c r="AD470">
        <f t="shared" si="280"/>
        <v>0</v>
      </c>
      <c r="AF470">
        <f t="shared" si="281"/>
        <v>0</v>
      </c>
      <c r="AG470">
        <f t="shared" si="282"/>
        <v>0</v>
      </c>
      <c r="AH470">
        <f t="shared" si="283"/>
        <v>0</v>
      </c>
      <c r="AI470">
        <f t="shared" si="284"/>
        <v>0</v>
      </c>
      <c r="AJ470">
        <f t="shared" si="285"/>
        <v>0</v>
      </c>
      <c r="AK470">
        <f t="shared" si="286"/>
        <v>0</v>
      </c>
      <c r="AL470">
        <f t="shared" si="287"/>
        <v>0</v>
      </c>
      <c r="AM470">
        <f t="shared" si="288"/>
        <v>0</v>
      </c>
      <c r="AN470">
        <f t="shared" si="289"/>
        <v>0</v>
      </c>
      <c r="AO470">
        <f t="shared" si="290"/>
        <v>0</v>
      </c>
      <c r="AP470">
        <f t="shared" si="291"/>
        <v>0</v>
      </c>
      <c r="AQ470">
        <f t="shared" si="292"/>
        <v>0</v>
      </c>
    </row>
    <row r="471" spans="1:43" ht="15.5" x14ac:dyDescent="0.35">
      <c r="A471" s="51">
        <v>73</v>
      </c>
      <c r="B471" s="13" t="s">
        <v>372</v>
      </c>
      <c r="C471" s="1" t="s">
        <v>151</v>
      </c>
      <c r="D471" s="50" t="s">
        <v>54</v>
      </c>
      <c r="E471" s="70">
        <v>2342.3000692105543</v>
      </c>
      <c r="F471">
        <f t="shared" si="257"/>
        <v>0</v>
      </c>
      <c r="G471">
        <f t="shared" si="258"/>
        <v>0</v>
      </c>
      <c r="H471">
        <f t="shared" si="259"/>
        <v>0</v>
      </c>
      <c r="I471">
        <f t="shared" si="260"/>
        <v>0</v>
      </c>
      <c r="J471">
        <f t="shared" si="261"/>
        <v>0</v>
      </c>
      <c r="K471">
        <f t="shared" si="262"/>
        <v>2342.3000692105543</v>
      </c>
      <c r="L471">
        <f t="shared" si="263"/>
        <v>0</v>
      </c>
      <c r="M471">
        <f t="shared" si="264"/>
        <v>0</v>
      </c>
      <c r="N471">
        <f t="shared" si="265"/>
        <v>0</v>
      </c>
      <c r="O471">
        <f t="shared" si="266"/>
        <v>0</v>
      </c>
      <c r="P471">
        <f t="shared" si="267"/>
        <v>0</v>
      </c>
      <c r="Q471">
        <f t="shared" si="268"/>
        <v>0</v>
      </c>
      <c r="S471">
        <f t="shared" si="269"/>
        <v>34</v>
      </c>
      <c r="T471">
        <f t="shared" si="270"/>
        <v>27</v>
      </c>
      <c r="U471">
        <f t="shared" si="271"/>
        <v>11</v>
      </c>
      <c r="V471">
        <f t="shared" si="272"/>
        <v>14</v>
      </c>
      <c r="W471">
        <f t="shared" si="273"/>
        <v>67</v>
      </c>
      <c r="X471">
        <f t="shared" si="274"/>
        <v>53</v>
      </c>
      <c r="Y471">
        <f t="shared" si="275"/>
        <v>15</v>
      </c>
      <c r="Z471">
        <f t="shared" si="276"/>
        <v>7</v>
      </c>
      <c r="AA471">
        <f t="shared" si="277"/>
        <v>4</v>
      </c>
      <c r="AB471">
        <f t="shared" si="278"/>
        <v>2</v>
      </c>
      <c r="AC471">
        <f t="shared" si="279"/>
        <v>90</v>
      </c>
      <c r="AD471">
        <f t="shared" si="280"/>
        <v>0</v>
      </c>
      <c r="AF471">
        <f t="shared" si="281"/>
        <v>0</v>
      </c>
      <c r="AG471">
        <f t="shared" si="282"/>
        <v>0</v>
      </c>
      <c r="AH471">
        <f t="shared" si="283"/>
        <v>0</v>
      </c>
      <c r="AI471">
        <f t="shared" si="284"/>
        <v>0</v>
      </c>
      <c r="AJ471">
        <f t="shared" si="285"/>
        <v>0</v>
      </c>
      <c r="AK471">
        <f t="shared" si="286"/>
        <v>0</v>
      </c>
      <c r="AL471">
        <f t="shared" si="287"/>
        <v>0</v>
      </c>
      <c r="AM471">
        <f t="shared" si="288"/>
        <v>0</v>
      </c>
      <c r="AN471">
        <f t="shared" si="289"/>
        <v>0</v>
      </c>
      <c r="AO471">
        <f t="shared" si="290"/>
        <v>0</v>
      </c>
      <c r="AP471">
        <f t="shared" si="291"/>
        <v>0</v>
      </c>
      <c r="AQ471">
        <f t="shared" si="292"/>
        <v>0</v>
      </c>
    </row>
    <row r="472" spans="1:43" ht="15.5" x14ac:dyDescent="0.35">
      <c r="A472" s="51">
        <v>1</v>
      </c>
      <c r="B472" s="13" t="s">
        <v>373</v>
      </c>
      <c r="C472" s="71" t="s">
        <v>152</v>
      </c>
      <c r="D472" s="77" t="s">
        <v>67</v>
      </c>
      <c r="E472" s="19">
        <v>2573.8223169548714</v>
      </c>
      <c r="F472">
        <f t="shared" si="257"/>
        <v>0</v>
      </c>
      <c r="G472">
        <f t="shared" si="258"/>
        <v>0</v>
      </c>
      <c r="H472">
        <f t="shared" si="259"/>
        <v>0</v>
      </c>
      <c r="I472">
        <f t="shared" si="260"/>
        <v>2573.8223169548714</v>
      </c>
      <c r="J472">
        <f t="shared" si="261"/>
        <v>0</v>
      </c>
      <c r="K472">
        <f t="shared" si="262"/>
        <v>0</v>
      </c>
      <c r="L472">
        <f t="shared" si="263"/>
        <v>0</v>
      </c>
      <c r="M472">
        <f t="shared" si="264"/>
        <v>0</v>
      </c>
      <c r="N472">
        <f t="shared" si="265"/>
        <v>0</v>
      </c>
      <c r="O472">
        <f t="shared" si="266"/>
        <v>0</v>
      </c>
      <c r="P472">
        <f t="shared" si="267"/>
        <v>0</v>
      </c>
      <c r="Q472">
        <f t="shared" si="268"/>
        <v>0</v>
      </c>
      <c r="S472">
        <f t="shared" si="269"/>
        <v>34</v>
      </c>
      <c r="T472">
        <f t="shared" si="270"/>
        <v>27</v>
      </c>
      <c r="U472">
        <f t="shared" si="271"/>
        <v>11</v>
      </c>
      <c r="V472">
        <f t="shared" si="272"/>
        <v>14</v>
      </c>
      <c r="W472">
        <f t="shared" si="273"/>
        <v>67</v>
      </c>
      <c r="X472">
        <f t="shared" si="274"/>
        <v>52</v>
      </c>
      <c r="Y472">
        <f t="shared" si="275"/>
        <v>15</v>
      </c>
      <c r="Z472">
        <f t="shared" si="276"/>
        <v>7</v>
      </c>
      <c r="AA472">
        <f t="shared" si="277"/>
        <v>4</v>
      </c>
      <c r="AB472">
        <f t="shared" si="278"/>
        <v>2</v>
      </c>
      <c r="AC472">
        <f t="shared" si="279"/>
        <v>90</v>
      </c>
      <c r="AD472">
        <f t="shared" si="280"/>
        <v>0</v>
      </c>
      <c r="AF472">
        <f t="shared" si="281"/>
        <v>0</v>
      </c>
      <c r="AG472">
        <f t="shared" si="282"/>
        <v>0</v>
      </c>
      <c r="AH472">
        <f t="shared" si="283"/>
        <v>0</v>
      </c>
      <c r="AI472">
        <f t="shared" si="284"/>
        <v>0</v>
      </c>
      <c r="AJ472">
        <f t="shared" si="285"/>
        <v>0</v>
      </c>
      <c r="AK472">
        <f t="shared" si="286"/>
        <v>0</v>
      </c>
      <c r="AL472">
        <f t="shared" si="287"/>
        <v>0</v>
      </c>
      <c r="AM472">
        <f t="shared" si="288"/>
        <v>0</v>
      </c>
      <c r="AN472">
        <f t="shared" si="289"/>
        <v>0</v>
      </c>
      <c r="AO472">
        <f t="shared" si="290"/>
        <v>0</v>
      </c>
      <c r="AP472">
        <f t="shared" si="291"/>
        <v>0</v>
      </c>
      <c r="AQ472">
        <f t="shared" si="292"/>
        <v>0</v>
      </c>
    </row>
    <row r="473" spans="1:43" ht="15.5" x14ac:dyDescent="0.35">
      <c r="A473" s="51">
        <v>2</v>
      </c>
      <c r="B473" s="13" t="s">
        <v>373</v>
      </c>
      <c r="C473" s="51" t="s">
        <v>153</v>
      </c>
      <c r="D473" s="50" t="s">
        <v>76</v>
      </c>
      <c r="E473" s="19">
        <v>3208.7003036931815</v>
      </c>
      <c r="F473">
        <f t="shared" si="257"/>
        <v>3208.7003036931815</v>
      </c>
      <c r="G473">
        <f t="shared" si="258"/>
        <v>0</v>
      </c>
      <c r="H473">
        <f t="shared" si="259"/>
        <v>0</v>
      </c>
      <c r="I473">
        <f t="shared" si="260"/>
        <v>0</v>
      </c>
      <c r="J473">
        <f t="shared" si="261"/>
        <v>0</v>
      </c>
      <c r="K473">
        <f t="shared" si="262"/>
        <v>0</v>
      </c>
      <c r="L473">
        <f t="shared" si="263"/>
        <v>0</v>
      </c>
      <c r="M473">
        <f t="shared" si="264"/>
        <v>0</v>
      </c>
      <c r="N473">
        <f t="shared" si="265"/>
        <v>0</v>
      </c>
      <c r="O473">
        <f t="shared" si="266"/>
        <v>0</v>
      </c>
      <c r="P473">
        <f t="shared" si="267"/>
        <v>0</v>
      </c>
      <c r="Q473">
        <f t="shared" si="268"/>
        <v>0</v>
      </c>
      <c r="S473">
        <f t="shared" si="269"/>
        <v>34</v>
      </c>
      <c r="T473">
        <f t="shared" si="270"/>
        <v>27</v>
      </c>
      <c r="U473">
        <f t="shared" si="271"/>
        <v>11</v>
      </c>
      <c r="V473">
        <f t="shared" si="272"/>
        <v>13</v>
      </c>
      <c r="W473">
        <f t="shared" si="273"/>
        <v>67</v>
      </c>
      <c r="X473">
        <f t="shared" si="274"/>
        <v>52</v>
      </c>
      <c r="Y473">
        <f t="shared" si="275"/>
        <v>15</v>
      </c>
      <c r="Z473">
        <f t="shared" si="276"/>
        <v>7</v>
      </c>
      <c r="AA473">
        <f t="shared" si="277"/>
        <v>4</v>
      </c>
      <c r="AB473">
        <f t="shared" si="278"/>
        <v>2</v>
      </c>
      <c r="AC473">
        <f t="shared" si="279"/>
        <v>90</v>
      </c>
      <c r="AD473">
        <f t="shared" si="280"/>
        <v>0</v>
      </c>
      <c r="AF473">
        <f t="shared" si="281"/>
        <v>0</v>
      </c>
      <c r="AG473">
        <f t="shared" si="282"/>
        <v>0</v>
      </c>
      <c r="AH473">
        <f t="shared" si="283"/>
        <v>0</v>
      </c>
      <c r="AI473">
        <f t="shared" si="284"/>
        <v>0</v>
      </c>
      <c r="AJ473">
        <f t="shared" si="285"/>
        <v>0</v>
      </c>
      <c r="AK473">
        <f t="shared" si="286"/>
        <v>0</v>
      </c>
      <c r="AL473">
        <f t="shared" si="287"/>
        <v>0</v>
      </c>
      <c r="AM473">
        <f t="shared" si="288"/>
        <v>0</v>
      </c>
      <c r="AN473">
        <f t="shared" si="289"/>
        <v>0</v>
      </c>
      <c r="AO473">
        <f t="shared" si="290"/>
        <v>0</v>
      </c>
      <c r="AP473">
        <f t="shared" si="291"/>
        <v>0</v>
      </c>
      <c r="AQ473">
        <f t="shared" si="292"/>
        <v>0</v>
      </c>
    </row>
    <row r="474" spans="1:43" ht="15.5" x14ac:dyDescent="0.35">
      <c r="A474" s="51">
        <v>3</v>
      </c>
      <c r="B474" s="13" t="s">
        <v>374</v>
      </c>
      <c r="C474" s="1" t="s">
        <v>56</v>
      </c>
      <c r="D474" s="50" t="s">
        <v>228</v>
      </c>
      <c r="E474" s="19">
        <v>3538.7258154202168</v>
      </c>
      <c r="F474">
        <f t="shared" si="257"/>
        <v>0</v>
      </c>
      <c r="G474">
        <f t="shared" si="258"/>
        <v>0</v>
      </c>
      <c r="H474">
        <f t="shared" si="259"/>
        <v>0</v>
      </c>
      <c r="I474">
        <f t="shared" si="260"/>
        <v>0</v>
      </c>
      <c r="J474">
        <f t="shared" si="261"/>
        <v>0</v>
      </c>
      <c r="K474">
        <f t="shared" si="262"/>
        <v>0</v>
      </c>
      <c r="L474">
        <f t="shared" si="263"/>
        <v>0</v>
      </c>
      <c r="M474">
        <f t="shared" si="264"/>
        <v>0</v>
      </c>
      <c r="N474">
        <f t="shared" si="265"/>
        <v>0</v>
      </c>
      <c r="O474">
        <f t="shared" si="266"/>
        <v>0</v>
      </c>
      <c r="P474">
        <f t="shared" si="267"/>
        <v>3538.7258154202168</v>
      </c>
      <c r="Q474">
        <f t="shared" si="268"/>
        <v>0</v>
      </c>
      <c r="S474">
        <f t="shared" si="269"/>
        <v>33</v>
      </c>
      <c r="T474">
        <f t="shared" si="270"/>
        <v>27</v>
      </c>
      <c r="U474">
        <f t="shared" si="271"/>
        <v>11</v>
      </c>
      <c r="V474">
        <f t="shared" si="272"/>
        <v>13</v>
      </c>
      <c r="W474">
        <f t="shared" si="273"/>
        <v>67</v>
      </c>
      <c r="X474">
        <f t="shared" si="274"/>
        <v>52</v>
      </c>
      <c r="Y474">
        <f t="shared" si="275"/>
        <v>15</v>
      </c>
      <c r="Z474">
        <f t="shared" si="276"/>
        <v>7</v>
      </c>
      <c r="AA474">
        <f t="shared" si="277"/>
        <v>4</v>
      </c>
      <c r="AB474">
        <f t="shared" si="278"/>
        <v>2</v>
      </c>
      <c r="AC474">
        <f t="shared" si="279"/>
        <v>90</v>
      </c>
      <c r="AD474">
        <f t="shared" si="280"/>
        <v>0</v>
      </c>
      <c r="AF474">
        <f t="shared" si="281"/>
        <v>0</v>
      </c>
      <c r="AG474">
        <f t="shared" si="282"/>
        <v>0</v>
      </c>
      <c r="AH474">
        <f t="shared" si="283"/>
        <v>0</v>
      </c>
      <c r="AI474">
        <f t="shared" si="284"/>
        <v>0</v>
      </c>
      <c r="AJ474">
        <f t="shared" si="285"/>
        <v>0</v>
      </c>
      <c r="AK474">
        <f t="shared" si="286"/>
        <v>0</v>
      </c>
      <c r="AL474">
        <f t="shared" si="287"/>
        <v>0</v>
      </c>
      <c r="AM474">
        <f t="shared" si="288"/>
        <v>0</v>
      </c>
      <c r="AN474">
        <f t="shared" si="289"/>
        <v>0</v>
      </c>
      <c r="AO474">
        <f t="shared" si="290"/>
        <v>0</v>
      </c>
      <c r="AP474">
        <f t="shared" si="291"/>
        <v>0</v>
      </c>
      <c r="AQ474">
        <f t="shared" si="292"/>
        <v>0</v>
      </c>
    </row>
    <row r="475" spans="1:43" ht="15.5" x14ac:dyDescent="0.35">
      <c r="A475" s="51">
        <v>4</v>
      </c>
      <c r="B475" s="13" t="s">
        <v>374</v>
      </c>
      <c r="C475" s="1" t="s">
        <v>53</v>
      </c>
      <c r="D475" s="50" t="s">
        <v>60</v>
      </c>
      <c r="E475" s="19">
        <v>2613.435629785024</v>
      </c>
      <c r="F475">
        <f t="shared" si="257"/>
        <v>0</v>
      </c>
      <c r="G475">
        <f t="shared" si="258"/>
        <v>0</v>
      </c>
      <c r="H475">
        <f t="shared" si="259"/>
        <v>0</v>
      </c>
      <c r="I475">
        <f t="shared" si="260"/>
        <v>0</v>
      </c>
      <c r="J475">
        <f t="shared" si="261"/>
        <v>2613.435629785024</v>
      </c>
      <c r="K475">
        <f t="shared" si="262"/>
        <v>0</v>
      </c>
      <c r="L475">
        <f t="shared" si="263"/>
        <v>0</v>
      </c>
      <c r="M475">
        <f t="shared" si="264"/>
        <v>0</v>
      </c>
      <c r="N475">
        <f t="shared" si="265"/>
        <v>0</v>
      </c>
      <c r="O475">
        <f t="shared" si="266"/>
        <v>0</v>
      </c>
      <c r="P475">
        <f t="shared" si="267"/>
        <v>0</v>
      </c>
      <c r="Q475">
        <f t="shared" si="268"/>
        <v>0</v>
      </c>
      <c r="S475">
        <f t="shared" si="269"/>
        <v>33</v>
      </c>
      <c r="T475">
        <f t="shared" si="270"/>
        <v>27</v>
      </c>
      <c r="U475">
        <f t="shared" si="271"/>
        <v>11</v>
      </c>
      <c r="V475">
        <f t="shared" si="272"/>
        <v>13</v>
      </c>
      <c r="W475">
        <f t="shared" si="273"/>
        <v>67</v>
      </c>
      <c r="X475">
        <f t="shared" si="274"/>
        <v>52</v>
      </c>
      <c r="Y475">
        <f t="shared" si="275"/>
        <v>15</v>
      </c>
      <c r="Z475">
        <f t="shared" si="276"/>
        <v>7</v>
      </c>
      <c r="AA475">
        <f t="shared" si="277"/>
        <v>4</v>
      </c>
      <c r="AB475">
        <f t="shared" si="278"/>
        <v>2</v>
      </c>
      <c r="AC475">
        <f t="shared" si="279"/>
        <v>89</v>
      </c>
      <c r="AD475">
        <f t="shared" si="280"/>
        <v>0</v>
      </c>
      <c r="AF475">
        <f t="shared" si="281"/>
        <v>0</v>
      </c>
      <c r="AG475">
        <f t="shared" si="282"/>
        <v>0</v>
      </c>
      <c r="AH475">
        <f t="shared" si="283"/>
        <v>0</v>
      </c>
      <c r="AI475">
        <f t="shared" si="284"/>
        <v>0</v>
      </c>
      <c r="AJ475">
        <f t="shared" si="285"/>
        <v>0</v>
      </c>
      <c r="AK475">
        <f t="shared" si="286"/>
        <v>0</v>
      </c>
      <c r="AL475">
        <f t="shared" si="287"/>
        <v>0</v>
      </c>
      <c r="AM475">
        <f t="shared" si="288"/>
        <v>0</v>
      </c>
      <c r="AN475">
        <f t="shared" si="289"/>
        <v>0</v>
      </c>
      <c r="AO475">
        <f t="shared" si="290"/>
        <v>0</v>
      </c>
      <c r="AP475">
        <f t="shared" si="291"/>
        <v>0</v>
      </c>
      <c r="AQ475">
        <f t="shared" si="292"/>
        <v>0</v>
      </c>
    </row>
    <row r="476" spans="1:43" ht="15.5" x14ac:dyDescent="0.35">
      <c r="A476" s="51">
        <v>5</v>
      </c>
      <c r="B476" s="13" t="s">
        <v>374</v>
      </c>
      <c r="C476" s="1" t="s">
        <v>208</v>
      </c>
      <c r="D476" s="50" t="s">
        <v>54</v>
      </c>
      <c r="E476" s="19">
        <v>3610.8087797468361</v>
      </c>
      <c r="F476">
        <f t="shared" si="257"/>
        <v>0</v>
      </c>
      <c r="G476">
        <f t="shared" si="258"/>
        <v>0</v>
      </c>
      <c r="H476">
        <f t="shared" si="259"/>
        <v>0</v>
      </c>
      <c r="I476">
        <f t="shared" si="260"/>
        <v>0</v>
      </c>
      <c r="J476">
        <f t="shared" si="261"/>
        <v>0</v>
      </c>
      <c r="K476">
        <f t="shared" si="262"/>
        <v>3610.8087797468361</v>
      </c>
      <c r="L476">
        <f t="shared" si="263"/>
        <v>0</v>
      </c>
      <c r="M476">
        <f t="shared" si="264"/>
        <v>0</v>
      </c>
      <c r="N476">
        <f t="shared" si="265"/>
        <v>0</v>
      </c>
      <c r="O476">
        <f t="shared" si="266"/>
        <v>0</v>
      </c>
      <c r="P476">
        <f t="shared" si="267"/>
        <v>0</v>
      </c>
      <c r="Q476">
        <f t="shared" si="268"/>
        <v>0</v>
      </c>
      <c r="S476">
        <f t="shared" si="269"/>
        <v>33</v>
      </c>
      <c r="T476">
        <f t="shared" si="270"/>
        <v>27</v>
      </c>
      <c r="U476">
        <f t="shared" si="271"/>
        <v>11</v>
      </c>
      <c r="V476">
        <f t="shared" si="272"/>
        <v>13</v>
      </c>
      <c r="W476">
        <f t="shared" si="273"/>
        <v>66</v>
      </c>
      <c r="X476">
        <f t="shared" si="274"/>
        <v>52</v>
      </c>
      <c r="Y476">
        <f t="shared" si="275"/>
        <v>15</v>
      </c>
      <c r="Z476">
        <f t="shared" si="276"/>
        <v>7</v>
      </c>
      <c r="AA476">
        <f t="shared" si="277"/>
        <v>4</v>
      </c>
      <c r="AB476">
        <f t="shared" si="278"/>
        <v>2</v>
      </c>
      <c r="AC476">
        <f t="shared" si="279"/>
        <v>89</v>
      </c>
      <c r="AD476">
        <f t="shared" si="280"/>
        <v>0</v>
      </c>
      <c r="AF476">
        <f t="shared" si="281"/>
        <v>0</v>
      </c>
      <c r="AG476">
        <f t="shared" si="282"/>
        <v>0</v>
      </c>
      <c r="AH476">
        <f t="shared" si="283"/>
        <v>0</v>
      </c>
      <c r="AI476">
        <f t="shared" si="284"/>
        <v>0</v>
      </c>
      <c r="AJ476">
        <f t="shared" si="285"/>
        <v>0</v>
      </c>
      <c r="AK476">
        <f t="shared" si="286"/>
        <v>0</v>
      </c>
      <c r="AL476">
        <f t="shared" si="287"/>
        <v>0</v>
      </c>
      <c r="AM476">
        <f t="shared" si="288"/>
        <v>0</v>
      </c>
      <c r="AN476">
        <f t="shared" si="289"/>
        <v>0</v>
      </c>
      <c r="AO476">
        <f t="shared" si="290"/>
        <v>0</v>
      </c>
      <c r="AP476">
        <f t="shared" si="291"/>
        <v>0</v>
      </c>
      <c r="AQ476">
        <f t="shared" si="292"/>
        <v>0</v>
      </c>
    </row>
    <row r="477" spans="1:43" ht="15.5" x14ac:dyDescent="0.35">
      <c r="A477" s="51">
        <v>6</v>
      </c>
      <c r="B477" s="13" t="s">
        <v>375</v>
      </c>
      <c r="C477" s="1" t="s">
        <v>269</v>
      </c>
      <c r="D477" s="50" t="s">
        <v>228</v>
      </c>
      <c r="E477" s="19">
        <v>3489.9474543024839</v>
      </c>
      <c r="F477">
        <f t="shared" si="257"/>
        <v>0</v>
      </c>
      <c r="G477">
        <f t="shared" si="258"/>
        <v>0</v>
      </c>
      <c r="H477">
        <f t="shared" si="259"/>
        <v>0</v>
      </c>
      <c r="I477">
        <f t="shared" si="260"/>
        <v>0</v>
      </c>
      <c r="J477">
        <f t="shared" si="261"/>
        <v>0</v>
      </c>
      <c r="K477">
        <f t="shared" si="262"/>
        <v>0</v>
      </c>
      <c r="L477">
        <f t="shared" si="263"/>
        <v>0</v>
      </c>
      <c r="M477">
        <f t="shared" si="264"/>
        <v>0</v>
      </c>
      <c r="N477">
        <f t="shared" si="265"/>
        <v>0</v>
      </c>
      <c r="O477">
        <f t="shared" si="266"/>
        <v>0</v>
      </c>
      <c r="P477">
        <f t="shared" si="267"/>
        <v>3489.9474543024839</v>
      </c>
      <c r="Q477">
        <f t="shared" si="268"/>
        <v>0</v>
      </c>
      <c r="S477">
        <f t="shared" si="269"/>
        <v>33</v>
      </c>
      <c r="T477">
        <f t="shared" si="270"/>
        <v>27</v>
      </c>
      <c r="U477">
        <f t="shared" si="271"/>
        <v>11</v>
      </c>
      <c r="V477">
        <f t="shared" si="272"/>
        <v>13</v>
      </c>
      <c r="W477">
        <f t="shared" si="273"/>
        <v>66</v>
      </c>
      <c r="X477">
        <f t="shared" si="274"/>
        <v>51</v>
      </c>
      <c r="Y477">
        <f t="shared" si="275"/>
        <v>15</v>
      </c>
      <c r="Z477">
        <f t="shared" si="276"/>
        <v>7</v>
      </c>
      <c r="AA477">
        <f t="shared" si="277"/>
        <v>4</v>
      </c>
      <c r="AB477">
        <f t="shared" si="278"/>
        <v>2</v>
      </c>
      <c r="AC477">
        <f t="shared" si="279"/>
        <v>89</v>
      </c>
      <c r="AD477">
        <f t="shared" si="280"/>
        <v>0</v>
      </c>
      <c r="AF477">
        <f t="shared" si="281"/>
        <v>0</v>
      </c>
      <c r="AG477">
        <f t="shared" si="282"/>
        <v>0</v>
      </c>
      <c r="AH477">
        <f t="shared" si="283"/>
        <v>0</v>
      </c>
      <c r="AI477">
        <f t="shared" si="284"/>
        <v>0</v>
      </c>
      <c r="AJ477">
        <f t="shared" si="285"/>
        <v>0</v>
      </c>
      <c r="AK477">
        <f t="shared" si="286"/>
        <v>0</v>
      </c>
      <c r="AL477">
        <f t="shared" si="287"/>
        <v>0</v>
      </c>
      <c r="AM477">
        <f t="shared" si="288"/>
        <v>0</v>
      </c>
      <c r="AN477">
        <f t="shared" si="289"/>
        <v>0</v>
      </c>
      <c r="AO477">
        <f t="shared" si="290"/>
        <v>0</v>
      </c>
      <c r="AP477">
        <f t="shared" si="291"/>
        <v>0</v>
      </c>
      <c r="AQ477">
        <f t="shared" si="292"/>
        <v>0</v>
      </c>
    </row>
    <row r="478" spans="1:43" ht="15.5" x14ac:dyDescent="0.35">
      <c r="A478" s="51">
        <v>7</v>
      </c>
      <c r="B478" s="13" t="s">
        <v>375</v>
      </c>
      <c r="C478" s="71" t="s">
        <v>59</v>
      </c>
      <c r="D478" s="71" t="s">
        <v>67</v>
      </c>
      <c r="E478" s="19">
        <v>3223.6389085872288</v>
      </c>
      <c r="F478">
        <f t="shared" si="257"/>
        <v>0</v>
      </c>
      <c r="G478">
        <f t="shared" si="258"/>
        <v>0</v>
      </c>
      <c r="H478">
        <f t="shared" si="259"/>
        <v>0</v>
      </c>
      <c r="I478">
        <f t="shared" si="260"/>
        <v>3223.6389085872288</v>
      </c>
      <c r="J478">
        <f t="shared" si="261"/>
        <v>0</v>
      </c>
      <c r="K478">
        <f t="shared" si="262"/>
        <v>0</v>
      </c>
      <c r="L478">
        <f t="shared" si="263"/>
        <v>0</v>
      </c>
      <c r="M478">
        <f t="shared" si="264"/>
        <v>0</v>
      </c>
      <c r="N478">
        <f t="shared" si="265"/>
        <v>0</v>
      </c>
      <c r="O478">
        <f t="shared" si="266"/>
        <v>0</v>
      </c>
      <c r="P478">
        <f t="shared" si="267"/>
        <v>0</v>
      </c>
      <c r="Q478">
        <f t="shared" si="268"/>
        <v>0</v>
      </c>
      <c r="S478">
        <f t="shared" si="269"/>
        <v>33</v>
      </c>
      <c r="T478">
        <f t="shared" si="270"/>
        <v>27</v>
      </c>
      <c r="U478">
        <f t="shared" si="271"/>
        <v>11</v>
      </c>
      <c r="V478">
        <f t="shared" si="272"/>
        <v>13</v>
      </c>
      <c r="W478">
        <f t="shared" si="273"/>
        <v>66</v>
      </c>
      <c r="X478">
        <f t="shared" si="274"/>
        <v>51</v>
      </c>
      <c r="Y478">
        <f t="shared" si="275"/>
        <v>15</v>
      </c>
      <c r="Z478">
        <f t="shared" si="276"/>
        <v>7</v>
      </c>
      <c r="AA478">
        <f t="shared" si="277"/>
        <v>4</v>
      </c>
      <c r="AB478">
        <f t="shared" si="278"/>
        <v>2</v>
      </c>
      <c r="AC478">
        <f t="shared" si="279"/>
        <v>88</v>
      </c>
      <c r="AD478">
        <f t="shared" si="280"/>
        <v>0</v>
      </c>
      <c r="AF478">
        <f t="shared" si="281"/>
        <v>0</v>
      </c>
      <c r="AG478">
        <f t="shared" si="282"/>
        <v>0</v>
      </c>
      <c r="AH478">
        <f t="shared" si="283"/>
        <v>0</v>
      </c>
      <c r="AI478">
        <f t="shared" si="284"/>
        <v>0</v>
      </c>
      <c r="AJ478">
        <f t="shared" si="285"/>
        <v>0</v>
      </c>
      <c r="AK478">
        <f t="shared" si="286"/>
        <v>0</v>
      </c>
      <c r="AL478">
        <f t="shared" si="287"/>
        <v>0</v>
      </c>
      <c r="AM478">
        <f t="shared" si="288"/>
        <v>0</v>
      </c>
      <c r="AN478">
        <f t="shared" si="289"/>
        <v>0</v>
      </c>
      <c r="AO478">
        <f t="shared" si="290"/>
        <v>0</v>
      </c>
      <c r="AP478">
        <f t="shared" si="291"/>
        <v>0</v>
      </c>
      <c r="AQ478">
        <f t="shared" si="292"/>
        <v>0</v>
      </c>
    </row>
    <row r="479" spans="1:43" ht="15.5" x14ac:dyDescent="0.35">
      <c r="A479" s="51">
        <v>8</v>
      </c>
      <c r="B479" s="13" t="s">
        <v>375</v>
      </c>
      <c r="C479" s="51" t="s">
        <v>63</v>
      </c>
      <c r="D479" s="1" t="s">
        <v>60</v>
      </c>
      <c r="E479" s="19">
        <v>3457.2032565478071</v>
      </c>
      <c r="F479">
        <f t="shared" si="257"/>
        <v>0</v>
      </c>
      <c r="G479">
        <f t="shared" si="258"/>
        <v>0</v>
      </c>
      <c r="H479">
        <f t="shared" si="259"/>
        <v>0</v>
      </c>
      <c r="I479">
        <f t="shared" si="260"/>
        <v>0</v>
      </c>
      <c r="J479">
        <f t="shared" si="261"/>
        <v>3457.2032565478071</v>
      </c>
      <c r="K479">
        <f t="shared" si="262"/>
        <v>0</v>
      </c>
      <c r="L479">
        <f t="shared" si="263"/>
        <v>0</v>
      </c>
      <c r="M479">
        <f t="shared" si="264"/>
        <v>0</v>
      </c>
      <c r="N479">
        <f t="shared" si="265"/>
        <v>0</v>
      </c>
      <c r="O479">
        <f t="shared" si="266"/>
        <v>0</v>
      </c>
      <c r="P479">
        <f t="shared" si="267"/>
        <v>0</v>
      </c>
      <c r="Q479">
        <f t="shared" si="268"/>
        <v>0</v>
      </c>
      <c r="S479">
        <f t="shared" si="269"/>
        <v>33</v>
      </c>
      <c r="T479">
        <f t="shared" si="270"/>
        <v>27</v>
      </c>
      <c r="U479">
        <f t="shared" si="271"/>
        <v>11</v>
      </c>
      <c r="V479">
        <f t="shared" si="272"/>
        <v>12</v>
      </c>
      <c r="W479">
        <f t="shared" si="273"/>
        <v>66</v>
      </c>
      <c r="X479">
        <f t="shared" si="274"/>
        <v>51</v>
      </c>
      <c r="Y479">
        <f t="shared" si="275"/>
        <v>15</v>
      </c>
      <c r="Z479">
        <f t="shared" si="276"/>
        <v>7</v>
      </c>
      <c r="AA479">
        <f t="shared" si="277"/>
        <v>4</v>
      </c>
      <c r="AB479">
        <f t="shared" si="278"/>
        <v>2</v>
      </c>
      <c r="AC479">
        <f t="shared" si="279"/>
        <v>88</v>
      </c>
      <c r="AD479">
        <f t="shared" si="280"/>
        <v>0</v>
      </c>
      <c r="AF479">
        <f t="shared" si="281"/>
        <v>0</v>
      </c>
      <c r="AG479">
        <f t="shared" si="282"/>
        <v>0</v>
      </c>
      <c r="AH479">
        <f t="shared" si="283"/>
        <v>0</v>
      </c>
      <c r="AI479">
        <f t="shared" si="284"/>
        <v>0</v>
      </c>
      <c r="AJ479">
        <f t="shared" si="285"/>
        <v>0</v>
      </c>
      <c r="AK479">
        <f t="shared" si="286"/>
        <v>0</v>
      </c>
      <c r="AL479">
        <f t="shared" si="287"/>
        <v>0</v>
      </c>
      <c r="AM479">
        <f t="shared" si="288"/>
        <v>0</v>
      </c>
      <c r="AN479">
        <f t="shared" si="289"/>
        <v>0</v>
      </c>
      <c r="AO479">
        <f t="shared" si="290"/>
        <v>0</v>
      </c>
      <c r="AP479">
        <f t="shared" si="291"/>
        <v>0</v>
      </c>
      <c r="AQ479">
        <f t="shared" si="292"/>
        <v>0</v>
      </c>
    </row>
    <row r="480" spans="1:43" ht="15.5" x14ac:dyDescent="0.35">
      <c r="A480" s="51">
        <v>9</v>
      </c>
      <c r="B480" s="13" t="s">
        <v>376</v>
      </c>
      <c r="C480" s="1" t="s">
        <v>64</v>
      </c>
      <c r="D480" s="1" t="s">
        <v>54</v>
      </c>
      <c r="E480" s="19">
        <v>2832.999282632617</v>
      </c>
      <c r="F480">
        <f t="shared" si="257"/>
        <v>0</v>
      </c>
      <c r="G480">
        <f t="shared" si="258"/>
        <v>0</v>
      </c>
      <c r="H480">
        <f t="shared" si="259"/>
        <v>0</v>
      </c>
      <c r="I480">
        <f t="shared" si="260"/>
        <v>0</v>
      </c>
      <c r="J480">
        <f t="shared" si="261"/>
        <v>0</v>
      </c>
      <c r="K480">
        <f t="shared" si="262"/>
        <v>2832.999282632617</v>
      </c>
      <c r="L480">
        <f t="shared" si="263"/>
        <v>0</v>
      </c>
      <c r="M480">
        <f t="shared" si="264"/>
        <v>0</v>
      </c>
      <c r="N480">
        <f t="shared" si="265"/>
        <v>0</v>
      </c>
      <c r="O480">
        <f t="shared" si="266"/>
        <v>0</v>
      </c>
      <c r="P480">
        <f t="shared" si="267"/>
        <v>0</v>
      </c>
      <c r="Q480">
        <f t="shared" si="268"/>
        <v>0</v>
      </c>
      <c r="S480">
        <f t="shared" si="269"/>
        <v>33</v>
      </c>
      <c r="T480">
        <f t="shared" si="270"/>
        <v>27</v>
      </c>
      <c r="U480">
        <f t="shared" si="271"/>
        <v>11</v>
      </c>
      <c r="V480">
        <f t="shared" si="272"/>
        <v>12</v>
      </c>
      <c r="W480">
        <f t="shared" si="273"/>
        <v>65</v>
      </c>
      <c r="X480">
        <f t="shared" si="274"/>
        <v>51</v>
      </c>
      <c r="Y480">
        <f t="shared" si="275"/>
        <v>15</v>
      </c>
      <c r="Z480">
        <f t="shared" si="276"/>
        <v>7</v>
      </c>
      <c r="AA480">
        <f t="shared" si="277"/>
        <v>4</v>
      </c>
      <c r="AB480">
        <f t="shared" si="278"/>
        <v>2</v>
      </c>
      <c r="AC480">
        <f t="shared" si="279"/>
        <v>88</v>
      </c>
      <c r="AD480">
        <f t="shared" si="280"/>
        <v>0</v>
      </c>
      <c r="AF480">
        <f t="shared" si="281"/>
        <v>0</v>
      </c>
      <c r="AG480">
        <f t="shared" si="282"/>
        <v>0</v>
      </c>
      <c r="AH480">
        <f t="shared" si="283"/>
        <v>0</v>
      </c>
      <c r="AI480">
        <f t="shared" si="284"/>
        <v>0</v>
      </c>
      <c r="AJ480">
        <f t="shared" si="285"/>
        <v>0</v>
      </c>
      <c r="AK480">
        <f t="shared" si="286"/>
        <v>0</v>
      </c>
      <c r="AL480">
        <f t="shared" si="287"/>
        <v>0</v>
      </c>
      <c r="AM480">
        <f t="shared" si="288"/>
        <v>0</v>
      </c>
      <c r="AN480">
        <f t="shared" si="289"/>
        <v>0</v>
      </c>
      <c r="AO480">
        <f t="shared" si="290"/>
        <v>0</v>
      </c>
      <c r="AP480">
        <f t="shared" si="291"/>
        <v>0</v>
      </c>
      <c r="AQ480">
        <f t="shared" si="292"/>
        <v>0</v>
      </c>
    </row>
    <row r="481" spans="1:43" ht="15.5" x14ac:dyDescent="0.35">
      <c r="A481" s="51">
        <v>10</v>
      </c>
      <c r="B481" s="13" t="s">
        <v>376</v>
      </c>
      <c r="C481" s="71" t="s">
        <v>65</v>
      </c>
      <c r="D481" s="71" t="s">
        <v>228</v>
      </c>
      <c r="E481" s="19">
        <v>3085.6634609899329</v>
      </c>
      <c r="F481">
        <f t="shared" si="257"/>
        <v>0</v>
      </c>
      <c r="G481">
        <f t="shared" si="258"/>
        <v>0</v>
      </c>
      <c r="H481">
        <f t="shared" si="259"/>
        <v>0</v>
      </c>
      <c r="I481">
        <f t="shared" si="260"/>
        <v>0</v>
      </c>
      <c r="J481">
        <f t="shared" si="261"/>
        <v>0</v>
      </c>
      <c r="K481">
        <f t="shared" si="262"/>
        <v>0</v>
      </c>
      <c r="L481">
        <f t="shared" si="263"/>
        <v>0</v>
      </c>
      <c r="M481">
        <f t="shared" si="264"/>
        <v>0</v>
      </c>
      <c r="N481">
        <f t="shared" si="265"/>
        <v>0</v>
      </c>
      <c r="O481">
        <f t="shared" si="266"/>
        <v>0</v>
      </c>
      <c r="P481">
        <f t="shared" si="267"/>
        <v>3085.6634609899329</v>
      </c>
      <c r="Q481">
        <f t="shared" si="268"/>
        <v>0</v>
      </c>
      <c r="S481">
        <f t="shared" si="269"/>
        <v>33</v>
      </c>
      <c r="T481">
        <f t="shared" si="270"/>
        <v>27</v>
      </c>
      <c r="U481">
        <f t="shared" si="271"/>
        <v>11</v>
      </c>
      <c r="V481">
        <f t="shared" si="272"/>
        <v>12</v>
      </c>
      <c r="W481">
        <f t="shared" si="273"/>
        <v>65</v>
      </c>
      <c r="X481">
        <f t="shared" si="274"/>
        <v>50</v>
      </c>
      <c r="Y481">
        <f t="shared" si="275"/>
        <v>15</v>
      </c>
      <c r="Z481">
        <f t="shared" si="276"/>
        <v>7</v>
      </c>
      <c r="AA481">
        <f t="shared" si="277"/>
        <v>4</v>
      </c>
      <c r="AB481">
        <f t="shared" si="278"/>
        <v>2</v>
      </c>
      <c r="AC481">
        <f t="shared" si="279"/>
        <v>88</v>
      </c>
      <c r="AD481">
        <f t="shared" si="280"/>
        <v>0</v>
      </c>
      <c r="AF481">
        <f t="shared" si="281"/>
        <v>0</v>
      </c>
      <c r="AG481">
        <f t="shared" si="282"/>
        <v>0</v>
      </c>
      <c r="AH481">
        <f t="shared" si="283"/>
        <v>0</v>
      </c>
      <c r="AI481">
        <f t="shared" si="284"/>
        <v>0</v>
      </c>
      <c r="AJ481">
        <f t="shared" si="285"/>
        <v>0</v>
      </c>
      <c r="AK481">
        <f t="shared" si="286"/>
        <v>0</v>
      </c>
      <c r="AL481">
        <f t="shared" si="287"/>
        <v>0</v>
      </c>
      <c r="AM481">
        <f t="shared" si="288"/>
        <v>0</v>
      </c>
      <c r="AN481">
        <f t="shared" si="289"/>
        <v>0</v>
      </c>
      <c r="AO481">
        <f t="shared" si="290"/>
        <v>0</v>
      </c>
      <c r="AP481">
        <f t="shared" si="291"/>
        <v>0</v>
      </c>
      <c r="AQ481">
        <f t="shared" si="292"/>
        <v>0</v>
      </c>
    </row>
    <row r="482" spans="1:43" ht="15.5" x14ac:dyDescent="0.35">
      <c r="A482" s="51">
        <v>11</v>
      </c>
      <c r="B482" s="13" t="s">
        <v>376</v>
      </c>
      <c r="C482" s="51" t="s">
        <v>66</v>
      </c>
      <c r="D482" s="1" t="s">
        <v>94</v>
      </c>
      <c r="E482" s="19">
        <v>2985.7538664840376</v>
      </c>
      <c r="F482">
        <f t="shared" si="257"/>
        <v>0</v>
      </c>
      <c r="G482">
        <f t="shared" si="258"/>
        <v>0</v>
      </c>
      <c r="H482">
        <f t="shared" si="259"/>
        <v>0</v>
      </c>
      <c r="I482">
        <f t="shared" si="260"/>
        <v>0</v>
      </c>
      <c r="J482">
        <f t="shared" si="261"/>
        <v>0</v>
      </c>
      <c r="K482">
        <f t="shared" si="262"/>
        <v>0</v>
      </c>
      <c r="L482">
        <f t="shared" si="263"/>
        <v>2985.7538664840376</v>
      </c>
      <c r="M482">
        <f t="shared" si="264"/>
        <v>0</v>
      </c>
      <c r="N482">
        <f t="shared" si="265"/>
        <v>0</v>
      </c>
      <c r="O482">
        <f t="shared" si="266"/>
        <v>0</v>
      </c>
      <c r="P482">
        <f t="shared" si="267"/>
        <v>0</v>
      </c>
      <c r="Q482">
        <f t="shared" si="268"/>
        <v>0</v>
      </c>
      <c r="S482">
        <f t="shared" si="269"/>
        <v>33</v>
      </c>
      <c r="T482">
        <f t="shared" si="270"/>
        <v>27</v>
      </c>
      <c r="U482">
        <f t="shared" si="271"/>
        <v>11</v>
      </c>
      <c r="V482">
        <f t="shared" si="272"/>
        <v>12</v>
      </c>
      <c r="W482">
        <f t="shared" si="273"/>
        <v>65</v>
      </c>
      <c r="X482">
        <f t="shared" si="274"/>
        <v>50</v>
      </c>
      <c r="Y482">
        <f t="shared" si="275"/>
        <v>15</v>
      </c>
      <c r="Z482">
        <f t="shared" si="276"/>
        <v>7</v>
      </c>
      <c r="AA482">
        <f t="shared" si="277"/>
        <v>4</v>
      </c>
      <c r="AB482">
        <f t="shared" si="278"/>
        <v>2</v>
      </c>
      <c r="AC482">
        <f t="shared" si="279"/>
        <v>87</v>
      </c>
      <c r="AD482">
        <f t="shared" si="280"/>
        <v>0</v>
      </c>
      <c r="AF482">
        <f t="shared" si="281"/>
        <v>0</v>
      </c>
      <c r="AG482">
        <f t="shared" si="282"/>
        <v>0</v>
      </c>
      <c r="AH482">
        <f t="shared" si="283"/>
        <v>0</v>
      </c>
      <c r="AI482">
        <f t="shared" si="284"/>
        <v>0</v>
      </c>
      <c r="AJ482">
        <f t="shared" si="285"/>
        <v>0</v>
      </c>
      <c r="AK482">
        <f t="shared" si="286"/>
        <v>0</v>
      </c>
      <c r="AL482">
        <f t="shared" si="287"/>
        <v>0</v>
      </c>
      <c r="AM482">
        <f t="shared" si="288"/>
        <v>0</v>
      </c>
      <c r="AN482">
        <f t="shared" si="289"/>
        <v>0</v>
      </c>
      <c r="AO482">
        <f t="shared" si="290"/>
        <v>0</v>
      </c>
      <c r="AP482">
        <f t="shared" si="291"/>
        <v>0</v>
      </c>
      <c r="AQ482">
        <f t="shared" si="292"/>
        <v>0</v>
      </c>
    </row>
    <row r="483" spans="1:43" ht="15.5" x14ac:dyDescent="0.35">
      <c r="A483" s="51">
        <v>12</v>
      </c>
      <c r="B483" s="13" t="s">
        <v>377</v>
      </c>
      <c r="C483" s="1" t="s">
        <v>69</v>
      </c>
      <c r="D483" s="1" t="s">
        <v>60</v>
      </c>
      <c r="E483" s="19">
        <v>2841.1494662619075</v>
      </c>
      <c r="F483">
        <f t="shared" si="257"/>
        <v>0</v>
      </c>
      <c r="G483">
        <f t="shared" si="258"/>
        <v>0</v>
      </c>
      <c r="H483">
        <f t="shared" si="259"/>
        <v>0</v>
      </c>
      <c r="I483">
        <f t="shared" si="260"/>
        <v>0</v>
      </c>
      <c r="J483">
        <f t="shared" si="261"/>
        <v>2841.1494662619075</v>
      </c>
      <c r="K483">
        <f t="shared" si="262"/>
        <v>0</v>
      </c>
      <c r="L483">
        <f t="shared" si="263"/>
        <v>0</v>
      </c>
      <c r="M483">
        <f t="shared" si="264"/>
        <v>0</v>
      </c>
      <c r="N483">
        <f t="shared" si="265"/>
        <v>0</v>
      </c>
      <c r="O483">
        <f t="shared" si="266"/>
        <v>0</v>
      </c>
      <c r="P483">
        <f t="shared" si="267"/>
        <v>0</v>
      </c>
      <c r="Q483">
        <f t="shared" si="268"/>
        <v>0</v>
      </c>
      <c r="S483">
        <f t="shared" si="269"/>
        <v>33</v>
      </c>
      <c r="T483">
        <f t="shared" si="270"/>
        <v>27</v>
      </c>
      <c r="U483">
        <f t="shared" si="271"/>
        <v>11</v>
      </c>
      <c r="V483">
        <f t="shared" si="272"/>
        <v>12</v>
      </c>
      <c r="W483">
        <f t="shared" si="273"/>
        <v>65</v>
      </c>
      <c r="X483">
        <f t="shared" si="274"/>
        <v>50</v>
      </c>
      <c r="Y483">
        <f t="shared" si="275"/>
        <v>14</v>
      </c>
      <c r="Z483">
        <f t="shared" si="276"/>
        <v>7</v>
      </c>
      <c r="AA483">
        <f t="shared" si="277"/>
        <v>4</v>
      </c>
      <c r="AB483">
        <f t="shared" si="278"/>
        <v>2</v>
      </c>
      <c r="AC483">
        <f t="shared" si="279"/>
        <v>87</v>
      </c>
      <c r="AD483">
        <f t="shared" si="280"/>
        <v>0</v>
      </c>
      <c r="AF483">
        <f t="shared" si="281"/>
        <v>0</v>
      </c>
      <c r="AG483">
        <f t="shared" si="282"/>
        <v>0</v>
      </c>
      <c r="AH483">
        <f t="shared" si="283"/>
        <v>0</v>
      </c>
      <c r="AI483">
        <f t="shared" si="284"/>
        <v>0</v>
      </c>
      <c r="AJ483">
        <f t="shared" si="285"/>
        <v>0</v>
      </c>
      <c r="AK483">
        <f t="shared" si="286"/>
        <v>0</v>
      </c>
      <c r="AL483">
        <f t="shared" si="287"/>
        <v>0</v>
      </c>
      <c r="AM483">
        <f t="shared" si="288"/>
        <v>0</v>
      </c>
      <c r="AN483">
        <f t="shared" si="289"/>
        <v>0</v>
      </c>
      <c r="AO483">
        <f t="shared" si="290"/>
        <v>0</v>
      </c>
      <c r="AP483">
        <f t="shared" si="291"/>
        <v>0</v>
      </c>
      <c r="AQ483">
        <f t="shared" si="292"/>
        <v>0</v>
      </c>
    </row>
    <row r="484" spans="1:43" ht="15.5" x14ac:dyDescent="0.35">
      <c r="A484" s="51">
        <v>13</v>
      </c>
      <c r="B484" s="13" t="s">
        <v>377</v>
      </c>
      <c r="C484" s="71" t="s">
        <v>211</v>
      </c>
      <c r="D484" s="71" t="s">
        <v>94</v>
      </c>
      <c r="E484" s="70">
        <v>2548.1096700662388</v>
      </c>
      <c r="F484">
        <f t="shared" si="257"/>
        <v>0</v>
      </c>
      <c r="G484">
        <f t="shared" si="258"/>
        <v>0</v>
      </c>
      <c r="H484">
        <f t="shared" si="259"/>
        <v>0</v>
      </c>
      <c r="I484">
        <f t="shared" si="260"/>
        <v>0</v>
      </c>
      <c r="J484">
        <f t="shared" si="261"/>
        <v>0</v>
      </c>
      <c r="K484">
        <f t="shared" si="262"/>
        <v>0</v>
      </c>
      <c r="L484">
        <f t="shared" si="263"/>
        <v>2548.1096700662388</v>
      </c>
      <c r="M484">
        <f t="shared" si="264"/>
        <v>0</v>
      </c>
      <c r="N484">
        <f t="shared" si="265"/>
        <v>0</v>
      </c>
      <c r="O484">
        <f t="shared" si="266"/>
        <v>0</v>
      </c>
      <c r="P484">
        <f t="shared" si="267"/>
        <v>0</v>
      </c>
      <c r="Q484">
        <f t="shared" si="268"/>
        <v>0</v>
      </c>
      <c r="S484">
        <f t="shared" si="269"/>
        <v>33</v>
      </c>
      <c r="T484">
        <f t="shared" si="270"/>
        <v>27</v>
      </c>
      <c r="U484">
        <f t="shared" si="271"/>
        <v>11</v>
      </c>
      <c r="V484">
        <f t="shared" si="272"/>
        <v>12</v>
      </c>
      <c r="W484">
        <f t="shared" si="273"/>
        <v>64</v>
      </c>
      <c r="X484">
        <f t="shared" si="274"/>
        <v>50</v>
      </c>
      <c r="Y484">
        <f t="shared" si="275"/>
        <v>14</v>
      </c>
      <c r="Z484">
        <f t="shared" si="276"/>
        <v>7</v>
      </c>
      <c r="AA484">
        <f t="shared" si="277"/>
        <v>4</v>
      </c>
      <c r="AB484">
        <f t="shared" si="278"/>
        <v>2</v>
      </c>
      <c r="AC484">
        <f t="shared" si="279"/>
        <v>87</v>
      </c>
      <c r="AD484">
        <f t="shared" si="280"/>
        <v>0</v>
      </c>
      <c r="AF484">
        <f t="shared" si="281"/>
        <v>0</v>
      </c>
      <c r="AG484">
        <f t="shared" si="282"/>
        <v>0</v>
      </c>
      <c r="AH484">
        <f t="shared" si="283"/>
        <v>0</v>
      </c>
      <c r="AI484">
        <f t="shared" si="284"/>
        <v>0</v>
      </c>
      <c r="AJ484">
        <f t="shared" si="285"/>
        <v>0</v>
      </c>
      <c r="AK484">
        <f t="shared" si="286"/>
        <v>0</v>
      </c>
      <c r="AL484">
        <f t="shared" si="287"/>
        <v>0</v>
      </c>
      <c r="AM484">
        <f t="shared" si="288"/>
        <v>0</v>
      </c>
      <c r="AN484">
        <f t="shared" si="289"/>
        <v>0</v>
      </c>
      <c r="AO484">
        <f t="shared" si="290"/>
        <v>0</v>
      </c>
      <c r="AP484">
        <f t="shared" si="291"/>
        <v>0</v>
      </c>
      <c r="AQ484">
        <f t="shared" si="292"/>
        <v>0</v>
      </c>
    </row>
    <row r="485" spans="1:43" ht="15.5" x14ac:dyDescent="0.35">
      <c r="A485" s="51">
        <v>14</v>
      </c>
      <c r="B485" s="13" t="s">
        <v>378</v>
      </c>
      <c r="C485" s="51" t="s">
        <v>73</v>
      </c>
      <c r="D485" s="1" t="s">
        <v>54</v>
      </c>
      <c r="E485" s="19">
        <v>2881.0065358045495</v>
      </c>
      <c r="F485">
        <f t="shared" si="257"/>
        <v>0</v>
      </c>
      <c r="G485">
        <f t="shared" si="258"/>
        <v>0</v>
      </c>
      <c r="H485">
        <f t="shared" si="259"/>
        <v>0</v>
      </c>
      <c r="I485">
        <f t="shared" si="260"/>
        <v>0</v>
      </c>
      <c r="J485">
        <f t="shared" si="261"/>
        <v>0</v>
      </c>
      <c r="K485">
        <f t="shared" si="262"/>
        <v>2881.0065358045495</v>
      </c>
      <c r="L485">
        <f t="shared" si="263"/>
        <v>0</v>
      </c>
      <c r="M485">
        <f t="shared" si="264"/>
        <v>0</v>
      </c>
      <c r="N485">
        <f t="shared" si="265"/>
        <v>0</v>
      </c>
      <c r="O485">
        <f t="shared" si="266"/>
        <v>0</v>
      </c>
      <c r="P485">
        <f t="shared" si="267"/>
        <v>0</v>
      </c>
      <c r="Q485">
        <f t="shared" si="268"/>
        <v>0</v>
      </c>
      <c r="S485">
        <f t="shared" si="269"/>
        <v>33</v>
      </c>
      <c r="T485">
        <f t="shared" si="270"/>
        <v>27</v>
      </c>
      <c r="U485">
        <f t="shared" si="271"/>
        <v>11</v>
      </c>
      <c r="V485">
        <f t="shared" si="272"/>
        <v>12</v>
      </c>
      <c r="W485">
        <f t="shared" si="273"/>
        <v>64</v>
      </c>
      <c r="X485">
        <f t="shared" si="274"/>
        <v>50</v>
      </c>
      <c r="Y485">
        <f t="shared" si="275"/>
        <v>13</v>
      </c>
      <c r="Z485">
        <f t="shared" si="276"/>
        <v>7</v>
      </c>
      <c r="AA485">
        <f t="shared" si="277"/>
        <v>4</v>
      </c>
      <c r="AB485">
        <f t="shared" si="278"/>
        <v>2</v>
      </c>
      <c r="AC485">
        <f t="shared" si="279"/>
        <v>87</v>
      </c>
      <c r="AD485">
        <f t="shared" si="280"/>
        <v>0</v>
      </c>
      <c r="AF485">
        <f t="shared" si="281"/>
        <v>0</v>
      </c>
      <c r="AG485">
        <f t="shared" si="282"/>
        <v>0</v>
      </c>
      <c r="AH485">
        <f t="shared" si="283"/>
        <v>0</v>
      </c>
      <c r="AI485">
        <f t="shared" si="284"/>
        <v>0</v>
      </c>
      <c r="AJ485">
        <f t="shared" si="285"/>
        <v>0</v>
      </c>
      <c r="AK485">
        <f t="shared" si="286"/>
        <v>0</v>
      </c>
      <c r="AL485">
        <f t="shared" si="287"/>
        <v>0</v>
      </c>
      <c r="AM485">
        <f t="shared" si="288"/>
        <v>0</v>
      </c>
      <c r="AN485">
        <f t="shared" si="289"/>
        <v>0</v>
      </c>
      <c r="AO485">
        <f t="shared" si="290"/>
        <v>0</v>
      </c>
      <c r="AP485">
        <f t="shared" si="291"/>
        <v>0</v>
      </c>
      <c r="AQ485">
        <f t="shared" si="292"/>
        <v>0</v>
      </c>
    </row>
    <row r="486" spans="1:43" ht="15.5" x14ac:dyDescent="0.35">
      <c r="A486" s="51">
        <v>15</v>
      </c>
      <c r="B486" s="13" t="s">
        <v>378</v>
      </c>
      <c r="C486" s="17" t="s">
        <v>72</v>
      </c>
      <c r="D486" s="17" t="s">
        <v>228</v>
      </c>
      <c r="E486" s="19">
        <v>3496.0735734295417</v>
      </c>
      <c r="F486">
        <f t="shared" si="257"/>
        <v>0</v>
      </c>
      <c r="G486">
        <f t="shared" si="258"/>
        <v>0</v>
      </c>
      <c r="H486">
        <f t="shared" si="259"/>
        <v>0</v>
      </c>
      <c r="I486">
        <f t="shared" si="260"/>
        <v>0</v>
      </c>
      <c r="J486">
        <f t="shared" si="261"/>
        <v>0</v>
      </c>
      <c r="K486">
        <f t="shared" si="262"/>
        <v>0</v>
      </c>
      <c r="L486">
        <f t="shared" si="263"/>
        <v>0</v>
      </c>
      <c r="M486">
        <f t="shared" si="264"/>
        <v>0</v>
      </c>
      <c r="N486">
        <f t="shared" si="265"/>
        <v>0</v>
      </c>
      <c r="O486">
        <f t="shared" si="266"/>
        <v>0</v>
      </c>
      <c r="P486">
        <f t="shared" si="267"/>
        <v>3496.0735734295417</v>
      </c>
      <c r="Q486">
        <f t="shared" si="268"/>
        <v>0</v>
      </c>
      <c r="S486">
        <f t="shared" si="269"/>
        <v>33</v>
      </c>
      <c r="T486">
        <f t="shared" si="270"/>
        <v>27</v>
      </c>
      <c r="U486">
        <f t="shared" si="271"/>
        <v>11</v>
      </c>
      <c r="V486">
        <f t="shared" si="272"/>
        <v>12</v>
      </c>
      <c r="W486">
        <f t="shared" si="273"/>
        <v>64</v>
      </c>
      <c r="X486">
        <f t="shared" si="274"/>
        <v>49</v>
      </c>
      <c r="Y486">
        <f t="shared" si="275"/>
        <v>13</v>
      </c>
      <c r="Z486">
        <f t="shared" si="276"/>
        <v>7</v>
      </c>
      <c r="AA486">
        <f t="shared" si="277"/>
        <v>4</v>
      </c>
      <c r="AB486">
        <f t="shared" si="278"/>
        <v>2</v>
      </c>
      <c r="AC486">
        <f t="shared" si="279"/>
        <v>87</v>
      </c>
      <c r="AD486">
        <f t="shared" si="280"/>
        <v>0</v>
      </c>
      <c r="AF486">
        <f t="shared" si="281"/>
        <v>0</v>
      </c>
      <c r="AG486">
        <f t="shared" si="282"/>
        <v>0</v>
      </c>
      <c r="AH486">
        <f t="shared" si="283"/>
        <v>0</v>
      </c>
      <c r="AI486">
        <f t="shared" si="284"/>
        <v>0</v>
      </c>
      <c r="AJ486">
        <f t="shared" si="285"/>
        <v>0</v>
      </c>
      <c r="AK486">
        <f t="shared" si="286"/>
        <v>0</v>
      </c>
      <c r="AL486">
        <f t="shared" si="287"/>
        <v>0</v>
      </c>
      <c r="AM486">
        <f t="shared" si="288"/>
        <v>0</v>
      </c>
      <c r="AN486">
        <f t="shared" si="289"/>
        <v>0</v>
      </c>
      <c r="AO486">
        <f t="shared" si="290"/>
        <v>0</v>
      </c>
      <c r="AP486">
        <f t="shared" si="291"/>
        <v>0</v>
      </c>
      <c r="AQ486">
        <f t="shared" si="292"/>
        <v>0</v>
      </c>
    </row>
    <row r="487" spans="1:43" ht="15.5" x14ac:dyDescent="0.35">
      <c r="A487" s="51">
        <v>16</v>
      </c>
      <c r="B487" s="13" t="s">
        <v>378</v>
      </c>
      <c r="C487" s="51" t="s">
        <v>79</v>
      </c>
      <c r="D487" s="1" t="s">
        <v>60</v>
      </c>
      <c r="E487" s="19">
        <v>3193.869305416843</v>
      </c>
      <c r="F487">
        <f t="shared" si="257"/>
        <v>0</v>
      </c>
      <c r="G487">
        <f t="shared" si="258"/>
        <v>0</v>
      </c>
      <c r="H487">
        <f t="shared" si="259"/>
        <v>0</v>
      </c>
      <c r="I487">
        <f t="shared" si="260"/>
        <v>0</v>
      </c>
      <c r="J487">
        <f t="shared" si="261"/>
        <v>3193.869305416843</v>
      </c>
      <c r="K487">
        <f t="shared" si="262"/>
        <v>0</v>
      </c>
      <c r="L487">
        <f t="shared" si="263"/>
        <v>0</v>
      </c>
      <c r="M487">
        <f t="shared" si="264"/>
        <v>0</v>
      </c>
      <c r="N487">
        <f t="shared" si="265"/>
        <v>0</v>
      </c>
      <c r="O487">
        <f t="shared" si="266"/>
        <v>0</v>
      </c>
      <c r="P487">
        <f t="shared" si="267"/>
        <v>0</v>
      </c>
      <c r="Q487">
        <f t="shared" si="268"/>
        <v>0</v>
      </c>
      <c r="S487">
        <f t="shared" si="269"/>
        <v>33</v>
      </c>
      <c r="T487">
        <f t="shared" si="270"/>
        <v>27</v>
      </c>
      <c r="U487">
        <f t="shared" si="271"/>
        <v>11</v>
      </c>
      <c r="V487">
        <f t="shared" si="272"/>
        <v>12</v>
      </c>
      <c r="W487">
        <f t="shared" si="273"/>
        <v>64</v>
      </c>
      <c r="X487">
        <f t="shared" si="274"/>
        <v>49</v>
      </c>
      <c r="Y487">
        <f t="shared" si="275"/>
        <v>13</v>
      </c>
      <c r="Z487">
        <f t="shared" si="276"/>
        <v>7</v>
      </c>
      <c r="AA487">
        <f t="shared" si="277"/>
        <v>4</v>
      </c>
      <c r="AB487">
        <f t="shared" si="278"/>
        <v>2</v>
      </c>
      <c r="AC487">
        <f t="shared" si="279"/>
        <v>86</v>
      </c>
      <c r="AD487">
        <f t="shared" si="280"/>
        <v>0</v>
      </c>
      <c r="AF487">
        <f t="shared" si="281"/>
        <v>0</v>
      </c>
      <c r="AG487">
        <f t="shared" si="282"/>
        <v>0</v>
      </c>
      <c r="AH487">
        <f t="shared" si="283"/>
        <v>0</v>
      </c>
      <c r="AI487">
        <f t="shared" si="284"/>
        <v>0</v>
      </c>
      <c r="AJ487">
        <f t="shared" si="285"/>
        <v>0</v>
      </c>
      <c r="AK487">
        <f t="shared" si="286"/>
        <v>0</v>
      </c>
      <c r="AL487">
        <f t="shared" si="287"/>
        <v>0</v>
      </c>
      <c r="AM487">
        <f t="shared" si="288"/>
        <v>0</v>
      </c>
      <c r="AN487">
        <f t="shared" si="289"/>
        <v>0</v>
      </c>
      <c r="AO487">
        <f t="shared" si="290"/>
        <v>0</v>
      </c>
      <c r="AP487">
        <f t="shared" si="291"/>
        <v>0</v>
      </c>
      <c r="AQ487">
        <f t="shared" si="292"/>
        <v>0</v>
      </c>
    </row>
    <row r="488" spans="1:43" ht="15.5" x14ac:dyDescent="0.35">
      <c r="A488" s="51">
        <v>17</v>
      </c>
      <c r="B488" s="13" t="s">
        <v>379</v>
      </c>
      <c r="C488" s="1" t="s">
        <v>78</v>
      </c>
      <c r="D488" s="17" t="s">
        <v>228</v>
      </c>
      <c r="E488" s="19">
        <v>2939.9673414145673</v>
      </c>
      <c r="F488">
        <f t="shared" si="257"/>
        <v>0</v>
      </c>
      <c r="G488">
        <f t="shared" si="258"/>
        <v>0</v>
      </c>
      <c r="H488">
        <f t="shared" si="259"/>
        <v>0</v>
      </c>
      <c r="I488">
        <f t="shared" si="260"/>
        <v>0</v>
      </c>
      <c r="J488">
        <f t="shared" si="261"/>
        <v>0</v>
      </c>
      <c r="K488">
        <f t="shared" si="262"/>
        <v>0</v>
      </c>
      <c r="L488">
        <f t="shared" si="263"/>
        <v>0</v>
      </c>
      <c r="M488">
        <f t="shared" si="264"/>
        <v>0</v>
      </c>
      <c r="N488">
        <f t="shared" si="265"/>
        <v>0</v>
      </c>
      <c r="O488">
        <f t="shared" si="266"/>
        <v>0</v>
      </c>
      <c r="P488">
        <f t="shared" si="267"/>
        <v>2939.9673414145673</v>
      </c>
      <c r="Q488">
        <f t="shared" si="268"/>
        <v>0</v>
      </c>
      <c r="S488">
        <f t="shared" si="269"/>
        <v>33</v>
      </c>
      <c r="T488">
        <f t="shared" si="270"/>
        <v>27</v>
      </c>
      <c r="U488">
        <f t="shared" si="271"/>
        <v>11</v>
      </c>
      <c r="V488">
        <f t="shared" si="272"/>
        <v>12</v>
      </c>
      <c r="W488">
        <f t="shared" si="273"/>
        <v>63</v>
      </c>
      <c r="X488">
        <f t="shared" si="274"/>
        <v>49</v>
      </c>
      <c r="Y488">
        <f t="shared" si="275"/>
        <v>13</v>
      </c>
      <c r="Z488">
        <f t="shared" si="276"/>
        <v>7</v>
      </c>
      <c r="AA488">
        <f t="shared" si="277"/>
        <v>4</v>
      </c>
      <c r="AB488">
        <f t="shared" si="278"/>
        <v>2</v>
      </c>
      <c r="AC488">
        <f t="shared" si="279"/>
        <v>86</v>
      </c>
      <c r="AD488">
        <f t="shared" si="280"/>
        <v>0</v>
      </c>
      <c r="AF488">
        <f t="shared" si="281"/>
        <v>0</v>
      </c>
      <c r="AG488">
        <f t="shared" si="282"/>
        <v>0</v>
      </c>
      <c r="AH488">
        <f t="shared" si="283"/>
        <v>0</v>
      </c>
      <c r="AI488">
        <f t="shared" si="284"/>
        <v>0</v>
      </c>
      <c r="AJ488">
        <f t="shared" si="285"/>
        <v>0</v>
      </c>
      <c r="AK488">
        <f t="shared" si="286"/>
        <v>0</v>
      </c>
      <c r="AL488">
        <f t="shared" si="287"/>
        <v>0</v>
      </c>
      <c r="AM488">
        <f t="shared" si="288"/>
        <v>0</v>
      </c>
      <c r="AN488">
        <f t="shared" si="289"/>
        <v>0</v>
      </c>
      <c r="AO488">
        <f t="shared" si="290"/>
        <v>0</v>
      </c>
      <c r="AP488">
        <f t="shared" si="291"/>
        <v>0</v>
      </c>
      <c r="AQ488">
        <f t="shared" si="292"/>
        <v>0</v>
      </c>
    </row>
    <row r="489" spans="1:43" ht="15.5" x14ac:dyDescent="0.35">
      <c r="A489" s="51">
        <v>18</v>
      </c>
      <c r="B489" s="13" t="s">
        <v>379</v>
      </c>
      <c r="C489" s="17" t="s">
        <v>75</v>
      </c>
      <c r="D489" s="17" t="s">
        <v>54</v>
      </c>
      <c r="E489" s="19">
        <v>3226.3362001892547</v>
      </c>
      <c r="F489">
        <f t="shared" si="257"/>
        <v>0</v>
      </c>
      <c r="G489">
        <f t="shared" si="258"/>
        <v>0</v>
      </c>
      <c r="H489">
        <f t="shared" si="259"/>
        <v>0</v>
      </c>
      <c r="I489">
        <f t="shared" si="260"/>
        <v>0</v>
      </c>
      <c r="J489">
        <f t="shared" si="261"/>
        <v>0</v>
      </c>
      <c r="K489">
        <f t="shared" si="262"/>
        <v>3226.3362001892547</v>
      </c>
      <c r="L489">
        <f t="shared" si="263"/>
        <v>0</v>
      </c>
      <c r="M489">
        <f t="shared" si="264"/>
        <v>0</v>
      </c>
      <c r="N489">
        <f t="shared" si="265"/>
        <v>0</v>
      </c>
      <c r="O489">
        <f t="shared" si="266"/>
        <v>0</v>
      </c>
      <c r="P489">
        <f t="shared" si="267"/>
        <v>0</v>
      </c>
      <c r="Q489">
        <f t="shared" si="268"/>
        <v>0</v>
      </c>
      <c r="S489">
        <f t="shared" si="269"/>
        <v>33</v>
      </c>
      <c r="T489">
        <f t="shared" si="270"/>
        <v>27</v>
      </c>
      <c r="U489">
        <f t="shared" si="271"/>
        <v>11</v>
      </c>
      <c r="V489">
        <f t="shared" si="272"/>
        <v>12</v>
      </c>
      <c r="W489">
        <f t="shared" si="273"/>
        <v>63</v>
      </c>
      <c r="X489">
        <f t="shared" si="274"/>
        <v>49</v>
      </c>
      <c r="Y489">
        <f t="shared" si="275"/>
        <v>13</v>
      </c>
      <c r="Z489">
        <f t="shared" si="276"/>
        <v>7</v>
      </c>
      <c r="AA489">
        <f t="shared" si="277"/>
        <v>4</v>
      </c>
      <c r="AB489">
        <f t="shared" si="278"/>
        <v>2</v>
      </c>
      <c r="AC489">
        <f t="shared" si="279"/>
        <v>85</v>
      </c>
      <c r="AD489">
        <f t="shared" si="280"/>
        <v>0</v>
      </c>
      <c r="AF489">
        <f t="shared" si="281"/>
        <v>0</v>
      </c>
      <c r="AG489">
        <f t="shared" si="282"/>
        <v>0</v>
      </c>
      <c r="AH489">
        <f t="shared" si="283"/>
        <v>0</v>
      </c>
      <c r="AI489">
        <f t="shared" si="284"/>
        <v>0</v>
      </c>
      <c r="AJ489">
        <f t="shared" si="285"/>
        <v>0</v>
      </c>
      <c r="AK489">
        <f t="shared" si="286"/>
        <v>0</v>
      </c>
      <c r="AL489">
        <f t="shared" si="287"/>
        <v>0</v>
      </c>
      <c r="AM489">
        <f t="shared" si="288"/>
        <v>0</v>
      </c>
      <c r="AN489">
        <f t="shared" si="289"/>
        <v>0</v>
      </c>
      <c r="AO489">
        <f t="shared" si="290"/>
        <v>0</v>
      </c>
      <c r="AP489">
        <f t="shared" si="291"/>
        <v>0</v>
      </c>
      <c r="AQ489">
        <f t="shared" si="292"/>
        <v>0</v>
      </c>
    </row>
    <row r="490" spans="1:43" ht="15.5" x14ac:dyDescent="0.35">
      <c r="A490" s="51">
        <v>19</v>
      </c>
      <c r="B490" s="13" t="s">
        <v>379</v>
      </c>
      <c r="C490" s="51" t="s">
        <v>77</v>
      </c>
      <c r="D490" s="1" t="s">
        <v>60</v>
      </c>
      <c r="E490" s="19">
        <v>3134.8618606403015</v>
      </c>
      <c r="F490">
        <f t="shared" si="257"/>
        <v>0</v>
      </c>
      <c r="G490">
        <f t="shared" si="258"/>
        <v>0</v>
      </c>
      <c r="H490">
        <f t="shared" si="259"/>
        <v>0</v>
      </c>
      <c r="I490">
        <f t="shared" si="260"/>
        <v>0</v>
      </c>
      <c r="J490">
        <f t="shared" si="261"/>
        <v>3134.8618606403015</v>
      </c>
      <c r="K490">
        <f t="shared" si="262"/>
        <v>0</v>
      </c>
      <c r="L490">
        <f t="shared" si="263"/>
        <v>0</v>
      </c>
      <c r="M490">
        <f t="shared" si="264"/>
        <v>0</v>
      </c>
      <c r="N490">
        <f t="shared" si="265"/>
        <v>0</v>
      </c>
      <c r="O490">
        <f t="shared" si="266"/>
        <v>0</v>
      </c>
      <c r="P490">
        <f t="shared" si="267"/>
        <v>0</v>
      </c>
      <c r="Q490">
        <f t="shared" si="268"/>
        <v>0</v>
      </c>
      <c r="S490">
        <f t="shared" si="269"/>
        <v>33</v>
      </c>
      <c r="T490">
        <f t="shared" si="270"/>
        <v>27</v>
      </c>
      <c r="U490">
        <f t="shared" si="271"/>
        <v>11</v>
      </c>
      <c r="V490">
        <f t="shared" si="272"/>
        <v>12</v>
      </c>
      <c r="W490">
        <f t="shared" si="273"/>
        <v>63</v>
      </c>
      <c r="X490">
        <f t="shared" si="274"/>
        <v>48</v>
      </c>
      <c r="Y490">
        <f t="shared" si="275"/>
        <v>13</v>
      </c>
      <c r="Z490">
        <f t="shared" si="276"/>
        <v>7</v>
      </c>
      <c r="AA490">
        <f t="shared" si="277"/>
        <v>4</v>
      </c>
      <c r="AB490">
        <f t="shared" si="278"/>
        <v>2</v>
      </c>
      <c r="AC490">
        <f t="shared" si="279"/>
        <v>85</v>
      </c>
      <c r="AD490">
        <f t="shared" si="280"/>
        <v>0</v>
      </c>
      <c r="AF490">
        <f t="shared" si="281"/>
        <v>0</v>
      </c>
      <c r="AG490">
        <f t="shared" si="282"/>
        <v>0</v>
      </c>
      <c r="AH490">
        <f t="shared" si="283"/>
        <v>0</v>
      </c>
      <c r="AI490">
        <f t="shared" si="284"/>
        <v>0</v>
      </c>
      <c r="AJ490">
        <f t="shared" si="285"/>
        <v>0</v>
      </c>
      <c r="AK490">
        <f t="shared" si="286"/>
        <v>0</v>
      </c>
      <c r="AL490">
        <f t="shared" si="287"/>
        <v>0</v>
      </c>
      <c r="AM490">
        <f t="shared" si="288"/>
        <v>0</v>
      </c>
      <c r="AN490">
        <f t="shared" si="289"/>
        <v>0</v>
      </c>
      <c r="AO490">
        <f t="shared" si="290"/>
        <v>0</v>
      </c>
      <c r="AP490">
        <f t="shared" si="291"/>
        <v>0</v>
      </c>
      <c r="AQ490">
        <f t="shared" si="292"/>
        <v>0</v>
      </c>
    </row>
    <row r="491" spans="1:43" ht="15.5" x14ac:dyDescent="0.35">
      <c r="A491" s="51">
        <v>20</v>
      </c>
      <c r="B491" s="13" t="s">
        <v>380</v>
      </c>
      <c r="C491" s="1" t="s">
        <v>84</v>
      </c>
      <c r="D491" s="1" t="s">
        <v>54</v>
      </c>
      <c r="E491" s="19">
        <v>3014.7313289188337</v>
      </c>
      <c r="F491">
        <f t="shared" ref="F491:F554" si="293">IF(D491="SPUR-01",E491,0)</f>
        <v>0</v>
      </c>
      <c r="G491">
        <f t="shared" ref="G491:G554" si="294">IF(D491="SPUR-02",E491,0)</f>
        <v>0</v>
      </c>
      <c r="H491">
        <f t="shared" ref="H491:H554" si="295">IF(D491="SPUR-03",E491,0)</f>
        <v>0</v>
      </c>
      <c r="I491">
        <f t="shared" ref="I491:I554" si="296">IF(D491="SPUR-04",E491,0)</f>
        <v>0</v>
      </c>
      <c r="J491">
        <f t="shared" ref="J491:J554" si="297">IF(D491="SPUR-05",E491,0)</f>
        <v>0</v>
      </c>
      <c r="K491">
        <f t="shared" ref="K491:K554" si="298">IF(D491="SPUR-06",E491,0)</f>
        <v>3014.7313289188337</v>
      </c>
      <c r="L491">
        <f t="shared" ref="L491:L554" si="299">IF(D491="SPUR-07",E491,0)</f>
        <v>0</v>
      </c>
      <c r="M491">
        <f t="shared" ref="M491:M554" si="300">IF(D491="SPUR-08",E491,0)</f>
        <v>0</v>
      </c>
      <c r="N491">
        <f t="shared" ref="N491:N554" si="301">IF(D491="SPUR-09",E491,0)</f>
        <v>0</v>
      </c>
      <c r="O491">
        <f t="shared" ref="O491:O554" si="302">IF(D491="SPUR-10",E491,0)</f>
        <v>0</v>
      </c>
      <c r="P491">
        <f t="shared" ref="P491:P554" si="303">IF(D491="SPUR-SILO",E491,0)</f>
        <v>0</v>
      </c>
      <c r="Q491">
        <f t="shared" ref="Q491:Q554" si="304">IF(D491="SPUR-DB",E491,0)</f>
        <v>0</v>
      </c>
      <c r="S491">
        <f t="shared" ref="S491:S554" si="305">IF(F491&gt;0,1,0)+S492</f>
        <v>33</v>
      </c>
      <c r="T491">
        <f t="shared" ref="T491:T554" si="306">IF(G491&gt;0,1,0)+T492</f>
        <v>27</v>
      </c>
      <c r="U491">
        <f t="shared" ref="U491:U554" si="307">IF(H491&gt;0,1,0)+U492</f>
        <v>11</v>
      </c>
      <c r="V491">
        <f t="shared" ref="V491:V554" si="308">IF(I491&gt;0,1,0)+V492</f>
        <v>12</v>
      </c>
      <c r="W491">
        <f t="shared" ref="W491:W554" si="309">IF(J491&gt;0,1,0)+W492</f>
        <v>62</v>
      </c>
      <c r="X491">
        <f t="shared" ref="X491:X554" si="310">IF(K491&gt;0,1,0)+X492</f>
        <v>48</v>
      </c>
      <c r="Y491">
        <f t="shared" ref="Y491:Y554" si="311">IF(L491&gt;0,1,0)+Y492</f>
        <v>13</v>
      </c>
      <c r="Z491">
        <f t="shared" ref="Z491:Z554" si="312">IF(M491&gt;0,1,0)+Z492</f>
        <v>7</v>
      </c>
      <c r="AA491">
        <f t="shared" ref="AA491:AA554" si="313">IF(N491&gt;0,1,0)+AA492</f>
        <v>4</v>
      </c>
      <c r="AB491">
        <f t="shared" ref="AB491:AB554" si="314">IF(O491&gt;0,1,0)+AB492</f>
        <v>2</v>
      </c>
      <c r="AC491">
        <f t="shared" ref="AC491:AC554" si="315">IF(P491&gt;0,1,0)+AC492</f>
        <v>85</v>
      </c>
      <c r="AD491">
        <f t="shared" ref="AD491:AD554" si="316">IF(Q491&gt;0,1,0)+AD492</f>
        <v>0</v>
      </c>
      <c r="AF491">
        <f t="shared" ref="AF491:AF554" si="317">IF(S491&lt;=$AT$1,F491,0)</f>
        <v>0</v>
      </c>
      <c r="AG491">
        <f t="shared" ref="AG491:AG554" si="318">IF(T491&lt;=$AT$1,G491,0)</f>
        <v>0</v>
      </c>
      <c r="AH491">
        <f t="shared" ref="AH491:AH554" si="319">IF(U491&lt;=$AT$1,H491,0)</f>
        <v>0</v>
      </c>
      <c r="AI491">
        <f t="shared" ref="AI491:AI554" si="320">IF(V491&lt;=$AT$1,I491,0)</f>
        <v>0</v>
      </c>
      <c r="AJ491">
        <f t="shared" ref="AJ491:AJ554" si="321">IF(W491&lt;=$AT$1,J491,0)</f>
        <v>0</v>
      </c>
      <c r="AK491">
        <f t="shared" ref="AK491:AK554" si="322">IF(X491&lt;=$AT$1,K491,0)</f>
        <v>0</v>
      </c>
      <c r="AL491">
        <f t="shared" ref="AL491:AL554" si="323">IF(Y491&lt;=$AT$1,L491,0)</f>
        <v>0</v>
      </c>
      <c r="AM491">
        <f t="shared" ref="AM491:AM554" si="324">IF(Z491&lt;=$AT$1,M491,0)</f>
        <v>0</v>
      </c>
      <c r="AN491">
        <f t="shared" ref="AN491:AN554" si="325">IF(AA491&lt;=$AT$1,N491,0)</f>
        <v>0</v>
      </c>
      <c r="AO491">
        <f t="shared" ref="AO491:AO554" si="326">IF(AB491&lt;=$AT$1,O491,0)</f>
        <v>0</v>
      </c>
      <c r="AP491">
        <f t="shared" ref="AP491:AP554" si="327">IF(AC491&lt;=$AT$1,P491,0)</f>
        <v>0</v>
      </c>
      <c r="AQ491">
        <f t="shared" ref="AQ491:AQ554" si="328">IF(AD491&lt;=$AT$1,Q491,0)</f>
        <v>0</v>
      </c>
    </row>
    <row r="492" spans="1:43" ht="15.5" x14ac:dyDescent="0.35">
      <c r="A492" s="51">
        <v>21</v>
      </c>
      <c r="B492" s="13" t="s">
        <v>380</v>
      </c>
      <c r="C492" s="17" t="s">
        <v>82</v>
      </c>
      <c r="D492" s="17" t="s">
        <v>94</v>
      </c>
      <c r="E492" s="19">
        <v>2870.3707888970052</v>
      </c>
      <c r="F492">
        <f t="shared" si="293"/>
        <v>0</v>
      </c>
      <c r="G492">
        <f t="shared" si="294"/>
        <v>0</v>
      </c>
      <c r="H492">
        <f t="shared" si="295"/>
        <v>0</v>
      </c>
      <c r="I492">
        <f t="shared" si="296"/>
        <v>0</v>
      </c>
      <c r="J492">
        <f t="shared" si="297"/>
        <v>0</v>
      </c>
      <c r="K492">
        <f t="shared" si="298"/>
        <v>0</v>
      </c>
      <c r="L492">
        <f t="shared" si="299"/>
        <v>2870.3707888970052</v>
      </c>
      <c r="M492">
        <f t="shared" si="300"/>
        <v>0</v>
      </c>
      <c r="N492">
        <f t="shared" si="301"/>
        <v>0</v>
      </c>
      <c r="O492">
        <f t="shared" si="302"/>
        <v>0</v>
      </c>
      <c r="P492">
        <f t="shared" si="303"/>
        <v>0</v>
      </c>
      <c r="Q492">
        <f t="shared" si="304"/>
        <v>0</v>
      </c>
      <c r="S492">
        <f t="shared" si="305"/>
        <v>33</v>
      </c>
      <c r="T492">
        <f t="shared" si="306"/>
        <v>27</v>
      </c>
      <c r="U492">
        <f t="shared" si="307"/>
        <v>11</v>
      </c>
      <c r="V492">
        <f t="shared" si="308"/>
        <v>12</v>
      </c>
      <c r="W492">
        <f t="shared" si="309"/>
        <v>62</v>
      </c>
      <c r="X492">
        <f t="shared" si="310"/>
        <v>47</v>
      </c>
      <c r="Y492">
        <f t="shared" si="311"/>
        <v>13</v>
      </c>
      <c r="Z492">
        <f t="shared" si="312"/>
        <v>7</v>
      </c>
      <c r="AA492">
        <f t="shared" si="313"/>
        <v>4</v>
      </c>
      <c r="AB492">
        <f t="shared" si="314"/>
        <v>2</v>
      </c>
      <c r="AC492">
        <f t="shared" si="315"/>
        <v>85</v>
      </c>
      <c r="AD492">
        <f t="shared" si="316"/>
        <v>0</v>
      </c>
      <c r="AF492">
        <f t="shared" si="317"/>
        <v>0</v>
      </c>
      <c r="AG492">
        <f t="shared" si="318"/>
        <v>0</v>
      </c>
      <c r="AH492">
        <f t="shared" si="319"/>
        <v>0</v>
      </c>
      <c r="AI492">
        <f t="shared" si="320"/>
        <v>0</v>
      </c>
      <c r="AJ492">
        <f t="shared" si="321"/>
        <v>0</v>
      </c>
      <c r="AK492">
        <f t="shared" si="322"/>
        <v>0</v>
      </c>
      <c r="AL492">
        <f t="shared" si="323"/>
        <v>0</v>
      </c>
      <c r="AM492">
        <f t="shared" si="324"/>
        <v>0</v>
      </c>
      <c r="AN492">
        <f t="shared" si="325"/>
        <v>0</v>
      </c>
      <c r="AO492">
        <f t="shared" si="326"/>
        <v>0</v>
      </c>
      <c r="AP492">
        <f t="shared" si="327"/>
        <v>0</v>
      </c>
      <c r="AQ492">
        <f t="shared" si="328"/>
        <v>0</v>
      </c>
    </row>
    <row r="493" spans="1:43" ht="15.5" x14ac:dyDescent="0.35">
      <c r="A493" s="51">
        <v>22</v>
      </c>
      <c r="B493" s="13" t="s">
        <v>380</v>
      </c>
      <c r="C493" s="51" t="s">
        <v>83</v>
      </c>
      <c r="D493" s="1" t="s">
        <v>54</v>
      </c>
      <c r="E493" s="19">
        <v>3014.7837183824308</v>
      </c>
      <c r="F493">
        <f t="shared" si="293"/>
        <v>0</v>
      </c>
      <c r="G493">
        <f t="shared" si="294"/>
        <v>0</v>
      </c>
      <c r="H493">
        <f t="shared" si="295"/>
        <v>0</v>
      </c>
      <c r="I493">
        <f t="shared" si="296"/>
        <v>0</v>
      </c>
      <c r="J493">
        <f t="shared" si="297"/>
        <v>0</v>
      </c>
      <c r="K493">
        <f t="shared" si="298"/>
        <v>3014.7837183824308</v>
      </c>
      <c r="L493">
        <f t="shared" si="299"/>
        <v>0</v>
      </c>
      <c r="M493">
        <f t="shared" si="300"/>
        <v>0</v>
      </c>
      <c r="N493">
        <f t="shared" si="301"/>
        <v>0</v>
      </c>
      <c r="O493">
        <f t="shared" si="302"/>
        <v>0</v>
      </c>
      <c r="P493">
        <f t="shared" si="303"/>
        <v>0</v>
      </c>
      <c r="Q493">
        <f t="shared" si="304"/>
        <v>0</v>
      </c>
      <c r="S493">
        <f t="shared" si="305"/>
        <v>33</v>
      </c>
      <c r="T493">
        <f t="shared" si="306"/>
        <v>27</v>
      </c>
      <c r="U493">
        <f t="shared" si="307"/>
        <v>11</v>
      </c>
      <c r="V493">
        <f t="shared" si="308"/>
        <v>12</v>
      </c>
      <c r="W493">
        <f t="shared" si="309"/>
        <v>62</v>
      </c>
      <c r="X493">
        <f t="shared" si="310"/>
        <v>47</v>
      </c>
      <c r="Y493">
        <f t="shared" si="311"/>
        <v>12</v>
      </c>
      <c r="Z493">
        <f t="shared" si="312"/>
        <v>7</v>
      </c>
      <c r="AA493">
        <f t="shared" si="313"/>
        <v>4</v>
      </c>
      <c r="AB493">
        <f t="shared" si="314"/>
        <v>2</v>
      </c>
      <c r="AC493">
        <f t="shared" si="315"/>
        <v>85</v>
      </c>
      <c r="AD493">
        <f t="shared" si="316"/>
        <v>0</v>
      </c>
      <c r="AF493">
        <f t="shared" si="317"/>
        <v>0</v>
      </c>
      <c r="AG493">
        <f t="shared" si="318"/>
        <v>0</v>
      </c>
      <c r="AH493">
        <f t="shared" si="319"/>
        <v>0</v>
      </c>
      <c r="AI493">
        <f t="shared" si="320"/>
        <v>0</v>
      </c>
      <c r="AJ493">
        <f t="shared" si="321"/>
        <v>0</v>
      </c>
      <c r="AK493">
        <f t="shared" si="322"/>
        <v>0</v>
      </c>
      <c r="AL493">
        <f t="shared" si="323"/>
        <v>0</v>
      </c>
      <c r="AM493">
        <f t="shared" si="324"/>
        <v>0</v>
      </c>
      <c r="AN493">
        <f t="shared" si="325"/>
        <v>0</v>
      </c>
      <c r="AO493">
        <f t="shared" si="326"/>
        <v>0</v>
      </c>
      <c r="AP493">
        <f t="shared" si="327"/>
        <v>0</v>
      </c>
      <c r="AQ493">
        <f t="shared" si="328"/>
        <v>0</v>
      </c>
    </row>
    <row r="494" spans="1:43" ht="15.5" x14ac:dyDescent="0.35">
      <c r="A494" s="51">
        <v>23</v>
      </c>
      <c r="B494" s="13" t="s">
        <v>381</v>
      </c>
      <c r="C494" s="17" t="s">
        <v>86</v>
      </c>
      <c r="D494" s="17" t="s">
        <v>60</v>
      </c>
      <c r="E494" s="19">
        <v>3279.0595177770761</v>
      </c>
      <c r="F494">
        <f t="shared" si="293"/>
        <v>0</v>
      </c>
      <c r="G494">
        <f t="shared" si="294"/>
        <v>0</v>
      </c>
      <c r="H494">
        <f t="shared" si="295"/>
        <v>0</v>
      </c>
      <c r="I494">
        <f t="shared" si="296"/>
        <v>0</v>
      </c>
      <c r="J494">
        <f t="shared" si="297"/>
        <v>3279.0595177770761</v>
      </c>
      <c r="K494">
        <f t="shared" si="298"/>
        <v>0</v>
      </c>
      <c r="L494">
        <f t="shared" si="299"/>
        <v>0</v>
      </c>
      <c r="M494">
        <f t="shared" si="300"/>
        <v>0</v>
      </c>
      <c r="N494">
        <f t="shared" si="301"/>
        <v>0</v>
      </c>
      <c r="O494">
        <f t="shared" si="302"/>
        <v>0</v>
      </c>
      <c r="P494">
        <f t="shared" si="303"/>
        <v>0</v>
      </c>
      <c r="Q494">
        <f t="shared" si="304"/>
        <v>0</v>
      </c>
      <c r="S494">
        <f t="shared" si="305"/>
        <v>33</v>
      </c>
      <c r="T494">
        <f t="shared" si="306"/>
        <v>27</v>
      </c>
      <c r="U494">
        <f t="shared" si="307"/>
        <v>11</v>
      </c>
      <c r="V494">
        <f t="shared" si="308"/>
        <v>12</v>
      </c>
      <c r="W494">
        <f t="shared" si="309"/>
        <v>62</v>
      </c>
      <c r="X494">
        <f t="shared" si="310"/>
        <v>46</v>
      </c>
      <c r="Y494">
        <f t="shared" si="311"/>
        <v>12</v>
      </c>
      <c r="Z494">
        <f t="shared" si="312"/>
        <v>7</v>
      </c>
      <c r="AA494">
        <f t="shared" si="313"/>
        <v>4</v>
      </c>
      <c r="AB494">
        <f t="shared" si="314"/>
        <v>2</v>
      </c>
      <c r="AC494">
        <f t="shared" si="315"/>
        <v>85</v>
      </c>
      <c r="AD494">
        <f t="shared" si="316"/>
        <v>0</v>
      </c>
      <c r="AF494">
        <f t="shared" si="317"/>
        <v>0</v>
      </c>
      <c r="AG494">
        <f t="shared" si="318"/>
        <v>0</v>
      </c>
      <c r="AH494">
        <f t="shared" si="319"/>
        <v>0</v>
      </c>
      <c r="AI494">
        <f t="shared" si="320"/>
        <v>0</v>
      </c>
      <c r="AJ494">
        <f t="shared" si="321"/>
        <v>0</v>
      </c>
      <c r="AK494">
        <f t="shared" si="322"/>
        <v>0</v>
      </c>
      <c r="AL494">
        <f t="shared" si="323"/>
        <v>0</v>
      </c>
      <c r="AM494">
        <f t="shared" si="324"/>
        <v>0</v>
      </c>
      <c r="AN494">
        <f t="shared" si="325"/>
        <v>0</v>
      </c>
      <c r="AO494">
        <f t="shared" si="326"/>
        <v>0</v>
      </c>
      <c r="AP494">
        <f t="shared" si="327"/>
        <v>0</v>
      </c>
      <c r="AQ494">
        <f t="shared" si="328"/>
        <v>0</v>
      </c>
    </row>
    <row r="495" spans="1:43" ht="15.5" x14ac:dyDescent="0.35">
      <c r="A495" s="51">
        <v>24</v>
      </c>
      <c r="B495" s="13" t="s">
        <v>381</v>
      </c>
      <c r="C495" s="51" t="s">
        <v>89</v>
      </c>
      <c r="D495" s="1" t="s">
        <v>228</v>
      </c>
      <c r="E495" s="19">
        <v>3263.6207964912282</v>
      </c>
      <c r="F495">
        <f t="shared" si="293"/>
        <v>0</v>
      </c>
      <c r="G495">
        <f t="shared" si="294"/>
        <v>0</v>
      </c>
      <c r="H495">
        <f t="shared" si="295"/>
        <v>0</v>
      </c>
      <c r="I495">
        <f t="shared" si="296"/>
        <v>0</v>
      </c>
      <c r="J495">
        <f t="shared" si="297"/>
        <v>0</v>
      </c>
      <c r="K495">
        <f t="shared" si="298"/>
        <v>0</v>
      </c>
      <c r="L495">
        <f t="shared" si="299"/>
        <v>0</v>
      </c>
      <c r="M495">
        <f t="shared" si="300"/>
        <v>0</v>
      </c>
      <c r="N495">
        <f t="shared" si="301"/>
        <v>0</v>
      </c>
      <c r="O495">
        <f t="shared" si="302"/>
        <v>0</v>
      </c>
      <c r="P495">
        <f t="shared" si="303"/>
        <v>3263.6207964912282</v>
      </c>
      <c r="Q495">
        <f t="shared" si="304"/>
        <v>0</v>
      </c>
      <c r="S495">
        <f t="shared" si="305"/>
        <v>33</v>
      </c>
      <c r="T495">
        <f t="shared" si="306"/>
        <v>27</v>
      </c>
      <c r="U495">
        <f t="shared" si="307"/>
        <v>11</v>
      </c>
      <c r="V495">
        <f t="shared" si="308"/>
        <v>12</v>
      </c>
      <c r="W495">
        <f t="shared" si="309"/>
        <v>61</v>
      </c>
      <c r="X495">
        <f t="shared" si="310"/>
        <v>46</v>
      </c>
      <c r="Y495">
        <f t="shared" si="311"/>
        <v>12</v>
      </c>
      <c r="Z495">
        <f t="shared" si="312"/>
        <v>7</v>
      </c>
      <c r="AA495">
        <f t="shared" si="313"/>
        <v>4</v>
      </c>
      <c r="AB495">
        <f t="shared" si="314"/>
        <v>2</v>
      </c>
      <c r="AC495">
        <f t="shared" si="315"/>
        <v>85</v>
      </c>
      <c r="AD495">
        <f t="shared" si="316"/>
        <v>0</v>
      </c>
      <c r="AF495">
        <f t="shared" si="317"/>
        <v>0</v>
      </c>
      <c r="AG495">
        <f t="shared" si="318"/>
        <v>0</v>
      </c>
      <c r="AH495">
        <f t="shared" si="319"/>
        <v>0</v>
      </c>
      <c r="AI495">
        <f t="shared" si="320"/>
        <v>0</v>
      </c>
      <c r="AJ495">
        <f t="shared" si="321"/>
        <v>0</v>
      </c>
      <c r="AK495">
        <f t="shared" si="322"/>
        <v>0</v>
      </c>
      <c r="AL495">
        <f t="shared" si="323"/>
        <v>0</v>
      </c>
      <c r="AM495">
        <f t="shared" si="324"/>
        <v>0</v>
      </c>
      <c r="AN495">
        <f t="shared" si="325"/>
        <v>0</v>
      </c>
      <c r="AO495">
        <f t="shared" si="326"/>
        <v>0</v>
      </c>
      <c r="AP495">
        <f t="shared" si="327"/>
        <v>0</v>
      </c>
      <c r="AQ495">
        <f t="shared" si="328"/>
        <v>0</v>
      </c>
    </row>
    <row r="496" spans="1:43" ht="15.5" x14ac:dyDescent="0.35">
      <c r="A496" s="51">
        <v>25</v>
      </c>
      <c r="B496" s="13" t="s">
        <v>381</v>
      </c>
      <c r="C496" s="1" t="s">
        <v>87</v>
      </c>
      <c r="D496" s="1" t="s">
        <v>80</v>
      </c>
      <c r="E496" s="19">
        <v>3414.3362236363641</v>
      </c>
      <c r="F496">
        <f t="shared" si="293"/>
        <v>0</v>
      </c>
      <c r="G496">
        <f t="shared" si="294"/>
        <v>0</v>
      </c>
      <c r="H496">
        <f t="shared" si="295"/>
        <v>3414.3362236363641</v>
      </c>
      <c r="I496">
        <f t="shared" si="296"/>
        <v>0</v>
      </c>
      <c r="J496">
        <f t="shared" si="297"/>
        <v>0</v>
      </c>
      <c r="K496">
        <f t="shared" si="298"/>
        <v>0</v>
      </c>
      <c r="L496">
        <f t="shared" si="299"/>
        <v>0</v>
      </c>
      <c r="M496">
        <f t="shared" si="300"/>
        <v>0</v>
      </c>
      <c r="N496">
        <f t="shared" si="301"/>
        <v>0</v>
      </c>
      <c r="O496">
        <f t="shared" si="302"/>
        <v>0</v>
      </c>
      <c r="P496">
        <f t="shared" si="303"/>
        <v>0</v>
      </c>
      <c r="Q496">
        <f t="shared" si="304"/>
        <v>0</v>
      </c>
      <c r="S496">
        <f t="shared" si="305"/>
        <v>33</v>
      </c>
      <c r="T496">
        <f t="shared" si="306"/>
        <v>27</v>
      </c>
      <c r="U496">
        <f t="shared" si="307"/>
        <v>11</v>
      </c>
      <c r="V496">
        <f t="shared" si="308"/>
        <v>12</v>
      </c>
      <c r="W496">
        <f t="shared" si="309"/>
        <v>61</v>
      </c>
      <c r="X496">
        <f t="shared" si="310"/>
        <v>46</v>
      </c>
      <c r="Y496">
        <f t="shared" si="311"/>
        <v>12</v>
      </c>
      <c r="Z496">
        <f t="shared" si="312"/>
        <v>7</v>
      </c>
      <c r="AA496">
        <f t="shared" si="313"/>
        <v>4</v>
      </c>
      <c r="AB496">
        <f t="shared" si="314"/>
        <v>2</v>
      </c>
      <c r="AC496">
        <f t="shared" si="315"/>
        <v>84</v>
      </c>
      <c r="AD496">
        <f t="shared" si="316"/>
        <v>0</v>
      </c>
      <c r="AF496">
        <f t="shared" si="317"/>
        <v>0</v>
      </c>
      <c r="AG496">
        <f t="shared" si="318"/>
        <v>0</v>
      </c>
      <c r="AH496">
        <f t="shared" si="319"/>
        <v>0</v>
      </c>
      <c r="AI496">
        <f t="shared" si="320"/>
        <v>0</v>
      </c>
      <c r="AJ496">
        <f t="shared" si="321"/>
        <v>0</v>
      </c>
      <c r="AK496">
        <f t="shared" si="322"/>
        <v>0</v>
      </c>
      <c r="AL496">
        <f t="shared" si="323"/>
        <v>0</v>
      </c>
      <c r="AM496">
        <f t="shared" si="324"/>
        <v>0</v>
      </c>
      <c r="AN496">
        <f t="shared" si="325"/>
        <v>0</v>
      </c>
      <c r="AO496">
        <f t="shared" si="326"/>
        <v>0</v>
      </c>
      <c r="AP496">
        <f t="shared" si="327"/>
        <v>0</v>
      </c>
      <c r="AQ496">
        <f t="shared" si="328"/>
        <v>0</v>
      </c>
    </row>
    <row r="497" spans="1:43" ht="15.5" x14ac:dyDescent="0.35">
      <c r="A497" s="51">
        <v>26</v>
      </c>
      <c r="B497" s="13" t="s">
        <v>382</v>
      </c>
      <c r="C497" s="1" t="s">
        <v>88</v>
      </c>
      <c r="D497" s="1" t="s">
        <v>54</v>
      </c>
      <c r="E497" s="70">
        <v>2361.6739086544535</v>
      </c>
      <c r="F497">
        <f t="shared" si="293"/>
        <v>0</v>
      </c>
      <c r="G497">
        <f t="shared" si="294"/>
        <v>0</v>
      </c>
      <c r="H497">
        <f t="shared" si="295"/>
        <v>0</v>
      </c>
      <c r="I497">
        <f t="shared" si="296"/>
        <v>0</v>
      </c>
      <c r="J497">
        <f t="shared" si="297"/>
        <v>0</v>
      </c>
      <c r="K497">
        <f t="shared" si="298"/>
        <v>2361.6739086544535</v>
      </c>
      <c r="L497">
        <f t="shared" si="299"/>
        <v>0</v>
      </c>
      <c r="M497">
        <f t="shared" si="300"/>
        <v>0</v>
      </c>
      <c r="N497">
        <f t="shared" si="301"/>
        <v>0</v>
      </c>
      <c r="O497">
        <f t="shared" si="302"/>
        <v>0</v>
      </c>
      <c r="P497">
        <f t="shared" si="303"/>
        <v>0</v>
      </c>
      <c r="Q497">
        <f t="shared" si="304"/>
        <v>0</v>
      </c>
      <c r="S497">
        <f t="shared" si="305"/>
        <v>33</v>
      </c>
      <c r="T497">
        <f t="shared" si="306"/>
        <v>27</v>
      </c>
      <c r="U497">
        <f t="shared" si="307"/>
        <v>10</v>
      </c>
      <c r="V497">
        <f t="shared" si="308"/>
        <v>12</v>
      </c>
      <c r="W497">
        <f t="shared" si="309"/>
        <v>61</v>
      </c>
      <c r="X497">
        <f t="shared" si="310"/>
        <v>46</v>
      </c>
      <c r="Y497">
        <f t="shared" si="311"/>
        <v>12</v>
      </c>
      <c r="Z497">
        <f t="shared" si="312"/>
        <v>7</v>
      </c>
      <c r="AA497">
        <f t="shared" si="313"/>
        <v>4</v>
      </c>
      <c r="AB497">
        <f t="shared" si="314"/>
        <v>2</v>
      </c>
      <c r="AC497">
        <f t="shared" si="315"/>
        <v>84</v>
      </c>
      <c r="AD497">
        <f t="shared" si="316"/>
        <v>0</v>
      </c>
      <c r="AF497">
        <f t="shared" si="317"/>
        <v>0</v>
      </c>
      <c r="AG497">
        <f t="shared" si="318"/>
        <v>0</v>
      </c>
      <c r="AH497">
        <f t="shared" si="319"/>
        <v>0</v>
      </c>
      <c r="AI497">
        <f t="shared" si="320"/>
        <v>0</v>
      </c>
      <c r="AJ497">
        <f t="shared" si="321"/>
        <v>0</v>
      </c>
      <c r="AK497">
        <f t="shared" si="322"/>
        <v>0</v>
      </c>
      <c r="AL497">
        <f t="shared" si="323"/>
        <v>0</v>
      </c>
      <c r="AM497">
        <f t="shared" si="324"/>
        <v>0</v>
      </c>
      <c r="AN497">
        <f t="shared" si="325"/>
        <v>0</v>
      </c>
      <c r="AO497">
        <f t="shared" si="326"/>
        <v>0</v>
      </c>
      <c r="AP497">
        <f t="shared" si="327"/>
        <v>0</v>
      </c>
      <c r="AQ497">
        <f t="shared" si="328"/>
        <v>0</v>
      </c>
    </row>
    <row r="498" spans="1:43" ht="15.5" x14ac:dyDescent="0.35">
      <c r="A498" s="51">
        <v>27</v>
      </c>
      <c r="B498" s="13" t="s">
        <v>382</v>
      </c>
      <c r="C498" s="1" t="s">
        <v>91</v>
      </c>
      <c r="D498" s="1" t="s">
        <v>54</v>
      </c>
      <c r="E498" s="19">
        <v>3320.6208859719441</v>
      </c>
      <c r="F498">
        <f t="shared" si="293"/>
        <v>0</v>
      </c>
      <c r="G498">
        <f t="shared" si="294"/>
        <v>0</v>
      </c>
      <c r="H498">
        <f t="shared" si="295"/>
        <v>0</v>
      </c>
      <c r="I498">
        <f t="shared" si="296"/>
        <v>0</v>
      </c>
      <c r="J498">
        <f t="shared" si="297"/>
        <v>0</v>
      </c>
      <c r="K498">
        <f t="shared" si="298"/>
        <v>3320.6208859719441</v>
      </c>
      <c r="L498">
        <f t="shared" si="299"/>
        <v>0</v>
      </c>
      <c r="M498">
        <f t="shared" si="300"/>
        <v>0</v>
      </c>
      <c r="N498">
        <f t="shared" si="301"/>
        <v>0</v>
      </c>
      <c r="O498">
        <f t="shared" si="302"/>
        <v>0</v>
      </c>
      <c r="P498">
        <f t="shared" si="303"/>
        <v>0</v>
      </c>
      <c r="Q498">
        <f t="shared" si="304"/>
        <v>0</v>
      </c>
      <c r="S498">
        <f t="shared" si="305"/>
        <v>33</v>
      </c>
      <c r="T498">
        <f t="shared" si="306"/>
        <v>27</v>
      </c>
      <c r="U498">
        <f t="shared" si="307"/>
        <v>10</v>
      </c>
      <c r="V498">
        <f t="shared" si="308"/>
        <v>12</v>
      </c>
      <c r="W498">
        <f t="shared" si="309"/>
        <v>61</v>
      </c>
      <c r="X498">
        <f t="shared" si="310"/>
        <v>45</v>
      </c>
      <c r="Y498">
        <f t="shared" si="311"/>
        <v>12</v>
      </c>
      <c r="Z498">
        <f t="shared" si="312"/>
        <v>7</v>
      </c>
      <c r="AA498">
        <f t="shared" si="313"/>
        <v>4</v>
      </c>
      <c r="AB498">
        <f t="shared" si="314"/>
        <v>2</v>
      </c>
      <c r="AC498">
        <f t="shared" si="315"/>
        <v>84</v>
      </c>
      <c r="AD498">
        <f t="shared" si="316"/>
        <v>0</v>
      </c>
      <c r="AF498">
        <f t="shared" si="317"/>
        <v>0</v>
      </c>
      <c r="AG498">
        <f t="shared" si="318"/>
        <v>0</v>
      </c>
      <c r="AH498">
        <f t="shared" si="319"/>
        <v>0</v>
      </c>
      <c r="AI498">
        <f t="shared" si="320"/>
        <v>0</v>
      </c>
      <c r="AJ498">
        <f t="shared" si="321"/>
        <v>0</v>
      </c>
      <c r="AK498">
        <f t="shared" si="322"/>
        <v>0</v>
      </c>
      <c r="AL498">
        <f t="shared" si="323"/>
        <v>0</v>
      </c>
      <c r="AM498">
        <f t="shared" si="324"/>
        <v>0</v>
      </c>
      <c r="AN498">
        <f t="shared" si="325"/>
        <v>0</v>
      </c>
      <c r="AO498">
        <f t="shared" si="326"/>
        <v>0</v>
      </c>
      <c r="AP498">
        <f t="shared" si="327"/>
        <v>0</v>
      </c>
      <c r="AQ498">
        <f t="shared" si="328"/>
        <v>0</v>
      </c>
    </row>
    <row r="499" spans="1:43" ht="15.5" x14ac:dyDescent="0.35">
      <c r="A499" s="51">
        <v>28</v>
      </c>
      <c r="B499" s="13" t="s">
        <v>382</v>
      </c>
      <c r="C499" s="17" t="s">
        <v>92</v>
      </c>
      <c r="D499" s="1" t="s">
        <v>228</v>
      </c>
      <c r="E499" s="19">
        <v>3321.1121202224781</v>
      </c>
      <c r="F499">
        <f t="shared" si="293"/>
        <v>0</v>
      </c>
      <c r="G499">
        <f t="shared" si="294"/>
        <v>0</v>
      </c>
      <c r="H499">
        <f t="shared" si="295"/>
        <v>0</v>
      </c>
      <c r="I499">
        <f t="shared" si="296"/>
        <v>0</v>
      </c>
      <c r="J499">
        <f t="shared" si="297"/>
        <v>0</v>
      </c>
      <c r="K499">
        <f t="shared" si="298"/>
        <v>0</v>
      </c>
      <c r="L499">
        <f t="shared" si="299"/>
        <v>0</v>
      </c>
      <c r="M499">
        <f t="shared" si="300"/>
        <v>0</v>
      </c>
      <c r="N499">
        <f t="shared" si="301"/>
        <v>0</v>
      </c>
      <c r="O499">
        <f t="shared" si="302"/>
        <v>0</v>
      </c>
      <c r="P499">
        <f t="shared" si="303"/>
        <v>3321.1121202224781</v>
      </c>
      <c r="Q499">
        <f t="shared" si="304"/>
        <v>0</v>
      </c>
      <c r="S499">
        <f t="shared" si="305"/>
        <v>33</v>
      </c>
      <c r="T499">
        <f t="shared" si="306"/>
        <v>27</v>
      </c>
      <c r="U499">
        <f t="shared" si="307"/>
        <v>10</v>
      </c>
      <c r="V499">
        <f t="shared" si="308"/>
        <v>12</v>
      </c>
      <c r="W499">
        <f t="shared" si="309"/>
        <v>61</v>
      </c>
      <c r="X499">
        <f t="shared" si="310"/>
        <v>44</v>
      </c>
      <c r="Y499">
        <f t="shared" si="311"/>
        <v>12</v>
      </c>
      <c r="Z499">
        <f t="shared" si="312"/>
        <v>7</v>
      </c>
      <c r="AA499">
        <f t="shared" si="313"/>
        <v>4</v>
      </c>
      <c r="AB499">
        <f t="shared" si="314"/>
        <v>2</v>
      </c>
      <c r="AC499">
        <f t="shared" si="315"/>
        <v>84</v>
      </c>
      <c r="AD499">
        <f t="shared" si="316"/>
        <v>0</v>
      </c>
      <c r="AF499">
        <f t="shared" si="317"/>
        <v>0</v>
      </c>
      <c r="AG499">
        <f t="shared" si="318"/>
        <v>0</v>
      </c>
      <c r="AH499">
        <f t="shared" si="319"/>
        <v>0</v>
      </c>
      <c r="AI499">
        <f t="shared" si="320"/>
        <v>0</v>
      </c>
      <c r="AJ499">
        <f t="shared" si="321"/>
        <v>0</v>
      </c>
      <c r="AK499">
        <f t="shared" si="322"/>
        <v>0</v>
      </c>
      <c r="AL499">
        <f t="shared" si="323"/>
        <v>0</v>
      </c>
      <c r="AM499">
        <f t="shared" si="324"/>
        <v>0</v>
      </c>
      <c r="AN499">
        <f t="shared" si="325"/>
        <v>0</v>
      </c>
      <c r="AO499">
        <f t="shared" si="326"/>
        <v>0</v>
      </c>
      <c r="AP499">
        <f t="shared" si="327"/>
        <v>0</v>
      </c>
      <c r="AQ499">
        <f t="shared" si="328"/>
        <v>0</v>
      </c>
    </row>
    <row r="500" spans="1:43" ht="15.5" x14ac:dyDescent="0.35">
      <c r="A500" s="51">
        <v>29</v>
      </c>
      <c r="B500" s="13" t="s">
        <v>383</v>
      </c>
      <c r="C500" s="51" t="s">
        <v>95</v>
      </c>
      <c r="D500" s="1" t="s">
        <v>228</v>
      </c>
      <c r="E500" s="19">
        <v>3521.5633998109643</v>
      </c>
      <c r="F500">
        <f t="shared" si="293"/>
        <v>0</v>
      </c>
      <c r="G500">
        <f t="shared" si="294"/>
        <v>0</v>
      </c>
      <c r="H500">
        <f t="shared" si="295"/>
        <v>0</v>
      </c>
      <c r="I500">
        <f t="shared" si="296"/>
        <v>0</v>
      </c>
      <c r="J500">
        <f t="shared" si="297"/>
        <v>0</v>
      </c>
      <c r="K500">
        <f t="shared" si="298"/>
        <v>0</v>
      </c>
      <c r="L500">
        <f t="shared" si="299"/>
        <v>0</v>
      </c>
      <c r="M500">
        <f t="shared" si="300"/>
        <v>0</v>
      </c>
      <c r="N500">
        <f t="shared" si="301"/>
        <v>0</v>
      </c>
      <c r="O500">
        <f t="shared" si="302"/>
        <v>0</v>
      </c>
      <c r="P500">
        <f t="shared" si="303"/>
        <v>3521.5633998109643</v>
      </c>
      <c r="Q500">
        <f t="shared" si="304"/>
        <v>0</v>
      </c>
      <c r="S500">
        <f t="shared" si="305"/>
        <v>33</v>
      </c>
      <c r="T500">
        <f t="shared" si="306"/>
        <v>27</v>
      </c>
      <c r="U500">
        <f t="shared" si="307"/>
        <v>10</v>
      </c>
      <c r="V500">
        <f t="shared" si="308"/>
        <v>12</v>
      </c>
      <c r="W500">
        <f t="shared" si="309"/>
        <v>61</v>
      </c>
      <c r="X500">
        <f t="shared" si="310"/>
        <v>44</v>
      </c>
      <c r="Y500">
        <f t="shared" si="311"/>
        <v>12</v>
      </c>
      <c r="Z500">
        <f t="shared" si="312"/>
        <v>7</v>
      </c>
      <c r="AA500">
        <f t="shared" si="313"/>
        <v>4</v>
      </c>
      <c r="AB500">
        <f t="shared" si="314"/>
        <v>2</v>
      </c>
      <c r="AC500">
        <f t="shared" si="315"/>
        <v>83</v>
      </c>
      <c r="AD500">
        <f t="shared" si="316"/>
        <v>0</v>
      </c>
      <c r="AF500">
        <f t="shared" si="317"/>
        <v>0</v>
      </c>
      <c r="AG500">
        <f t="shared" si="318"/>
        <v>0</v>
      </c>
      <c r="AH500">
        <f t="shared" si="319"/>
        <v>0</v>
      </c>
      <c r="AI500">
        <f t="shared" si="320"/>
        <v>0</v>
      </c>
      <c r="AJ500">
        <f t="shared" si="321"/>
        <v>0</v>
      </c>
      <c r="AK500">
        <f t="shared" si="322"/>
        <v>0</v>
      </c>
      <c r="AL500">
        <f t="shared" si="323"/>
        <v>0</v>
      </c>
      <c r="AM500">
        <f t="shared" si="324"/>
        <v>0</v>
      </c>
      <c r="AN500">
        <f t="shared" si="325"/>
        <v>0</v>
      </c>
      <c r="AO500">
        <f t="shared" si="326"/>
        <v>0</v>
      </c>
      <c r="AP500">
        <f t="shared" si="327"/>
        <v>0</v>
      </c>
      <c r="AQ500">
        <f t="shared" si="328"/>
        <v>0</v>
      </c>
    </row>
    <row r="501" spans="1:43" ht="15.5" x14ac:dyDescent="0.35">
      <c r="A501" s="51">
        <v>30</v>
      </c>
      <c r="B501" s="13" t="s">
        <v>383</v>
      </c>
      <c r="C501" s="17" t="s">
        <v>93</v>
      </c>
      <c r="D501" s="17" t="s">
        <v>54</v>
      </c>
      <c r="E501" s="19">
        <v>3423.5031177653159</v>
      </c>
      <c r="F501">
        <f t="shared" si="293"/>
        <v>0</v>
      </c>
      <c r="G501">
        <f t="shared" si="294"/>
        <v>0</v>
      </c>
      <c r="H501">
        <f t="shared" si="295"/>
        <v>0</v>
      </c>
      <c r="I501">
        <f t="shared" si="296"/>
        <v>0</v>
      </c>
      <c r="J501">
        <f t="shared" si="297"/>
        <v>0</v>
      </c>
      <c r="K501">
        <f t="shared" si="298"/>
        <v>3423.5031177653159</v>
      </c>
      <c r="L501">
        <f t="shared" si="299"/>
        <v>0</v>
      </c>
      <c r="M501">
        <f t="shared" si="300"/>
        <v>0</v>
      </c>
      <c r="N501">
        <f t="shared" si="301"/>
        <v>0</v>
      </c>
      <c r="O501">
        <f t="shared" si="302"/>
        <v>0</v>
      </c>
      <c r="P501">
        <f t="shared" si="303"/>
        <v>0</v>
      </c>
      <c r="Q501">
        <f t="shared" si="304"/>
        <v>0</v>
      </c>
      <c r="S501">
        <f t="shared" si="305"/>
        <v>33</v>
      </c>
      <c r="T501">
        <f t="shared" si="306"/>
        <v>27</v>
      </c>
      <c r="U501">
        <f t="shared" si="307"/>
        <v>10</v>
      </c>
      <c r="V501">
        <f t="shared" si="308"/>
        <v>12</v>
      </c>
      <c r="W501">
        <f t="shared" si="309"/>
        <v>61</v>
      </c>
      <c r="X501">
        <f t="shared" si="310"/>
        <v>44</v>
      </c>
      <c r="Y501">
        <f t="shared" si="311"/>
        <v>12</v>
      </c>
      <c r="Z501">
        <f t="shared" si="312"/>
        <v>7</v>
      </c>
      <c r="AA501">
        <f t="shared" si="313"/>
        <v>4</v>
      </c>
      <c r="AB501">
        <f t="shared" si="314"/>
        <v>2</v>
      </c>
      <c r="AC501">
        <f t="shared" si="315"/>
        <v>82</v>
      </c>
      <c r="AD501">
        <f t="shared" si="316"/>
        <v>0</v>
      </c>
      <c r="AF501">
        <f t="shared" si="317"/>
        <v>0</v>
      </c>
      <c r="AG501">
        <f t="shared" si="318"/>
        <v>0</v>
      </c>
      <c r="AH501">
        <f t="shared" si="319"/>
        <v>0</v>
      </c>
      <c r="AI501">
        <f t="shared" si="320"/>
        <v>0</v>
      </c>
      <c r="AJ501">
        <f t="shared" si="321"/>
        <v>0</v>
      </c>
      <c r="AK501">
        <f t="shared" si="322"/>
        <v>0</v>
      </c>
      <c r="AL501">
        <f t="shared" si="323"/>
        <v>0</v>
      </c>
      <c r="AM501">
        <f t="shared" si="324"/>
        <v>0</v>
      </c>
      <c r="AN501">
        <f t="shared" si="325"/>
        <v>0</v>
      </c>
      <c r="AO501">
        <f t="shared" si="326"/>
        <v>0</v>
      </c>
      <c r="AP501">
        <f t="shared" si="327"/>
        <v>0</v>
      </c>
      <c r="AQ501">
        <f t="shared" si="328"/>
        <v>0</v>
      </c>
    </row>
    <row r="502" spans="1:43" ht="15.5" x14ac:dyDescent="0.35">
      <c r="A502" s="51">
        <v>31</v>
      </c>
      <c r="B502" s="13" t="s">
        <v>383</v>
      </c>
      <c r="C502" s="51" t="s">
        <v>97</v>
      </c>
      <c r="D502" s="1" t="s">
        <v>67</v>
      </c>
      <c r="E502" s="70">
        <v>2449.4627576923076</v>
      </c>
      <c r="F502">
        <f t="shared" si="293"/>
        <v>0</v>
      </c>
      <c r="G502">
        <f t="shared" si="294"/>
        <v>0</v>
      </c>
      <c r="H502">
        <f t="shared" si="295"/>
        <v>0</v>
      </c>
      <c r="I502">
        <f t="shared" si="296"/>
        <v>2449.4627576923076</v>
      </c>
      <c r="J502">
        <f t="shared" si="297"/>
        <v>0</v>
      </c>
      <c r="K502">
        <f t="shared" si="298"/>
        <v>0</v>
      </c>
      <c r="L502">
        <f t="shared" si="299"/>
        <v>0</v>
      </c>
      <c r="M502">
        <f t="shared" si="300"/>
        <v>0</v>
      </c>
      <c r="N502">
        <f t="shared" si="301"/>
        <v>0</v>
      </c>
      <c r="O502">
        <f t="shared" si="302"/>
        <v>0</v>
      </c>
      <c r="P502">
        <f t="shared" si="303"/>
        <v>0</v>
      </c>
      <c r="Q502">
        <f t="shared" si="304"/>
        <v>0</v>
      </c>
      <c r="S502">
        <f t="shared" si="305"/>
        <v>33</v>
      </c>
      <c r="T502">
        <f t="shared" si="306"/>
        <v>27</v>
      </c>
      <c r="U502">
        <f t="shared" si="307"/>
        <v>10</v>
      </c>
      <c r="V502">
        <f t="shared" si="308"/>
        <v>12</v>
      </c>
      <c r="W502">
        <f t="shared" si="309"/>
        <v>61</v>
      </c>
      <c r="X502">
        <f t="shared" si="310"/>
        <v>43</v>
      </c>
      <c r="Y502">
        <f t="shared" si="311"/>
        <v>12</v>
      </c>
      <c r="Z502">
        <f t="shared" si="312"/>
        <v>7</v>
      </c>
      <c r="AA502">
        <f t="shared" si="313"/>
        <v>4</v>
      </c>
      <c r="AB502">
        <f t="shared" si="314"/>
        <v>2</v>
      </c>
      <c r="AC502">
        <f t="shared" si="315"/>
        <v>82</v>
      </c>
      <c r="AD502">
        <f t="shared" si="316"/>
        <v>0</v>
      </c>
      <c r="AF502">
        <f t="shared" si="317"/>
        <v>0</v>
      </c>
      <c r="AG502">
        <f t="shared" si="318"/>
        <v>0</v>
      </c>
      <c r="AH502">
        <f t="shared" si="319"/>
        <v>0</v>
      </c>
      <c r="AI502">
        <f t="shared" si="320"/>
        <v>0</v>
      </c>
      <c r="AJ502">
        <f t="shared" si="321"/>
        <v>0</v>
      </c>
      <c r="AK502">
        <f t="shared" si="322"/>
        <v>0</v>
      </c>
      <c r="AL502">
        <f t="shared" si="323"/>
        <v>0</v>
      </c>
      <c r="AM502">
        <f t="shared" si="324"/>
        <v>0</v>
      </c>
      <c r="AN502">
        <f t="shared" si="325"/>
        <v>0</v>
      </c>
      <c r="AO502">
        <f t="shared" si="326"/>
        <v>0</v>
      </c>
      <c r="AP502">
        <f t="shared" si="327"/>
        <v>0</v>
      </c>
      <c r="AQ502">
        <f t="shared" si="328"/>
        <v>0</v>
      </c>
    </row>
    <row r="503" spans="1:43" ht="15.5" x14ac:dyDescent="0.35">
      <c r="A503" s="51">
        <v>32</v>
      </c>
      <c r="B503" s="13" t="s">
        <v>384</v>
      </c>
      <c r="C503" s="1" t="s">
        <v>99</v>
      </c>
      <c r="D503" s="1" t="s">
        <v>60</v>
      </c>
      <c r="E503" s="19">
        <v>2921.9262987804873</v>
      </c>
      <c r="F503">
        <f t="shared" si="293"/>
        <v>0</v>
      </c>
      <c r="G503">
        <f t="shared" si="294"/>
        <v>0</v>
      </c>
      <c r="H503">
        <f t="shared" si="295"/>
        <v>0</v>
      </c>
      <c r="I503">
        <f t="shared" si="296"/>
        <v>0</v>
      </c>
      <c r="J503">
        <f t="shared" si="297"/>
        <v>2921.9262987804873</v>
      </c>
      <c r="K503">
        <f t="shared" si="298"/>
        <v>0</v>
      </c>
      <c r="L503">
        <f t="shared" si="299"/>
        <v>0</v>
      </c>
      <c r="M503">
        <f t="shared" si="300"/>
        <v>0</v>
      </c>
      <c r="N503">
        <f t="shared" si="301"/>
        <v>0</v>
      </c>
      <c r="O503">
        <f t="shared" si="302"/>
        <v>0</v>
      </c>
      <c r="P503">
        <f t="shared" si="303"/>
        <v>0</v>
      </c>
      <c r="Q503">
        <f t="shared" si="304"/>
        <v>0</v>
      </c>
      <c r="S503">
        <f t="shared" si="305"/>
        <v>33</v>
      </c>
      <c r="T503">
        <f t="shared" si="306"/>
        <v>27</v>
      </c>
      <c r="U503">
        <f t="shared" si="307"/>
        <v>10</v>
      </c>
      <c r="V503">
        <f t="shared" si="308"/>
        <v>11</v>
      </c>
      <c r="W503">
        <f t="shared" si="309"/>
        <v>61</v>
      </c>
      <c r="X503">
        <f t="shared" si="310"/>
        <v>43</v>
      </c>
      <c r="Y503">
        <f t="shared" si="311"/>
        <v>12</v>
      </c>
      <c r="Z503">
        <f t="shared" si="312"/>
        <v>7</v>
      </c>
      <c r="AA503">
        <f t="shared" si="313"/>
        <v>4</v>
      </c>
      <c r="AB503">
        <f t="shared" si="314"/>
        <v>2</v>
      </c>
      <c r="AC503">
        <f t="shared" si="315"/>
        <v>82</v>
      </c>
      <c r="AD503">
        <f t="shared" si="316"/>
        <v>0</v>
      </c>
      <c r="AF503">
        <f t="shared" si="317"/>
        <v>0</v>
      </c>
      <c r="AG503">
        <f t="shared" si="318"/>
        <v>0</v>
      </c>
      <c r="AH503">
        <f t="shared" si="319"/>
        <v>0</v>
      </c>
      <c r="AI503">
        <f t="shared" si="320"/>
        <v>0</v>
      </c>
      <c r="AJ503">
        <f t="shared" si="321"/>
        <v>0</v>
      </c>
      <c r="AK503">
        <f t="shared" si="322"/>
        <v>0</v>
      </c>
      <c r="AL503">
        <f t="shared" si="323"/>
        <v>0</v>
      </c>
      <c r="AM503">
        <f t="shared" si="324"/>
        <v>0</v>
      </c>
      <c r="AN503">
        <f t="shared" si="325"/>
        <v>0</v>
      </c>
      <c r="AO503">
        <f t="shared" si="326"/>
        <v>0</v>
      </c>
      <c r="AP503">
        <f t="shared" si="327"/>
        <v>0</v>
      </c>
      <c r="AQ503">
        <f t="shared" si="328"/>
        <v>0</v>
      </c>
    </row>
    <row r="504" spans="1:43" ht="15.5" x14ac:dyDescent="0.35">
      <c r="A504" s="51">
        <v>33</v>
      </c>
      <c r="B504" s="13" t="s">
        <v>384</v>
      </c>
      <c r="C504" s="17" t="s">
        <v>98</v>
      </c>
      <c r="D504" s="17" t="s">
        <v>67</v>
      </c>
      <c r="E504" s="19">
        <v>3160.517565109948</v>
      </c>
      <c r="F504">
        <f t="shared" si="293"/>
        <v>0</v>
      </c>
      <c r="G504">
        <f t="shared" si="294"/>
        <v>0</v>
      </c>
      <c r="H504">
        <f t="shared" si="295"/>
        <v>0</v>
      </c>
      <c r="I504">
        <f t="shared" si="296"/>
        <v>3160.517565109948</v>
      </c>
      <c r="J504">
        <f t="shared" si="297"/>
        <v>0</v>
      </c>
      <c r="K504">
        <f t="shared" si="298"/>
        <v>0</v>
      </c>
      <c r="L504">
        <f t="shared" si="299"/>
        <v>0</v>
      </c>
      <c r="M504">
        <f t="shared" si="300"/>
        <v>0</v>
      </c>
      <c r="N504">
        <f t="shared" si="301"/>
        <v>0</v>
      </c>
      <c r="O504">
        <f t="shared" si="302"/>
        <v>0</v>
      </c>
      <c r="P504">
        <f t="shared" si="303"/>
        <v>0</v>
      </c>
      <c r="Q504">
        <f t="shared" si="304"/>
        <v>0</v>
      </c>
      <c r="S504">
        <f t="shared" si="305"/>
        <v>33</v>
      </c>
      <c r="T504">
        <f t="shared" si="306"/>
        <v>27</v>
      </c>
      <c r="U504">
        <f t="shared" si="307"/>
        <v>10</v>
      </c>
      <c r="V504">
        <f t="shared" si="308"/>
        <v>11</v>
      </c>
      <c r="W504">
        <f t="shared" si="309"/>
        <v>60</v>
      </c>
      <c r="X504">
        <f t="shared" si="310"/>
        <v>43</v>
      </c>
      <c r="Y504">
        <f t="shared" si="311"/>
        <v>12</v>
      </c>
      <c r="Z504">
        <f t="shared" si="312"/>
        <v>7</v>
      </c>
      <c r="AA504">
        <f t="shared" si="313"/>
        <v>4</v>
      </c>
      <c r="AB504">
        <f t="shared" si="314"/>
        <v>2</v>
      </c>
      <c r="AC504">
        <f t="shared" si="315"/>
        <v>82</v>
      </c>
      <c r="AD504">
        <f t="shared" si="316"/>
        <v>0</v>
      </c>
      <c r="AF504">
        <f t="shared" si="317"/>
        <v>0</v>
      </c>
      <c r="AG504">
        <f t="shared" si="318"/>
        <v>0</v>
      </c>
      <c r="AH504">
        <f t="shared" si="319"/>
        <v>0</v>
      </c>
      <c r="AI504">
        <f t="shared" si="320"/>
        <v>0</v>
      </c>
      <c r="AJ504">
        <f t="shared" si="321"/>
        <v>0</v>
      </c>
      <c r="AK504">
        <f t="shared" si="322"/>
        <v>0</v>
      </c>
      <c r="AL504">
        <f t="shared" si="323"/>
        <v>0</v>
      </c>
      <c r="AM504">
        <f t="shared" si="324"/>
        <v>0</v>
      </c>
      <c r="AN504">
        <f t="shared" si="325"/>
        <v>0</v>
      </c>
      <c r="AO504">
        <f t="shared" si="326"/>
        <v>0</v>
      </c>
      <c r="AP504">
        <f t="shared" si="327"/>
        <v>0</v>
      </c>
      <c r="AQ504">
        <f t="shared" si="328"/>
        <v>0</v>
      </c>
    </row>
    <row r="505" spans="1:43" ht="15.5" x14ac:dyDescent="0.35">
      <c r="A505" s="51">
        <v>34</v>
      </c>
      <c r="B505" s="13" t="s">
        <v>384</v>
      </c>
      <c r="C505" s="51" t="s">
        <v>101</v>
      </c>
      <c r="D505" s="1" t="s">
        <v>76</v>
      </c>
      <c r="E505" s="19">
        <v>3066.963525792477</v>
      </c>
      <c r="F505">
        <f t="shared" si="293"/>
        <v>3066.963525792477</v>
      </c>
      <c r="G505">
        <f t="shared" si="294"/>
        <v>0</v>
      </c>
      <c r="H505">
        <f t="shared" si="295"/>
        <v>0</v>
      </c>
      <c r="I505">
        <f t="shared" si="296"/>
        <v>0</v>
      </c>
      <c r="J505">
        <f t="shared" si="297"/>
        <v>0</v>
      </c>
      <c r="K505">
        <f t="shared" si="298"/>
        <v>0</v>
      </c>
      <c r="L505">
        <f t="shared" si="299"/>
        <v>0</v>
      </c>
      <c r="M505">
        <f t="shared" si="300"/>
        <v>0</v>
      </c>
      <c r="N505">
        <f t="shared" si="301"/>
        <v>0</v>
      </c>
      <c r="O505">
        <f t="shared" si="302"/>
        <v>0</v>
      </c>
      <c r="P505">
        <f t="shared" si="303"/>
        <v>0</v>
      </c>
      <c r="Q505">
        <f t="shared" si="304"/>
        <v>0</v>
      </c>
      <c r="S505">
        <f t="shared" si="305"/>
        <v>33</v>
      </c>
      <c r="T505">
        <f t="shared" si="306"/>
        <v>27</v>
      </c>
      <c r="U505">
        <f t="shared" si="307"/>
        <v>10</v>
      </c>
      <c r="V505">
        <f t="shared" si="308"/>
        <v>10</v>
      </c>
      <c r="W505">
        <f t="shared" si="309"/>
        <v>60</v>
      </c>
      <c r="X505">
        <f t="shared" si="310"/>
        <v>43</v>
      </c>
      <c r="Y505">
        <f t="shared" si="311"/>
        <v>12</v>
      </c>
      <c r="Z505">
        <f t="shared" si="312"/>
        <v>7</v>
      </c>
      <c r="AA505">
        <f t="shared" si="313"/>
        <v>4</v>
      </c>
      <c r="AB505">
        <f t="shared" si="314"/>
        <v>2</v>
      </c>
      <c r="AC505">
        <f t="shared" si="315"/>
        <v>82</v>
      </c>
      <c r="AD505">
        <f t="shared" si="316"/>
        <v>0</v>
      </c>
      <c r="AF505">
        <f t="shared" si="317"/>
        <v>0</v>
      </c>
      <c r="AG505">
        <f t="shared" si="318"/>
        <v>0</v>
      </c>
      <c r="AH505">
        <f t="shared" si="319"/>
        <v>0</v>
      </c>
      <c r="AI505">
        <f t="shared" si="320"/>
        <v>0</v>
      </c>
      <c r="AJ505">
        <f t="shared" si="321"/>
        <v>0</v>
      </c>
      <c r="AK505">
        <f t="shared" si="322"/>
        <v>0</v>
      </c>
      <c r="AL505">
        <f t="shared" si="323"/>
        <v>0</v>
      </c>
      <c r="AM505">
        <f t="shared" si="324"/>
        <v>0</v>
      </c>
      <c r="AN505">
        <f t="shared" si="325"/>
        <v>0</v>
      </c>
      <c r="AO505">
        <f t="shared" si="326"/>
        <v>0</v>
      </c>
      <c r="AP505">
        <f t="shared" si="327"/>
        <v>0</v>
      </c>
      <c r="AQ505">
        <f t="shared" si="328"/>
        <v>0</v>
      </c>
    </row>
    <row r="506" spans="1:43" ht="15.5" x14ac:dyDescent="0.35">
      <c r="A506" s="51">
        <v>35</v>
      </c>
      <c r="B506" s="13" t="s">
        <v>384</v>
      </c>
      <c r="C506" s="1" t="s">
        <v>105</v>
      </c>
      <c r="D506" s="1" t="s">
        <v>60</v>
      </c>
      <c r="E506" s="19">
        <v>2871.6092510082544</v>
      </c>
      <c r="F506">
        <f t="shared" si="293"/>
        <v>0</v>
      </c>
      <c r="G506">
        <f t="shared" si="294"/>
        <v>0</v>
      </c>
      <c r="H506">
        <f t="shared" si="295"/>
        <v>0</v>
      </c>
      <c r="I506">
        <f t="shared" si="296"/>
        <v>0</v>
      </c>
      <c r="J506">
        <f t="shared" si="297"/>
        <v>2871.6092510082544</v>
      </c>
      <c r="K506">
        <f t="shared" si="298"/>
        <v>0</v>
      </c>
      <c r="L506">
        <f t="shared" si="299"/>
        <v>0</v>
      </c>
      <c r="M506">
        <f t="shared" si="300"/>
        <v>0</v>
      </c>
      <c r="N506">
        <f t="shared" si="301"/>
        <v>0</v>
      </c>
      <c r="O506">
        <f t="shared" si="302"/>
        <v>0</v>
      </c>
      <c r="P506">
        <f t="shared" si="303"/>
        <v>0</v>
      </c>
      <c r="Q506">
        <f t="shared" si="304"/>
        <v>0</v>
      </c>
      <c r="S506">
        <f t="shared" si="305"/>
        <v>32</v>
      </c>
      <c r="T506">
        <f t="shared" si="306"/>
        <v>27</v>
      </c>
      <c r="U506">
        <f t="shared" si="307"/>
        <v>10</v>
      </c>
      <c r="V506">
        <f t="shared" si="308"/>
        <v>10</v>
      </c>
      <c r="W506">
        <f t="shared" si="309"/>
        <v>60</v>
      </c>
      <c r="X506">
        <f t="shared" si="310"/>
        <v>43</v>
      </c>
      <c r="Y506">
        <f t="shared" si="311"/>
        <v>12</v>
      </c>
      <c r="Z506">
        <f t="shared" si="312"/>
        <v>7</v>
      </c>
      <c r="AA506">
        <f t="shared" si="313"/>
        <v>4</v>
      </c>
      <c r="AB506">
        <f t="shared" si="314"/>
        <v>2</v>
      </c>
      <c r="AC506">
        <f t="shared" si="315"/>
        <v>82</v>
      </c>
      <c r="AD506">
        <f t="shared" si="316"/>
        <v>0</v>
      </c>
      <c r="AF506">
        <f t="shared" si="317"/>
        <v>0</v>
      </c>
      <c r="AG506">
        <f t="shared" si="318"/>
        <v>0</v>
      </c>
      <c r="AH506">
        <f t="shared" si="319"/>
        <v>0</v>
      </c>
      <c r="AI506">
        <f t="shared" si="320"/>
        <v>0</v>
      </c>
      <c r="AJ506">
        <f t="shared" si="321"/>
        <v>0</v>
      </c>
      <c r="AK506">
        <f t="shared" si="322"/>
        <v>0</v>
      </c>
      <c r="AL506">
        <f t="shared" si="323"/>
        <v>0</v>
      </c>
      <c r="AM506">
        <f t="shared" si="324"/>
        <v>0</v>
      </c>
      <c r="AN506">
        <f t="shared" si="325"/>
        <v>0</v>
      </c>
      <c r="AO506">
        <f t="shared" si="326"/>
        <v>0</v>
      </c>
      <c r="AP506">
        <f t="shared" si="327"/>
        <v>0</v>
      </c>
      <c r="AQ506">
        <f t="shared" si="328"/>
        <v>0</v>
      </c>
    </row>
    <row r="507" spans="1:43" ht="15.5" x14ac:dyDescent="0.35">
      <c r="A507" s="51">
        <v>36</v>
      </c>
      <c r="B507" s="13" t="s">
        <v>385</v>
      </c>
      <c r="C507" s="1" t="s">
        <v>104</v>
      </c>
      <c r="D507" s="1" t="s">
        <v>228</v>
      </c>
      <c r="E507" s="19">
        <v>3384.4516572516659</v>
      </c>
      <c r="F507">
        <f t="shared" si="293"/>
        <v>0</v>
      </c>
      <c r="G507">
        <f t="shared" si="294"/>
        <v>0</v>
      </c>
      <c r="H507">
        <f t="shared" si="295"/>
        <v>0</v>
      </c>
      <c r="I507">
        <f t="shared" si="296"/>
        <v>0</v>
      </c>
      <c r="J507">
        <f t="shared" si="297"/>
        <v>0</v>
      </c>
      <c r="K507">
        <f t="shared" si="298"/>
        <v>0</v>
      </c>
      <c r="L507">
        <f t="shared" si="299"/>
        <v>0</v>
      </c>
      <c r="M507">
        <f t="shared" si="300"/>
        <v>0</v>
      </c>
      <c r="N507">
        <f t="shared" si="301"/>
        <v>0</v>
      </c>
      <c r="O507">
        <f t="shared" si="302"/>
        <v>0</v>
      </c>
      <c r="P507">
        <f t="shared" si="303"/>
        <v>3384.4516572516659</v>
      </c>
      <c r="Q507">
        <f t="shared" si="304"/>
        <v>0</v>
      </c>
      <c r="S507">
        <f t="shared" si="305"/>
        <v>32</v>
      </c>
      <c r="T507">
        <f t="shared" si="306"/>
        <v>27</v>
      </c>
      <c r="U507">
        <f t="shared" si="307"/>
        <v>10</v>
      </c>
      <c r="V507">
        <f t="shared" si="308"/>
        <v>10</v>
      </c>
      <c r="W507">
        <f t="shared" si="309"/>
        <v>59</v>
      </c>
      <c r="X507">
        <f t="shared" si="310"/>
        <v>43</v>
      </c>
      <c r="Y507">
        <f t="shared" si="311"/>
        <v>12</v>
      </c>
      <c r="Z507">
        <f t="shared" si="312"/>
        <v>7</v>
      </c>
      <c r="AA507">
        <f t="shared" si="313"/>
        <v>4</v>
      </c>
      <c r="AB507">
        <f t="shared" si="314"/>
        <v>2</v>
      </c>
      <c r="AC507">
        <f t="shared" si="315"/>
        <v>82</v>
      </c>
      <c r="AD507">
        <f t="shared" si="316"/>
        <v>0</v>
      </c>
      <c r="AF507">
        <f t="shared" si="317"/>
        <v>0</v>
      </c>
      <c r="AG507">
        <f t="shared" si="318"/>
        <v>0</v>
      </c>
      <c r="AH507">
        <f t="shared" si="319"/>
        <v>0</v>
      </c>
      <c r="AI507">
        <f t="shared" si="320"/>
        <v>0</v>
      </c>
      <c r="AJ507">
        <f t="shared" si="321"/>
        <v>0</v>
      </c>
      <c r="AK507">
        <f t="shared" si="322"/>
        <v>0</v>
      </c>
      <c r="AL507">
        <f t="shared" si="323"/>
        <v>0</v>
      </c>
      <c r="AM507">
        <f t="shared" si="324"/>
        <v>0</v>
      </c>
      <c r="AN507">
        <f t="shared" si="325"/>
        <v>0</v>
      </c>
      <c r="AO507">
        <f t="shared" si="326"/>
        <v>0</v>
      </c>
      <c r="AP507">
        <f t="shared" si="327"/>
        <v>0</v>
      </c>
      <c r="AQ507">
        <f t="shared" si="328"/>
        <v>0</v>
      </c>
    </row>
    <row r="508" spans="1:43" ht="15.5" x14ac:dyDescent="0.35">
      <c r="A508" s="51">
        <v>37</v>
      </c>
      <c r="B508" s="13" t="s">
        <v>385</v>
      </c>
      <c r="C508" s="17" t="s">
        <v>103</v>
      </c>
      <c r="D508" s="1" t="s">
        <v>60</v>
      </c>
      <c r="E508" s="68">
        <v>3354</v>
      </c>
      <c r="F508">
        <f t="shared" si="293"/>
        <v>0</v>
      </c>
      <c r="G508">
        <f t="shared" si="294"/>
        <v>0</v>
      </c>
      <c r="H508">
        <f t="shared" si="295"/>
        <v>0</v>
      </c>
      <c r="I508">
        <f t="shared" si="296"/>
        <v>0</v>
      </c>
      <c r="J508">
        <f t="shared" si="297"/>
        <v>3354</v>
      </c>
      <c r="K508">
        <f t="shared" si="298"/>
        <v>0</v>
      </c>
      <c r="L508">
        <f t="shared" si="299"/>
        <v>0</v>
      </c>
      <c r="M508">
        <f t="shared" si="300"/>
        <v>0</v>
      </c>
      <c r="N508">
        <f t="shared" si="301"/>
        <v>0</v>
      </c>
      <c r="O508">
        <f t="shared" si="302"/>
        <v>0</v>
      </c>
      <c r="P508">
        <f t="shared" si="303"/>
        <v>0</v>
      </c>
      <c r="Q508">
        <f t="shared" si="304"/>
        <v>0</v>
      </c>
      <c r="S508">
        <f t="shared" si="305"/>
        <v>32</v>
      </c>
      <c r="T508">
        <f t="shared" si="306"/>
        <v>27</v>
      </c>
      <c r="U508">
        <f t="shared" si="307"/>
        <v>10</v>
      </c>
      <c r="V508">
        <f t="shared" si="308"/>
        <v>10</v>
      </c>
      <c r="W508">
        <f t="shared" si="309"/>
        <v>59</v>
      </c>
      <c r="X508">
        <f t="shared" si="310"/>
        <v>43</v>
      </c>
      <c r="Y508">
        <f t="shared" si="311"/>
        <v>12</v>
      </c>
      <c r="Z508">
        <f t="shared" si="312"/>
        <v>7</v>
      </c>
      <c r="AA508">
        <f t="shared" si="313"/>
        <v>4</v>
      </c>
      <c r="AB508">
        <f t="shared" si="314"/>
        <v>2</v>
      </c>
      <c r="AC508">
        <f t="shared" si="315"/>
        <v>81</v>
      </c>
      <c r="AD508">
        <f t="shared" si="316"/>
        <v>0</v>
      </c>
      <c r="AF508">
        <f t="shared" si="317"/>
        <v>0</v>
      </c>
      <c r="AG508">
        <f t="shared" si="318"/>
        <v>0</v>
      </c>
      <c r="AH508">
        <f t="shared" si="319"/>
        <v>0</v>
      </c>
      <c r="AI508">
        <f t="shared" si="320"/>
        <v>0</v>
      </c>
      <c r="AJ508">
        <f t="shared" si="321"/>
        <v>0</v>
      </c>
      <c r="AK508">
        <f t="shared" si="322"/>
        <v>0</v>
      </c>
      <c r="AL508">
        <f t="shared" si="323"/>
        <v>0</v>
      </c>
      <c r="AM508">
        <f t="shared" si="324"/>
        <v>0</v>
      </c>
      <c r="AN508">
        <f t="shared" si="325"/>
        <v>0</v>
      </c>
      <c r="AO508">
        <f t="shared" si="326"/>
        <v>0</v>
      </c>
      <c r="AP508">
        <f t="shared" si="327"/>
        <v>0</v>
      </c>
      <c r="AQ508">
        <f t="shared" si="328"/>
        <v>0</v>
      </c>
    </row>
    <row r="509" spans="1:43" ht="15.5" x14ac:dyDescent="0.35">
      <c r="A509" s="51">
        <v>38</v>
      </c>
      <c r="B509" s="13" t="s">
        <v>386</v>
      </c>
      <c r="C509" s="17" t="s">
        <v>107</v>
      </c>
      <c r="D509" s="17" t="s">
        <v>80</v>
      </c>
      <c r="E509" s="70">
        <v>2301.7108833949119</v>
      </c>
      <c r="F509">
        <f t="shared" si="293"/>
        <v>0</v>
      </c>
      <c r="G509">
        <f t="shared" si="294"/>
        <v>0</v>
      </c>
      <c r="H509">
        <f t="shared" si="295"/>
        <v>2301.7108833949119</v>
      </c>
      <c r="I509">
        <f t="shared" si="296"/>
        <v>0</v>
      </c>
      <c r="J509">
        <f t="shared" si="297"/>
        <v>0</v>
      </c>
      <c r="K509">
        <f t="shared" si="298"/>
        <v>0</v>
      </c>
      <c r="L509">
        <f t="shared" si="299"/>
        <v>0</v>
      </c>
      <c r="M509">
        <f t="shared" si="300"/>
        <v>0</v>
      </c>
      <c r="N509">
        <f t="shared" si="301"/>
        <v>0</v>
      </c>
      <c r="O509">
        <f t="shared" si="302"/>
        <v>0</v>
      </c>
      <c r="P509">
        <f t="shared" si="303"/>
        <v>0</v>
      </c>
      <c r="Q509">
        <f t="shared" si="304"/>
        <v>0</v>
      </c>
      <c r="S509">
        <f t="shared" si="305"/>
        <v>32</v>
      </c>
      <c r="T509">
        <f t="shared" si="306"/>
        <v>27</v>
      </c>
      <c r="U509">
        <f t="shared" si="307"/>
        <v>10</v>
      </c>
      <c r="V509">
        <f t="shared" si="308"/>
        <v>10</v>
      </c>
      <c r="W509">
        <f t="shared" si="309"/>
        <v>58</v>
      </c>
      <c r="X509">
        <f t="shared" si="310"/>
        <v>43</v>
      </c>
      <c r="Y509">
        <f t="shared" si="311"/>
        <v>12</v>
      </c>
      <c r="Z509">
        <f t="shared" si="312"/>
        <v>7</v>
      </c>
      <c r="AA509">
        <f t="shared" si="313"/>
        <v>4</v>
      </c>
      <c r="AB509">
        <f t="shared" si="314"/>
        <v>2</v>
      </c>
      <c r="AC509">
        <f t="shared" si="315"/>
        <v>81</v>
      </c>
      <c r="AD509">
        <f t="shared" si="316"/>
        <v>0</v>
      </c>
      <c r="AF509">
        <f t="shared" si="317"/>
        <v>0</v>
      </c>
      <c r="AG509">
        <f t="shared" si="318"/>
        <v>0</v>
      </c>
      <c r="AH509">
        <f t="shared" si="319"/>
        <v>2301.7108833949119</v>
      </c>
      <c r="AI509">
        <f t="shared" si="320"/>
        <v>0</v>
      </c>
      <c r="AJ509">
        <f t="shared" si="321"/>
        <v>0</v>
      </c>
      <c r="AK509">
        <f t="shared" si="322"/>
        <v>0</v>
      </c>
      <c r="AL509">
        <f t="shared" si="323"/>
        <v>0</v>
      </c>
      <c r="AM509">
        <f t="shared" si="324"/>
        <v>0</v>
      </c>
      <c r="AN509">
        <f t="shared" si="325"/>
        <v>0</v>
      </c>
      <c r="AO509">
        <f t="shared" si="326"/>
        <v>0</v>
      </c>
      <c r="AP509">
        <f t="shared" si="327"/>
        <v>0</v>
      </c>
      <c r="AQ509">
        <f t="shared" si="328"/>
        <v>0</v>
      </c>
    </row>
    <row r="510" spans="1:43" ht="15.5" x14ac:dyDescent="0.35">
      <c r="A510" s="51">
        <v>39</v>
      </c>
      <c r="B510" s="13" t="s">
        <v>386</v>
      </c>
      <c r="C510" s="1" t="s">
        <v>108</v>
      </c>
      <c r="D510" s="1" t="s">
        <v>228</v>
      </c>
      <c r="E510" s="19">
        <v>3457.8345912009263</v>
      </c>
      <c r="F510">
        <f t="shared" si="293"/>
        <v>0</v>
      </c>
      <c r="G510">
        <f t="shared" si="294"/>
        <v>0</v>
      </c>
      <c r="H510">
        <f t="shared" si="295"/>
        <v>0</v>
      </c>
      <c r="I510">
        <f t="shared" si="296"/>
        <v>0</v>
      </c>
      <c r="J510">
        <f t="shared" si="297"/>
        <v>0</v>
      </c>
      <c r="K510">
        <f t="shared" si="298"/>
        <v>0</v>
      </c>
      <c r="L510">
        <f t="shared" si="299"/>
        <v>0</v>
      </c>
      <c r="M510">
        <f t="shared" si="300"/>
        <v>0</v>
      </c>
      <c r="N510">
        <f t="shared" si="301"/>
        <v>0</v>
      </c>
      <c r="O510">
        <f t="shared" si="302"/>
        <v>0</v>
      </c>
      <c r="P510">
        <f t="shared" si="303"/>
        <v>3457.8345912009263</v>
      </c>
      <c r="Q510">
        <f t="shared" si="304"/>
        <v>0</v>
      </c>
      <c r="S510">
        <f t="shared" si="305"/>
        <v>32</v>
      </c>
      <c r="T510">
        <f t="shared" si="306"/>
        <v>27</v>
      </c>
      <c r="U510">
        <f t="shared" si="307"/>
        <v>9</v>
      </c>
      <c r="V510">
        <f t="shared" si="308"/>
        <v>10</v>
      </c>
      <c r="W510">
        <f t="shared" si="309"/>
        <v>58</v>
      </c>
      <c r="X510">
        <f t="shared" si="310"/>
        <v>43</v>
      </c>
      <c r="Y510">
        <f t="shared" si="311"/>
        <v>12</v>
      </c>
      <c r="Z510">
        <f t="shared" si="312"/>
        <v>7</v>
      </c>
      <c r="AA510">
        <f t="shared" si="313"/>
        <v>4</v>
      </c>
      <c r="AB510">
        <f t="shared" si="314"/>
        <v>2</v>
      </c>
      <c r="AC510">
        <f t="shared" si="315"/>
        <v>81</v>
      </c>
      <c r="AD510">
        <f t="shared" si="316"/>
        <v>0</v>
      </c>
      <c r="AF510">
        <f t="shared" si="317"/>
        <v>0</v>
      </c>
      <c r="AG510">
        <f t="shared" si="318"/>
        <v>0</v>
      </c>
      <c r="AH510">
        <f t="shared" si="319"/>
        <v>0</v>
      </c>
      <c r="AI510">
        <f t="shared" si="320"/>
        <v>0</v>
      </c>
      <c r="AJ510">
        <f t="shared" si="321"/>
        <v>0</v>
      </c>
      <c r="AK510">
        <f t="shared" si="322"/>
        <v>0</v>
      </c>
      <c r="AL510">
        <f t="shared" si="323"/>
        <v>0</v>
      </c>
      <c r="AM510">
        <f t="shared" si="324"/>
        <v>0</v>
      </c>
      <c r="AN510">
        <f t="shared" si="325"/>
        <v>0</v>
      </c>
      <c r="AO510">
        <f t="shared" si="326"/>
        <v>0</v>
      </c>
      <c r="AP510">
        <f t="shared" si="327"/>
        <v>0</v>
      </c>
      <c r="AQ510">
        <f t="shared" si="328"/>
        <v>0</v>
      </c>
    </row>
    <row r="511" spans="1:43" ht="15.5" x14ac:dyDescent="0.35">
      <c r="A511" s="51">
        <v>40</v>
      </c>
      <c r="B511" s="13" t="s">
        <v>386</v>
      </c>
      <c r="C511" s="1" t="s">
        <v>109</v>
      </c>
      <c r="D511" s="1" t="s">
        <v>60</v>
      </c>
      <c r="E511" s="19">
        <v>2776.046503720881</v>
      </c>
      <c r="F511">
        <f t="shared" si="293"/>
        <v>0</v>
      </c>
      <c r="G511">
        <f t="shared" si="294"/>
        <v>0</v>
      </c>
      <c r="H511">
        <f t="shared" si="295"/>
        <v>0</v>
      </c>
      <c r="I511">
        <f t="shared" si="296"/>
        <v>0</v>
      </c>
      <c r="J511">
        <f t="shared" si="297"/>
        <v>2776.046503720881</v>
      </c>
      <c r="K511">
        <f t="shared" si="298"/>
        <v>0</v>
      </c>
      <c r="L511">
        <f t="shared" si="299"/>
        <v>0</v>
      </c>
      <c r="M511">
        <f t="shared" si="300"/>
        <v>0</v>
      </c>
      <c r="N511">
        <f t="shared" si="301"/>
        <v>0</v>
      </c>
      <c r="O511">
        <f t="shared" si="302"/>
        <v>0</v>
      </c>
      <c r="P511">
        <f t="shared" si="303"/>
        <v>0</v>
      </c>
      <c r="Q511">
        <f t="shared" si="304"/>
        <v>0</v>
      </c>
      <c r="S511">
        <f t="shared" si="305"/>
        <v>32</v>
      </c>
      <c r="T511">
        <f t="shared" si="306"/>
        <v>27</v>
      </c>
      <c r="U511">
        <f t="shared" si="307"/>
        <v>9</v>
      </c>
      <c r="V511">
        <f t="shared" si="308"/>
        <v>10</v>
      </c>
      <c r="W511">
        <f t="shared" si="309"/>
        <v>58</v>
      </c>
      <c r="X511">
        <f t="shared" si="310"/>
        <v>43</v>
      </c>
      <c r="Y511">
        <f t="shared" si="311"/>
        <v>12</v>
      </c>
      <c r="Z511">
        <f t="shared" si="312"/>
        <v>7</v>
      </c>
      <c r="AA511">
        <f t="shared" si="313"/>
        <v>4</v>
      </c>
      <c r="AB511">
        <f t="shared" si="314"/>
        <v>2</v>
      </c>
      <c r="AC511">
        <f t="shared" si="315"/>
        <v>80</v>
      </c>
      <c r="AD511">
        <f t="shared" si="316"/>
        <v>0</v>
      </c>
      <c r="AF511">
        <f t="shared" si="317"/>
        <v>0</v>
      </c>
      <c r="AG511">
        <f t="shared" si="318"/>
        <v>0</v>
      </c>
      <c r="AH511">
        <f t="shared" si="319"/>
        <v>0</v>
      </c>
      <c r="AI511">
        <f t="shared" si="320"/>
        <v>0</v>
      </c>
      <c r="AJ511">
        <f t="shared" si="321"/>
        <v>0</v>
      </c>
      <c r="AK511">
        <f t="shared" si="322"/>
        <v>0</v>
      </c>
      <c r="AL511">
        <f t="shared" si="323"/>
        <v>0</v>
      </c>
      <c r="AM511">
        <f t="shared" si="324"/>
        <v>0</v>
      </c>
      <c r="AN511">
        <f t="shared" si="325"/>
        <v>0</v>
      </c>
      <c r="AO511">
        <f t="shared" si="326"/>
        <v>0</v>
      </c>
      <c r="AP511">
        <f t="shared" si="327"/>
        <v>0</v>
      </c>
      <c r="AQ511">
        <f t="shared" si="328"/>
        <v>0</v>
      </c>
    </row>
    <row r="512" spans="1:43" ht="15.5" x14ac:dyDescent="0.35">
      <c r="A512" s="51">
        <v>41</v>
      </c>
      <c r="B512" s="13" t="s">
        <v>387</v>
      </c>
      <c r="C512" s="1" t="s">
        <v>112</v>
      </c>
      <c r="D512" s="1" t="s">
        <v>228</v>
      </c>
      <c r="E512" s="19">
        <v>3166.1420168067225</v>
      </c>
      <c r="F512">
        <f t="shared" si="293"/>
        <v>0</v>
      </c>
      <c r="G512">
        <f t="shared" si="294"/>
        <v>0</v>
      </c>
      <c r="H512">
        <f t="shared" si="295"/>
        <v>0</v>
      </c>
      <c r="I512">
        <f t="shared" si="296"/>
        <v>0</v>
      </c>
      <c r="J512">
        <f t="shared" si="297"/>
        <v>0</v>
      </c>
      <c r="K512">
        <f t="shared" si="298"/>
        <v>0</v>
      </c>
      <c r="L512">
        <f t="shared" si="299"/>
        <v>0</v>
      </c>
      <c r="M512">
        <f t="shared" si="300"/>
        <v>0</v>
      </c>
      <c r="N512">
        <f t="shared" si="301"/>
        <v>0</v>
      </c>
      <c r="O512">
        <f t="shared" si="302"/>
        <v>0</v>
      </c>
      <c r="P512">
        <f t="shared" si="303"/>
        <v>3166.1420168067225</v>
      </c>
      <c r="Q512">
        <f t="shared" si="304"/>
        <v>0</v>
      </c>
      <c r="S512">
        <f t="shared" si="305"/>
        <v>32</v>
      </c>
      <c r="T512">
        <f t="shared" si="306"/>
        <v>27</v>
      </c>
      <c r="U512">
        <f t="shared" si="307"/>
        <v>9</v>
      </c>
      <c r="V512">
        <f t="shared" si="308"/>
        <v>10</v>
      </c>
      <c r="W512">
        <f t="shared" si="309"/>
        <v>57</v>
      </c>
      <c r="X512">
        <f t="shared" si="310"/>
        <v>43</v>
      </c>
      <c r="Y512">
        <f t="shared" si="311"/>
        <v>12</v>
      </c>
      <c r="Z512">
        <f t="shared" si="312"/>
        <v>7</v>
      </c>
      <c r="AA512">
        <f t="shared" si="313"/>
        <v>4</v>
      </c>
      <c r="AB512">
        <f t="shared" si="314"/>
        <v>2</v>
      </c>
      <c r="AC512">
        <f t="shared" si="315"/>
        <v>80</v>
      </c>
      <c r="AD512">
        <f t="shared" si="316"/>
        <v>0</v>
      </c>
      <c r="AF512">
        <f t="shared" si="317"/>
        <v>0</v>
      </c>
      <c r="AG512">
        <f t="shared" si="318"/>
        <v>0</v>
      </c>
      <c r="AH512">
        <f t="shared" si="319"/>
        <v>0</v>
      </c>
      <c r="AI512">
        <f t="shared" si="320"/>
        <v>0</v>
      </c>
      <c r="AJ512">
        <f t="shared" si="321"/>
        <v>0</v>
      </c>
      <c r="AK512">
        <f t="shared" si="322"/>
        <v>0</v>
      </c>
      <c r="AL512">
        <f t="shared" si="323"/>
        <v>0</v>
      </c>
      <c r="AM512">
        <f t="shared" si="324"/>
        <v>0</v>
      </c>
      <c r="AN512">
        <f t="shared" si="325"/>
        <v>0</v>
      </c>
      <c r="AO512">
        <f t="shared" si="326"/>
        <v>0</v>
      </c>
      <c r="AP512">
        <f t="shared" si="327"/>
        <v>0</v>
      </c>
      <c r="AQ512">
        <f t="shared" si="328"/>
        <v>0</v>
      </c>
    </row>
    <row r="513" spans="1:43" ht="15.5" x14ac:dyDescent="0.35">
      <c r="A513" s="51">
        <v>42</v>
      </c>
      <c r="B513" s="13" t="s">
        <v>387</v>
      </c>
      <c r="C513" s="17" t="s">
        <v>111</v>
      </c>
      <c r="D513" s="17" t="s">
        <v>54</v>
      </c>
      <c r="E513" s="70">
        <v>2512.2469117802989</v>
      </c>
      <c r="F513">
        <f t="shared" si="293"/>
        <v>0</v>
      </c>
      <c r="G513">
        <f t="shared" si="294"/>
        <v>0</v>
      </c>
      <c r="H513">
        <f t="shared" si="295"/>
        <v>0</v>
      </c>
      <c r="I513">
        <f t="shared" si="296"/>
        <v>0</v>
      </c>
      <c r="J513">
        <f t="shared" si="297"/>
        <v>0</v>
      </c>
      <c r="K513">
        <f t="shared" si="298"/>
        <v>2512.2469117802989</v>
      </c>
      <c r="L513">
        <f t="shared" si="299"/>
        <v>0</v>
      </c>
      <c r="M513">
        <f t="shared" si="300"/>
        <v>0</v>
      </c>
      <c r="N513">
        <f t="shared" si="301"/>
        <v>0</v>
      </c>
      <c r="O513">
        <f t="shared" si="302"/>
        <v>0</v>
      </c>
      <c r="P513">
        <f t="shared" si="303"/>
        <v>0</v>
      </c>
      <c r="Q513">
        <f t="shared" si="304"/>
        <v>0</v>
      </c>
      <c r="S513">
        <f t="shared" si="305"/>
        <v>32</v>
      </c>
      <c r="T513">
        <f t="shared" si="306"/>
        <v>27</v>
      </c>
      <c r="U513">
        <f t="shared" si="307"/>
        <v>9</v>
      </c>
      <c r="V513">
        <f t="shared" si="308"/>
        <v>10</v>
      </c>
      <c r="W513">
        <f t="shared" si="309"/>
        <v>57</v>
      </c>
      <c r="X513">
        <f t="shared" si="310"/>
        <v>43</v>
      </c>
      <c r="Y513">
        <f t="shared" si="311"/>
        <v>12</v>
      </c>
      <c r="Z513">
        <f t="shared" si="312"/>
        <v>7</v>
      </c>
      <c r="AA513">
        <f t="shared" si="313"/>
        <v>4</v>
      </c>
      <c r="AB513">
        <f t="shared" si="314"/>
        <v>2</v>
      </c>
      <c r="AC513">
        <f t="shared" si="315"/>
        <v>79</v>
      </c>
      <c r="AD513">
        <f t="shared" si="316"/>
        <v>0</v>
      </c>
      <c r="AF513">
        <f t="shared" si="317"/>
        <v>0</v>
      </c>
      <c r="AG513">
        <f t="shared" si="318"/>
        <v>0</v>
      </c>
      <c r="AH513">
        <f t="shared" si="319"/>
        <v>0</v>
      </c>
      <c r="AI513">
        <f t="shared" si="320"/>
        <v>0</v>
      </c>
      <c r="AJ513">
        <f t="shared" si="321"/>
        <v>0</v>
      </c>
      <c r="AK513">
        <f t="shared" si="322"/>
        <v>0</v>
      </c>
      <c r="AL513">
        <f t="shared" si="323"/>
        <v>0</v>
      </c>
      <c r="AM513">
        <f t="shared" si="324"/>
        <v>0</v>
      </c>
      <c r="AN513">
        <f t="shared" si="325"/>
        <v>0</v>
      </c>
      <c r="AO513">
        <f t="shared" si="326"/>
        <v>0</v>
      </c>
      <c r="AP513">
        <f t="shared" si="327"/>
        <v>0</v>
      </c>
      <c r="AQ513">
        <f t="shared" si="328"/>
        <v>0</v>
      </c>
    </row>
    <row r="514" spans="1:43" ht="15.5" x14ac:dyDescent="0.35">
      <c r="A514" s="51">
        <v>43</v>
      </c>
      <c r="B514" s="13" t="s">
        <v>387</v>
      </c>
      <c r="C514" s="1" t="s">
        <v>113</v>
      </c>
      <c r="D514" s="1" t="s">
        <v>57</v>
      </c>
      <c r="E514" s="19">
        <v>2945.6126178329814</v>
      </c>
      <c r="F514">
        <f t="shared" si="293"/>
        <v>0</v>
      </c>
      <c r="G514">
        <f t="shared" si="294"/>
        <v>0</v>
      </c>
      <c r="H514">
        <f t="shared" si="295"/>
        <v>0</v>
      </c>
      <c r="I514">
        <f t="shared" si="296"/>
        <v>0</v>
      </c>
      <c r="J514">
        <f t="shared" si="297"/>
        <v>0</v>
      </c>
      <c r="K514">
        <f t="shared" si="298"/>
        <v>0</v>
      </c>
      <c r="L514">
        <f t="shared" si="299"/>
        <v>0</v>
      </c>
      <c r="M514">
        <f t="shared" si="300"/>
        <v>2945.6126178329814</v>
      </c>
      <c r="N514">
        <f t="shared" si="301"/>
        <v>0</v>
      </c>
      <c r="O514">
        <f t="shared" si="302"/>
        <v>0</v>
      </c>
      <c r="P514">
        <f t="shared" si="303"/>
        <v>0</v>
      </c>
      <c r="Q514">
        <f t="shared" si="304"/>
        <v>0</v>
      </c>
      <c r="S514">
        <f t="shared" si="305"/>
        <v>32</v>
      </c>
      <c r="T514">
        <f t="shared" si="306"/>
        <v>27</v>
      </c>
      <c r="U514">
        <f t="shared" si="307"/>
        <v>9</v>
      </c>
      <c r="V514">
        <f t="shared" si="308"/>
        <v>10</v>
      </c>
      <c r="W514">
        <f t="shared" si="309"/>
        <v>57</v>
      </c>
      <c r="X514">
        <f t="shared" si="310"/>
        <v>42</v>
      </c>
      <c r="Y514">
        <f t="shared" si="311"/>
        <v>12</v>
      </c>
      <c r="Z514">
        <f t="shared" si="312"/>
        <v>7</v>
      </c>
      <c r="AA514">
        <f t="shared" si="313"/>
        <v>4</v>
      </c>
      <c r="AB514">
        <f t="shared" si="314"/>
        <v>2</v>
      </c>
      <c r="AC514">
        <f t="shared" si="315"/>
        <v>79</v>
      </c>
      <c r="AD514">
        <f t="shared" si="316"/>
        <v>0</v>
      </c>
      <c r="AF514">
        <f t="shared" si="317"/>
        <v>0</v>
      </c>
      <c r="AG514">
        <f t="shared" si="318"/>
        <v>0</v>
      </c>
      <c r="AH514">
        <f t="shared" si="319"/>
        <v>0</v>
      </c>
      <c r="AI514">
        <f t="shared" si="320"/>
        <v>0</v>
      </c>
      <c r="AJ514">
        <f t="shared" si="321"/>
        <v>0</v>
      </c>
      <c r="AK514">
        <f t="shared" si="322"/>
        <v>0</v>
      </c>
      <c r="AL514">
        <f t="shared" si="323"/>
        <v>0</v>
      </c>
      <c r="AM514">
        <f t="shared" si="324"/>
        <v>2945.6126178329814</v>
      </c>
      <c r="AN514">
        <f t="shared" si="325"/>
        <v>0</v>
      </c>
      <c r="AO514">
        <f t="shared" si="326"/>
        <v>0</v>
      </c>
      <c r="AP514">
        <f t="shared" si="327"/>
        <v>0</v>
      </c>
      <c r="AQ514">
        <f t="shared" si="328"/>
        <v>0</v>
      </c>
    </row>
    <row r="515" spans="1:43" ht="15.5" x14ac:dyDescent="0.35">
      <c r="A515" s="51">
        <v>44</v>
      </c>
      <c r="B515" s="13" t="s">
        <v>388</v>
      </c>
      <c r="C515" s="17" t="s">
        <v>117</v>
      </c>
      <c r="D515" s="17" t="s">
        <v>80</v>
      </c>
      <c r="E515" s="19">
        <v>3331.4935293742697</v>
      </c>
      <c r="F515">
        <f t="shared" si="293"/>
        <v>0</v>
      </c>
      <c r="G515">
        <f t="shared" si="294"/>
        <v>0</v>
      </c>
      <c r="H515">
        <f t="shared" si="295"/>
        <v>3331.4935293742697</v>
      </c>
      <c r="I515">
        <f t="shared" si="296"/>
        <v>0</v>
      </c>
      <c r="J515">
        <f t="shared" si="297"/>
        <v>0</v>
      </c>
      <c r="K515">
        <f t="shared" si="298"/>
        <v>0</v>
      </c>
      <c r="L515">
        <f t="shared" si="299"/>
        <v>0</v>
      </c>
      <c r="M515">
        <f t="shared" si="300"/>
        <v>0</v>
      </c>
      <c r="N515">
        <f t="shared" si="301"/>
        <v>0</v>
      </c>
      <c r="O515">
        <f t="shared" si="302"/>
        <v>0</v>
      </c>
      <c r="P515">
        <f t="shared" si="303"/>
        <v>0</v>
      </c>
      <c r="Q515">
        <f t="shared" si="304"/>
        <v>0</v>
      </c>
      <c r="S515">
        <f t="shared" si="305"/>
        <v>32</v>
      </c>
      <c r="T515">
        <f t="shared" si="306"/>
        <v>27</v>
      </c>
      <c r="U515">
        <f t="shared" si="307"/>
        <v>9</v>
      </c>
      <c r="V515">
        <f t="shared" si="308"/>
        <v>10</v>
      </c>
      <c r="W515">
        <f t="shared" si="309"/>
        <v>57</v>
      </c>
      <c r="X515">
        <f t="shared" si="310"/>
        <v>42</v>
      </c>
      <c r="Y515">
        <f t="shared" si="311"/>
        <v>12</v>
      </c>
      <c r="Z515">
        <f t="shared" si="312"/>
        <v>6</v>
      </c>
      <c r="AA515">
        <f t="shared" si="313"/>
        <v>4</v>
      </c>
      <c r="AB515">
        <f t="shared" si="314"/>
        <v>2</v>
      </c>
      <c r="AC515">
        <f t="shared" si="315"/>
        <v>79</v>
      </c>
      <c r="AD515">
        <f t="shared" si="316"/>
        <v>0</v>
      </c>
      <c r="AF515">
        <f t="shared" si="317"/>
        <v>0</v>
      </c>
      <c r="AG515">
        <f t="shared" si="318"/>
        <v>0</v>
      </c>
      <c r="AH515">
        <f t="shared" si="319"/>
        <v>3331.4935293742697</v>
      </c>
      <c r="AI515">
        <f t="shared" si="320"/>
        <v>0</v>
      </c>
      <c r="AJ515">
        <f t="shared" si="321"/>
        <v>0</v>
      </c>
      <c r="AK515">
        <f t="shared" si="322"/>
        <v>0</v>
      </c>
      <c r="AL515">
        <f t="shared" si="323"/>
        <v>0</v>
      </c>
      <c r="AM515">
        <f t="shared" si="324"/>
        <v>0</v>
      </c>
      <c r="AN515">
        <f t="shared" si="325"/>
        <v>0</v>
      </c>
      <c r="AO515">
        <f t="shared" si="326"/>
        <v>0</v>
      </c>
      <c r="AP515">
        <f t="shared" si="327"/>
        <v>0</v>
      </c>
      <c r="AQ515">
        <f t="shared" si="328"/>
        <v>0</v>
      </c>
    </row>
    <row r="516" spans="1:43" ht="15.5" x14ac:dyDescent="0.35">
      <c r="A516" s="51">
        <v>45</v>
      </c>
      <c r="B516" s="13" t="s">
        <v>388</v>
      </c>
      <c r="C516" s="17" t="s">
        <v>115</v>
      </c>
      <c r="D516" s="17" t="s">
        <v>94</v>
      </c>
      <c r="E516" s="19">
        <v>2714.9724623032753</v>
      </c>
      <c r="F516">
        <f t="shared" si="293"/>
        <v>0</v>
      </c>
      <c r="G516">
        <f t="shared" si="294"/>
        <v>0</v>
      </c>
      <c r="H516">
        <f t="shared" si="295"/>
        <v>0</v>
      </c>
      <c r="I516">
        <f t="shared" si="296"/>
        <v>0</v>
      </c>
      <c r="J516">
        <f t="shared" si="297"/>
        <v>0</v>
      </c>
      <c r="K516">
        <f t="shared" si="298"/>
        <v>0</v>
      </c>
      <c r="L516">
        <f t="shared" si="299"/>
        <v>2714.9724623032753</v>
      </c>
      <c r="M516">
        <f t="shared" si="300"/>
        <v>0</v>
      </c>
      <c r="N516">
        <f t="shared" si="301"/>
        <v>0</v>
      </c>
      <c r="O516">
        <f t="shared" si="302"/>
        <v>0</v>
      </c>
      <c r="P516">
        <f t="shared" si="303"/>
        <v>0</v>
      </c>
      <c r="Q516">
        <f t="shared" si="304"/>
        <v>0</v>
      </c>
      <c r="S516">
        <f t="shared" si="305"/>
        <v>32</v>
      </c>
      <c r="T516">
        <f t="shared" si="306"/>
        <v>27</v>
      </c>
      <c r="U516">
        <f t="shared" si="307"/>
        <v>8</v>
      </c>
      <c r="V516">
        <f t="shared" si="308"/>
        <v>10</v>
      </c>
      <c r="W516">
        <f t="shared" si="309"/>
        <v>57</v>
      </c>
      <c r="X516">
        <f t="shared" si="310"/>
        <v>42</v>
      </c>
      <c r="Y516">
        <f t="shared" si="311"/>
        <v>12</v>
      </c>
      <c r="Z516">
        <f t="shared" si="312"/>
        <v>6</v>
      </c>
      <c r="AA516">
        <f t="shared" si="313"/>
        <v>4</v>
      </c>
      <c r="AB516">
        <f t="shared" si="314"/>
        <v>2</v>
      </c>
      <c r="AC516">
        <f t="shared" si="315"/>
        <v>79</v>
      </c>
      <c r="AD516">
        <f t="shared" si="316"/>
        <v>0</v>
      </c>
      <c r="AF516">
        <f t="shared" si="317"/>
        <v>0</v>
      </c>
      <c r="AG516">
        <f t="shared" si="318"/>
        <v>0</v>
      </c>
      <c r="AH516">
        <f t="shared" si="319"/>
        <v>0</v>
      </c>
      <c r="AI516">
        <f t="shared" si="320"/>
        <v>0</v>
      </c>
      <c r="AJ516">
        <f t="shared" si="321"/>
        <v>0</v>
      </c>
      <c r="AK516">
        <f t="shared" si="322"/>
        <v>0</v>
      </c>
      <c r="AL516">
        <f t="shared" si="323"/>
        <v>0</v>
      </c>
      <c r="AM516">
        <f t="shared" si="324"/>
        <v>0</v>
      </c>
      <c r="AN516">
        <f t="shared" si="325"/>
        <v>0</v>
      </c>
      <c r="AO516">
        <f t="shared" si="326"/>
        <v>0</v>
      </c>
      <c r="AP516">
        <f t="shared" si="327"/>
        <v>0</v>
      </c>
      <c r="AQ516">
        <f t="shared" si="328"/>
        <v>0</v>
      </c>
    </row>
    <row r="517" spans="1:43" ht="15.5" x14ac:dyDescent="0.35">
      <c r="A517" s="51">
        <v>46</v>
      </c>
      <c r="B517" s="13" t="s">
        <v>388</v>
      </c>
      <c r="C517" s="17" t="s">
        <v>116</v>
      </c>
      <c r="D517" s="1" t="s">
        <v>228</v>
      </c>
      <c r="E517" s="19">
        <v>2839.7682080406266</v>
      </c>
      <c r="F517">
        <f t="shared" si="293"/>
        <v>0</v>
      </c>
      <c r="G517">
        <f t="shared" si="294"/>
        <v>0</v>
      </c>
      <c r="H517">
        <f t="shared" si="295"/>
        <v>0</v>
      </c>
      <c r="I517">
        <f t="shared" si="296"/>
        <v>0</v>
      </c>
      <c r="J517">
        <f t="shared" si="297"/>
        <v>0</v>
      </c>
      <c r="K517">
        <f t="shared" si="298"/>
        <v>0</v>
      </c>
      <c r="L517">
        <f t="shared" si="299"/>
        <v>0</v>
      </c>
      <c r="M517">
        <f t="shared" si="300"/>
        <v>0</v>
      </c>
      <c r="N517">
        <f t="shared" si="301"/>
        <v>0</v>
      </c>
      <c r="O517">
        <f t="shared" si="302"/>
        <v>0</v>
      </c>
      <c r="P517">
        <f t="shared" si="303"/>
        <v>2839.7682080406266</v>
      </c>
      <c r="Q517">
        <f t="shared" si="304"/>
        <v>0</v>
      </c>
      <c r="S517">
        <f t="shared" si="305"/>
        <v>32</v>
      </c>
      <c r="T517">
        <f t="shared" si="306"/>
        <v>27</v>
      </c>
      <c r="U517">
        <f t="shared" si="307"/>
        <v>8</v>
      </c>
      <c r="V517">
        <f t="shared" si="308"/>
        <v>10</v>
      </c>
      <c r="W517">
        <f t="shared" si="309"/>
        <v>57</v>
      </c>
      <c r="X517">
        <f t="shared" si="310"/>
        <v>42</v>
      </c>
      <c r="Y517">
        <f t="shared" si="311"/>
        <v>11</v>
      </c>
      <c r="Z517">
        <f t="shared" si="312"/>
        <v>6</v>
      </c>
      <c r="AA517">
        <f t="shared" si="313"/>
        <v>4</v>
      </c>
      <c r="AB517">
        <f t="shared" si="314"/>
        <v>2</v>
      </c>
      <c r="AC517">
        <f t="shared" si="315"/>
        <v>79</v>
      </c>
      <c r="AD517">
        <f t="shared" si="316"/>
        <v>0</v>
      </c>
      <c r="AF517">
        <f t="shared" si="317"/>
        <v>0</v>
      </c>
      <c r="AG517">
        <f t="shared" si="318"/>
        <v>0</v>
      </c>
      <c r="AH517">
        <f t="shared" si="319"/>
        <v>0</v>
      </c>
      <c r="AI517">
        <f t="shared" si="320"/>
        <v>0</v>
      </c>
      <c r="AJ517">
        <f t="shared" si="321"/>
        <v>0</v>
      </c>
      <c r="AK517">
        <f t="shared" si="322"/>
        <v>0</v>
      </c>
      <c r="AL517">
        <f t="shared" si="323"/>
        <v>0</v>
      </c>
      <c r="AM517">
        <f t="shared" si="324"/>
        <v>0</v>
      </c>
      <c r="AN517">
        <f t="shared" si="325"/>
        <v>0</v>
      </c>
      <c r="AO517">
        <f t="shared" si="326"/>
        <v>0</v>
      </c>
      <c r="AP517">
        <f t="shared" si="327"/>
        <v>0</v>
      </c>
      <c r="AQ517">
        <f t="shared" si="328"/>
        <v>0</v>
      </c>
    </row>
    <row r="518" spans="1:43" ht="15.5" x14ac:dyDescent="0.35">
      <c r="A518" s="51">
        <v>47</v>
      </c>
      <c r="B518" s="13" t="s">
        <v>389</v>
      </c>
      <c r="C518" s="17" t="s">
        <v>118</v>
      </c>
      <c r="D518" s="1" t="s">
        <v>228</v>
      </c>
      <c r="E518" s="19">
        <v>3310.3828632483142</v>
      </c>
      <c r="F518">
        <f t="shared" si="293"/>
        <v>0</v>
      </c>
      <c r="G518">
        <f t="shared" si="294"/>
        <v>0</v>
      </c>
      <c r="H518">
        <f t="shared" si="295"/>
        <v>0</v>
      </c>
      <c r="I518">
        <f t="shared" si="296"/>
        <v>0</v>
      </c>
      <c r="J518">
        <f t="shared" si="297"/>
        <v>0</v>
      </c>
      <c r="K518">
        <f t="shared" si="298"/>
        <v>0</v>
      </c>
      <c r="L518">
        <f t="shared" si="299"/>
        <v>0</v>
      </c>
      <c r="M518">
        <f t="shared" si="300"/>
        <v>0</v>
      </c>
      <c r="N518">
        <f t="shared" si="301"/>
        <v>0</v>
      </c>
      <c r="O518">
        <f t="shared" si="302"/>
        <v>0</v>
      </c>
      <c r="P518">
        <f t="shared" si="303"/>
        <v>3310.3828632483142</v>
      </c>
      <c r="Q518">
        <f t="shared" si="304"/>
        <v>0</v>
      </c>
      <c r="S518">
        <f t="shared" si="305"/>
        <v>32</v>
      </c>
      <c r="T518">
        <f t="shared" si="306"/>
        <v>27</v>
      </c>
      <c r="U518">
        <f t="shared" si="307"/>
        <v>8</v>
      </c>
      <c r="V518">
        <f t="shared" si="308"/>
        <v>10</v>
      </c>
      <c r="W518">
        <f t="shared" si="309"/>
        <v>57</v>
      </c>
      <c r="X518">
        <f t="shared" si="310"/>
        <v>42</v>
      </c>
      <c r="Y518">
        <f t="shared" si="311"/>
        <v>11</v>
      </c>
      <c r="Z518">
        <f t="shared" si="312"/>
        <v>6</v>
      </c>
      <c r="AA518">
        <f t="shared" si="313"/>
        <v>4</v>
      </c>
      <c r="AB518">
        <f t="shared" si="314"/>
        <v>2</v>
      </c>
      <c r="AC518">
        <f t="shared" si="315"/>
        <v>78</v>
      </c>
      <c r="AD518">
        <f t="shared" si="316"/>
        <v>0</v>
      </c>
      <c r="AF518">
        <f t="shared" si="317"/>
        <v>0</v>
      </c>
      <c r="AG518">
        <f t="shared" si="318"/>
        <v>0</v>
      </c>
      <c r="AH518">
        <f t="shared" si="319"/>
        <v>0</v>
      </c>
      <c r="AI518">
        <f t="shared" si="320"/>
        <v>0</v>
      </c>
      <c r="AJ518">
        <f t="shared" si="321"/>
        <v>0</v>
      </c>
      <c r="AK518">
        <f t="shared" si="322"/>
        <v>0</v>
      </c>
      <c r="AL518">
        <f t="shared" si="323"/>
        <v>0</v>
      </c>
      <c r="AM518">
        <f t="shared" si="324"/>
        <v>0</v>
      </c>
      <c r="AN518">
        <f t="shared" si="325"/>
        <v>0</v>
      </c>
      <c r="AO518">
        <f t="shared" si="326"/>
        <v>0</v>
      </c>
      <c r="AP518">
        <f t="shared" si="327"/>
        <v>0</v>
      </c>
      <c r="AQ518">
        <f t="shared" si="328"/>
        <v>0</v>
      </c>
    </row>
    <row r="519" spans="1:43" ht="15.5" x14ac:dyDescent="0.35">
      <c r="A519" s="51">
        <v>48</v>
      </c>
      <c r="B519" s="13" t="s">
        <v>389</v>
      </c>
      <c r="C519" s="17" t="s">
        <v>121</v>
      </c>
      <c r="D519" s="17" t="s">
        <v>54</v>
      </c>
      <c r="E519" s="19">
        <v>3725.4121451633432</v>
      </c>
      <c r="F519">
        <f t="shared" si="293"/>
        <v>0</v>
      </c>
      <c r="G519">
        <f t="shared" si="294"/>
        <v>0</v>
      </c>
      <c r="H519">
        <f t="shared" si="295"/>
        <v>0</v>
      </c>
      <c r="I519">
        <f t="shared" si="296"/>
        <v>0</v>
      </c>
      <c r="J519">
        <f t="shared" si="297"/>
        <v>0</v>
      </c>
      <c r="K519">
        <f t="shared" si="298"/>
        <v>3725.4121451633432</v>
      </c>
      <c r="L519">
        <f t="shared" si="299"/>
        <v>0</v>
      </c>
      <c r="M519">
        <f t="shared" si="300"/>
        <v>0</v>
      </c>
      <c r="N519">
        <f t="shared" si="301"/>
        <v>0</v>
      </c>
      <c r="O519">
        <f t="shared" si="302"/>
        <v>0</v>
      </c>
      <c r="P519">
        <f t="shared" si="303"/>
        <v>0</v>
      </c>
      <c r="Q519">
        <f t="shared" si="304"/>
        <v>0</v>
      </c>
      <c r="S519">
        <f t="shared" si="305"/>
        <v>32</v>
      </c>
      <c r="T519">
        <f t="shared" si="306"/>
        <v>27</v>
      </c>
      <c r="U519">
        <f t="shared" si="307"/>
        <v>8</v>
      </c>
      <c r="V519">
        <f t="shared" si="308"/>
        <v>10</v>
      </c>
      <c r="W519">
        <f t="shared" si="309"/>
        <v>57</v>
      </c>
      <c r="X519">
        <f t="shared" si="310"/>
        <v>42</v>
      </c>
      <c r="Y519">
        <f t="shared" si="311"/>
        <v>11</v>
      </c>
      <c r="Z519">
        <f t="shared" si="312"/>
        <v>6</v>
      </c>
      <c r="AA519">
        <f t="shared" si="313"/>
        <v>4</v>
      </c>
      <c r="AB519">
        <f t="shared" si="314"/>
        <v>2</v>
      </c>
      <c r="AC519">
        <f t="shared" si="315"/>
        <v>77</v>
      </c>
      <c r="AD519">
        <f t="shared" si="316"/>
        <v>0</v>
      </c>
      <c r="AF519">
        <f t="shared" si="317"/>
        <v>0</v>
      </c>
      <c r="AG519">
        <f t="shared" si="318"/>
        <v>0</v>
      </c>
      <c r="AH519">
        <f t="shared" si="319"/>
        <v>0</v>
      </c>
      <c r="AI519">
        <f t="shared" si="320"/>
        <v>0</v>
      </c>
      <c r="AJ519">
        <f t="shared" si="321"/>
        <v>0</v>
      </c>
      <c r="AK519">
        <f t="shared" si="322"/>
        <v>0</v>
      </c>
      <c r="AL519">
        <f t="shared" si="323"/>
        <v>0</v>
      </c>
      <c r="AM519">
        <f t="shared" si="324"/>
        <v>0</v>
      </c>
      <c r="AN519">
        <f t="shared" si="325"/>
        <v>0</v>
      </c>
      <c r="AO519">
        <f t="shared" si="326"/>
        <v>0</v>
      </c>
      <c r="AP519">
        <f t="shared" si="327"/>
        <v>0</v>
      </c>
      <c r="AQ519">
        <f t="shared" si="328"/>
        <v>0</v>
      </c>
    </row>
    <row r="520" spans="1:43" ht="15.5" x14ac:dyDescent="0.35">
      <c r="A520" s="51">
        <v>49</v>
      </c>
      <c r="B520" s="13" t="s">
        <v>390</v>
      </c>
      <c r="C520" s="17" t="s">
        <v>120</v>
      </c>
      <c r="D520" s="17" t="s">
        <v>76</v>
      </c>
      <c r="E520" s="19">
        <v>3117.7072324854043</v>
      </c>
      <c r="F520">
        <f t="shared" si="293"/>
        <v>3117.7072324854043</v>
      </c>
      <c r="G520">
        <f t="shared" si="294"/>
        <v>0</v>
      </c>
      <c r="H520">
        <f t="shared" si="295"/>
        <v>0</v>
      </c>
      <c r="I520">
        <f t="shared" si="296"/>
        <v>0</v>
      </c>
      <c r="J520">
        <f t="shared" si="297"/>
        <v>0</v>
      </c>
      <c r="K520">
        <f t="shared" si="298"/>
        <v>0</v>
      </c>
      <c r="L520">
        <f t="shared" si="299"/>
        <v>0</v>
      </c>
      <c r="M520">
        <f t="shared" si="300"/>
        <v>0</v>
      </c>
      <c r="N520">
        <f t="shared" si="301"/>
        <v>0</v>
      </c>
      <c r="O520">
        <f t="shared" si="302"/>
        <v>0</v>
      </c>
      <c r="P520">
        <f t="shared" si="303"/>
        <v>0</v>
      </c>
      <c r="Q520">
        <f t="shared" si="304"/>
        <v>0</v>
      </c>
      <c r="S520">
        <f t="shared" si="305"/>
        <v>32</v>
      </c>
      <c r="T520">
        <f t="shared" si="306"/>
        <v>27</v>
      </c>
      <c r="U520">
        <f t="shared" si="307"/>
        <v>8</v>
      </c>
      <c r="V520">
        <f t="shared" si="308"/>
        <v>10</v>
      </c>
      <c r="W520">
        <f t="shared" si="309"/>
        <v>57</v>
      </c>
      <c r="X520">
        <f t="shared" si="310"/>
        <v>41</v>
      </c>
      <c r="Y520">
        <f t="shared" si="311"/>
        <v>11</v>
      </c>
      <c r="Z520">
        <f t="shared" si="312"/>
        <v>6</v>
      </c>
      <c r="AA520">
        <f t="shared" si="313"/>
        <v>4</v>
      </c>
      <c r="AB520">
        <f t="shared" si="314"/>
        <v>2</v>
      </c>
      <c r="AC520">
        <f t="shared" si="315"/>
        <v>77</v>
      </c>
      <c r="AD520">
        <f t="shared" si="316"/>
        <v>0</v>
      </c>
      <c r="AF520">
        <f t="shared" si="317"/>
        <v>0</v>
      </c>
      <c r="AG520">
        <f t="shared" si="318"/>
        <v>0</v>
      </c>
      <c r="AH520">
        <f t="shared" si="319"/>
        <v>0</v>
      </c>
      <c r="AI520">
        <f t="shared" si="320"/>
        <v>0</v>
      </c>
      <c r="AJ520">
        <f t="shared" si="321"/>
        <v>0</v>
      </c>
      <c r="AK520">
        <f t="shared" si="322"/>
        <v>0</v>
      </c>
      <c r="AL520">
        <f t="shared" si="323"/>
        <v>0</v>
      </c>
      <c r="AM520">
        <f t="shared" si="324"/>
        <v>0</v>
      </c>
      <c r="AN520">
        <f t="shared" si="325"/>
        <v>0</v>
      </c>
      <c r="AO520">
        <f t="shared" si="326"/>
        <v>0</v>
      </c>
      <c r="AP520">
        <f t="shared" si="327"/>
        <v>0</v>
      </c>
      <c r="AQ520">
        <f t="shared" si="328"/>
        <v>0</v>
      </c>
    </row>
    <row r="521" spans="1:43" ht="15.5" x14ac:dyDescent="0.35">
      <c r="A521" s="51">
        <v>50</v>
      </c>
      <c r="B521" s="13" t="s">
        <v>390</v>
      </c>
      <c r="C521" s="1" t="s">
        <v>122</v>
      </c>
      <c r="D521" s="1" t="s">
        <v>54</v>
      </c>
      <c r="E521" s="19">
        <v>3428.8607756748243</v>
      </c>
      <c r="F521">
        <f t="shared" si="293"/>
        <v>0</v>
      </c>
      <c r="G521">
        <f t="shared" si="294"/>
        <v>0</v>
      </c>
      <c r="H521">
        <f t="shared" si="295"/>
        <v>0</v>
      </c>
      <c r="I521">
        <f t="shared" si="296"/>
        <v>0</v>
      </c>
      <c r="J521">
        <f t="shared" si="297"/>
        <v>0</v>
      </c>
      <c r="K521">
        <f t="shared" si="298"/>
        <v>3428.8607756748243</v>
      </c>
      <c r="L521">
        <f t="shared" si="299"/>
        <v>0</v>
      </c>
      <c r="M521">
        <f t="shared" si="300"/>
        <v>0</v>
      </c>
      <c r="N521">
        <f t="shared" si="301"/>
        <v>0</v>
      </c>
      <c r="O521">
        <f t="shared" si="302"/>
        <v>0</v>
      </c>
      <c r="P521">
        <f t="shared" si="303"/>
        <v>0</v>
      </c>
      <c r="Q521">
        <f t="shared" si="304"/>
        <v>0</v>
      </c>
      <c r="S521">
        <f t="shared" si="305"/>
        <v>31</v>
      </c>
      <c r="T521">
        <f t="shared" si="306"/>
        <v>27</v>
      </c>
      <c r="U521">
        <f t="shared" si="307"/>
        <v>8</v>
      </c>
      <c r="V521">
        <f t="shared" si="308"/>
        <v>10</v>
      </c>
      <c r="W521">
        <f t="shared" si="309"/>
        <v>57</v>
      </c>
      <c r="X521">
        <f t="shared" si="310"/>
        <v>41</v>
      </c>
      <c r="Y521">
        <f t="shared" si="311"/>
        <v>11</v>
      </c>
      <c r="Z521">
        <f t="shared" si="312"/>
        <v>6</v>
      </c>
      <c r="AA521">
        <f t="shared" si="313"/>
        <v>4</v>
      </c>
      <c r="AB521">
        <f t="shared" si="314"/>
        <v>2</v>
      </c>
      <c r="AC521">
        <f t="shared" si="315"/>
        <v>77</v>
      </c>
      <c r="AD521">
        <f t="shared" si="316"/>
        <v>0</v>
      </c>
      <c r="AF521">
        <f t="shared" si="317"/>
        <v>0</v>
      </c>
      <c r="AG521">
        <f t="shared" si="318"/>
        <v>0</v>
      </c>
      <c r="AH521">
        <f t="shared" si="319"/>
        <v>0</v>
      </c>
      <c r="AI521">
        <f t="shared" si="320"/>
        <v>0</v>
      </c>
      <c r="AJ521">
        <f t="shared" si="321"/>
        <v>0</v>
      </c>
      <c r="AK521">
        <f t="shared" si="322"/>
        <v>0</v>
      </c>
      <c r="AL521">
        <f t="shared" si="323"/>
        <v>0</v>
      </c>
      <c r="AM521">
        <f t="shared" si="324"/>
        <v>0</v>
      </c>
      <c r="AN521">
        <f t="shared" si="325"/>
        <v>0</v>
      </c>
      <c r="AO521">
        <f t="shared" si="326"/>
        <v>0</v>
      </c>
      <c r="AP521">
        <f t="shared" si="327"/>
        <v>0</v>
      </c>
      <c r="AQ521">
        <f t="shared" si="328"/>
        <v>0</v>
      </c>
    </row>
    <row r="522" spans="1:43" ht="15.5" x14ac:dyDescent="0.35">
      <c r="A522" s="51">
        <v>51</v>
      </c>
      <c r="B522" s="13" t="s">
        <v>391</v>
      </c>
      <c r="C522" s="1" t="s">
        <v>124</v>
      </c>
      <c r="D522" s="1" t="s">
        <v>228</v>
      </c>
      <c r="E522" s="19">
        <v>3603.7311969380289</v>
      </c>
      <c r="F522">
        <f t="shared" si="293"/>
        <v>0</v>
      </c>
      <c r="G522">
        <f t="shared" si="294"/>
        <v>0</v>
      </c>
      <c r="H522">
        <f t="shared" si="295"/>
        <v>0</v>
      </c>
      <c r="I522">
        <f t="shared" si="296"/>
        <v>0</v>
      </c>
      <c r="J522">
        <f t="shared" si="297"/>
        <v>0</v>
      </c>
      <c r="K522">
        <f t="shared" si="298"/>
        <v>0</v>
      </c>
      <c r="L522">
        <f t="shared" si="299"/>
        <v>0</v>
      </c>
      <c r="M522">
        <f t="shared" si="300"/>
        <v>0</v>
      </c>
      <c r="N522">
        <f t="shared" si="301"/>
        <v>0</v>
      </c>
      <c r="O522">
        <f t="shared" si="302"/>
        <v>0</v>
      </c>
      <c r="P522">
        <f t="shared" si="303"/>
        <v>3603.7311969380289</v>
      </c>
      <c r="Q522">
        <f t="shared" si="304"/>
        <v>0</v>
      </c>
      <c r="S522">
        <f t="shared" si="305"/>
        <v>31</v>
      </c>
      <c r="T522">
        <f t="shared" si="306"/>
        <v>27</v>
      </c>
      <c r="U522">
        <f t="shared" si="307"/>
        <v>8</v>
      </c>
      <c r="V522">
        <f t="shared" si="308"/>
        <v>10</v>
      </c>
      <c r="W522">
        <f t="shared" si="309"/>
        <v>57</v>
      </c>
      <c r="X522">
        <f t="shared" si="310"/>
        <v>40</v>
      </c>
      <c r="Y522">
        <f t="shared" si="311"/>
        <v>11</v>
      </c>
      <c r="Z522">
        <f t="shared" si="312"/>
        <v>6</v>
      </c>
      <c r="AA522">
        <f t="shared" si="313"/>
        <v>4</v>
      </c>
      <c r="AB522">
        <f t="shared" si="314"/>
        <v>2</v>
      </c>
      <c r="AC522">
        <f t="shared" si="315"/>
        <v>77</v>
      </c>
      <c r="AD522">
        <f t="shared" si="316"/>
        <v>0</v>
      </c>
      <c r="AF522">
        <f t="shared" si="317"/>
        <v>0</v>
      </c>
      <c r="AG522">
        <f t="shared" si="318"/>
        <v>0</v>
      </c>
      <c r="AH522">
        <f t="shared" si="319"/>
        <v>0</v>
      </c>
      <c r="AI522">
        <f t="shared" si="320"/>
        <v>0</v>
      </c>
      <c r="AJ522">
        <f t="shared" si="321"/>
        <v>0</v>
      </c>
      <c r="AK522">
        <f t="shared" si="322"/>
        <v>0</v>
      </c>
      <c r="AL522">
        <f t="shared" si="323"/>
        <v>0</v>
      </c>
      <c r="AM522">
        <f t="shared" si="324"/>
        <v>0</v>
      </c>
      <c r="AN522">
        <f t="shared" si="325"/>
        <v>0</v>
      </c>
      <c r="AO522">
        <f t="shared" si="326"/>
        <v>0</v>
      </c>
      <c r="AP522">
        <f t="shared" si="327"/>
        <v>0</v>
      </c>
      <c r="AQ522">
        <f t="shared" si="328"/>
        <v>0</v>
      </c>
    </row>
    <row r="523" spans="1:43" ht="15.5" x14ac:dyDescent="0.35">
      <c r="A523" s="51">
        <v>52</v>
      </c>
      <c r="B523" s="13" t="s">
        <v>391</v>
      </c>
      <c r="C523" s="17" t="s">
        <v>128</v>
      </c>
      <c r="D523" s="17" t="s">
        <v>76</v>
      </c>
      <c r="E523" s="19">
        <v>3201.4575704657764</v>
      </c>
      <c r="F523">
        <f t="shared" si="293"/>
        <v>3201.4575704657764</v>
      </c>
      <c r="G523">
        <f t="shared" si="294"/>
        <v>0</v>
      </c>
      <c r="H523">
        <f t="shared" si="295"/>
        <v>0</v>
      </c>
      <c r="I523">
        <f t="shared" si="296"/>
        <v>0</v>
      </c>
      <c r="J523">
        <f t="shared" si="297"/>
        <v>0</v>
      </c>
      <c r="K523">
        <f t="shared" si="298"/>
        <v>0</v>
      </c>
      <c r="L523">
        <f t="shared" si="299"/>
        <v>0</v>
      </c>
      <c r="M523">
        <f t="shared" si="300"/>
        <v>0</v>
      </c>
      <c r="N523">
        <f t="shared" si="301"/>
        <v>0</v>
      </c>
      <c r="O523">
        <f t="shared" si="302"/>
        <v>0</v>
      </c>
      <c r="P523">
        <f t="shared" si="303"/>
        <v>0</v>
      </c>
      <c r="Q523">
        <f t="shared" si="304"/>
        <v>0</v>
      </c>
      <c r="S523">
        <f t="shared" si="305"/>
        <v>31</v>
      </c>
      <c r="T523">
        <f t="shared" si="306"/>
        <v>27</v>
      </c>
      <c r="U523">
        <f t="shared" si="307"/>
        <v>8</v>
      </c>
      <c r="V523">
        <f t="shared" si="308"/>
        <v>10</v>
      </c>
      <c r="W523">
        <f t="shared" si="309"/>
        <v>57</v>
      </c>
      <c r="X523">
        <f t="shared" si="310"/>
        <v>40</v>
      </c>
      <c r="Y523">
        <f t="shared" si="311"/>
        <v>11</v>
      </c>
      <c r="Z523">
        <f t="shared" si="312"/>
        <v>6</v>
      </c>
      <c r="AA523">
        <f t="shared" si="313"/>
        <v>4</v>
      </c>
      <c r="AB523">
        <f t="shared" si="314"/>
        <v>2</v>
      </c>
      <c r="AC523">
        <f t="shared" si="315"/>
        <v>76</v>
      </c>
      <c r="AD523">
        <f t="shared" si="316"/>
        <v>0</v>
      </c>
      <c r="AF523">
        <f t="shared" si="317"/>
        <v>0</v>
      </c>
      <c r="AG523">
        <f t="shared" si="318"/>
        <v>0</v>
      </c>
      <c r="AH523">
        <f t="shared" si="319"/>
        <v>0</v>
      </c>
      <c r="AI523">
        <f t="shared" si="320"/>
        <v>0</v>
      </c>
      <c r="AJ523">
        <f t="shared" si="321"/>
        <v>0</v>
      </c>
      <c r="AK523">
        <f t="shared" si="322"/>
        <v>0</v>
      </c>
      <c r="AL523">
        <f t="shared" si="323"/>
        <v>0</v>
      </c>
      <c r="AM523">
        <f t="shared" si="324"/>
        <v>0</v>
      </c>
      <c r="AN523">
        <f t="shared" si="325"/>
        <v>0</v>
      </c>
      <c r="AO523">
        <f t="shared" si="326"/>
        <v>0</v>
      </c>
      <c r="AP523">
        <f t="shared" si="327"/>
        <v>0</v>
      </c>
      <c r="AQ523">
        <f t="shared" si="328"/>
        <v>0</v>
      </c>
    </row>
    <row r="524" spans="1:43" ht="15.5" x14ac:dyDescent="0.35">
      <c r="A524" s="51">
        <v>53</v>
      </c>
      <c r="B524" s="13" t="s">
        <v>391</v>
      </c>
      <c r="C524" s="1" t="s">
        <v>126</v>
      </c>
      <c r="D524" s="1" t="s">
        <v>228</v>
      </c>
      <c r="E524" s="19">
        <v>3553.1890510332528</v>
      </c>
      <c r="F524">
        <f t="shared" si="293"/>
        <v>0</v>
      </c>
      <c r="G524">
        <f t="shared" si="294"/>
        <v>0</v>
      </c>
      <c r="H524">
        <f t="shared" si="295"/>
        <v>0</v>
      </c>
      <c r="I524">
        <f t="shared" si="296"/>
        <v>0</v>
      </c>
      <c r="J524">
        <f t="shared" si="297"/>
        <v>0</v>
      </c>
      <c r="K524">
        <f t="shared" si="298"/>
        <v>0</v>
      </c>
      <c r="L524">
        <f t="shared" si="299"/>
        <v>0</v>
      </c>
      <c r="M524">
        <f t="shared" si="300"/>
        <v>0</v>
      </c>
      <c r="N524">
        <f t="shared" si="301"/>
        <v>0</v>
      </c>
      <c r="O524">
        <f t="shared" si="302"/>
        <v>0</v>
      </c>
      <c r="P524">
        <f t="shared" si="303"/>
        <v>3553.1890510332528</v>
      </c>
      <c r="Q524">
        <f t="shared" si="304"/>
        <v>0</v>
      </c>
      <c r="S524">
        <f t="shared" si="305"/>
        <v>30</v>
      </c>
      <c r="T524">
        <f t="shared" si="306"/>
        <v>27</v>
      </c>
      <c r="U524">
        <f t="shared" si="307"/>
        <v>8</v>
      </c>
      <c r="V524">
        <f t="shared" si="308"/>
        <v>10</v>
      </c>
      <c r="W524">
        <f t="shared" si="309"/>
        <v>57</v>
      </c>
      <c r="X524">
        <f t="shared" si="310"/>
        <v>40</v>
      </c>
      <c r="Y524">
        <f t="shared" si="311"/>
        <v>11</v>
      </c>
      <c r="Z524">
        <f t="shared" si="312"/>
        <v>6</v>
      </c>
      <c r="AA524">
        <f t="shared" si="313"/>
        <v>4</v>
      </c>
      <c r="AB524">
        <f t="shared" si="314"/>
        <v>2</v>
      </c>
      <c r="AC524">
        <f t="shared" si="315"/>
        <v>76</v>
      </c>
      <c r="AD524">
        <f t="shared" si="316"/>
        <v>0</v>
      </c>
      <c r="AF524">
        <f t="shared" si="317"/>
        <v>0</v>
      </c>
      <c r="AG524">
        <f t="shared" si="318"/>
        <v>0</v>
      </c>
      <c r="AH524">
        <f t="shared" si="319"/>
        <v>0</v>
      </c>
      <c r="AI524">
        <f t="shared" si="320"/>
        <v>0</v>
      </c>
      <c r="AJ524">
        <f t="shared" si="321"/>
        <v>0</v>
      </c>
      <c r="AK524">
        <f t="shared" si="322"/>
        <v>0</v>
      </c>
      <c r="AL524">
        <f t="shared" si="323"/>
        <v>0</v>
      </c>
      <c r="AM524">
        <f t="shared" si="324"/>
        <v>0</v>
      </c>
      <c r="AN524">
        <f t="shared" si="325"/>
        <v>0</v>
      </c>
      <c r="AO524">
        <f t="shared" si="326"/>
        <v>0</v>
      </c>
      <c r="AP524">
        <f t="shared" si="327"/>
        <v>0</v>
      </c>
      <c r="AQ524">
        <f t="shared" si="328"/>
        <v>0</v>
      </c>
    </row>
    <row r="525" spans="1:43" ht="15.5" x14ac:dyDescent="0.35">
      <c r="A525" s="51">
        <v>54</v>
      </c>
      <c r="B525" s="13" t="s">
        <v>392</v>
      </c>
      <c r="C525" s="1" t="s">
        <v>125</v>
      </c>
      <c r="D525" s="1" t="s">
        <v>57</v>
      </c>
      <c r="E525" s="19">
        <v>3172.9684556968677</v>
      </c>
      <c r="F525">
        <f t="shared" si="293"/>
        <v>0</v>
      </c>
      <c r="G525">
        <f t="shared" si="294"/>
        <v>0</v>
      </c>
      <c r="H525">
        <f t="shared" si="295"/>
        <v>0</v>
      </c>
      <c r="I525">
        <f t="shared" si="296"/>
        <v>0</v>
      </c>
      <c r="J525">
        <f t="shared" si="297"/>
        <v>0</v>
      </c>
      <c r="K525">
        <f t="shared" si="298"/>
        <v>0</v>
      </c>
      <c r="L525">
        <f t="shared" si="299"/>
        <v>0</v>
      </c>
      <c r="M525">
        <f t="shared" si="300"/>
        <v>3172.9684556968677</v>
      </c>
      <c r="N525">
        <f t="shared" si="301"/>
        <v>0</v>
      </c>
      <c r="O525">
        <f t="shared" si="302"/>
        <v>0</v>
      </c>
      <c r="P525">
        <f t="shared" si="303"/>
        <v>0</v>
      </c>
      <c r="Q525">
        <f t="shared" si="304"/>
        <v>0</v>
      </c>
      <c r="S525">
        <f t="shared" si="305"/>
        <v>30</v>
      </c>
      <c r="T525">
        <f t="shared" si="306"/>
        <v>27</v>
      </c>
      <c r="U525">
        <f t="shared" si="307"/>
        <v>8</v>
      </c>
      <c r="V525">
        <f t="shared" si="308"/>
        <v>10</v>
      </c>
      <c r="W525">
        <f t="shared" si="309"/>
        <v>57</v>
      </c>
      <c r="X525">
        <f t="shared" si="310"/>
        <v>40</v>
      </c>
      <c r="Y525">
        <f t="shared" si="311"/>
        <v>11</v>
      </c>
      <c r="Z525">
        <f t="shared" si="312"/>
        <v>6</v>
      </c>
      <c r="AA525">
        <f t="shared" si="313"/>
        <v>4</v>
      </c>
      <c r="AB525">
        <f t="shared" si="314"/>
        <v>2</v>
      </c>
      <c r="AC525">
        <f t="shared" si="315"/>
        <v>75</v>
      </c>
      <c r="AD525">
        <f t="shared" si="316"/>
        <v>0</v>
      </c>
      <c r="AF525">
        <f t="shared" si="317"/>
        <v>0</v>
      </c>
      <c r="AG525">
        <f t="shared" si="318"/>
        <v>0</v>
      </c>
      <c r="AH525">
        <f t="shared" si="319"/>
        <v>0</v>
      </c>
      <c r="AI525">
        <f t="shared" si="320"/>
        <v>0</v>
      </c>
      <c r="AJ525">
        <f t="shared" si="321"/>
        <v>0</v>
      </c>
      <c r="AK525">
        <f t="shared" si="322"/>
        <v>0</v>
      </c>
      <c r="AL525">
        <f t="shared" si="323"/>
        <v>0</v>
      </c>
      <c r="AM525">
        <f t="shared" si="324"/>
        <v>3172.9684556968677</v>
      </c>
      <c r="AN525">
        <f t="shared" si="325"/>
        <v>0</v>
      </c>
      <c r="AO525">
        <f t="shared" si="326"/>
        <v>0</v>
      </c>
      <c r="AP525">
        <f t="shared" si="327"/>
        <v>0</v>
      </c>
      <c r="AQ525">
        <f t="shared" si="328"/>
        <v>0</v>
      </c>
    </row>
    <row r="526" spans="1:43" ht="15.5" x14ac:dyDescent="0.35">
      <c r="A526" s="51">
        <v>55</v>
      </c>
      <c r="B526" s="13" t="s">
        <v>392</v>
      </c>
      <c r="C526" s="1" t="s">
        <v>130</v>
      </c>
      <c r="D526" s="1" t="s">
        <v>228</v>
      </c>
      <c r="E526" s="19">
        <v>3281.0175473861009</v>
      </c>
      <c r="F526">
        <f t="shared" si="293"/>
        <v>0</v>
      </c>
      <c r="G526">
        <f t="shared" si="294"/>
        <v>0</v>
      </c>
      <c r="H526">
        <f t="shared" si="295"/>
        <v>0</v>
      </c>
      <c r="I526">
        <f t="shared" si="296"/>
        <v>0</v>
      </c>
      <c r="J526">
        <f t="shared" si="297"/>
        <v>0</v>
      </c>
      <c r="K526">
        <f t="shared" si="298"/>
        <v>0</v>
      </c>
      <c r="L526">
        <f t="shared" si="299"/>
        <v>0</v>
      </c>
      <c r="M526">
        <f t="shared" si="300"/>
        <v>0</v>
      </c>
      <c r="N526">
        <f t="shared" si="301"/>
        <v>0</v>
      </c>
      <c r="O526">
        <f t="shared" si="302"/>
        <v>0</v>
      </c>
      <c r="P526">
        <f t="shared" si="303"/>
        <v>3281.0175473861009</v>
      </c>
      <c r="Q526">
        <f t="shared" si="304"/>
        <v>0</v>
      </c>
      <c r="S526">
        <f t="shared" si="305"/>
        <v>30</v>
      </c>
      <c r="T526">
        <f t="shared" si="306"/>
        <v>27</v>
      </c>
      <c r="U526">
        <f t="shared" si="307"/>
        <v>8</v>
      </c>
      <c r="V526">
        <f t="shared" si="308"/>
        <v>10</v>
      </c>
      <c r="W526">
        <f t="shared" si="309"/>
        <v>57</v>
      </c>
      <c r="X526">
        <f t="shared" si="310"/>
        <v>40</v>
      </c>
      <c r="Y526">
        <f t="shared" si="311"/>
        <v>11</v>
      </c>
      <c r="Z526">
        <f t="shared" si="312"/>
        <v>5</v>
      </c>
      <c r="AA526">
        <f t="shared" si="313"/>
        <v>4</v>
      </c>
      <c r="AB526">
        <f t="shared" si="314"/>
        <v>2</v>
      </c>
      <c r="AC526">
        <f t="shared" si="315"/>
        <v>75</v>
      </c>
      <c r="AD526">
        <f t="shared" si="316"/>
        <v>0</v>
      </c>
      <c r="AF526">
        <f t="shared" si="317"/>
        <v>0</v>
      </c>
      <c r="AG526">
        <f t="shared" si="318"/>
        <v>0</v>
      </c>
      <c r="AH526">
        <f t="shared" si="319"/>
        <v>0</v>
      </c>
      <c r="AI526">
        <f t="shared" si="320"/>
        <v>0</v>
      </c>
      <c r="AJ526">
        <f t="shared" si="321"/>
        <v>0</v>
      </c>
      <c r="AK526">
        <f t="shared" si="322"/>
        <v>0</v>
      </c>
      <c r="AL526">
        <f t="shared" si="323"/>
        <v>0</v>
      </c>
      <c r="AM526">
        <f t="shared" si="324"/>
        <v>0</v>
      </c>
      <c r="AN526">
        <f t="shared" si="325"/>
        <v>0</v>
      </c>
      <c r="AO526">
        <f t="shared" si="326"/>
        <v>0</v>
      </c>
      <c r="AP526">
        <f t="shared" si="327"/>
        <v>0</v>
      </c>
      <c r="AQ526">
        <f t="shared" si="328"/>
        <v>0</v>
      </c>
    </row>
    <row r="527" spans="1:43" ht="15.5" x14ac:dyDescent="0.35">
      <c r="A527" s="51">
        <v>56</v>
      </c>
      <c r="B527" s="13" t="s">
        <v>392</v>
      </c>
      <c r="C527" s="17" t="s">
        <v>129</v>
      </c>
      <c r="D527" s="17" t="s">
        <v>60</v>
      </c>
      <c r="E527" s="19">
        <v>3513.6434279084351</v>
      </c>
      <c r="F527">
        <f t="shared" si="293"/>
        <v>0</v>
      </c>
      <c r="G527">
        <f t="shared" si="294"/>
        <v>0</v>
      </c>
      <c r="H527">
        <f t="shared" si="295"/>
        <v>0</v>
      </c>
      <c r="I527">
        <f t="shared" si="296"/>
        <v>0</v>
      </c>
      <c r="J527">
        <f t="shared" si="297"/>
        <v>3513.6434279084351</v>
      </c>
      <c r="K527">
        <f t="shared" si="298"/>
        <v>0</v>
      </c>
      <c r="L527">
        <f t="shared" si="299"/>
        <v>0</v>
      </c>
      <c r="M527">
        <f t="shared" si="300"/>
        <v>0</v>
      </c>
      <c r="N527">
        <f t="shared" si="301"/>
        <v>0</v>
      </c>
      <c r="O527">
        <f t="shared" si="302"/>
        <v>0</v>
      </c>
      <c r="P527">
        <f t="shared" si="303"/>
        <v>0</v>
      </c>
      <c r="Q527">
        <f t="shared" si="304"/>
        <v>0</v>
      </c>
      <c r="S527">
        <f t="shared" si="305"/>
        <v>30</v>
      </c>
      <c r="T527">
        <f t="shared" si="306"/>
        <v>27</v>
      </c>
      <c r="U527">
        <f t="shared" si="307"/>
        <v>8</v>
      </c>
      <c r="V527">
        <f t="shared" si="308"/>
        <v>10</v>
      </c>
      <c r="W527">
        <f t="shared" si="309"/>
        <v>57</v>
      </c>
      <c r="X527">
        <f t="shared" si="310"/>
        <v>40</v>
      </c>
      <c r="Y527">
        <f t="shared" si="311"/>
        <v>11</v>
      </c>
      <c r="Z527">
        <f t="shared" si="312"/>
        <v>5</v>
      </c>
      <c r="AA527">
        <f t="shared" si="313"/>
        <v>4</v>
      </c>
      <c r="AB527">
        <f t="shared" si="314"/>
        <v>2</v>
      </c>
      <c r="AC527">
        <f t="shared" si="315"/>
        <v>74</v>
      </c>
      <c r="AD527">
        <f t="shared" si="316"/>
        <v>0</v>
      </c>
      <c r="AF527">
        <f t="shared" si="317"/>
        <v>0</v>
      </c>
      <c r="AG527">
        <f t="shared" si="318"/>
        <v>0</v>
      </c>
      <c r="AH527">
        <f t="shared" si="319"/>
        <v>0</v>
      </c>
      <c r="AI527">
        <f t="shared" si="320"/>
        <v>0</v>
      </c>
      <c r="AJ527">
        <f t="shared" si="321"/>
        <v>0</v>
      </c>
      <c r="AK527">
        <f t="shared" si="322"/>
        <v>0</v>
      </c>
      <c r="AL527">
        <f t="shared" si="323"/>
        <v>0</v>
      </c>
      <c r="AM527">
        <f t="shared" si="324"/>
        <v>0</v>
      </c>
      <c r="AN527">
        <f t="shared" si="325"/>
        <v>0</v>
      </c>
      <c r="AO527">
        <f t="shared" si="326"/>
        <v>0</v>
      </c>
      <c r="AP527">
        <f t="shared" si="327"/>
        <v>0</v>
      </c>
      <c r="AQ527">
        <f t="shared" si="328"/>
        <v>0</v>
      </c>
    </row>
    <row r="528" spans="1:43" ht="15.5" x14ac:dyDescent="0.35">
      <c r="A528" s="51">
        <v>57</v>
      </c>
      <c r="B528" s="13" t="s">
        <v>393</v>
      </c>
      <c r="C528" s="1" t="s">
        <v>131</v>
      </c>
      <c r="D528" s="1" t="s">
        <v>94</v>
      </c>
      <c r="E528" s="19">
        <v>2827.0341233089007</v>
      </c>
      <c r="F528">
        <f t="shared" si="293"/>
        <v>0</v>
      </c>
      <c r="G528">
        <f t="shared" si="294"/>
        <v>0</v>
      </c>
      <c r="H528">
        <f t="shared" si="295"/>
        <v>0</v>
      </c>
      <c r="I528">
        <f t="shared" si="296"/>
        <v>0</v>
      </c>
      <c r="J528">
        <f t="shared" si="297"/>
        <v>0</v>
      </c>
      <c r="K528">
        <f t="shared" si="298"/>
        <v>0</v>
      </c>
      <c r="L528">
        <f t="shared" si="299"/>
        <v>2827.0341233089007</v>
      </c>
      <c r="M528">
        <f t="shared" si="300"/>
        <v>0</v>
      </c>
      <c r="N528">
        <f t="shared" si="301"/>
        <v>0</v>
      </c>
      <c r="O528">
        <f t="shared" si="302"/>
        <v>0</v>
      </c>
      <c r="P528">
        <f t="shared" si="303"/>
        <v>0</v>
      </c>
      <c r="Q528">
        <f t="shared" si="304"/>
        <v>0</v>
      </c>
      <c r="S528">
        <f t="shared" si="305"/>
        <v>30</v>
      </c>
      <c r="T528">
        <f t="shared" si="306"/>
        <v>27</v>
      </c>
      <c r="U528">
        <f t="shared" si="307"/>
        <v>8</v>
      </c>
      <c r="V528">
        <f t="shared" si="308"/>
        <v>10</v>
      </c>
      <c r="W528">
        <f t="shared" si="309"/>
        <v>56</v>
      </c>
      <c r="X528">
        <f t="shared" si="310"/>
        <v>40</v>
      </c>
      <c r="Y528">
        <f t="shared" si="311"/>
        <v>11</v>
      </c>
      <c r="Z528">
        <f t="shared" si="312"/>
        <v>5</v>
      </c>
      <c r="AA528">
        <f t="shared" si="313"/>
        <v>4</v>
      </c>
      <c r="AB528">
        <f t="shared" si="314"/>
        <v>2</v>
      </c>
      <c r="AC528">
        <f t="shared" si="315"/>
        <v>74</v>
      </c>
      <c r="AD528">
        <f t="shared" si="316"/>
        <v>0</v>
      </c>
      <c r="AF528">
        <f t="shared" si="317"/>
        <v>0</v>
      </c>
      <c r="AG528">
        <f t="shared" si="318"/>
        <v>0</v>
      </c>
      <c r="AH528">
        <f t="shared" si="319"/>
        <v>0</v>
      </c>
      <c r="AI528">
        <f t="shared" si="320"/>
        <v>0</v>
      </c>
      <c r="AJ528">
        <f t="shared" si="321"/>
        <v>0</v>
      </c>
      <c r="AK528">
        <f t="shared" si="322"/>
        <v>0</v>
      </c>
      <c r="AL528">
        <f t="shared" si="323"/>
        <v>0</v>
      </c>
      <c r="AM528">
        <f t="shared" si="324"/>
        <v>0</v>
      </c>
      <c r="AN528">
        <f t="shared" si="325"/>
        <v>0</v>
      </c>
      <c r="AO528">
        <f t="shared" si="326"/>
        <v>0</v>
      </c>
      <c r="AP528">
        <f t="shared" si="327"/>
        <v>0</v>
      </c>
      <c r="AQ528">
        <f t="shared" si="328"/>
        <v>0</v>
      </c>
    </row>
    <row r="529" spans="1:43" ht="15.5" x14ac:dyDescent="0.35">
      <c r="A529" s="51">
        <v>58</v>
      </c>
      <c r="B529" s="13" t="s">
        <v>393</v>
      </c>
      <c r="C529" s="1" t="s">
        <v>135</v>
      </c>
      <c r="D529" s="1" t="s">
        <v>228</v>
      </c>
      <c r="E529" s="19">
        <v>3086.6005780337132</v>
      </c>
      <c r="F529">
        <f t="shared" si="293"/>
        <v>0</v>
      </c>
      <c r="G529">
        <f t="shared" si="294"/>
        <v>0</v>
      </c>
      <c r="H529">
        <f t="shared" si="295"/>
        <v>0</v>
      </c>
      <c r="I529">
        <f t="shared" si="296"/>
        <v>0</v>
      </c>
      <c r="J529">
        <f t="shared" si="297"/>
        <v>0</v>
      </c>
      <c r="K529">
        <f t="shared" si="298"/>
        <v>0</v>
      </c>
      <c r="L529">
        <f t="shared" si="299"/>
        <v>0</v>
      </c>
      <c r="M529">
        <f t="shared" si="300"/>
        <v>0</v>
      </c>
      <c r="N529">
        <f t="shared" si="301"/>
        <v>0</v>
      </c>
      <c r="O529">
        <f t="shared" si="302"/>
        <v>0</v>
      </c>
      <c r="P529">
        <f t="shared" si="303"/>
        <v>3086.6005780337132</v>
      </c>
      <c r="Q529">
        <f t="shared" si="304"/>
        <v>0</v>
      </c>
      <c r="S529">
        <f t="shared" si="305"/>
        <v>30</v>
      </c>
      <c r="T529">
        <f t="shared" si="306"/>
        <v>27</v>
      </c>
      <c r="U529">
        <f t="shared" si="307"/>
        <v>8</v>
      </c>
      <c r="V529">
        <f t="shared" si="308"/>
        <v>10</v>
      </c>
      <c r="W529">
        <f t="shared" si="309"/>
        <v>56</v>
      </c>
      <c r="X529">
        <f t="shared" si="310"/>
        <v>40</v>
      </c>
      <c r="Y529">
        <f t="shared" si="311"/>
        <v>10</v>
      </c>
      <c r="Z529">
        <f t="shared" si="312"/>
        <v>5</v>
      </c>
      <c r="AA529">
        <f t="shared" si="313"/>
        <v>4</v>
      </c>
      <c r="AB529">
        <f t="shared" si="314"/>
        <v>2</v>
      </c>
      <c r="AC529">
        <f t="shared" si="315"/>
        <v>74</v>
      </c>
      <c r="AD529">
        <f t="shared" si="316"/>
        <v>0</v>
      </c>
      <c r="AF529">
        <f t="shared" si="317"/>
        <v>0</v>
      </c>
      <c r="AG529">
        <f t="shared" si="318"/>
        <v>0</v>
      </c>
      <c r="AH529">
        <f t="shared" si="319"/>
        <v>0</v>
      </c>
      <c r="AI529">
        <f t="shared" si="320"/>
        <v>0</v>
      </c>
      <c r="AJ529">
        <f t="shared" si="321"/>
        <v>0</v>
      </c>
      <c r="AK529">
        <f t="shared" si="322"/>
        <v>0</v>
      </c>
      <c r="AL529">
        <f t="shared" si="323"/>
        <v>0</v>
      </c>
      <c r="AM529">
        <f t="shared" si="324"/>
        <v>0</v>
      </c>
      <c r="AN529">
        <f t="shared" si="325"/>
        <v>0</v>
      </c>
      <c r="AO529">
        <f t="shared" si="326"/>
        <v>0</v>
      </c>
      <c r="AP529">
        <f t="shared" si="327"/>
        <v>0</v>
      </c>
      <c r="AQ529">
        <f t="shared" si="328"/>
        <v>0</v>
      </c>
    </row>
    <row r="530" spans="1:43" ht="15.5" x14ac:dyDescent="0.35">
      <c r="A530" s="51">
        <v>59</v>
      </c>
      <c r="B530" s="13" t="s">
        <v>393</v>
      </c>
      <c r="C530" s="17" t="s">
        <v>133</v>
      </c>
      <c r="D530" s="17" t="s">
        <v>60</v>
      </c>
      <c r="E530" s="19">
        <v>3082.0821677520353</v>
      </c>
      <c r="F530">
        <f t="shared" si="293"/>
        <v>0</v>
      </c>
      <c r="G530">
        <f t="shared" si="294"/>
        <v>0</v>
      </c>
      <c r="H530">
        <f t="shared" si="295"/>
        <v>0</v>
      </c>
      <c r="I530">
        <f t="shared" si="296"/>
        <v>0</v>
      </c>
      <c r="J530">
        <f t="shared" si="297"/>
        <v>3082.0821677520353</v>
      </c>
      <c r="K530">
        <f t="shared" si="298"/>
        <v>0</v>
      </c>
      <c r="L530">
        <f t="shared" si="299"/>
        <v>0</v>
      </c>
      <c r="M530">
        <f t="shared" si="300"/>
        <v>0</v>
      </c>
      <c r="N530">
        <f t="shared" si="301"/>
        <v>0</v>
      </c>
      <c r="O530">
        <f t="shared" si="302"/>
        <v>0</v>
      </c>
      <c r="P530">
        <f t="shared" si="303"/>
        <v>0</v>
      </c>
      <c r="Q530">
        <f t="shared" si="304"/>
        <v>0</v>
      </c>
      <c r="S530">
        <f t="shared" si="305"/>
        <v>30</v>
      </c>
      <c r="T530">
        <f t="shared" si="306"/>
        <v>27</v>
      </c>
      <c r="U530">
        <f t="shared" si="307"/>
        <v>8</v>
      </c>
      <c r="V530">
        <f t="shared" si="308"/>
        <v>10</v>
      </c>
      <c r="W530">
        <f t="shared" si="309"/>
        <v>56</v>
      </c>
      <c r="X530">
        <f t="shared" si="310"/>
        <v>40</v>
      </c>
      <c r="Y530">
        <f t="shared" si="311"/>
        <v>10</v>
      </c>
      <c r="Z530">
        <f t="shared" si="312"/>
        <v>5</v>
      </c>
      <c r="AA530">
        <f t="shared" si="313"/>
        <v>4</v>
      </c>
      <c r="AB530">
        <f t="shared" si="314"/>
        <v>2</v>
      </c>
      <c r="AC530">
        <f t="shared" si="315"/>
        <v>73</v>
      </c>
      <c r="AD530">
        <f t="shared" si="316"/>
        <v>0</v>
      </c>
      <c r="AF530">
        <f t="shared" si="317"/>
        <v>0</v>
      </c>
      <c r="AG530">
        <f t="shared" si="318"/>
        <v>0</v>
      </c>
      <c r="AH530">
        <f t="shared" si="319"/>
        <v>0</v>
      </c>
      <c r="AI530">
        <f t="shared" si="320"/>
        <v>0</v>
      </c>
      <c r="AJ530">
        <f t="shared" si="321"/>
        <v>0</v>
      </c>
      <c r="AK530">
        <f t="shared" si="322"/>
        <v>0</v>
      </c>
      <c r="AL530">
        <f t="shared" si="323"/>
        <v>0</v>
      </c>
      <c r="AM530">
        <f t="shared" si="324"/>
        <v>0</v>
      </c>
      <c r="AN530">
        <f t="shared" si="325"/>
        <v>0</v>
      </c>
      <c r="AO530">
        <f t="shared" si="326"/>
        <v>0</v>
      </c>
      <c r="AP530">
        <f t="shared" si="327"/>
        <v>0</v>
      </c>
      <c r="AQ530">
        <f t="shared" si="328"/>
        <v>0</v>
      </c>
    </row>
    <row r="531" spans="1:43" ht="15.5" x14ac:dyDescent="0.35">
      <c r="A531" s="51">
        <v>60</v>
      </c>
      <c r="B531" s="13" t="s">
        <v>393</v>
      </c>
      <c r="C531" s="1" t="s">
        <v>134</v>
      </c>
      <c r="D531" s="1" t="s">
        <v>54</v>
      </c>
      <c r="E531" s="19">
        <v>2917.7809181478024</v>
      </c>
      <c r="F531">
        <f t="shared" si="293"/>
        <v>0</v>
      </c>
      <c r="G531">
        <f t="shared" si="294"/>
        <v>0</v>
      </c>
      <c r="H531">
        <f t="shared" si="295"/>
        <v>0</v>
      </c>
      <c r="I531">
        <f t="shared" si="296"/>
        <v>0</v>
      </c>
      <c r="J531">
        <f t="shared" si="297"/>
        <v>0</v>
      </c>
      <c r="K531">
        <f t="shared" si="298"/>
        <v>2917.7809181478024</v>
      </c>
      <c r="L531">
        <f t="shared" si="299"/>
        <v>0</v>
      </c>
      <c r="M531">
        <f t="shared" si="300"/>
        <v>0</v>
      </c>
      <c r="N531">
        <f t="shared" si="301"/>
        <v>0</v>
      </c>
      <c r="O531">
        <f t="shared" si="302"/>
        <v>0</v>
      </c>
      <c r="P531">
        <f t="shared" si="303"/>
        <v>0</v>
      </c>
      <c r="Q531">
        <f t="shared" si="304"/>
        <v>0</v>
      </c>
      <c r="S531">
        <f t="shared" si="305"/>
        <v>30</v>
      </c>
      <c r="T531">
        <f t="shared" si="306"/>
        <v>27</v>
      </c>
      <c r="U531">
        <f t="shared" si="307"/>
        <v>8</v>
      </c>
      <c r="V531">
        <f t="shared" si="308"/>
        <v>10</v>
      </c>
      <c r="W531">
        <f t="shared" si="309"/>
        <v>55</v>
      </c>
      <c r="X531">
        <f t="shared" si="310"/>
        <v>40</v>
      </c>
      <c r="Y531">
        <f t="shared" si="311"/>
        <v>10</v>
      </c>
      <c r="Z531">
        <f t="shared" si="312"/>
        <v>5</v>
      </c>
      <c r="AA531">
        <f t="shared" si="313"/>
        <v>4</v>
      </c>
      <c r="AB531">
        <f t="shared" si="314"/>
        <v>2</v>
      </c>
      <c r="AC531">
        <f t="shared" si="315"/>
        <v>73</v>
      </c>
      <c r="AD531">
        <f t="shared" si="316"/>
        <v>0</v>
      </c>
      <c r="AF531">
        <f t="shared" si="317"/>
        <v>0</v>
      </c>
      <c r="AG531">
        <f t="shared" si="318"/>
        <v>0</v>
      </c>
      <c r="AH531">
        <f t="shared" si="319"/>
        <v>0</v>
      </c>
      <c r="AI531">
        <f t="shared" si="320"/>
        <v>0</v>
      </c>
      <c r="AJ531">
        <f t="shared" si="321"/>
        <v>0</v>
      </c>
      <c r="AK531">
        <f t="shared" si="322"/>
        <v>0</v>
      </c>
      <c r="AL531">
        <f t="shared" si="323"/>
        <v>0</v>
      </c>
      <c r="AM531">
        <f t="shared" si="324"/>
        <v>0</v>
      </c>
      <c r="AN531">
        <f t="shared" si="325"/>
        <v>0</v>
      </c>
      <c r="AO531">
        <f t="shared" si="326"/>
        <v>0</v>
      </c>
      <c r="AP531">
        <f t="shared" si="327"/>
        <v>0</v>
      </c>
      <c r="AQ531">
        <f t="shared" si="328"/>
        <v>0</v>
      </c>
    </row>
    <row r="532" spans="1:43" ht="15.5" x14ac:dyDescent="0.35">
      <c r="A532" s="51">
        <v>61</v>
      </c>
      <c r="B532" s="13" t="s">
        <v>394</v>
      </c>
      <c r="C532" s="17" t="s">
        <v>140</v>
      </c>
      <c r="D532" s="17" t="s">
        <v>228</v>
      </c>
      <c r="E532" s="19">
        <v>3311.4564822064058</v>
      </c>
      <c r="F532">
        <f t="shared" si="293"/>
        <v>0</v>
      </c>
      <c r="G532">
        <f t="shared" si="294"/>
        <v>0</v>
      </c>
      <c r="H532">
        <f t="shared" si="295"/>
        <v>0</v>
      </c>
      <c r="I532">
        <f t="shared" si="296"/>
        <v>0</v>
      </c>
      <c r="J532">
        <f t="shared" si="297"/>
        <v>0</v>
      </c>
      <c r="K532">
        <f t="shared" si="298"/>
        <v>0</v>
      </c>
      <c r="L532">
        <f t="shared" si="299"/>
        <v>0</v>
      </c>
      <c r="M532">
        <f t="shared" si="300"/>
        <v>0</v>
      </c>
      <c r="N532">
        <f t="shared" si="301"/>
        <v>0</v>
      </c>
      <c r="O532">
        <f t="shared" si="302"/>
        <v>0</v>
      </c>
      <c r="P532">
        <f t="shared" si="303"/>
        <v>3311.4564822064058</v>
      </c>
      <c r="Q532">
        <f t="shared" si="304"/>
        <v>0</v>
      </c>
      <c r="S532">
        <f t="shared" si="305"/>
        <v>30</v>
      </c>
      <c r="T532">
        <f t="shared" si="306"/>
        <v>27</v>
      </c>
      <c r="U532">
        <f t="shared" si="307"/>
        <v>8</v>
      </c>
      <c r="V532">
        <f t="shared" si="308"/>
        <v>10</v>
      </c>
      <c r="W532">
        <f t="shared" si="309"/>
        <v>55</v>
      </c>
      <c r="X532">
        <f t="shared" si="310"/>
        <v>39</v>
      </c>
      <c r="Y532">
        <f t="shared" si="311"/>
        <v>10</v>
      </c>
      <c r="Z532">
        <f t="shared" si="312"/>
        <v>5</v>
      </c>
      <c r="AA532">
        <f t="shared" si="313"/>
        <v>4</v>
      </c>
      <c r="AB532">
        <f t="shared" si="314"/>
        <v>2</v>
      </c>
      <c r="AC532">
        <f t="shared" si="315"/>
        <v>73</v>
      </c>
      <c r="AD532">
        <f t="shared" si="316"/>
        <v>0</v>
      </c>
      <c r="AF532">
        <f t="shared" si="317"/>
        <v>0</v>
      </c>
      <c r="AG532">
        <f t="shared" si="318"/>
        <v>0</v>
      </c>
      <c r="AH532">
        <f t="shared" si="319"/>
        <v>0</v>
      </c>
      <c r="AI532">
        <f t="shared" si="320"/>
        <v>0</v>
      </c>
      <c r="AJ532">
        <f t="shared" si="321"/>
        <v>0</v>
      </c>
      <c r="AK532">
        <f t="shared" si="322"/>
        <v>0</v>
      </c>
      <c r="AL532">
        <f t="shared" si="323"/>
        <v>0</v>
      </c>
      <c r="AM532">
        <f t="shared" si="324"/>
        <v>0</v>
      </c>
      <c r="AN532">
        <f t="shared" si="325"/>
        <v>0</v>
      </c>
      <c r="AO532">
        <f t="shared" si="326"/>
        <v>0</v>
      </c>
      <c r="AP532">
        <f t="shared" si="327"/>
        <v>0</v>
      </c>
      <c r="AQ532">
        <f t="shared" si="328"/>
        <v>0</v>
      </c>
    </row>
    <row r="533" spans="1:43" ht="15.5" x14ac:dyDescent="0.35">
      <c r="A533" s="51">
        <v>62</v>
      </c>
      <c r="B533" s="13" t="s">
        <v>394</v>
      </c>
      <c r="C533" s="1" t="s">
        <v>138</v>
      </c>
      <c r="D533" s="1" t="s">
        <v>227</v>
      </c>
      <c r="E533" s="19">
        <v>2838.3572201443362</v>
      </c>
      <c r="F533">
        <f t="shared" si="293"/>
        <v>0</v>
      </c>
      <c r="G533">
        <f t="shared" si="294"/>
        <v>2838.3572201443362</v>
      </c>
      <c r="H533">
        <f t="shared" si="295"/>
        <v>0</v>
      </c>
      <c r="I533">
        <f t="shared" si="296"/>
        <v>0</v>
      </c>
      <c r="J533">
        <f t="shared" si="297"/>
        <v>0</v>
      </c>
      <c r="K533">
        <f t="shared" si="298"/>
        <v>0</v>
      </c>
      <c r="L533">
        <f t="shared" si="299"/>
        <v>0</v>
      </c>
      <c r="M533">
        <f t="shared" si="300"/>
        <v>0</v>
      </c>
      <c r="N533">
        <f t="shared" si="301"/>
        <v>0</v>
      </c>
      <c r="O533">
        <f t="shared" si="302"/>
        <v>0</v>
      </c>
      <c r="P533">
        <f t="shared" si="303"/>
        <v>0</v>
      </c>
      <c r="Q533">
        <f t="shared" si="304"/>
        <v>0</v>
      </c>
      <c r="S533">
        <f t="shared" si="305"/>
        <v>30</v>
      </c>
      <c r="T533">
        <f t="shared" si="306"/>
        <v>27</v>
      </c>
      <c r="U533">
        <f t="shared" si="307"/>
        <v>8</v>
      </c>
      <c r="V533">
        <f t="shared" si="308"/>
        <v>10</v>
      </c>
      <c r="W533">
        <f t="shared" si="309"/>
        <v>55</v>
      </c>
      <c r="X533">
        <f t="shared" si="310"/>
        <v>39</v>
      </c>
      <c r="Y533">
        <f t="shared" si="311"/>
        <v>10</v>
      </c>
      <c r="Z533">
        <f t="shared" si="312"/>
        <v>5</v>
      </c>
      <c r="AA533">
        <f t="shared" si="313"/>
        <v>4</v>
      </c>
      <c r="AB533">
        <f t="shared" si="314"/>
        <v>2</v>
      </c>
      <c r="AC533">
        <f t="shared" si="315"/>
        <v>72</v>
      </c>
      <c r="AD533">
        <f t="shared" si="316"/>
        <v>0</v>
      </c>
      <c r="AF533">
        <f t="shared" si="317"/>
        <v>0</v>
      </c>
      <c r="AG533">
        <f t="shared" si="318"/>
        <v>0</v>
      </c>
      <c r="AH533">
        <f t="shared" si="319"/>
        <v>0</v>
      </c>
      <c r="AI533">
        <f t="shared" si="320"/>
        <v>0</v>
      </c>
      <c r="AJ533">
        <f t="shared" si="321"/>
        <v>0</v>
      </c>
      <c r="AK533">
        <f t="shared" si="322"/>
        <v>0</v>
      </c>
      <c r="AL533">
        <f t="shared" si="323"/>
        <v>0</v>
      </c>
      <c r="AM533">
        <f t="shared" si="324"/>
        <v>0</v>
      </c>
      <c r="AN533">
        <f t="shared" si="325"/>
        <v>0</v>
      </c>
      <c r="AO533">
        <f t="shared" si="326"/>
        <v>0</v>
      </c>
      <c r="AP533">
        <f t="shared" si="327"/>
        <v>0</v>
      </c>
      <c r="AQ533">
        <f t="shared" si="328"/>
        <v>0</v>
      </c>
    </row>
    <row r="534" spans="1:43" ht="15.5" x14ac:dyDescent="0.35">
      <c r="A534" s="51">
        <v>63</v>
      </c>
      <c r="B534" s="13" t="s">
        <v>394</v>
      </c>
      <c r="C534" s="1" t="s">
        <v>137</v>
      </c>
      <c r="D534" s="1" t="s">
        <v>57</v>
      </c>
      <c r="E534" s="19">
        <v>3060.8592827586208</v>
      </c>
      <c r="F534">
        <f t="shared" si="293"/>
        <v>0</v>
      </c>
      <c r="G534">
        <f t="shared" si="294"/>
        <v>0</v>
      </c>
      <c r="H534">
        <f t="shared" si="295"/>
        <v>0</v>
      </c>
      <c r="I534">
        <f t="shared" si="296"/>
        <v>0</v>
      </c>
      <c r="J534">
        <f t="shared" si="297"/>
        <v>0</v>
      </c>
      <c r="K534">
        <f t="shared" si="298"/>
        <v>0</v>
      </c>
      <c r="L534">
        <f t="shared" si="299"/>
        <v>0</v>
      </c>
      <c r="M534">
        <f t="shared" si="300"/>
        <v>3060.8592827586208</v>
      </c>
      <c r="N534">
        <f t="shared" si="301"/>
        <v>0</v>
      </c>
      <c r="O534">
        <f t="shared" si="302"/>
        <v>0</v>
      </c>
      <c r="P534">
        <f t="shared" si="303"/>
        <v>0</v>
      </c>
      <c r="Q534">
        <f t="shared" si="304"/>
        <v>0</v>
      </c>
      <c r="S534">
        <f t="shared" si="305"/>
        <v>30</v>
      </c>
      <c r="T534">
        <f t="shared" si="306"/>
        <v>26</v>
      </c>
      <c r="U534">
        <f t="shared" si="307"/>
        <v>8</v>
      </c>
      <c r="V534">
        <f t="shared" si="308"/>
        <v>10</v>
      </c>
      <c r="W534">
        <f t="shared" si="309"/>
        <v>55</v>
      </c>
      <c r="X534">
        <f t="shared" si="310"/>
        <v>39</v>
      </c>
      <c r="Y534">
        <f t="shared" si="311"/>
        <v>10</v>
      </c>
      <c r="Z534">
        <f t="shared" si="312"/>
        <v>5</v>
      </c>
      <c r="AA534">
        <f t="shared" si="313"/>
        <v>4</v>
      </c>
      <c r="AB534">
        <f t="shared" si="314"/>
        <v>2</v>
      </c>
      <c r="AC534">
        <f t="shared" si="315"/>
        <v>72</v>
      </c>
      <c r="AD534">
        <f t="shared" si="316"/>
        <v>0</v>
      </c>
      <c r="AF534">
        <f t="shared" si="317"/>
        <v>0</v>
      </c>
      <c r="AG534">
        <f t="shared" si="318"/>
        <v>0</v>
      </c>
      <c r="AH534">
        <f t="shared" si="319"/>
        <v>0</v>
      </c>
      <c r="AI534">
        <f t="shared" si="320"/>
        <v>0</v>
      </c>
      <c r="AJ534">
        <f t="shared" si="321"/>
        <v>0</v>
      </c>
      <c r="AK534">
        <f t="shared" si="322"/>
        <v>0</v>
      </c>
      <c r="AL534">
        <f t="shared" si="323"/>
        <v>0</v>
      </c>
      <c r="AM534">
        <f t="shared" si="324"/>
        <v>3060.8592827586208</v>
      </c>
      <c r="AN534">
        <f t="shared" si="325"/>
        <v>0</v>
      </c>
      <c r="AO534">
        <f t="shared" si="326"/>
        <v>0</v>
      </c>
      <c r="AP534">
        <f t="shared" si="327"/>
        <v>0</v>
      </c>
      <c r="AQ534">
        <f t="shared" si="328"/>
        <v>0</v>
      </c>
    </row>
    <row r="535" spans="1:43" ht="15.5" x14ac:dyDescent="0.35">
      <c r="A535" s="51">
        <v>64</v>
      </c>
      <c r="B535" s="13" t="s">
        <v>395</v>
      </c>
      <c r="C535" s="17" t="s">
        <v>141</v>
      </c>
      <c r="D535" s="17" t="s">
        <v>54</v>
      </c>
      <c r="E535" s="19">
        <v>2915.3448446651951</v>
      </c>
      <c r="F535">
        <f t="shared" si="293"/>
        <v>0</v>
      </c>
      <c r="G535">
        <f t="shared" si="294"/>
        <v>0</v>
      </c>
      <c r="H535">
        <f t="shared" si="295"/>
        <v>0</v>
      </c>
      <c r="I535">
        <f t="shared" si="296"/>
        <v>0</v>
      </c>
      <c r="J535">
        <f t="shared" si="297"/>
        <v>0</v>
      </c>
      <c r="K535">
        <f t="shared" si="298"/>
        <v>2915.3448446651951</v>
      </c>
      <c r="L535">
        <f t="shared" si="299"/>
        <v>0</v>
      </c>
      <c r="M535">
        <f t="shared" si="300"/>
        <v>0</v>
      </c>
      <c r="N535">
        <f t="shared" si="301"/>
        <v>0</v>
      </c>
      <c r="O535">
        <f t="shared" si="302"/>
        <v>0</v>
      </c>
      <c r="P535">
        <f t="shared" si="303"/>
        <v>0</v>
      </c>
      <c r="Q535">
        <f t="shared" si="304"/>
        <v>0</v>
      </c>
      <c r="S535">
        <f t="shared" si="305"/>
        <v>30</v>
      </c>
      <c r="T535">
        <f t="shared" si="306"/>
        <v>26</v>
      </c>
      <c r="U535">
        <f t="shared" si="307"/>
        <v>8</v>
      </c>
      <c r="V535">
        <f t="shared" si="308"/>
        <v>10</v>
      </c>
      <c r="W535">
        <f t="shared" si="309"/>
        <v>55</v>
      </c>
      <c r="X535">
        <f t="shared" si="310"/>
        <v>39</v>
      </c>
      <c r="Y535">
        <f t="shared" si="311"/>
        <v>10</v>
      </c>
      <c r="Z535">
        <f t="shared" si="312"/>
        <v>4</v>
      </c>
      <c r="AA535">
        <f t="shared" si="313"/>
        <v>4</v>
      </c>
      <c r="AB535">
        <f t="shared" si="314"/>
        <v>2</v>
      </c>
      <c r="AC535">
        <f t="shared" si="315"/>
        <v>72</v>
      </c>
      <c r="AD535">
        <f t="shared" si="316"/>
        <v>0</v>
      </c>
      <c r="AF535">
        <f t="shared" si="317"/>
        <v>0</v>
      </c>
      <c r="AG535">
        <f t="shared" si="318"/>
        <v>0</v>
      </c>
      <c r="AH535">
        <f t="shared" si="319"/>
        <v>0</v>
      </c>
      <c r="AI535">
        <f t="shared" si="320"/>
        <v>0</v>
      </c>
      <c r="AJ535">
        <f t="shared" si="321"/>
        <v>0</v>
      </c>
      <c r="AK535">
        <f t="shared" si="322"/>
        <v>0</v>
      </c>
      <c r="AL535">
        <f t="shared" si="323"/>
        <v>0</v>
      </c>
      <c r="AM535">
        <f t="shared" si="324"/>
        <v>0</v>
      </c>
      <c r="AN535">
        <f t="shared" si="325"/>
        <v>0</v>
      </c>
      <c r="AO535">
        <f t="shared" si="326"/>
        <v>0</v>
      </c>
      <c r="AP535">
        <f t="shared" si="327"/>
        <v>0</v>
      </c>
      <c r="AQ535">
        <f t="shared" si="328"/>
        <v>0</v>
      </c>
    </row>
    <row r="536" spans="1:43" ht="15.5" x14ac:dyDescent="0.35">
      <c r="A536" s="51">
        <v>65</v>
      </c>
      <c r="B536" s="13" t="s">
        <v>395</v>
      </c>
      <c r="C536" s="1" t="s">
        <v>142</v>
      </c>
      <c r="D536" s="1" t="s">
        <v>60</v>
      </c>
      <c r="E536" s="19">
        <v>3164.8293431184943</v>
      </c>
      <c r="F536">
        <f t="shared" si="293"/>
        <v>0</v>
      </c>
      <c r="G536">
        <f t="shared" si="294"/>
        <v>0</v>
      </c>
      <c r="H536">
        <f t="shared" si="295"/>
        <v>0</v>
      </c>
      <c r="I536">
        <f t="shared" si="296"/>
        <v>0</v>
      </c>
      <c r="J536">
        <f t="shared" si="297"/>
        <v>3164.8293431184943</v>
      </c>
      <c r="K536">
        <f t="shared" si="298"/>
        <v>0</v>
      </c>
      <c r="L536">
        <f t="shared" si="299"/>
        <v>0</v>
      </c>
      <c r="M536">
        <f t="shared" si="300"/>
        <v>0</v>
      </c>
      <c r="N536">
        <f t="shared" si="301"/>
        <v>0</v>
      </c>
      <c r="O536">
        <f t="shared" si="302"/>
        <v>0</v>
      </c>
      <c r="P536">
        <f t="shared" si="303"/>
        <v>0</v>
      </c>
      <c r="Q536">
        <f t="shared" si="304"/>
        <v>0</v>
      </c>
      <c r="S536">
        <f t="shared" si="305"/>
        <v>30</v>
      </c>
      <c r="T536">
        <f t="shared" si="306"/>
        <v>26</v>
      </c>
      <c r="U536">
        <f t="shared" si="307"/>
        <v>8</v>
      </c>
      <c r="V536">
        <f t="shared" si="308"/>
        <v>10</v>
      </c>
      <c r="W536">
        <f t="shared" si="309"/>
        <v>55</v>
      </c>
      <c r="X536">
        <f t="shared" si="310"/>
        <v>38</v>
      </c>
      <c r="Y536">
        <f t="shared" si="311"/>
        <v>10</v>
      </c>
      <c r="Z536">
        <f t="shared" si="312"/>
        <v>4</v>
      </c>
      <c r="AA536">
        <f t="shared" si="313"/>
        <v>4</v>
      </c>
      <c r="AB536">
        <f t="shared" si="314"/>
        <v>2</v>
      </c>
      <c r="AC536">
        <f t="shared" si="315"/>
        <v>72</v>
      </c>
      <c r="AD536">
        <f t="shared" si="316"/>
        <v>0</v>
      </c>
      <c r="AF536">
        <f t="shared" si="317"/>
        <v>0</v>
      </c>
      <c r="AG536">
        <f t="shared" si="318"/>
        <v>0</v>
      </c>
      <c r="AH536">
        <f t="shared" si="319"/>
        <v>0</v>
      </c>
      <c r="AI536">
        <f t="shared" si="320"/>
        <v>0</v>
      </c>
      <c r="AJ536">
        <f t="shared" si="321"/>
        <v>0</v>
      </c>
      <c r="AK536">
        <f t="shared" si="322"/>
        <v>0</v>
      </c>
      <c r="AL536">
        <f t="shared" si="323"/>
        <v>0</v>
      </c>
      <c r="AM536">
        <f t="shared" si="324"/>
        <v>0</v>
      </c>
      <c r="AN536">
        <f t="shared" si="325"/>
        <v>0</v>
      </c>
      <c r="AO536">
        <f t="shared" si="326"/>
        <v>0</v>
      </c>
      <c r="AP536">
        <f t="shared" si="327"/>
        <v>0</v>
      </c>
      <c r="AQ536">
        <f t="shared" si="328"/>
        <v>0</v>
      </c>
    </row>
    <row r="537" spans="1:43" ht="15.5" x14ac:dyDescent="0.35">
      <c r="A537" s="51">
        <v>66</v>
      </c>
      <c r="B537" s="13" t="s">
        <v>395</v>
      </c>
      <c r="C537" s="1" t="s">
        <v>143</v>
      </c>
      <c r="D537" s="1" t="s">
        <v>228</v>
      </c>
      <c r="E537" s="19">
        <v>3624.3613622041421</v>
      </c>
      <c r="F537">
        <f t="shared" si="293"/>
        <v>0</v>
      </c>
      <c r="G537">
        <f t="shared" si="294"/>
        <v>0</v>
      </c>
      <c r="H537">
        <f t="shared" si="295"/>
        <v>0</v>
      </c>
      <c r="I537">
        <f t="shared" si="296"/>
        <v>0</v>
      </c>
      <c r="J537">
        <f t="shared" si="297"/>
        <v>0</v>
      </c>
      <c r="K537">
        <f t="shared" si="298"/>
        <v>0</v>
      </c>
      <c r="L537">
        <f t="shared" si="299"/>
        <v>0</v>
      </c>
      <c r="M537">
        <f t="shared" si="300"/>
        <v>0</v>
      </c>
      <c r="N537">
        <f t="shared" si="301"/>
        <v>0</v>
      </c>
      <c r="O537">
        <f t="shared" si="302"/>
        <v>0</v>
      </c>
      <c r="P537">
        <f t="shared" si="303"/>
        <v>3624.3613622041421</v>
      </c>
      <c r="Q537">
        <f t="shared" si="304"/>
        <v>0</v>
      </c>
      <c r="S537">
        <f t="shared" si="305"/>
        <v>30</v>
      </c>
      <c r="T537">
        <f t="shared" si="306"/>
        <v>26</v>
      </c>
      <c r="U537">
        <f t="shared" si="307"/>
        <v>8</v>
      </c>
      <c r="V537">
        <f t="shared" si="308"/>
        <v>10</v>
      </c>
      <c r="W537">
        <f t="shared" si="309"/>
        <v>54</v>
      </c>
      <c r="X537">
        <f t="shared" si="310"/>
        <v>38</v>
      </c>
      <c r="Y537">
        <f t="shared" si="311"/>
        <v>10</v>
      </c>
      <c r="Z537">
        <f t="shared" si="312"/>
        <v>4</v>
      </c>
      <c r="AA537">
        <f t="shared" si="313"/>
        <v>4</v>
      </c>
      <c r="AB537">
        <f t="shared" si="314"/>
        <v>2</v>
      </c>
      <c r="AC537">
        <f t="shared" si="315"/>
        <v>72</v>
      </c>
      <c r="AD537">
        <f t="shared" si="316"/>
        <v>0</v>
      </c>
      <c r="AF537">
        <f t="shared" si="317"/>
        <v>0</v>
      </c>
      <c r="AG537">
        <f t="shared" si="318"/>
        <v>0</v>
      </c>
      <c r="AH537">
        <f t="shared" si="319"/>
        <v>0</v>
      </c>
      <c r="AI537">
        <f t="shared" si="320"/>
        <v>0</v>
      </c>
      <c r="AJ537">
        <f t="shared" si="321"/>
        <v>0</v>
      </c>
      <c r="AK537">
        <f t="shared" si="322"/>
        <v>0</v>
      </c>
      <c r="AL537">
        <f t="shared" si="323"/>
        <v>0</v>
      </c>
      <c r="AM537">
        <f t="shared" si="324"/>
        <v>0</v>
      </c>
      <c r="AN537">
        <f t="shared" si="325"/>
        <v>0</v>
      </c>
      <c r="AO537">
        <f t="shared" si="326"/>
        <v>0</v>
      </c>
      <c r="AP537">
        <f t="shared" si="327"/>
        <v>0</v>
      </c>
      <c r="AQ537">
        <f t="shared" si="328"/>
        <v>0</v>
      </c>
    </row>
    <row r="538" spans="1:43" ht="15.5" x14ac:dyDescent="0.35">
      <c r="A538" s="51">
        <v>67</v>
      </c>
      <c r="B538" s="13" t="s">
        <v>396</v>
      </c>
      <c r="C538" s="17" t="s">
        <v>146</v>
      </c>
      <c r="D538" s="17" t="s">
        <v>54</v>
      </c>
      <c r="E538" s="19">
        <v>2908.4924960949706</v>
      </c>
      <c r="F538">
        <f t="shared" si="293"/>
        <v>0</v>
      </c>
      <c r="G538">
        <f t="shared" si="294"/>
        <v>0</v>
      </c>
      <c r="H538">
        <f t="shared" si="295"/>
        <v>0</v>
      </c>
      <c r="I538">
        <f t="shared" si="296"/>
        <v>0</v>
      </c>
      <c r="J538">
        <f t="shared" si="297"/>
        <v>0</v>
      </c>
      <c r="K538">
        <f t="shared" si="298"/>
        <v>2908.4924960949706</v>
      </c>
      <c r="L538">
        <f t="shared" si="299"/>
        <v>0</v>
      </c>
      <c r="M538">
        <f t="shared" si="300"/>
        <v>0</v>
      </c>
      <c r="N538">
        <f t="shared" si="301"/>
        <v>0</v>
      </c>
      <c r="O538">
        <f t="shared" si="302"/>
        <v>0</v>
      </c>
      <c r="P538">
        <f t="shared" si="303"/>
        <v>0</v>
      </c>
      <c r="Q538">
        <f t="shared" si="304"/>
        <v>0</v>
      </c>
      <c r="S538">
        <f t="shared" si="305"/>
        <v>30</v>
      </c>
      <c r="T538">
        <f t="shared" si="306"/>
        <v>26</v>
      </c>
      <c r="U538">
        <f t="shared" si="307"/>
        <v>8</v>
      </c>
      <c r="V538">
        <f t="shared" si="308"/>
        <v>10</v>
      </c>
      <c r="W538">
        <f t="shared" si="309"/>
        <v>54</v>
      </c>
      <c r="X538">
        <f t="shared" si="310"/>
        <v>38</v>
      </c>
      <c r="Y538">
        <f t="shared" si="311"/>
        <v>10</v>
      </c>
      <c r="Z538">
        <f t="shared" si="312"/>
        <v>4</v>
      </c>
      <c r="AA538">
        <f t="shared" si="313"/>
        <v>4</v>
      </c>
      <c r="AB538">
        <f t="shared" si="314"/>
        <v>2</v>
      </c>
      <c r="AC538">
        <f t="shared" si="315"/>
        <v>71</v>
      </c>
      <c r="AD538">
        <f t="shared" si="316"/>
        <v>0</v>
      </c>
      <c r="AF538">
        <f t="shared" si="317"/>
        <v>0</v>
      </c>
      <c r="AG538">
        <f t="shared" si="318"/>
        <v>0</v>
      </c>
      <c r="AH538">
        <f t="shared" si="319"/>
        <v>0</v>
      </c>
      <c r="AI538">
        <f t="shared" si="320"/>
        <v>0</v>
      </c>
      <c r="AJ538">
        <f t="shared" si="321"/>
        <v>0</v>
      </c>
      <c r="AK538">
        <f t="shared" si="322"/>
        <v>0</v>
      </c>
      <c r="AL538">
        <f t="shared" si="323"/>
        <v>0</v>
      </c>
      <c r="AM538">
        <f t="shared" si="324"/>
        <v>0</v>
      </c>
      <c r="AN538">
        <f t="shared" si="325"/>
        <v>0</v>
      </c>
      <c r="AO538">
        <f t="shared" si="326"/>
        <v>0</v>
      </c>
      <c r="AP538">
        <f t="shared" si="327"/>
        <v>0</v>
      </c>
      <c r="AQ538">
        <f t="shared" si="328"/>
        <v>0</v>
      </c>
    </row>
    <row r="539" spans="1:43" ht="15.5" x14ac:dyDescent="0.35">
      <c r="A539" s="51">
        <v>68</v>
      </c>
      <c r="B539" s="13" t="s">
        <v>396</v>
      </c>
      <c r="C539" s="1" t="s">
        <v>147</v>
      </c>
      <c r="D539" s="1" t="s">
        <v>60</v>
      </c>
      <c r="E539" s="19">
        <v>2962.5856713877424</v>
      </c>
      <c r="F539">
        <f t="shared" si="293"/>
        <v>0</v>
      </c>
      <c r="G539">
        <f t="shared" si="294"/>
        <v>0</v>
      </c>
      <c r="H539">
        <f t="shared" si="295"/>
        <v>0</v>
      </c>
      <c r="I539">
        <f t="shared" si="296"/>
        <v>0</v>
      </c>
      <c r="J539">
        <f t="shared" si="297"/>
        <v>2962.5856713877424</v>
      </c>
      <c r="K539">
        <f t="shared" si="298"/>
        <v>0</v>
      </c>
      <c r="L539">
        <f t="shared" si="299"/>
        <v>0</v>
      </c>
      <c r="M539">
        <f t="shared" si="300"/>
        <v>0</v>
      </c>
      <c r="N539">
        <f t="shared" si="301"/>
        <v>0</v>
      </c>
      <c r="O539">
        <f t="shared" si="302"/>
        <v>0</v>
      </c>
      <c r="P539">
        <f t="shared" si="303"/>
        <v>0</v>
      </c>
      <c r="Q539">
        <f t="shared" si="304"/>
        <v>0</v>
      </c>
      <c r="S539">
        <f t="shared" si="305"/>
        <v>30</v>
      </c>
      <c r="T539">
        <f t="shared" si="306"/>
        <v>26</v>
      </c>
      <c r="U539">
        <f t="shared" si="307"/>
        <v>8</v>
      </c>
      <c r="V539">
        <f t="shared" si="308"/>
        <v>10</v>
      </c>
      <c r="W539">
        <f t="shared" si="309"/>
        <v>54</v>
      </c>
      <c r="X539">
        <f t="shared" si="310"/>
        <v>37</v>
      </c>
      <c r="Y539">
        <f t="shared" si="311"/>
        <v>10</v>
      </c>
      <c r="Z539">
        <f t="shared" si="312"/>
        <v>4</v>
      </c>
      <c r="AA539">
        <f t="shared" si="313"/>
        <v>4</v>
      </c>
      <c r="AB539">
        <f t="shared" si="314"/>
        <v>2</v>
      </c>
      <c r="AC539">
        <f t="shared" si="315"/>
        <v>71</v>
      </c>
      <c r="AD539">
        <f t="shared" si="316"/>
        <v>0</v>
      </c>
      <c r="AF539">
        <f t="shared" si="317"/>
        <v>0</v>
      </c>
      <c r="AG539">
        <f t="shared" si="318"/>
        <v>0</v>
      </c>
      <c r="AH539">
        <f t="shared" si="319"/>
        <v>0</v>
      </c>
      <c r="AI539">
        <f t="shared" si="320"/>
        <v>0</v>
      </c>
      <c r="AJ539">
        <f t="shared" si="321"/>
        <v>0</v>
      </c>
      <c r="AK539">
        <f t="shared" si="322"/>
        <v>0</v>
      </c>
      <c r="AL539">
        <f t="shared" si="323"/>
        <v>0</v>
      </c>
      <c r="AM539">
        <f t="shared" si="324"/>
        <v>0</v>
      </c>
      <c r="AN539">
        <f t="shared" si="325"/>
        <v>0</v>
      </c>
      <c r="AO539">
        <f t="shared" si="326"/>
        <v>0</v>
      </c>
      <c r="AP539">
        <f t="shared" si="327"/>
        <v>0</v>
      </c>
      <c r="AQ539">
        <f t="shared" si="328"/>
        <v>0</v>
      </c>
    </row>
    <row r="540" spans="1:43" ht="15.5" x14ac:dyDescent="0.35">
      <c r="A540" s="51">
        <v>69</v>
      </c>
      <c r="B540" s="13" t="s">
        <v>397</v>
      </c>
      <c r="C540" s="1" t="s">
        <v>398</v>
      </c>
      <c r="D540" s="1" t="s">
        <v>94</v>
      </c>
      <c r="E540" s="19">
        <v>3349.3529844658137</v>
      </c>
      <c r="F540">
        <f t="shared" si="293"/>
        <v>0</v>
      </c>
      <c r="G540">
        <f t="shared" si="294"/>
        <v>0</v>
      </c>
      <c r="H540">
        <f t="shared" si="295"/>
        <v>0</v>
      </c>
      <c r="I540">
        <f t="shared" si="296"/>
        <v>0</v>
      </c>
      <c r="J540">
        <f t="shared" si="297"/>
        <v>0</v>
      </c>
      <c r="K540">
        <f t="shared" si="298"/>
        <v>0</v>
      </c>
      <c r="L540">
        <f t="shared" si="299"/>
        <v>3349.3529844658137</v>
      </c>
      <c r="M540">
        <f t="shared" si="300"/>
        <v>0</v>
      </c>
      <c r="N540">
        <f t="shared" si="301"/>
        <v>0</v>
      </c>
      <c r="O540">
        <f t="shared" si="302"/>
        <v>0</v>
      </c>
      <c r="P540">
        <f t="shared" si="303"/>
        <v>0</v>
      </c>
      <c r="Q540">
        <f t="shared" si="304"/>
        <v>0</v>
      </c>
      <c r="S540">
        <f t="shared" si="305"/>
        <v>30</v>
      </c>
      <c r="T540">
        <f t="shared" si="306"/>
        <v>26</v>
      </c>
      <c r="U540">
        <f t="shared" si="307"/>
        <v>8</v>
      </c>
      <c r="V540">
        <f t="shared" si="308"/>
        <v>10</v>
      </c>
      <c r="W540">
        <f t="shared" si="309"/>
        <v>53</v>
      </c>
      <c r="X540">
        <f t="shared" si="310"/>
        <v>37</v>
      </c>
      <c r="Y540">
        <f t="shared" si="311"/>
        <v>10</v>
      </c>
      <c r="Z540">
        <f t="shared" si="312"/>
        <v>4</v>
      </c>
      <c r="AA540">
        <f t="shared" si="313"/>
        <v>4</v>
      </c>
      <c r="AB540">
        <f t="shared" si="314"/>
        <v>2</v>
      </c>
      <c r="AC540">
        <f t="shared" si="315"/>
        <v>71</v>
      </c>
      <c r="AD540">
        <f t="shared" si="316"/>
        <v>0</v>
      </c>
      <c r="AF540">
        <f t="shared" si="317"/>
        <v>0</v>
      </c>
      <c r="AG540">
        <f t="shared" si="318"/>
        <v>0</v>
      </c>
      <c r="AH540">
        <f t="shared" si="319"/>
        <v>0</v>
      </c>
      <c r="AI540">
        <f t="shared" si="320"/>
        <v>0</v>
      </c>
      <c r="AJ540">
        <f t="shared" si="321"/>
        <v>0</v>
      </c>
      <c r="AK540">
        <f t="shared" si="322"/>
        <v>0</v>
      </c>
      <c r="AL540">
        <f t="shared" si="323"/>
        <v>3349.3529844658137</v>
      </c>
      <c r="AM540">
        <f t="shared" si="324"/>
        <v>0</v>
      </c>
      <c r="AN540">
        <f t="shared" si="325"/>
        <v>0</v>
      </c>
      <c r="AO540">
        <f t="shared" si="326"/>
        <v>0</v>
      </c>
      <c r="AP540">
        <f t="shared" si="327"/>
        <v>0</v>
      </c>
      <c r="AQ540">
        <f t="shared" si="328"/>
        <v>0</v>
      </c>
    </row>
    <row r="541" spans="1:43" ht="15.5" x14ac:dyDescent="0.35">
      <c r="A541" s="51">
        <v>70</v>
      </c>
      <c r="B541" s="13" t="s">
        <v>397</v>
      </c>
      <c r="C541" s="1" t="s">
        <v>145</v>
      </c>
      <c r="D541" s="1" t="s">
        <v>80</v>
      </c>
      <c r="E541" s="70">
        <v>2570.4351896016769</v>
      </c>
      <c r="F541">
        <f t="shared" si="293"/>
        <v>0</v>
      </c>
      <c r="G541">
        <f t="shared" si="294"/>
        <v>0</v>
      </c>
      <c r="H541">
        <f t="shared" si="295"/>
        <v>2570.4351896016769</v>
      </c>
      <c r="I541">
        <f t="shared" si="296"/>
        <v>0</v>
      </c>
      <c r="J541">
        <f t="shared" si="297"/>
        <v>0</v>
      </c>
      <c r="K541">
        <f t="shared" si="298"/>
        <v>0</v>
      </c>
      <c r="L541">
        <f t="shared" si="299"/>
        <v>0</v>
      </c>
      <c r="M541">
        <f t="shared" si="300"/>
        <v>0</v>
      </c>
      <c r="N541">
        <f t="shared" si="301"/>
        <v>0</v>
      </c>
      <c r="O541">
        <f t="shared" si="302"/>
        <v>0</v>
      </c>
      <c r="P541">
        <f t="shared" si="303"/>
        <v>0</v>
      </c>
      <c r="Q541">
        <f t="shared" si="304"/>
        <v>0</v>
      </c>
      <c r="S541">
        <f t="shared" si="305"/>
        <v>30</v>
      </c>
      <c r="T541">
        <f t="shared" si="306"/>
        <v>26</v>
      </c>
      <c r="U541">
        <f t="shared" si="307"/>
        <v>8</v>
      </c>
      <c r="V541">
        <f t="shared" si="308"/>
        <v>10</v>
      </c>
      <c r="W541">
        <f t="shared" si="309"/>
        <v>53</v>
      </c>
      <c r="X541">
        <f t="shared" si="310"/>
        <v>37</v>
      </c>
      <c r="Y541">
        <f t="shared" si="311"/>
        <v>9</v>
      </c>
      <c r="Z541">
        <f t="shared" si="312"/>
        <v>4</v>
      </c>
      <c r="AA541">
        <f t="shared" si="313"/>
        <v>4</v>
      </c>
      <c r="AB541">
        <f t="shared" si="314"/>
        <v>2</v>
      </c>
      <c r="AC541">
        <f t="shared" si="315"/>
        <v>71</v>
      </c>
      <c r="AD541">
        <f t="shared" si="316"/>
        <v>0</v>
      </c>
      <c r="AF541">
        <f t="shared" si="317"/>
        <v>0</v>
      </c>
      <c r="AG541">
        <f t="shared" si="318"/>
        <v>0</v>
      </c>
      <c r="AH541">
        <f t="shared" si="319"/>
        <v>2570.4351896016769</v>
      </c>
      <c r="AI541">
        <f t="shared" si="320"/>
        <v>0</v>
      </c>
      <c r="AJ541">
        <f t="shared" si="321"/>
        <v>0</v>
      </c>
      <c r="AK541">
        <f t="shared" si="322"/>
        <v>0</v>
      </c>
      <c r="AL541">
        <f t="shared" si="323"/>
        <v>0</v>
      </c>
      <c r="AM541">
        <f t="shared" si="324"/>
        <v>0</v>
      </c>
      <c r="AN541">
        <f t="shared" si="325"/>
        <v>0</v>
      </c>
      <c r="AO541">
        <f t="shared" si="326"/>
        <v>0</v>
      </c>
      <c r="AP541">
        <f t="shared" si="327"/>
        <v>0</v>
      </c>
      <c r="AQ541">
        <f t="shared" si="328"/>
        <v>0</v>
      </c>
    </row>
    <row r="542" spans="1:43" ht="15.5" x14ac:dyDescent="0.35">
      <c r="A542" s="51">
        <v>71</v>
      </c>
      <c r="B542" s="13" t="s">
        <v>397</v>
      </c>
      <c r="C542" s="17" t="s">
        <v>150</v>
      </c>
      <c r="D542" s="17" t="s">
        <v>228</v>
      </c>
      <c r="E542" s="19">
        <v>3236.4069574387945</v>
      </c>
      <c r="F542">
        <f t="shared" si="293"/>
        <v>0</v>
      </c>
      <c r="G542">
        <f t="shared" si="294"/>
        <v>0</v>
      </c>
      <c r="H542">
        <f t="shared" si="295"/>
        <v>0</v>
      </c>
      <c r="I542">
        <f t="shared" si="296"/>
        <v>0</v>
      </c>
      <c r="J542">
        <f t="shared" si="297"/>
        <v>0</v>
      </c>
      <c r="K542">
        <f t="shared" si="298"/>
        <v>0</v>
      </c>
      <c r="L542">
        <f t="shared" si="299"/>
        <v>0</v>
      </c>
      <c r="M542">
        <f t="shared" si="300"/>
        <v>0</v>
      </c>
      <c r="N542">
        <f t="shared" si="301"/>
        <v>0</v>
      </c>
      <c r="O542">
        <f t="shared" si="302"/>
        <v>0</v>
      </c>
      <c r="P542">
        <f t="shared" si="303"/>
        <v>3236.4069574387945</v>
      </c>
      <c r="Q542">
        <f t="shared" si="304"/>
        <v>0</v>
      </c>
      <c r="S542">
        <f t="shared" si="305"/>
        <v>30</v>
      </c>
      <c r="T542">
        <f t="shared" si="306"/>
        <v>26</v>
      </c>
      <c r="U542">
        <f t="shared" si="307"/>
        <v>7</v>
      </c>
      <c r="V542">
        <f t="shared" si="308"/>
        <v>10</v>
      </c>
      <c r="W542">
        <f t="shared" si="309"/>
        <v>53</v>
      </c>
      <c r="X542">
        <f t="shared" si="310"/>
        <v>37</v>
      </c>
      <c r="Y542">
        <f t="shared" si="311"/>
        <v>9</v>
      </c>
      <c r="Z542">
        <f t="shared" si="312"/>
        <v>4</v>
      </c>
      <c r="AA542">
        <f t="shared" si="313"/>
        <v>4</v>
      </c>
      <c r="AB542">
        <f t="shared" si="314"/>
        <v>2</v>
      </c>
      <c r="AC542">
        <f t="shared" si="315"/>
        <v>71</v>
      </c>
      <c r="AD542">
        <f t="shared" si="316"/>
        <v>0</v>
      </c>
      <c r="AF542">
        <f t="shared" si="317"/>
        <v>0</v>
      </c>
      <c r="AG542">
        <f t="shared" si="318"/>
        <v>0</v>
      </c>
      <c r="AH542">
        <f t="shared" si="319"/>
        <v>0</v>
      </c>
      <c r="AI542">
        <f t="shared" si="320"/>
        <v>0</v>
      </c>
      <c r="AJ542">
        <f t="shared" si="321"/>
        <v>0</v>
      </c>
      <c r="AK542">
        <f t="shared" si="322"/>
        <v>0</v>
      </c>
      <c r="AL542">
        <f t="shared" si="323"/>
        <v>0</v>
      </c>
      <c r="AM542">
        <f t="shared" si="324"/>
        <v>0</v>
      </c>
      <c r="AN542">
        <f t="shared" si="325"/>
        <v>0</v>
      </c>
      <c r="AO542">
        <f t="shared" si="326"/>
        <v>0</v>
      </c>
      <c r="AP542">
        <f t="shared" si="327"/>
        <v>0</v>
      </c>
      <c r="AQ542">
        <f t="shared" si="328"/>
        <v>0</v>
      </c>
    </row>
    <row r="543" spans="1:43" ht="15.5" x14ac:dyDescent="0.35">
      <c r="A543" s="51">
        <v>72</v>
      </c>
      <c r="B543" s="13" t="s">
        <v>397</v>
      </c>
      <c r="C543" s="1" t="s">
        <v>151</v>
      </c>
      <c r="D543" s="1" t="s">
        <v>54</v>
      </c>
      <c r="E543" s="19">
        <v>2805.245703387704</v>
      </c>
      <c r="F543">
        <f t="shared" si="293"/>
        <v>0</v>
      </c>
      <c r="G543">
        <f t="shared" si="294"/>
        <v>0</v>
      </c>
      <c r="H543">
        <f t="shared" si="295"/>
        <v>0</v>
      </c>
      <c r="I543">
        <f t="shared" si="296"/>
        <v>0</v>
      </c>
      <c r="J543">
        <f t="shared" si="297"/>
        <v>0</v>
      </c>
      <c r="K543">
        <f t="shared" si="298"/>
        <v>2805.245703387704</v>
      </c>
      <c r="L543">
        <f t="shared" si="299"/>
        <v>0</v>
      </c>
      <c r="M543">
        <f t="shared" si="300"/>
        <v>0</v>
      </c>
      <c r="N543">
        <f t="shared" si="301"/>
        <v>0</v>
      </c>
      <c r="O543">
        <f t="shared" si="302"/>
        <v>0</v>
      </c>
      <c r="P543">
        <f t="shared" si="303"/>
        <v>0</v>
      </c>
      <c r="Q543">
        <f t="shared" si="304"/>
        <v>0</v>
      </c>
      <c r="S543">
        <f t="shared" si="305"/>
        <v>30</v>
      </c>
      <c r="T543">
        <f t="shared" si="306"/>
        <v>26</v>
      </c>
      <c r="U543">
        <f t="shared" si="307"/>
        <v>7</v>
      </c>
      <c r="V543">
        <f t="shared" si="308"/>
        <v>10</v>
      </c>
      <c r="W543">
        <f t="shared" si="309"/>
        <v>53</v>
      </c>
      <c r="X543">
        <f t="shared" si="310"/>
        <v>37</v>
      </c>
      <c r="Y543">
        <f t="shared" si="311"/>
        <v>9</v>
      </c>
      <c r="Z543">
        <f t="shared" si="312"/>
        <v>4</v>
      </c>
      <c r="AA543">
        <f t="shared" si="313"/>
        <v>4</v>
      </c>
      <c r="AB543">
        <f t="shared" si="314"/>
        <v>2</v>
      </c>
      <c r="AC543">
        <f t="shared" si="315"/>
        <v>70</v>
      </c>
      <c r="AD543">
        <f t="shared" si="316"/>
        <v>0</v>
      </c>
      <c r="AF543">
        <f t="shared" si="317"/>
        <v>0</v>
      </c>
      <c r="AG543">
        <f t="shared" si="318"/>
        <v>0</v>
      </c>
      <c r="AH543">
        <f t="shared" si="319"/>
        <v>0</v>
      </c>
      <c r="AI543">
        <f t="shared" si="320"/>
        <v>0</v>
      </c>
      <c r="AJ543">
        <f t="shared" si="321"/>
        <v>0</v>
      </c>
      <c r="AK543">
        <f t="shared" si="322"/>
        <v>0</v>
      </c>
      <c r="AL543">
        <f t="shared" si="323"/>
        <v>0</v>
      </c>
      <c r="AM543">
        <f t="shared" si="324"/>
        <v>0</v>
      </c>
      <c r="AN543">
        <f t="shared" si="325"/>
        <v>0</v>
      </c>
      <c r="AO543">
        <f t="shared" si="326"/>
        <v>0</v>
      </c>
      <c r="AP543">
        <f t="shared" si="327"/>
        <v>0</v>
      </c>
      <c r="AQ543">
        <f t="shared" si="328"/>
        <v>0</v>
      </c>
    </row>
    <row r="544" spans="1:43" ht="15.5" x14ac:dyDescent="0.35">
      <c r="A544" s="51">
        <v>73</v>
      </c>
      <c r="B544" s="13" t="s">
        <v>397</v>
      </c>
      <c r="C544" s="1" t="s">
        <v>152</v>
      </c>
      <c r="D544" s="1" t="s">
        <v>60</v>
      </c>
      <c r="E544" s="19">
        <v>2904.6720483355944</v>
      </c>
      <c r="F544">
        <f t="shared" si="293"/>
        <v>0</v>
      </c>
      <c r="G544">
        <f t="shared" si="294"/>
        <v>0</v>
      </c>
      <c r="H544">
        <f t="shared" si="295"/>
        <v>0</v>
      </c>
      <c r="I544">
        <f t="shared" si="296"/>
        <v>0</v>
      </c>
      <c r="J544">
        <f t="shared" si="297"/>
        <v>2904.6720483355944</v>
      </c>
      <c r="K544">
        <f t="shared" si="298"/>
        <v>0</v>
      </c>
      <c r="L544">
        <f t="shared" si="299"/>
        <v>0</v>
      </c>
      <c r="M544">
        <f t="shared" si="300"/>
        <v>0</v>
      </c>
      <c r="N544">
        <f t="shared" si="301"/>
        <v>0</v>
      </c>
      <c r="O544">
        <f t="shared" si="302"/>
        <v>0</v>
      </c>
      <c r="P544">
        <f t="shared" si="303"/>
        <v>0</v>
      </c>
      <c r="Q544">
        <f t="shared" si="304"/>
        <v>0</v>
      </c>
      <c r="S544">
        <f t="shared" si="305"/>
        <v>30</v>
      </c>
      <c r="T544">
        <f t="shared" si="306"/>
        <v>26</v>
      </c>
      <c r="U544">
        <f t="shared" si="307"/>
        <v>7</v>
      </c>
      <c r="V544">
        <f t="shared" si="308"/>
        <v>10</v>
      </c>
      <c r="W544">
        <f t="shared" si="309"/>
        <v>53</v>
      </c>
      <c r="X544">
        <f t="shared" si="310"/>
        <v>36</v>
      </c>
      <c r="Y544">
        <f t="shared" si="311"/>
        <v>9</v>
      </c>
      <c r="Z544">
        <f t="shared" si="312"/>
        <v>4</v>
      </c>
      <c r="AA544">
        <f t="shared" si="313"/>
        <v>4</v>
      </c>
      <c r="AB544">
        <f t="shared" si="314"/>
        <v>2</v>
      </c>
      <c r="AC544">
        <f t="shared" si="315"/>
        <v>70</v>
      </c>
      <c r="AD544">
        <f t="shared" si="316"/>
        <v>0</v>
      </c>
      <c r="AF544">
        <f t="shared" si="317"/>
        <v>0</v>
      </c>
      <c r="AG544">
        <f t="shared" si="318"/>
        <v>0</v>
      </c>
      <c r="AH544">
        <f t="shared" si="319"/>
        <v>0</v>
      </c>
      <c r="AI544">
        <f t="shared" si="320"/>
        <v>0</v>
      </c>
      <c r="AJ544">
        <f t="shared" si="321"/>
        <v>0</v>
      </c>
      <c r="AK544">
        <f t="shared" si="322"/>
        <v>0</v>
      </c>
      <c r="AL544">
        <f t="shared" si="323"/>
        <v>0</v>
      </c>
      <c r="AM544">
        <f t="shared" si="324"/>
        <v>0</v>
      </c>
      <c r="AN544">
        <f t="shared" si="325"/>
        <v>0</v>
      </c>
      <c r="AO544">
        <f t="shared" si="326"/>
        <v>0</v>
      </c>
      <c r="AP544">
        <f t="shared" si="327"/>
        <v>0</v>
      </c>
      <c r="AQ544">
        <f t="shared" si="328"/>
        <v>0</v>
      </c>
    </row>
    <row r="545" spans="1:43" ht="15.5" x14ac:dyDescent="0.35">
      <c r="A545" s="51">
        <v>74</v>
      </c>
      <c r="B545" s="13" t="s">
        <v>399</v>
      </c>
      <c r="C545" s="17" t="s">
        <v>154</v>
      </c>
      <c r="D545" s="17" t="s">
        <v>80</v>
      </c>
      <c r="E545" s="19">
        <v>2837.1729677946569</v>
      </c>
      <c r="F545">
        <f t="shared" si="293"/>
        <v>0</v>
      </c>
      <c r="G545">
        <f t="shared" si="294"/>
        <v>0</v>
      </c>
      <c r="H545">
        <f t="shared" si="295"/>
        <v>2837.1729677946569</v>
      </c>
      <c r="I545">
        <f t="shared" si="296"/>
        <v>0</v>
      </c>
      <c r="J545">
        <f t="shared" si="297"/>
        <v>0</v>
      </c>
      <c r="K545">
        <f t="shared" si="298"/>
        <v>0</v>
      </c>
      <c r="L545">
        <f t="shared" si="299"/>
        <v>0</v>
      </c>
      <c r="M545">
        <f t="shared" si="300"/>
        <v>0</v>
      </c>
      <c r="N545">
        <f t="shared" si="301"/>
        <v>0</v>
      </c>
      <c r="O545">
        <f t="shared" si="302"/>
        <v>0</v>
      </c>
      <c r="P545">
        <f t="shared" si="303"/>
        <v>0</v>
      </c>
      <c r="Q545">
        <f t="shared" si="304"/>
        <v>0</v>
      </c>
      <c r="S545">
        <f t="shared" si="305"/>
        <v>30</v>
      </c>
      <c r="T545">
        <f t="shared" si="306"/>
        <v>26</v>
      </c>
      <c r="U545">
        <f t="shared" si="307"/>
        <v>7</v>
      </c>
      <c r="V545">
        <f t="shared" si="308"/>
        <v>10</v>
      </c>
      <c r="W545">
        <f t="shared" si="309"/>
        <v>52</v>
      </c>
      <c r="X545">
        <f t="shared" si="310"/>
        <v>36</v>
      </c>
      <c r="Y545">
        <f t="shared" si="311"/>
        <v>9</v>
      </c>
      <c r="Z545">
        <f t="shared" si="312"/>
        <v>4</v>
      </c>
      <c r="AA545">
        <f t="shared" si="313"/>
        <v>4</v>
      </c>
      <c r="AB545">
        <f t="shared" si="314"/>
        <v>2</v>
      </c>
      <c r="AC545">
        <f t="shared" si="315"/>
        <v>70</v>
      </c>
      <c r="AD545">
        <f t="shared" si="316"/>
        <v>0</v>
      </c>
      <c r="AF545">
        <f t="shared" si="317"/>
        <v>0</v>
      </c>
      <c r="AG545">
        <f t="shared" si="318"/>
        <v>0</v>
      </c>
      <c r="AH545">
        <f t="shared" si="319"/>
        <v>2837.1729677946569</v>
      </c>
      <c r="AI545">
        <f t="shared" si="320"/>
        <v>0</v>
      </c>
      <c r="AJ545">
        <f t="shared" si="321"/>
        <v>0</v>
      </c>
      <c r="AK545">
        <f t="shared" si="322"/>
        <v>0</v>
      </c>
      <c r="AL545">
        <f t="shared" si="323"/>
        <v>0</v>
      </c>
      <c r="AM545">
        <f t="shared" si="324"/>
        <v>0</v>
      </c>
      <c r="AN545">
        <f t="shared" si="325"/>
        <v>0</v>
      </c>
      <c r="AO545">
        <f t="shared" si="326"/>
        <v>0</v>
      </c>
      <c r="AP545">
        <f t="shared" si="327"/>
        <v>0</v>
      </c>
      <c r="AQ545">
        <f t="shared" si="328"/>
        <v>0</v>
      </c>
    </row>
    <row r="546" spans="1:43" ht="15.5" x14ac:dyDescent="0.35">
      <c r="A546" s="51">
        <v>75</v>
      </c>
      <c r="B546" s="13" t="s">
        <v>399</v>
      </c>
      <c r="C546" s="1" t="s">
        <v>156</v>
      </c>
      <c r="D546" s="1" t="s">
        <v>228</v>
      </c>
      <c r="E546" s="19">
        <v>3217.4990273329131</v>
      </c>
      <c r="F546">
        <f t="shared" si="293"/>
        <v>0</v>
      </c>
      <c r="G546">
        <f t="shared" si="294"/>
        <v>0</v>
      </c>
      <c r="H546">
        <f t="shared" si="295"/>
        <v>0</v>
      </c>
      <c r="I546">
        <f t="shared" si="296"/>
        <v>0</v>
      </c>
      <c r="J546">
        <f t="shared" si="297"/>
        <v>0</v>
      </c>
      <c r="K546">
        <f t="shared" si="298"/>
        <v>0</v>
      </c>
      <c r="L546">
        <f t="shared" si="299"/>
        <v>0</v>
      </c>
      <c r="M546">
        <f t="shared" si="300"/>
        <v>0</v>
      </c>
      <c r="N546">
        <f t="shared" si="301"/>
        <v>0</v>
      </c>
      <c r="O546">
        <f t="shared" si="302"/>
        <v>0</v>
      </c>
      <c r="P546">
        <f t="shared" si="303"/>
        <v>3217.4990273329131</v>
      </c>
      <c r="Q546">
        <f t="shared" si="304"/>
        <v>0</v>
      </c>
      <c r="S546">
        <f t="shared" si="305"/>
        <v>30</v>
      </c>
      <c r="T546">
        <f t="shared" si="306"/>
        <v>26</v>
      </c>
      <c r="U546">
        <f t="shared" si="307"/>
        <v>6</v>
      </c>
      <c r="V546">
        <f t="shared" si="308"/>
        <v>10</v>
      </c>
      <c r="W546">
        <f t="shared" si="309"/>
        <v>52</v>
      </c>
      <c r="X546">
        <f t="shared" si="310"/>
        <v>36</v>
      </c>
      <c r="Y546">
        <f t="shared" si="311"/>
        <v>9</v>
      </c>
      <c r="Z546">
        <f t="shared" si="312"/>
        <v>4</v>
      </c>
      <c r="AA546">
        <f t="shared" si="313"/>
        <v>4</v>
      </c>
      <c r="AB546">
        <f t="shared" si="314"/>
        <v>2</v>
      </c>
      <c r="AC546">
        <f t="shared" si="315"/>
        <v>70</v>
      </c>
      <c r="AD546">
        <f t="shared" si="316"/>
        <v>0</v>
      </c>
      <c r="AF546">
        <f t="shared" si="317"/>
        <v>0</v>
      </c>
      <c r="AG546">
        <f t="shared" si="318"/>
        <v>0</v>
      </c>
      <c r="AH546">
        <f t="shared" si="319"/>
        <v>0</v>
      </c>
      <c r="AI546">
        <f t="shared" si="320"/>
        <v>0</v>
      </c>
      <c r="AJ546">
        <f t="shared" si="321"/>
        <v>0</v>
      </c>
      <c r="AK546">
        <f t="shared" si="322"/>
        <v>0</v>
      </c>
      <c r="AL546">
        <f t="shared" si="323"/>
        <v>0</v>
      </c>
      <c r="AM546">
        <f t="shared" si="324"/>
        <v>0</v>
      </c>
      <c r="AN546">
        <f t="shared" si="325"/>
        <v>0</v>
      </c>
      <c r="AO546">
        <f t="shared" si="326"/>
        <v>0</v>
      </c>
      <c r="AP546">
        <f t="shared" si="327"/>
        <v>0</v>
      </c>
      <c r="AQ546">
        <f t="shared" si="328"/>
        <v>0</v>
      </c>
    </row>
    <row r="547" spans="1:43" ht="15.5" x14ac:dyDescent="0.35">
      <c r="A547" s="51">
        <v>76</v>
      </c>
      <c r="B547" s="13" t="s">
        <v>400</v>
      </c>
      <c r="C547" s="1" t="s">
        <v>153</v>
      </c>
      <c r="D547" s="1" t="s">
        <v>60</v>
      </c>
      <c r="E547" s="19">
        <v>2948.2696411358643</v>
      </c>
      <c r="F547">
        <f t="shared" si="293"/>
        <v>0</v>
      </c>
      <c r="G547">
        <f t="shared" si="294"/>
        <v>0</v>
      </c>
      <c r="H547">
        <f t="shared" si="295"/>
        <v>0</v>
      </c>
      <c r="I547">
        <f t="shared" si="296"/>
        <v>0</v>
      </c>
      <c r="J547">
        <f t="shared" si="297"/>
        <v>2948.2696411358643</v>
      </c>
      <c r="K547">
        <f t="shared" si="298"/>
        <v>0</v>
      </c>
      <c r="L547">
        <f t="shared" si="299"/>
        <v>0</v>
      </c>
      <c r="M547">
        <f t="shared" si="300"/>
        <v>0</v>
      </c>
      <c r="N547">
        <f t="shared" si="301"/>
        <v>0</v>
      </c>
      <c r="O547">
        <f t="shared" si="302"/>
        <v>0</v>
      </c>
      <c r="P547">
        <f t="shared" si="303"/>
        <v>0</v>
      </c>
      <c r="Q547">
        <f t="shared" si="304"/>
        <v>0</v>
      </c>
      <c r="S547">
        <f t="shared" si="305"/>
        <v>30</v>
      </c>
      <c r="T547">
        <f t="shared" si="306"/>
        <v>26</v>
      </c>
      <c r="U547">
        <f t="shared" si="307"/>
        <v>6</v>
      </c>
      <c r="V547">
        <f t="shared" si="308"/>
        <v>10</v>
      </c>
      <c r="W547">
        <f t="shared" si="309"/>
        <v>52</v>
      </c>
      <c r="X547">
        <f t="shared" si="310"/>
        <v>36</v>
      </c>
      <c r="Y547">
        <f t="shared" si="311"/>
        <v>9</v>
      </c>
      <c r="Z547">
        <f t="shared" si="312"/>
        <v>4</v>
      </c>
      <c r="AA547">
        <f t="shared" si="313"/>
        <v>4</v>
      </c>
      <c r="AB547">
        <f t="shared" si="314"/>
        <v>2</v>
      </c>
      <c r="AC547">
        <f t="shared" si="315"/>
        <v>69</v>
      </c>
      <c r="AD547">
        <f t="shared" si="316"/>
        <v>0</v>
      </c>
      <c r="AF547">
        <f t="shared" si="317"/>
        <v>0</v>
      </c>
      <c r="AG547">
        <f t="shared" si="318"/>
        <v>0</v>
      </c>
      <c r="AH547">
        <f t="shared" si="319"/>
        <v>0</v>
      </c>
      <c r="AI547">
        <f t="shared" si="320"/>
        <v>0</v>
      </c>
      <c r="AJ547">
        <f t="shared" si="321"/>
        <v>0</v>
      </c>
      <c r="AK547">
        <f t="shared" si="322"/>
        <v>0</v>
      </c>
      <c r="AL547">
        <f t="shared" si="323"/>
        <v>0</v>
      </c>
      <c r="AM547">
        <f t="shared" si="324"/>
        <v>0</v>
      </c>
      <c r="AN547">
        <f t="shared" si="325"/>
        <v>0</v>
      </c>
      <c r="AO547">
        <f t="shared" si="326"/>
        <v>0</v>
      </c>
      <c r="AP547">
        <f t="shared" si="327"/>
        <v>0</v>
      </c>
      <c r="AQ547">
        <f t="shared" si="328"/>
        <v>0</v>
      </c>
    </row>
    <row r="548" spans="1:43" ht="15.5" x14ac:dyDescent="0.35">
      <c r="A548" s="51">
        <v>77</v>
      </c>
      <c r="B548" s="13" t="s">
        <v>400</v>
      </c>
      <c r="C548" s="17" t="s">
        <v>158</v>
      </c>
      <c r="D548" s="17" t="s">
        <v>227</v>
      </c>
      <c r="E548" s="19">
        <v>3061.0808424453598</v>
      </c>
      <c r="F548">
        <f t="shared" si="293"/>
        <v>0</v>
      </c>
      <c r="G548">
        <f t="shared" si="294"/>
        <v>3061.0808424453598</v>
      </c>
      <c r="H548">
        <f t="shared" si="295"/>
        <v>0</v>
      </c>
      <c r="I548">
        <f t="shared" si="296"/>
        <v>0</v>
      </c>
      <c r="J548">
        <f t="shared" si="297"/>
        <v>0</v>
      </c>
      <c r="K548">
        <f t="shared" si="298"/>
        <v>0</v>
      </c>
      <c r="L548">
        <f t="shared" si="299"/>
        <v>0</v>
      </c>
      <c r="M548">
        <f t="shared" si="300"/>
        <v>0</v>
      </c>
      <c r="N548">
        <f t="shared" si="301"/>
        <v>0</v>
      </c>
      <c r="O548">
        <f t="shared" si="302"/>
        <v>0</v>
      </c>
      <c r="P548">
        <f t="shared" si="303"/>
        <v>0</v>
      </c>
      <c r="Q548">
        <f t="shared" si="304"/>
        <v>0</v>
      </c>
      <c r="S548">
        <f t="shared" si="305"/>
        <v>30</v>
      </c>
      <c r="T548">
        <f t="shared" si="306"/>
        <v>26</v>
      </c>
      <c r="U548">
        <f t="shared" si="307"/>
        <v>6</v>
      </c>
      <c r="V548">
        <f t="shared" si="308"/>
        <v>10</v>
      </c>
      <c r="W548">
        <f t="shared" si="309"/>
        <v>51</v>
      </c>
      <c r="X548">
        <f t="shared" si="310"/>
        <v>36</v>
      </c>
      <c r="Y548">
        <f t="shared" si="311"/>
        <v>9</v>
      </c>
      <c r="Z548">
        <f t="shared" si="312"/>
        <v>4</v>
      </c>
      <c r="AA548">
        <f t="shared" si="313"/>
        <v>4</v>
      </c>
      <c r="AB548">
        <f t="shared" si="314"/>
        <v>2</v>
      </c>
      <c r="AC548">
        <f t="shared" si="315"/>
        <v>69</v>
      </c>
      <c r="AD548">
        <f t="shared" si="316"/>
        <v>0</v>
      </c>
      <c r="AF548">
        <f t="shared" si="317"/>
        <v>0</v>
      </c>
      <c r="AG548">
        <f t="shared" si="318"/>
        <v>0</v>
      </c>
      <c r="AH548">
        <f t="shared" si="319"/>
        <v>0</v>
      </c>
      <c r="AI548">
        <f t="shared" si="320"/>
        <v>0</v>
      </c>
      <c r="AJ548">
        <f t="shared" si="321"/>
        <v>0</v>
      </c>
      <c r="AK548">
        <f t="shared" si="322"/>
        <v>0</v>
      </c>
      <c r="AL548">
        <f t="shared" si="323"/>
        <v>0</v>
      </c>
      <c r="AM548">
        <f t="shared" si="324"/>
        <v>0</v>
      </c>
      <c r="AN548">
        <f t="shared" si="325"/>
        <v>0</v>
      </c>
      <c r="AO548">
        <f t="shared" si="326"/>
        <v>0</v>
      </c>
      <c r="AP548">
        <f t="shared" si="327"/>
        <v>0</v>
      </c>
      <c r="AQ548">
        <f t="shared" si="328"/>
        <v>0</v>
      </c>
    </row>
    <row r="549" spans="1:43" ht="15.5" x14ac:dyDescent="0.35">
      <c r="A549" s="51">
        <v>78</v>
      </c>
      <c r="B549" s="13" t="s">
        <v>400</v>
      </c>
      <c r="C549" s="1" t="s">
        <v>157</v>
      </c>
      <c r="D549" s="1" t="s">
        <v>60</v>
      </c>
      <c r="E549" s="19">
        <v>3232.4683460244005</v>
      </c>
      <c r="F549">
        <f t="shared" si="293"/>
        <v>0</v>
      </c>
      <c r="G549">
        <f t="shared" si="294"/>
        <v>0</v>
      </c>
      <c r="H549">
        <f t="shared" si="295"/>
        <v>0</v>
      </c>
      <c r="I549">
        <f t="shared" si="296"/>
        <v>0</v>
      </c>
      <c r="J549">
        <f t="shared" si="297"/>
        <v>3232.4683460244005</v>
      </c>
      <c r="K549">
        <f t="shared" si="298"/>
        <v>0</v>
      </c>
      <c r="L549">
        <f t="shared" si="299"/>
        <v>0</v>
      </c>
      <c r="M549">
        <f t="shared" si="300"/>
        <v>0</v>
      </c>
      <c r="N549">
        <f t="shared" si="301"/>
        <v>0</v>
      </c>
      <c r="O549">
        <f t="shared" si="302"/>
        <v>0</v>
      </c>
      <c r="P549">
        <f t="shared" si="303"/>
        <v>0</v>
      </c>
      <c r="Q549">
        <f t="shared" si="304"/>
        <v>0</v>
      </c>
      <c r="S549">
        <f t="shared" si="305"/>
        <v>30</v>
      </c>
      <c r="T549">
        <f t="shared" si="306"/>
        <v>25</v>
      </c>
      <c r="U549">
        <f t="shared" si="307"/>
        <v>6</v>
      </c>
      <c r="V549">
        <f t="shared" si="308"/>
        <v>10</v>
      </c>
      <c r="W549">
        <f t="shared" si="309"/>
        <v>51</v>
      </c>
      <c r="X549">
        <f t="shared" si="310"/>
        <v>36</v>
      </c>
      <c r="Y549">
        <f t="shared" si="311"/>
        <v>9</v>
      </c>
      <c r="Z549">
        <f t="shared" si="312"/>
        <v>4</v>
      </c>
      <c r="AA549">
        <f t="shared" si="313"/>
        <v>4</v>
      </c>
      <c r="AB549">
        <f t="shared" si="314"/>
        <v>2</v>
      </c>
      <c r="AC549">
        <f t="shared" si="315"/>
        <v>69</v>
      </c>
      <c r="AD549">
        <f t="shared" si="316"/>
        <v>0</v>
      </c>
      <c r="AF549">
        <f t="shared" si="317"/>
        <v>0</v>
      </c>
      <c r="AG549">
        <f t="shared" si="318"/>
        <v>0</v>
      </c>
      <c r="AH549">
        <f t="shared" si="319"/>
        <v>0</v>
      </c>
      <c r="AI549">
        <f t="shared" si="320"/>
        <v>0</v>
      </c>
      <c r="AJ549">
        <f t="shared" si="321"/>
        <v>0</v>
      </c>
      <c r="AK549">
        <f t="shared" si="322"/>
        <v>0</v>
      </c>
      <c r="AL549">
        <f t="shared" si="323"/>
        <v>0</v>
      </c>
      <c r="AM549">
        <f t="shared" si="324"/>
        <v>0</v>
      </c>
      <c r="AN549">
        <f t="shared" si="325"/>
        <v>0</v>
      </c>
      <c r="AO549">
        <f t="shared" si="326"/>
        <v>0</v>
      </c>
      <c r="AP549">
        <f t="shared" si="327"/>
        <v>0</v>
      </c>
      <c r="AQ549">
        <f t="shared" si="328"/>
        <v>0</v>
      </c>
    </row>
    <row r="550" spans="1:43" ht="15.5" x14ac:dyDescent="0.35">
      <c r="A550" s="51">
        <v>79</v>
      </c>
      <c r="B550" s="13" t="s">
        <v>400</v>
      </c>
      <c r="C550" s="1" t="s">
        <v>255</v>
      </c>
      <c r="D550" s="1" t="s">
        <v>60</v>
      </c>
      <c r="E550" s="19">
        <v>3063.3635168918918</v>
      </c>
      <c r="F550">
        <f t="shared" si="293"/>
        <v>0</v>
      </c>
      <c r="G550">
        <f t="shared" si="294"/>
        <v>0</v>
      </c>
      <c r="H550">
        <f t="shared" si="295"/>
        <v>0</v>
      </c>
      <c r="I550">
        <f t="shared" si="296"/>
        <v>0</v>
      </c>
      <c r="J550">
        <f t="shared" si="297"/>
        <v>3063.3635168918918</v>
      </c>
      <c r="K550">
        <f t="shared" si="298"/>
        <v>0</v>
      </c>
      <c r="L550">
        <f t="shared" si="299"/>
        <v>0</v>
      </c>
      <c r="M550">
        <f t="shared" si="300"/>
        <v>0</v>
      </c>
      <c r="N550">
        <f t="shared" si="301"/>
        <v>0</v>
      </c>
      <c r="O550">
        <f t="shared" si="302"/>
        <v>0</v>
      </c>
      <c r="P550">
        <f t="shared" si="303"/>
        <v>0</v>
      </c>
      <c r="Q550">
        <f t="shared" si="304"/>
        <v>0</v>
      </c>
      <c r="S550">
        <f t="shared" si="305"/>
        <v>30</v>
      </c>
      <c r="T550">
        <f t="shared" si="306"/>
        <v>25</v>
      </c>
      <c r="U550">
        <f t="shared" si="307"/>
        <v>6</v>
      </c>
      <c r="V550">
        <f t="shared" si="308"/>
        <v>10</v>
      </c>
      <c r="W550">
        <f t="shared" si="309"/>
        <v>50</v>
      </c>
      <c r="X550">
        <f t="shared" si="310"/>
        <v>36</v>
      </c>
      <c r="Y550">
        <f t="shared" si="311"/>
        <v>9</v>
      </c>
      <c r="Z550">
        <f t="shared" si="312"/>
        <v>4</v>
      </c>
      <c r="AA550">
        <f t="shared" si="313"/>
        <v>4</v>
      </c>
      <c r="AB550">
        <f t="shared" si="314"/>
        <v>2</v>
      </c>
      <c r="AC550">
        <f t="shared" si="315"/>
        <v>69</v>
      </c>
      <c r="AD550">
        <f t="shared" si="316"/>
        <v>0</v>
      </c>
      <c r="AF550">
        <f t="shared" si="317"/>
        <v>0</v>
      </c>
      <c r="AG550">
        <f t="shared" si="318"/>
        <v>0</v>
      </c>
      <c r="AH550">
        <f t="shared" si="319"/>
        <v>0</v>
      </c>
      <c r="AI550">
        <f t="shared" si="320"/>
        <v>0</v>
      </c>
      <c r="AJ550">
        <f t="shared" si="321"/>
        <v>0</v>
      </c>
      <c r="AK550">
        <f t="shared" si="322"/>
        <v>0</v>
      </c>
      <c r="AL550">
        <f t="shared" si="323"/>
        <v>0</v>
      </c>
      <c r="AM550">
        <f t="shared" si="324"/>
        <v>0</v>
      </c>
      <c r="AN550">
        <f t="shared" si="325"/>
        <v>0</v>
      </c>
      <c r="AO550">
        <f t="shared" si="326"/>
        <v>0</v>
      </c>
      <c r="AP550">
        <f t="shared" si="327"/>
        <v>0</v>
      </c>
      <c r="AQ550">
        <f t="shared" si="328"/>
        <v>0</v>
      </c>
    </row>
    <row r="551" spans="1:43" ht="15.5" x14ac:dyDescent="0.35">
      <c r="A551" s="51">
        <v>80</v>
      </c>
      <c r="B551" s="13" t="s">
        <v>401</v>
      </c>
      <c r="C551" s="1" t="s">
        <v>402</v>
      </c>
      <c r="D551" s="1" t="s">
        <v>57</v>
      </c>
      <c r="E551" s="19">
        <v>3201.3066891687658</v>
      </c>
      <c r="F551">
        <f t="shared" si="293"/>
        <v>0</v>
      </c>
      <c r="G551">
        <f t="shared" si="294"/>
        <v>0</v>
      </c>
      <c r="H551">
        <f t="shared" si="295"/>
        <v>0</v>
      </c>
      <c r="I551">
        <f t="shared" si="296"/>
        <v>0</v>
      </c>
      <c r="J551">
        <f t="shared" si="297"/>
        <v>0</v>
      </c>
      <c r="K551">
        <f t="shared" si="298"/>
        <v>0</v>
      </c>
      <c r="L551">
        <f t="shared" si="299"/>
        <v>0</v>
      </c>
      <c r="M551">
        <f t="shared" si="300"/>
        <v>3201.3066891687658</v>
      </c>
      <c r="N551">
        <f t="shared" si="301"/>
        <v>0</v>
      </c>
      <c r="O551">
        <f t="shared" si="302"/>
        <v>0</v>
      </c>
      <c r="P551">
        <f t="shared" si="303"/>
        <v>0</v>
      </c>
      <c r="Q551">
        <f t="shared" si="304"/>
        <v>0</v>
      </c>
      <c r="S551">
        <f t="shared" si="305"/>
        <v>30</v>
      </c>
      <c r="T551">
        <f t="shared" si="306"/>
        <v>25</v>
      </c>
      <c r="U551">
        <f t="shared" si="307"/>
        <v>6</v>
      </c>
      <c r="V551">
        <f t="shared" si="308"/>
        <v>10</v>
      </c>
      <c r="W551">
        <f t="shared" si="309"/>
        <v>49</v>
      </c>
      <c r="X551">
        <f t="shared" si="310"/>
        <v>36</v>
      </c>
      <c r="Y551">
        <f t="shared" si="311"/>
        <v>9</v>
      </c>
      <c r="Z551">
        <f t="shared" si="312"/>
        <v>4</v>
      </c>
      <c r="AA551">
        <f t="shared" si="313"/>
        <v>4</v>
      </c>
      <c r="AB551">
        <f t="shared" si="314"/>
        <v>2</v>
      </c>
      <c r="AC551">
        <f t="shared" si="315"/>
        <v>69</v>
      </c>
      <c r="AD551">
        <f t="shared" si="316"/>
        <v>0</v>
      </c>
      <c r="AF551">
        <f t="shared" si="317"/>
        <v>0</v>
      </c>
      <c r="AG551">
        <f t="shared" si="318"/>
        <v>0</v>
      </c>
      <c r="AH551">
        <f t="shared" si="319"/>
        <v>0</v>
      </c>
      <c r="AI551">
        <f t="shared" si="320"/>
        <v>0</v>
      </c>
      <c r="AJ551">
        <f t="shared" si="321"/>
        <v>0</v>
      </c>
      <c r="AK551">
        <f t="shared" si="322"/>
        <v>0</v>
      </c>
      <c r="AL551">
        <f t="shared" si="323"/>
        <v>0</v>
      </c>
      <c r="AM551">
        <f t="shared" si="324"/>
        <v>3201.3066891687658</v>
      </c>
      <c r="AN551">
        <f t="shared" si="325"/>
        <v>0</v>
      </c>
      <c r="AO551">
        <f t="shared" si="326"/>
        <v>0</v>
      </c>
      <c r="AP551">
        <f t="shared" si="327"/>
        <v>0</v>
      </c>
      <c r="AQ551">
        <f t="shared" si="328"/>
        <v>0</v>
      </c>
    </row>
    <row r="552" spans="1:43" ht="15.5" x14ac:dyDescent="0.35">
      <c r="A552" s="51">
        <v>81</v>
      </c>
      <c r="B552" s="13" t="s">
        <v>401</v>
      </c>
      <c r="C552" s="17" t="s">
        <v>161</v>
      </c>
      <c r="D552" s="17" t="s">
        <v>228</v>
      </c>
      <c r="E552" s="19">
        <v>3339.6155906850458</v>
      </c>
      <c r="F552">
        <f t="shared" si="293"/>
        <v>0</v>
      </c>
      <c r="G552">
        <f t="shared" si="294"/>
        <v>0</v>
      </c>
      <c r="H552">
        <f t="shared" si="295"/>
        <v>0</v>
      </c>
      <c r="I552">
        <f t="shared" si="296"/>
        <v>0</v>
      </c>
      <c r="J552">
        <f t="shared" si="297"/>
        <v>0</v>
      </c>
      <c r="K552">
        <f t="shared" si="298"/>
        <v>0</v>
      </c>
      <c r="L552">
        <f t="shared" si="299"/>
        <v>0</v>
      </c>
      <c r="M552">
        <f t="shared" si="300"/>
        <v>0</v>
      </c>
      <c r="N552">
        <f t="shared" si="301"/>
        <v>0</v>
      </c>
      <c r="O552">
        <f t="shared" si="302"/>
        <v>0</v>
      </c>
      <c r="P552">
        <f t="shared" si="303"/>
        <v>3339.6155906850458</v>
      </c>
      <c r="Q552">
        <f t="shared" si="304"/>
        <v>0</v>
      </c>
      <c r="S552">
        <f t="shared" si="305"/>
        <v>30</v>
      </c>
      <c r="T552">
        <f t="shared" si="306"/>
        <v>25</v>
      </c>
      <c r="U552">
        <f t="shared" si="307"/>
        <v>6</v>
      </c>
      <c r="V552">
        <f t="shared" si="308"/>
        <v>10</v>
      </c>
      <c r="W552">
        <f t="shared" si="309"/>
        <v>49</v>
      </c>
      <c r="X552">
        <f t="shared" si="310"/>
        <v>36</v>
      </c>
      <c r="Y552">
        <f t="shared" si="311"/>
        <v>9</v>
      </c>
      <c r="Z552">
        <f t="shared" si="312"/>
        <v>3</v>
      </c>
      <c r="AA552">
        <f t="shared" si="313"/>
        <v>4</v>
      </c>
      <c r="AB552">
        <f t="shared" si="314"/>
        <v>2</v>
      </c>
      <c r="AC552">
        <f t="shared" si="315"/>
        <v>69</v>
      </c>
      <c r="AD552">
        <f t="shared" si="316"/>
        <v>0</v>
      </c>
      <c r="AF552">
        <f t="shared" si="317"/>
        <v>0</v>
      </c>
      <c r="AG552">
        <f t="shared" si="318"/>
        <v>0</v>
      </c>
      <c r="AH552">
        <f t="shared" si="319"/>
        <v>0</v>
      </c>
      <c r="AI552">
        <f t="shared" si="320"/>
        <v>0</v>
      </c>
      <c r="AJ552">
        <f t="shared" si="321"/>
        <v>0</v>
      </c>
      <c r="AK552">
        <f t="shared" si="322"/>
        <v>0</v>
      </c>
      <c r="AL552">
        <f t="shared" si="323"/>
        <v>0</v>
      </c>
      <c r="AM552">
        <f t="shared" si="324"/>
        <v>0</v>
      </c>
      <c r="AN552">
        <f t="shared" si="325"/>
        <v>0</v>
      </c>
      <c r="AO552">
        <f t="shared" si="326"/>
        <v>0</v>
      </c>
      <c r="AP552">
        <f t="shared" si="327"/>
        <v>0</v>
      </c>
      <c r="AQ552">
        <f t="shared" si="328"/>
        <v>0</v>
      </c>
    </row>
    <row r="553" spans="1:43" ht="15.5" x14ac:dyDescent="0.35">
      <c r="A553" s="51">
        <v>82</v>
      </c>
      <c r="B553" s="13" t="s">
        <v>401</v>
      </c>
      <c r="C553" s="1" t="s">
        <v>164</v>
      </c>
      <c r="D553" s="1" t="s">
        <v>228</v>
      </c>
      <c r="E553" s="19">
        <v>3484.8081367019604</v>
      </c>
      <c r="F553">
        <f t="shared" si="293"/>
        <v>0</v>
      </c>
      <c r="G553">
        <f t="shared" si="294"/>
        <v>0</v>
      </c>
      <c r="H553">
        <f t="shared" si="295"/>
        <v>0</v>
      </c>
      <c r="I553">
        <f t="shared" si="296"/>
        <v>0</v>
      </c>
      <c r="J553">
        <f t="shared" si="297"/>
        <v>0</v>
      </c>
      <c r="K553">
        <f t="shared" si="298"/>
        <v>0</v>
      </c>
      <c r="L553">
        <f t="shared" si="299"/>
        <v>0</v>
      </c>
      <c r="M553">
        <f t="shared" si="300"/>
        <v>0</v>
      </c>
      <c r="N553">
        <f t="shared" si="301"/>
        <v>0</v>
      </c>
      <c r="O553">
        <f t="shared" si="302"/>
        <v>0</v>
      </c>
      <c r="P553">
        <f t="shared" si="303"/>
        <v>3484.8081367019604</v>
      </c>
      <c r="Q553">
        <f t="shared" si="304"/>
        <v>0</v>
      </c>
      <c r="S553">
        <f t="shared" si="305"/>
        <v>30</v>
      </c>
      <c r="T553">
        <f t="shared" si="306"/>
        <v>25</v>
      </c>
      <c r="U553">
        <f t="shared" si="307"/>
        <v>6</v>
      </c>
      <c r="V553">
        <f t="shared" si="308"/>
        <v>10</v>
      </c>
      <c r="W553">
        <f t="shared" si="309"/>
        <v>49</v>
      </c>
      <c r="X553">
        <f t="shared" si="310"/>
        <v>36</v>
      </c>
      <c r="Y553">
        <f t="shared" si="311"/>
        <v>9</v>
      </c>
      <c r="Z553">
        <f t="shared" si="312"/>
        <v>3</v>
      </c>
      <c r="AA553">
        <f t="shared" si="313"/>
        <v>4</v>
      </c>
      <c r="AB553">
        <f t="shared" si="314"/>
        <v>2</v>
      </c>
      <c r="AC553">
        <f t="shared" si="315"/>
        <v>68</v>
      </c>
      <c r="AD553">
        <f t="shared" si="316"/>
        <v>0</v>
      </c>
      <c r="AF553">
        <f t="shared" si="317"/>
        <v>0</v>
      </c>
      <c r="AG553">
        <f t="shared" si="318"/>
        <v>0</v>
      </c>
      <c r="AH553">
        <f t="shared" si="319"/>
        <v>0</v>
      </c>
      <c r="AI553">
        <f t="shared" si="320"/>
        <v>0</v>
      </c>
      <c r="AJ553">
        <f t="shared" si="321"/>
        <v>0</v>
      </c>
      <c r="AK553">
        <f t="shared" si="322"/>
        <v>0</v>
      </c>
      <c r="AL553">
        <f t="shared" si="323"/>
        <v>0</v>
      </c>
      <c r="AM553">
        <f t="shared" si="324"/>
        <v>0</v>
      </c>
      <c r="AN553">
        <f t="shared" si="325"/>
        <v>0</v>
      </c>
      <c r="AO553">
        <f t="shared" si="326"/>
        <v>0</v>
      </c>
      <c r="AP553">
        <f t="shared" si="327"/>
        <v>0</v>
      </c>
      <c r="AQ553">
        <f t="shared" si="328"/>
        <v>0</v>
      </c>
    </row>
    <row r="554" spans="1:43" ht="15.5" x14ac:dyDescent="0.35">
      <c r="A554" s="51">
        <v>83</v>
      </c>
      <c r="B554" s="13" t="s">
        <v>401</v>
      </c>
      <c r="C554" s="1" t="s">
        <v>162</v>
      </c>
      <c r="D554" s="1" t="s">
        <v>54</v>
      </c>
      <c r="E554" s="19">
        <v>2969.2346811171319</v>
      </c>
      <c r="F554">
        <f t="shared" si="293"/>
        <v>0</v>
      </c>
      <c r="G554">
        <f t="shared" si="294"/>
        <v>0</v>
      </c>
      <c r="H554">
        <f t="shared" si="295"/>
        <v>0</v>
      </c>
      <c r="I554">
        <f t="shared" si="296"/>
        <v>0</v>
      </c>
      <c r="J554">
        <f t="shared" si="297"/>
        <v>0</v>
      </c>
      <c r="K554">
        <f t="shared" si="298"/>
        <v>2969.2346811171319</v>
      </c>
      <c r="L554">
        <f t="shared" si="299"/>
        <v>0</v>
      </c>
      <c r="M554">
        <f t="shared" si="300"/>
        <v>0</v>
      </c>
      <c r="N554">
        <f t="shared" si="301"/>
        <v>0</v>
      </c>
      <c r="O554">
        <f t="shared" si="302"/>
        <v>0</v>
      </c>
      <c r="P554">
        <f t="shared" si="303"/>
        <v>0</v>
      </c>
      <c r="Q554">
        <f t="shared" si="304"/>
        <v>0</v>
      </c>
      <c r="S554">
        <f t="shared" si="305"/>
        <v>30</v>
      </c>
      <c r="T554">
        <f t="shared" si="306"/>
        <v>25</v>
      </c>
      <c r="U554">
        <f t="shared" si="307"/>
        <v>6</v>
      </c>
      <c r="V554">
        <f t="shared" si="308"/>
        <v>10</v>
      </c>
      <c r="W554">
        <f t="shared" si="309"/>
        <v>49</v>
      </c>
      <c r="X554">
        <f t="shared" si="310"/>
        <v>36</v>
      </c>
      <c r="Y554">
        <f t="shared" si="311"/>
        <v>9</v>
      </c>
      <c r="Z554">
        <f t="shared" si="312"/>
        <v>3</v>
      </c>
      <c r="AA554">
        <f t="shared" si="313"/>
        <v>4</v>
      </c>
      <c r="AB554">
        <f t="shared" si="314"/>
        <v>2</v>
      </c>
      <c r="AC554">
        <f t="shared" si="315"/>
        <v>67</v>
      </c>
      <c r="AD554">
        <f t="shared" si="316"/>
        <v>0</v>
      </c>
      <c r="AF554">
        <f t="shared" si="317"/>
        <v>0</v>
      </c>
      <c r="AG554">
        <f t="shared" si="318"/>
        <v>0</v>
      </c>
      <c r="AH554">
        <f t="shared" si="319"/>
        <v>0</v>
      </c>
      <c r="AI554">
        <f t="shared" si="320"/>
        <v>0</v>
      </c>
      <c r="AJ554">
        <f t="shared" si="321"/>
        <v>0</v>
      </c>
      <c r="AK554">
        <f t="shared" si="322"/>
        <v>0</v>
      </c>
      <c r="AL554">
        <f t="shared" si="323"/>
        <v>0</v>
      </c>
      <c r="AM554">
        <f t="shared" si="324"/>
        <v>0</v>
      </c>
      <c r="AN554">
        <f t="shared" si="325"/>
        <v>0</v>
      </c>
      <c r="AO554">
        <f t="shared" si="326"/>
        <v>0</v>
      </c>
      <c r="AP554">
        <f t="shared" si="327"/>
        <v>0</v>
      </c>
      <c r="AQ554">
        <f t="shared" si="328"/>
        <v>0</v>
      </c>
    </row>
    <row r="555" spans="1:43" ht="15.5" x14ac:dyDescent="0.35">
      <c r="A555" s="51">
        <v>84</v>
      </c>
      <c r="B555" s="13" t="s">
        <v>403</v>
      </c>
      <c r="C555" s="17" t="s">
        <v>165</v>
      </c>
      <c r="D555" s="17" t="s">
        <v>60</v>
      </c>
      <c r="E555" s="19">
        <v>2657.8929545796741</v>
      </c>
      <c r="F555">
        <f t="shared" ref="F555:F618" si="329">IF(D555="SPUR-01",E555,0)</f>
        <v>0</v>
      </c>
      <c r="G555">
        <f t="shared" ref="G555:G618" si="330">IF(D555="SPUR-02",E555,0)</f>
        <v>0</v>
      </c>
      <c r="H555">
        <f t="shared" ref="H555:H618" si="331">IF(D555="SPUR-03",E555,0)</f>
        <v>0</v>
      </c>
      <c r="I555">
        <f t="shared" ref="I555:I618" si="332">IF(D555="SPUR-04",E555,0)</f>
        <v>0</v>
      </c>
      <c r="J555">
        <f t="shared" ref="J555:J618" si="333">IF(D555="SPUR-05",E555,0)</f>
        <v>2657.8929545796741</v>
      </c>
      <c r="K555">
        <f t="shared" ref="K555:K618" si="334">IF(D555="SPUR-06",E555,0)</f>
        <v>0</v>
      </c>
      <c r="L555">
        <f t="shared" ref="L555:L618" si="335">IF(D555="SPUR-07",E555,0)</f>
        <v>0</v>
      </c>
      <c r="M555">
        <f t="shared" ref="M555:M618" si="336">IF(D555="SPUR-08",E555,0)</f>
        <v>0</v>
      </c>
      <c r="N555">
        <f t="shared" ref="N555:N618" si="337">IF(D555="SPUR-09",E555,0)</f>
        <v>0</v>
      </c>
      <c r="O555">
        <f t="shared" ref="O555:O618" si="338">IF(D555="SPUR-10",E555,0)</f>
        <v>0</v>
      </c>
      <c r="P555">
        <f t="shared" ref="P555:P618" si="339">IF(D555="SPUR-SILO",E555,0)</f>
        <v>0</v>
      </c>
      <c r="Q555">
        <f t="shared" ref="Q555:Q618" si="340">IF(D555="SPUR-DB",E555,0)</f>
        <v>0</v>
      </c>
      <c r="S555">
        <f t="shared" ref="S555:S618" si="341">IF(F555&gt;0,1,0)+S556</f>
        <v>30</v>
      </c>
      <c r="T555">
        <f t="shared" ref="T555:T618" si="342">IF(G555&gt;0,1,0)+T556</f>
        <v>25</v>
      </c>
      <c r="U555">
        <f t="shared" ref="U555:U618" si="343">IF(H555&gt;0,1,0)+U556</f>
        <v>6</v>
      </c>
      <c r="V555">
        <f t="shared" ref="V555:V618" si="344">IF(I555&gt;0,1,0)+V556</f>
        <v>10</v>
      </c>
      <c r="W555">
        <f t="shared" ref="W555:W618" si="345">IF(J555&gt;0,1,0)+W556</f>
        <v>49</v>
      </c>
      <c r="X555">
        <f t="shared" ref="X555:X618" si="346">IF(K555&gt;0,1,0)+X556</f>
        <v>35</v>
      </c>
      <c r="Y555">
        <f t="shared" ref="Y555:Y618" si="347">IF(L555&gt;0,1,0)+Y556</f>
        <v>9</v>
      </c>
      <c r="Z555">
        <f t="shared" ref="Z555:Z618" si="348">IF(M555&gt;0,1,0)+Z556</f>
        <v>3</v>
      </c>
      <c r="AA555">
        <f t="shared" ref="AA555:AA618" si="349">IF(N555&gt;0,1,0)+AA556</f>
        <v>4</v>
      </c>
      <c r="AB555">
        <f t="shared" ref="AB555:AB618" si="350">IF(O555&gt;0,1,0)+AB556</f>
        <v>2</v>
      </c>
      <c r="AC555">
        <f t="shared" ref="AC555:AC618" si="351">IF(P555&gt;0,1,0)+AC556</f>
        <v>67</v>
      </c>
      <c r="AD555">
        <f t="shared" ref="AD555:AD618" si="352">IF(Q555&gt;0,1,0)+AD556</f>
        <v>0</v>
      </c>
      <c r="AF555">
        <f t="shared" ref="AF555:AF618" si="353">IF(S555&lt;=$AT$1,F555,0)</f>
        <v>0</v>
      </c>
      <c r="AG555">
        <f t="shared" ref="AG555:AG618" si="354">IF(T555&lt;=$AT$1,G555,0)</f>
        <v>0</v>
      </c>
      <c r="AH555">
        <f t="shared" ref="AH555:AH618" si="355">IF(U555&lt;=$AT$1,H555,0)</f>
        <v>0</v>
      </c>
      <c r="AI555">
        <f t="shared" ref="AI555:AI618" si="356">IF(V555&lt;=$AT$1,I555,0)</f>
        <v>0</v>
      </c>
      <c r="AJ555">
        <f t="shared" ref="AJ555:AJ618" si="357">IF(W555&lt;=$AT$1,J555,0)</f>
        <v>0</v>
      </c>
      <c r="AK555">
        <f t="shared" ref="AK555:AK618" si="358">IF(X555&lt;=$AT$1,K555,0)</f>
        <v>0</v>
      </c>
      <c r="AL555">
        <f t="shared" ref="AL555:AL618" si="359">IF(Y555&lt;=$AT$1,L555,0)</f>
        <v>0</v>
      </c>
      <c r="AM555">
        <f t="shared" ref="AM555:AM618" si="360">IF(Z555&lt;=$AT$1,M555,0)</f>
        <v>0</v>
      </c>
      <c r="AN555">
        <f t="shared" ref="AN555:AN618" si="361">IF(AA555&lt;=$AT$1,N555,0)</f>
        <v>0</v>
      </c>
      <c r="AO555">
        <f t="shared" ref="AO555:AO618" si="362">IF(AB555&lt;=$AT$1,O555,0)</f>
        <v>0</v>
      </c>
      <c r="AP555">
        <f t="shared" ref="AP555:AP618" si="363">IF(AC555&lt;=$AT$1,P555,0)</f>
        <v>0</v>
      </c>
      <c r="AQ555">
        <f t="shared" ref="AQ555:AQ618" si="364">IF(AD555&lt;=$AT$1,Q555,0)</f>
        <v>0</v>
      </c>
    </row>
    <row r="556" spans="1:43" ht="15.5" x14ac:dyDescent="0.35">
      <c r="A556" s="51">
        <v>85</v>
      </c>
      <c r="B556" s="13" t="s">
        <v>403</v>
      </c>
      <c r="C556" s="1" t="s">
        <v>166</v>
      </c>
      <c r="D556" s="1" t="s">
        <v>228</v>
      </c>
      <c r="E556" s="19">
        <v>2602.2688012913977</v>
      </c>
      <c r="F556">
        <f t="shared" si="329"/>
        <v>0</v>
      </c>
      <c r="G556">
        <f t="shared" si="330"/>
        <v>0</v>
      </c>
      <c r="H556">
        <f t="shared" si="331"/>
        <v>0</v>
      </c>
      <c r="I556">
        <f t="shared" si="332"/>
        <v>0</v>
      </c>
      <c r="J556">
        <f t="shared" si="333"/>
        <v>0</v>
      </c>
      <c r="K556">
        <f t="shared" si="334"/>
        <v>0</v>
      </c>
      <c r="L556">
        <f t="shared" si="335"/>
        <v>0</v>
      </c>
      <c r="M556">
        <f t="shared" si="336"/>
        <v>0</v>
      </c>
      <c r="N556">
        <f t="shared" si="337"/>
        <v>0</v>
      </c>
      <c r="O556">
        <f t="shared" si="338"/>
        <v>0</v>
      </c>
      <c r="P556">
        <f t="shared" si="339"/>
        <v>2602.2688012913977</v>
      </c>
      <c r="Q556">
        <f t="shared" si="340"/>
        <v>0</v>
      </c>
      <c r="S556">
        <f t="shared" si="341"/>
        <v>30</v>
      </c>
      <c r="T556">
        <f t="shared" si="342"/>
        <v>25</v>
      </c>
      <c r="U556">
        <f t="shared" si="343"/>
        <v>6</v>
      </c>
      <c r="V556">
        <f t="shared" si="344"/>
        <v>10</v>
      </c>
      <c r="W556">
        <f t="shared" si="345"/>
        <v>48</v>
      </c>
      <c r="X556">
        <f t="shared" si="346"/>
        <v>35</v>
      </c>
      <c r="Y556">
        <f t="shared" si="347"/>
        <v>9</v>
      </c>
      <c r="Z556">
        <f t="shared" si="348"/>
        <v>3</v>
      </c>
      <c r="AA556">
        <f t="shared" si="349"/>
        <v>4</v>
      </c>
      <c r="AB556">
        <f t="shared" si="350"/>
        <v>2</v>
      </c>
      <c r="AC556">
        <f t="shared" si="351"/>
        <v>67</v>
      </c>
      <c r="AD556">
        <f t="shared" si="352"/>
        <v>0</v>
      </c>
      <c r="AF556">
        <f t="shared" si="353"/>
        <v>0</v>
      </c>
      <c r="AG556">
        <f t="shared" si="354"/>
        <v>0</v>
      </c>
      <c r="AH556">
        <f t="shared" si="355"/>
        <v>0</v>
      </c>
      <c r="AI556">
        <f t="shared" si="356"/>
        <v>0</v>
      </c>
      <c r="AJ556">
        <f t="shared" si="357"/>
        <v>0</v>
      </c>
      <c r="AK556">
        <f t="shared" si="358"/>
        <v>0</v>
      </c>
      <c r="AL556">
        <f t="shared" si="359"/>
        <v>0</v>
      </c>
      <c r="AM556">
        <f t="shared" si="360"/>
        <v>0</v>
      </c>
      <c r="AN556">
        <f t="shared" si="361"/>
        <v>0</v>
      </c>
      <c r="AO556">
        <f t="shared" si="362"/>
        <v>0</v>
      </c>
      <c r="AP556">
        <f t="shared" si="363"/>
        <v>0</v>
      </c>
      <c r="AQ556">
        <f t="shared" si="364"/>
        <v>0</v>
      </c>
    </row>
    <row r="557" spans="1:43" ht="15.5" x14ac:dyDescent="0.35">
      <c r="A557" s="51">
        <v>86</v>
      </c>
      <c r="B557" s="13" t="s">
        <v>403</v>
      </c>
      <c r="C557" s="1" t="s">
        <v>167</v>
      </c>
      <c r="D557" s="1" t="s">
        <v>227</v>
      </c>
      <c r="E557" s="19">
        <v>3215.1496000000002</v>
      </c>
      <c r="F557">
        <f t="shared" si="329"/>
        <v>0</v>
      </c>
      <c r="G557">
        <f t="shared" si="330"/>
        <v>3215.1496000000002</v>
      </c>
      <c r="H557">
        <f t="shared" si="331"/>
        <v>0</v>
      </c>
      <c r="I557">
        <f t="shared" si="332"/>
        <v>0</v>
      </c>
      <c r="J557">
        <f t="shared" si="333"/>
        <v>0</v>
      </c>
      <c r="K557">
        <f t="shared" si="334"/>
        <v>0</v>
      </c>
      <c r="L557">
        <f t="shared" si="335"/>
        <v>0</v>
      </c>
      <c r="M557">
        <f t="shared" si="336"/>
        <v>0</v>
      </c>
      <c r="N557">
        <f t="shared" si="337"/>
        <v>0</v>
      </c>
      <c r="O557">
        <f t="shared" si="338"/>
        <v>0</v>
      </c>
      <c r="P557">
        <f t="shared" si="339"/>
        <v>0</v>
      </c>
      <c r="Q557">
        <f t="shared" si="340"/>
        <v>0</v>
      </c>
      <c r="S557">
        <f t="shared" si="341"/>
        <v>30</v>
      </c>
      <c r="T557">
        <f t="shared" si="342"/>
        <v>25</v>
      </c>
      <c r="U557">
        <f t="shared" si="343"/>
        <v>6</v>
      </c>
      <c r="V557">
        <f t="shared" si="344"/>
        <v>10</v>
      </c>
      <c r="W557">
        <f t="shared" si="345"/>
        <v>48</v>
      </c>
      <c r="X557">
        <f t="shared" si="346"/>
        <v>35</v>
      </c>
      <c r="Y557">
        <f t="shared" si="347"/>
        <v>9</v>
      </c>
      <c r="Z557">
        <f t="shared" si="348"/>
        <v>3</v>
      </c>
      <c r="AA557">
        <f t="shared" si="349"/>
        <v>4</v>
      </c>
      <c r="AB557">
        <f t="shared" si="350"/>
        <v>2</v>
      </c>
      <c r="AC557">
        <f t="shared" si="351"/>
        <v>66</v>
      </c>
      <c r="AD557">
        <f t="shared" si="352"/>
        <v>0</v>
      </c>
      <c r="AF557">
        <f t="shared" si="353"/>
        <v>0</v>
      </c>
      <c r="AG557">
        <f t="shared" si="354"/>
        <v>0</v>
      </c>
      <c r="AH557">
        <f t="shared" si="355"/>
        <v>0</v>
      </c>
      <c r="AI557">
        <f t="shared" si="356"/>
        <v>0</v>
      </c>
      <c r="AJ557">
        <f t="shared" si="357"/>
        <v>0</v>
      </c>
      <c r="AK557">
        <f t="shared" si="358"/>
        <v>0</v>
      </c>
      <c r="AL557">
        <f t="shared" si="359"/>
        <v>0</v>
      </c>
      <c r="AM557">
        <f t="shared" si="360"/>
        <v>0</v>
      </c>
      <c r="AN557">
        <f t="shared" si="361"/>
        <v>0</v>
      </c>
      <c r="AO557">
        <f t="shared" si="362"/>
        <v>0</v>
      </c>
      <c r="AP557">
        <f t="shared" si="363"/>
        <v>0</v>
      </c>
      <c r="AQ557">
        <f t="shared" si="364"/>
        <v>0</v>
      </c>
    </row>
    <row r="558" spans="1:43" ht="15.5" x14ac:dyDescent="0.35">
      <c r="A558" s="51">
        <v>1</v>
      </c>
      <c r="B558" s="13" t="s">
        <v>404</v>
      </c>
      <c r="C558" s="17" t="s">
        <v>405</v>
      </c>
      <c r="D558" s="17" t="s">
        <v>94</v>
      </c>
      <c r="E558" s="19">
        <v>2848.9218684989428</v>
      </c>
      <c r="F558">
        <f t="shared" si="329"/>
        <v>0</v>
      </c>
      <c r="G558">
        <f t="shared" si="330"/>
        <v>0</v>
      </c>
      <c r="H558">
        <f t="shared" si="331"/>
        <v>0</v>
      </c>
      <c r="I558">
        <f t="shared" si="332"/>
        <v>0</v>
      </c>
      <c r="J558">
        <f t="shared" si="333"/>
        <v>0</v>
      </c>
      <c r="K558">
        <f t="shared" si="334"/>
        <v>0</v>
      </c>
      <c r="L558">
        <f t="shared" si="335"/>
        <v>2848.9218684989428</v>
      </c>
      <c r="M558">
        <f t="shared" si="336"/>
        <v>0</v>
      </c>
      <c r="N558">
        <f t="shared" si="337"/>
        <v>0</v>
      </c>
      <c r="O558">
        <f t="shared" si="338"/>
        <v>0</v>
      </c>
      <c r="P558">
        <f t="shared" si="339"/>
        <v>0</v>
      </c>
      <c r="Q558">
        <f t="shared" si="340"/>
        <v>0</v>
      </c>
      <c r="S558">
        <f t="shared" si="341"/>
        <v>30</v>
      </c>
      <c r="T558">
        <f t="shared" si="342"/>
        <v>24</v>
      </c>
      <c r="U558">
        <f t="shared" si="343"/>
        <v>6</v>
      </c>
      <c r="V558">
        <f t="shared" si="344"/>
        <v>10</v>
      </c>
      <c r="W558">
        <f t="shared" si="345"/>
        <v>48</v>
      </c>
      <c r="X558">
        <f t="shared" si="346"/>
        <v>35</v>
      </c>
      <c r="Y558">
        <f t="shared" si="347"/>
        <v>9</v>
      </c>
      <c r="Z558">
        <f t="shared" si="348"/>
        <v>3</v>
      </c>
      <c r="AA558">
        <f t="shared" si="349"/>
        <v>4</v>
      </c>
      <c r="AB558">
        <f t="shared" si="350"/>
        <v>2</v>
      </c>
      <c r="AC558">
        <f t="shared" si="351"/>
        <v>66</v>
      </c>
      <c r="AD558">
        <f t="shared" si="352"/>
        <v>0</v>
      </c>
      <c r="AF558">
        <f t="shared" si="353"/>
        <v>0</v>
      </c>
      <c r="AG558">
        <f t="shared" si="354"/>
        <v>0</v>
      </c>
      <c r="AH558">
        <f t="shared" si="355"/>
        <v>0</v>
      </c>
      <c r="AI558">
        <f t="shared" si="356"/>
        <v>0</v>
      </c>
      <c r="AJ558">
        <f t="shared" si="357"/>
        <v>0</v>
      </c>
      <c r="AK558">
        <f t="shared" si="358"/>
        <v>0</v>
      </c>
      <c r="AL558">
        <f t="shared" si="359"/>
        <v>2848.9218684989428</v>
      </c>
      <c r="AM558">
        <f t="shared" si="360"/>
        <v>0</v>
      </c>
      <c r="AN558">
        <f t="shared" si="361"/>
        <v>0</v>
      </c>
      <c r="AO558">
        <f t="shared" si="362"/>
        <v>0</v>
      </c>
      <c r="AP558">
        <f t="shared" si="363"/>
        <v>0</v>
      </c>
      <c r="AQ558">
        <f t="shared" si="364"/>
        <v>0</v>
      </c>
    </row>
    <row r="559" spans="1:43" ht="15.5" x14ac:dyDescent="0.35">
      <c r="A559" s="51">
        <v>2</v>
      </c>
      <c r="B559" s="13" t="s">
        <v>404</v>
      </c>
      <c r="C559" s="1" t="s">
        <v>169</v>
      </c>
      <c r="D559" s="1" t="s">
        <v>228</v>
      </c>
      <c r="E559" s="19">
        <v>3081.5897212881641</v>
      </c>
      <c r="F559">
        <f t="shared" si="329"/>
        <v>0</v>
      </c>
      <c r="G559">
        <f t="shared" si="330"/>
        <v>0</v>
      </c>
      <c r="H559">
        <f t="shared" si="331"/>
        <v>0</v>
      </c>
      <c r="I559">
        <f t="shared" si="332"/>
        <v>0</v>
      </c>
      <c r="J559">
        <f t="shared" si="333"/>
        <v>0</v>
      </c>
      <c r="K559">
        <f t="shared" si="334"/>
        <v>0</v>
      </c>
      <c r="L559">
        <f t="shared" si="335"/>
        <v>0</v>
      </c>
      <c r="M559">
        <f t="shared" si="336"/>
        <v>0</v>
      </c>
      <c r="N559">
        <f t="shared" si="337"/>
        <v>0</v>
      </c>
      <c r="O559">
        <f t="shared" si="338"/>
        <v>0</v>
      </c>
      <c r="P559">
        <f t="shared" si="339"/>
        <v>3081.5897212881641</v>
      </c>
      <c r="Q559">
        <f t="shared" si="340"/>
        <v>0</v>
      </c>
      <c r="S559">
        <f t="shared" si="341"/>
        <v>30</v>
      </c>
      <c r="T559">
        <f t="shared" si="342"/>
        <v>24</v>
      </c>
      <c r="U559">
        <f t="shared" si="343"/>
        <v>6</v>
      </c>
      <c r="V559">
        <f t="shared" si="344"/>
        <v>10</v>
      </c>
      <c r="W559">
        <f t="shared" si="345"/>
        <v>48</v>
      </c>
      <c r="X559">
        <f t="shared" si="346"/>
        <v>35</v>
      </c>
      <c r="Y559">
        <f t="shared" si="347"/>
        <v>8</v>
      </c>
      <c r="Z559">
        <f t="shared" si="348"/>
        <v>3</v>
      </c>
      <c r="AA559">
        <f t="shared" si="349"/>
        <v>4</v>
      </c>
      <c r="AB559">
        <f t="shared" si="350"/>
        <v>2</v>
      </c>
      <c r="AC559">
        <f t="shared" si="351"/>
        <v>66</v>
      </c>
      <c r="AD559">
        <f t="shared" si="352"/>
        <v>0</v>
      </c>
      <c r="AF559">
        <f t="shared" si="353"/>
        <v>0</v>
      </c>
      <c r="AG559">
        <f t="shared" si="354"/>
        <v>0</v>
      </c>
      <c r="AH559">
        <f t="shared" si="355"/>
        <v>0</v>
      </c>
      <c r="AI559">
        <f t="shared" si="356"/>
        <v>0</v>
      </c>
      <c r="AJ559">
        <f t="shared" si="357"/>
        <v>0</v>
      </c>
      <c r="AK559">
        <f t="shared" si="358"/>
        <v>0</v>
      </c>
      <c r="AL559">
        <f t="shared" si="359"/>
        <v>0</v>
      </c>
      <c r="AM559">
        <f t="shared" si="360"/>
        <v>0</v>
      </c>
      <c r="AN559">
        <f t="shared" si="361"/>
        <v>0</v>
      </c>
      <c r="AO559">
        <f t="shared" si="362"/>
        <v>0</v>
      </c>
      <c r="AP559">
        <f t="shared" si="363"/>
        <v>0</v>
      </c>
      <c r="AQ559">
        <f t="shared" si="364"/>
        <v>0</v>
      </c>
    </row>
    <row r="560" spans="1:43" ht="15.5" x14ac:dyDescent="0.35">
      <c r="A560" s="51">
        <v>3</v>
      </c>
      <c r="B560" s="13" t="s">
        <v>404</v>
      </c>
      <c r="C560" s="1" t="s">
        <v>172</v>
      </c>
      <c r="D560" s="1" t="s">
        <v>228</v>
      </c>
      <c r="E560" s="19">
        <v>3401.0289820845542</v>
      </c>
      <c r="F560">
        <f t="shared" si="329"/>
        <v>0</v>
      </c>
      <c r="G560">
        <f t="shared" si="330"/>
        <v>0</v>
      </c>
      <c r="H560">
        <f t="shared" si="331"/>
        <v>0</v>
      </c>
      <c r="I560">
        <f t="shared" si="332"/>
        <v>0</v>
      </c>
      <c r="J560">
        <f t="shared" si="333"/>
        <v>0</v>
      </c>
      <c r="K560">
        <f t="shared" si="334"/>
        <v>0</v>
      </c>
      <c r="L560">
        <f t="shared" si="335"/>
        <v>0</v>
      </c>
      <c r="M560">
        <f t="shared" si="336"/>
        <v>0</v>
      </c>
      <c r="N560">
        <f t="shared" si="337"/>
        <v>0</v>
      </c>
      <c r="O560">
        <f t="shared" si="338"/>
        <v>0</v>
      </c>
      <c r="P560">
        <f t="shared" si="339"/>
        <v>3401.0289820845542</v>
      </c>
      <c r="Q560">
        <f t="shared" si="340"/>
        <v>0</v>
      </c>
      <c r="S560">
        <f t="shared" si="341"/>
        <v>30</v>
      </c>
      <c r="T560">
        <f t="shared" si="342"/>
        <v>24</v>
      </c>
      <c r="U560">
        <f t="shared" si="343"/>
        <v>6</v>
      </c>
      <c r="V560">
        <f t="shared" si="344"/>
        <v>10</v>
      </c>
      <c r="W560">
        <f t="shared" si="345"/>
        <v>48</v>
      </c>
      <c r="X560">
        <f t="shared" si="346"/>
        <v>35</v>
      </c>
      <c r="Y560">
        <f t="shared" si="347"/>
        <v>8</v>
      </c>
      <c r="Z560">
        <f t="shared" si="348"/>
        <v>3</v>
      </c>
      <c r="AA560">
        <f t="shared" si="349"/>
        <v>4</v>
      </c>
      <c r="AB560">
        <f t="shared" si="350"/>
        <v>2</v>
      </c>
      <c r="AC560">
        <f t="shared" si="351"/>
        <v>65</v>
      </c>
      <c r="AD560">
        <f t="shared" si="352"/>
        <v>0</v>
      </c>
      <c r="AF560">
        <f t="shared" si="353"/>
        <v>0</v>
      </c>
      <c r="AG560">
        <f t="shared" si="354"/>
        <v>0</v>
      </c>
      <c r="AH560">
        <f t="shared" si="355"/>
        <v>0</v>
      </c>
      <c r="AI560">
        <f t="shared" si="356"/>
        <v>0</v>
      </c>
      <c r="AJ560">
        <f t="shared" si="357"/>
        <v>0</v>
      </c>
      <c r="AK560">
        <f t="shared" si="358"/>
        <v>0</v>
      </c>
      <c r="AL560">
        <f t="shared" si="359"/>
        <v>0</v>
      </c>
      <c r="AM560">
        <f t="shared" si="360"/>
        <v>0</v>
      </c>
      <c r="AN560">
        <f t="shared" si="361"/>
        <v>0</v>
      </c>
      <c r="AO560">
        <f t="shared" si="362"/>
        <v>0</v>
      </c>
      <c r="AP560">
        <f t="shared" si="363"/>
        <v>0</v>
      </c>
      <c r="AQ560">
        <f t="shared" si="364"/>
        <v>0</v>
      </c>
    </row>
    <row r="561" spans="1:43" ht="15.5" x14ac:dyDescent="0.35">
      <c r="A561" s="51">
        <v>4</v>
      </c>
      <c r="B561" s="13" t="s">
        <v>404</v>
      </c>
      <c r="C561" s="1" t="s">
        <v>259</v>
      </c>
      <c r="D561" s="1" t="s">
        <v>54</v>
      </c>
      <c r="E561" s="70">
        <v>2787.9339660875903</v>
      </c>
      <c r="F561">
        <f t="shared" si="329"/>
        <v>0</v>
      </c>
      <c r="G561">
        <f t="shared" si="330"/>
        <v>0</v>
      </c>
      <c r="H561">
        <f t="shared" si="331"/>
        <v>0</v>
      </c>
      <c r="I561">
        <f t="shared" si="332"/>
        <v>0</v>
      </c>
      <c r="J561">
        <f t="shared" si="333"/>
        <v>0</v>
      </c>
      <c r="K561">
        <f t="shared" si="334"/>
        <v>2787.9339660875903</v>
      </c>
      <c r="L561">
        <f t="shared" si="335"/>
        <v>0</v>
      </c>
      <c r="M561">
        <f t="shared" si="336"/>
        <v>0</v>
      </c>
      <c r="N561">
        <f t="shared" si="337"/>
        <v>0</v>
      </c>
      <c r="O561">
        <f t="shared" si="338"/>
        <v>0</v>
      </c>
      <c r="P561">
        <f t="shared" si="339"/>
        <v>0</v>
      </c>
      <c r="Q561">
        <f t="shared" si="340"/>
        <v>0</v>
      </c>
      <c r="S561">
        <f t="shared" si="341"/>
        <v>30</v>
      </c>
      <c r="T561">
        <f t="shared" si="342"/>
        <v>24</v>
      </c>
      <c r="U561">
        <f t="shared" si="343"/>
        <v>6</v>
      </c>
      <c r="V561">
        <f t="shared" si="344"/>
        <v>10</v>
      </c>
      <c r="W561">
        <f t="shared" si="345"/>
        <v>48</v>
      </c>
      <c r="X561">
        <f t="shared" si="346"/>
        <v>35</v>
      </c>
      <c r="Y561">
        <f t="shared" si="347"/>
        <v>8</v>
      </c>
      <c r="Z561">
        <f t="shared" si="348"/>
        <v>3</v>
      </c>
      <c r="AA561">
        <f t="shared" si="349"/>
        <v>4</v>
      </c>
      <c r="AB561">
        <f t="shared" si="350"/>
        <v>2</v>
      </c>
      <c r="AC561">
        <f t="shared" si="351"/>
        <v>64</v>
      </c>
      <c r="AD561">
        <f t="shared" si="352"/>
        <v>0</v>
      </c>
      <c r="AF561">
        <f t="shared" si="353"/>
        <v>0</v>
      </c>
      <c r="AG561">
        <f t="shared" si="354"/>
        <v>0</v>
      </c>
      <c r="AH561">
        <f t="shared" si="355"/>
        <v>0</v>
      </c>
      <c r="AI561">
        <f t="shared" si="356"/>
        <v>0</v>
      </c>
      <c r="AJ561">
        <f t="shared" si="357"/>
        <v>0</v>
      </c>
      <c r="AK561">
        <f t="shared" si="358"/>
        <v>0</v>
      </c>
      <c r="AL561">
        <f t="shared" si="359"/>
        <v>0</v>
      </c>
      <c r="AM561">
        <f t="shared" si="360"/>
        <v>0</v>
      </c>
      <c r="AN561">
        <f t="shared" si="361"/>
        <v>0</v>
      </c>
      <c r="AO561">
        <f t="shared" si="362"/>
        <v>0</v>
      </c>
      <c r="AP561">
        <f t="shared" si="363"/>
        <v>0</v>
      </c>
      <c r="AQ561">
        <f t="shared" si="364"/>
        <v>0</v>
      </c>
    </row>
    <row r="562" spans="1:43" ht="15.5" x14ac:dyDescent="0.35">
      <c r="A562" s="51">
        <v>5</v>
      </c>
      <c r="B562" s="13" t="s">
        <v>404</v>
      </c>
      <c r="C562" s="1" t="s">
        <v>173</v>
      </c>
      <c r="D562" s="1" t="s">
        <v>76</v>
      </c>
      <c r="E562" s="70">
        <v>2599.7958819801984</v>
      </c>
      <c r="F562">
        <f t="shared" si="329"/>
        <v>2599.7958819801984</v>
      </c>
      <c r="G562">
        <f t="shared" si="330"/>
        <v>0</v>
      </c>
      <c r="H562">
        <f t="shared" si="331"/>
        <v>0</v>
      </c>
      <c r="I562">
        <f t="shared" si="332"/>
        <v>0</v>
      </c>
      <c r="J562">
        <f t="shared" si="333"/>
        <v>0</v>
      </c>
      <c r="K562">
        <f t="shared" si="334"/>
        <v>0</v>
      </c>
      <c r="L562">
        <f t="shared" si="335"/>
        <v>0</v>
      </c>
      <c r="M562">
        <f t="shared" si="336"/>
        <v>0</v>
      </c>
      <c r="N562">
        <f t="shared" si="337"/>
        <v>0</v>
      </c>
      <c r="O562">
        <f t="shared" si="338"/>
        <v>0</v>
      </c>
      <c r="P562">
        <f t="shared" si="339"/>
        <v>0</v>
      </c>
      <c r="Q562">
        <f t="shared" si="340"/>
        <v>0</v>
      </c>
      <c r="S562">
        <f t="shared" si="341"/>
        <v>30</v>
      </c>
      <c r="T562">
        <f t="shared" si="342"/>
        <v>24</v>
      </c>
      <c r="U562">
        <f t="shared" si="343"/>
        <v>6</v>
      </c>
      <c r="V562">
        <f t="shared" si="344"/>
        <v>10</v>
      </c>
      <c r="W562">
        <f t="shared" si="345"/>
        <v>48</v>
      </c>
      <c r="X562">
        <f t="shared" si="346"/>
        <v>34</v>
      </c>
      <c r="Y562">
        <f t="shared" si="347"/>
        <v>8</v>
      </c>
      <c r="Z562">
        <f t="shared" si="348"/>
        <v>3</v>
      </c>
      <c r="AA562">
        <f t="shared" si="349"/>
        <v>4</v>
      </c>
      <c r="AB562">
        <f t="shared" si="350"/>
        <v>2</v>
      </c>
      <c r="AC562">
        <f t="shared" si="351"/>
        <v>64</v>
      </c>
      <c r="AD562">
        <f t="shared" si="352"/>
        <v>0</v>
      </c>
      <c r="AF562">
        <f t="shared" si="353"/>
        <v>0</v>
      </c>
      <c r="AG562">
        <f t="shared" si="354"/>
        <v>0</v>
      </c>
      <c r="AH562">
        <f t="shared" si="355"/>
        <v>0</v>
      </c>
      <c r="AI562">
        <f t="shared" si="356"/>
        <v>0</v>
      </c>
      <c r="AJ562">
        <f t="shared" si="357"/>
        <v>0</v>
      </c>
      <c r="AK562">
        <f t="shared" si="358"/>
        <v>0</v>
      </c>
      <c r="AL562">
        <f t="shared" si="359"/>
        <v>0</v>
      </c>
      <c r="AM562">
        <f t="shared" si="360"/>
        <v>0</v>
      </c>
      <c r="AN562">
        <f t="shared" si="361"/>
        <v>0</v>
      </c>
      <c r="AO562">
        <f t="shared" si="362"/>
        <v>0</v>
      </c>
      <c r="AP562">
        <f t="shared" si="363"/>
        <v>0</v>
      </c>
      <c r="AQ562">
        <f t="shared" si="364"/>
        <v>0</v>
      </c>
    </row>
    <row r="563" spans="1:43" ht="15.5" x14ac:dyDescent="0.35">
      <c r="A563" s="51">
        <v>6</v>
      </c>
      <c r="B563" s="13" t="s">
        <v>406</v>
      </c>
      <c r="C563" s="17" t="s">
        <v>175</v>
      </c>
      <c r="D563" s="17" t="s">
        <v>60</v>
      </c>
      <c r="E563" s="19">
        <v>2958.1796177082247</v>
      </c>
      <c r="F563">
        <f t="shared" si="329"/>
        <v>0</v>
      </c>
      <c r="G563">
        <f t="shared" si="330"/>
        <v>0</v>
      </c>
      <c r="H563">
        <f t="shared" si="331"/>
        <v>0</v>
      </c>
      <c r="I563">
        <f t="shared" si="332"/>
        <v>0</v>
      </c>
      <c r="J563">
        <f t="shared" si="333"/>
        <v>2958.1796177082247</v>
      </c>
      <c r="K563">
        <f t="shared" si="334"/>
        <v>0</v>
      </c>
      <c r="L563">
        <f t="shared" si="335"/>
        <v>0</v>
      </c>
      <c r="M563">
        <f t="shared" si="336"/>
        <v>0</v>
      </c>
      <c r="N563">
        <f t="shared" si="337"/>
        <v>0</v>
      </c>
      <c r="O563">
        <f t="shared" si="338"/>
        <v>0</v>
      </c>
      <c r="P563">
        <f t="shared" si="339"/>
        <v>0</v>
      </c>
      <c r="Q563">
        <f t="shared" si="340"/>
        <v>0</v>
      </c>
      <c r="S563">
        <f t="shared" si="341"/>
        <v>29</v>
      </c>
      <c r="T563">
        <f t="shared" si="342"/>
        <v>24</v>
      </c>
      <c r="U563">
        <f t="shared" si="343"/>
        <v>6</v>
      </c>
      <c r="V563">
        <f t="shared" si="344"/>
        <v>10</v>
      </c>
      <c r="W563">
        <f t="shared" si="345"/>
        <v>48</v>
      </c>
      <c r="X563">
        <f t="shared" si="346"/>
        <v>34</v>
      </c>
      <c r="Y563">
        <f t="shared" si="347"/>
        <v>8</v>
      </c>
      <c r="Z563">
        <f t="shared" si="348"/>
        <v>3</v>
      </c>
      <c r="AA563">
        <f t="shared" si="349"/>
        <v>4</v>
      </c>
      <c r="AB563">
        <f t="shared" si="350"/>
        <v>2</v>
      </c>
      <c r="AC563">
        <f t="shared" si="351"/>
        <v>64</v>
      </c>
      <c r="AD563">
        <f t="shared" si="352"/>
        <v>0</v>
      </c>
      <c r="AF563">
        <f t="shared" si="353"/>
        <v>0</v>
      </c>
      <c r="AG563">
        <f t="shared" si="354"/>
        <v>0</v>
      </c>
      <c r="AH563">
        <f t="shared" si="355"/>
        <v>0</v>
      </c>
      <c r="AI563">
        <f t="shared" si="356"/>
        <v>0</v>
      </c>
      <c r="AJ563">
        <f t="shared" si="357"/>
        <v>0</v>
      </c>
      <c r="AK563">
        <f t="shared" si="358"/>
        <v>0</v>
      </c>
      <c r="AL563">
        <f t="shared" si="359"/>
        <v>0</v>
      </c>
      <c r="AM563">
        <f t="shared" si="360"/>
        <v>0</v>
      </c>
      <c r="AN563">
        <f t="shared" si="361"/>
        <v>0</v>
      </c>
      <c r="AO563">
        <f t="shared" si="362"/>
        <v>0</v>
      </c>
      <c r="AP563">
        <f t="shared" si="363"/>
        <v>0</v>
      </c>
      <c r="AQ563">
        <f t="shared" si="364"/>
        <v>0</v>
      </c>
    </row>
    <row r="564" spans="1:43" ht="15.5" x14ac:dyDescent="0.35">
      <c r="A564" s="51">
        <v>7</v>
      </c>
      <c r="B564" s="13" t="s">
        <v>406</v>
      </c>
      <c r="C564" s="1" t="s">
        <v>177</v>
      </c>
      <c r="D564" s="1" t="s">
        <v>54</v>
      </c>
      <c r="E564" s="19">
        <v>3183.8675483670295</v>
      </c>
      <c r="F564">
        <f t="shared" si="329"/>
        <v>0</v>
      </c>
      <c r="G564">
        <f t="shared" si="330"/>
        <v>0</v>
      </c>
      <c r="H564">
        <f t="shared" si="331"/>
        <v>0</v>
      </c>
      <c r="I564">
        <f t="shared" si="332"/>
        <v>0</v>
      </c>
      <c r="J564">
        <f t="shared" si="333"/>
        <v>0</v>
      </c>
      <c r="K564">
        <f t="shared" si="334"/>
        <v>3183.8675483670295</v>
      </c>
      <c r="L564">
        <f t="shared" si="335"/>
        <v>0</v>
      </c>
      <c r="M564">
        <f t="shared" si="336"/>
        <v>0</v>
      </c>
      <c r="N564">
        <f t="shared" si="337"/>
        <v>0</v>
      </c>
      <c r="O564">
        <f t="shared" si="338"/>
        <v>0</v>
      </c>
      <c r="P564">
        <f t="shared" si="339"/>
        <v>0</v>
      </c>
      <c r="Q564">
        <f t="shared" si="340"/>
        <v>0</v>
      </c>
      <c r="S564">
        <f t="shared" si="341"/>
        <v>29</v>
      </c>
      <c r="T564">
        <f t="shared" si="342"/>
        <v>24</v>
      </c>
      <c r="U564">
        <f t="shared" si="343"/>
        <v>6</v>
      </c>
      <c r="V564">
        <f t="shared" si="344"/>
        <v>10</v>
      </c>
      <c r="W564">
        <f t="shared" si="345"/>
        <v>47</v>
      </c>
      <c r="X564">
        <f t="shared" si="346"/>
        <v>34</v>
      </c>
      <c r="Y564">
        <f t="shared" si="347"/>
        <v>8</v>
      </c>
      <c r="Z564">
        <f t="shared" si="348"/>
        <v>3</v>
      </c>
      <c r="AA564">
        <f t="shared" si="349"/>
        <v>4</v>
      </c>
      <c r="AB564">
        <f t="shared" si="350"/>
        <v>2</v>
      </c>
      <c r="AC564">
        <f t="shared" si="351"/>
        <v>64</v>
      </c>
      <c r="AD564">
        <f t="shared" si="352"/>
        <v>0</v>
      </c>
      <c r="AF564">
        <f t="shared" si="353"/>
        <v>0</v>
      </c>
      <c r="AG564">
        <f t="shared" si="354"/>
        <v>0</v>
      </c>
      <c r="AH564">
        <f t="shared" si="355"/>
        <v>0</v>
      </c>
      <c r="AI564">
        <f t="shared" si="356"/>
        <v>0</v>
      </c>
      <c r="AJ564">
        <f t="shared" si="357"/>
        <v>0</v>
      </c>
      <c r="AK564">
        <f t="shared" si="358"/>
        <v>0</v>
      </c>
      <c r="AL564">
        <f t="shared" si="359"/>
        <v>0</v>
      </c>
      <c r="AM564">
        <f t="shared" si="360"/>
        <v>0</v>
      </c>
      <c r="AN564">
        <f t="shared" si="361"/>
        <v>0</v>
      </c>
      <c r="AO564">
        <f t="shared" si="362"/>
        <v>0</v>
      </c>
      <c r="AP564">
        <f t="shared" si="363"/>
        <v>0</v>
      </c>
      <c r="AQ564">
        <f t="shared" si="364"/>
        <v>0</v>
      </c>
    </row>
    <row r="565" spans="1:43" ht="15.5" x14ac:dyDescent="0.35">
      <c r="A565" s="51">
        <v>8</v>
      </c>
      <c r="B565" s="13" t="s">
        <v>406</v>
      </c>
      <c r="C565" s="1" t="s">
        <v>178</v>
      </c>
      <c r="D565" s="1" t="s">
        <v>228</v>
      </c>
      <c r="E565" s="19">
        <v>3364.99314652568</v>
      </c>
      <c r="F565">
        <f t="shared" si="329"/>
        <v>0</v>
      </c>
      <c r="G565">
        <f t="shared" si="330"/>
        <v>0</v>
      </c>
      <c r="H565">
        <f t="shared" si="331"/>
        <v>0</v>
      </c>
      <c r="I565">
        <f t="shared" si="332"/>
        <v>0</v>
      </c>
      <c r="J565">
        <f t="shared" si="333"/>
        <v>0</v>
      </c>
      <c r="K565">
        <f t="shared" si="334"/>
        <v>0</v>
      </c>
      <c r="L565">
        <f t="shared" si="335"/>
        <v>0</v>
      </c>
      <c r="M565">
        <f t="shared" si="336"/>
        <v>0</v>
      </c>
      <c r="N565">
        <f t="shared" si="337"/>
        <v>0</v>
      </c>
      <c r="O565">
        <f t="shared" si="338"/>
        <v>0</v>
      </c>
      <c r="P565">
        <f t="shared" si="339"/>
        <v>3364.99314652568</v>
      </c>
      <c r="Q565">
        <f t="shared" si="340"/>
        <v>0</v>
      </c>
      <c r="S565">
        <f t="shared" si="341"/>
        <v>29</v>
      </c>
      <c r="T565">
        <f t="shared" si="342"/>
        <v>24</v>
      </c>
      <c r="U565">
        <f t="shared" si="343"/>
        <v>6</v>
      </c>
      <c r="V565">
        <f t="shared" si="344"/>
        <v>10</v>
      </c>
      <c r="W565">
        <f t="shared" si="345"/>
        <v>47</v>
      </c>
      <c r="X565">
        <f t="shared" si="346"/>
        <v>33</v>
      </c>
      <c r="Y565">
        <f t="shared" si="347"/>
        <v>8</v>
      </c>
      <c r="Z565">
        <f t="shared" si="348"/>
        <v>3</v>
      </c>
      <c r="AA565">
        <f t="shared" si="349"/>
        <v>4</v>
      </c>
      <c r="AB565">
        <f t="shared" si="350"/>
        <v>2</v>
      </c>
      <c r="AC565">
        <f t="shared" si="351"/>
        <v>64</v>
      </c>
      <c r="AD565">
        <f t="shared" si="352"/>
        <v>0</v>
      </c>
      <c r="AF565">
        <f t="shared" si="353"/>
        <v>0</v>
      </c>
      <c r="AG565">
        <f t="shared" si="354"/>
        <v>0</v>
      </c>
      <c r="AH565">
        <f t="shared" si="355"/>
        <v>0</v>
      </c>
      <c r="AI565">
        <f t="shared" si="356"/>
        <v>0</v>
      </c>
      <c r="AJ565">
        <f t="shared" si="357"/>
        <v>0</v>
      </c>
      <c r="AK565">
        <f t="shared" si="358"/>
        <v>0</v>
      </c>
      <c r="AL565">
        <f t="shared" si="359"/>
        <v>0</v>
      </c>
      <c r="AM565">
        <f t="shared" si="360"/>
        <v>0</v>
      </c>
      <c r="AN565">
        <f t="shared" si="361"/>
        <v>0</v>
      </c>
      <c r="AO565">
        <f t="shared" si="362"/>
        <v>0</v>
      </c>
      <c r="AP565">
        <f t="shared" si="363"/>
        <v>0</v>
      </c>
      <c r="AQ565">
        <f t="shared" si="364"/>
        <v>0</v>
      </c>
    </row>
    <row r="566" spans="1:43" ht="15.5" x14ac:dyDescent="0.35">
      <c r="A566" s="51">
        <v>9</v>
      </c>
      <c r="B566" s="13" t="s">
        <v>407</v>
      </c>
      <c r="C566" s="1" t="s">
        <v>408</v>
      </c>
      <c r="D566" s="1" t="s">
        <v>60</v>
      </c>
      <c r="E566" s="19">
        <v>3383.8542693384484</v>
      </c>
      <c r="F566">
        <f t="shared" si="329"/>
        <v>0</v>
      </c>
      <c r="G566">
        <f t="shared" si="330"/>
        <v>0</v>
      </c>
      <c r="H566">
        <f t="shared" si="331"/>
        <v>0</v>
      </c>
      <c r="I566">
        <f t="shared" si="332"/>
        <v>0</v>
      </c>
      <c r="J566">
        <f t="shared" si="333"/>
        <v>3383.8542693384484</v>
      </c>
      <c r="K566">
        <f t="shared" si="334"/>
        <v>0</v>
      </c>
      <c r="L566">
        <f t="shared" si="335"/>
        <v>0</v>
      </c>
      <c r="M566">
        <f t="shared" si="336"/>
        <v>0</v>
      </c>
      <c r="N566">
        <f t="shared" si="337"/>
        <v>0</v>
      </c>
      <c r="O566">
        <f t="shared" si="338"/>
        <v>0</v>
      </c>
      <c r="P566">
        <f t="shared" si="339"/>
        <v>0</v>
      </c>
      <c r="Q566">
        <f t="shared" si="340"/>
        <v>0</v>
      </c>
      <c r="S566">
        <f t="shared" si="341"/>
        <v>29</v>
      </c>
      <c r="T566">
        <f t="shared" si="342"/>
        <v>24</v>
      </c>
      <c r="U566">
        <f t="shared" si="343"/>
        <v>6</v>
      </c>
      <c r="V566">
        <f t="shared" si="344"/>
        <v>10</v>
      </c>
      <c r="W566">
        <f t="shared" si="345"/>
        <v>47</v>
      </c>
      <c r="X566">
        <f t="shared" si="346"/>
        <v>33</v>
      </c>
      <c r="Y566">
        <f t="shared" si="347"/>
        <v>8</v>
      </c>
      <c r="Z566">
        <f t="shared" si="348"/>
        <v>3</v>
      </c>
      <c r="AA566">
        <f t="shared" si="349"/>
        <v>4</v>
      </c>
      <c r="AB566">
        <f t="shared" si="350"/>
        <v>2</v>
      </c>
      <c r="AC566">
        <f t="shared" si="351"/>
        <v>63</v>
      </c>
      <c r="AD566">
        <f t="shared" si="352"/>
        <v>0</v>
      </c>
      <c r="AF566">
        <f t="shared" si="353"/>
        <v>0</v>
      </c>
      <c r="AG566">
        <f t="shared" si="354"/>
        <v>0</v>
      </c>
      <c r="AH566">
        <f t="shared" si="355"/>
        <v>0</v>
      </c>
      <c r="AI566">
        <f t="shared" si="356"/>
        <v>0</v>
      </c>
      <c r="AJ566">
        <f t="shared" si="357"/>
        <v>0</v>
      </c>
      <c r="AK566">
        <f t="shared" si="358"/>
        <v>0</v>
      </c>
      <c r="AL566">
        <f t="shared" si="359"/>
        <v>0</v>
      </c>
      <c r="AM566">
        <f t="shared" si="360"/>
        <v>0</v>
      </c>
      <c r="AN566">
        <f t="shared" si="361"/>
        <v>0</v>
      </c>
      <c r="AO566">
        <f t="shared" si="362"/>
        <v>0</v>
      </c>
      <c r="AP566">
        <f t="shared" si="363"/>
        <v>0</v>
      </c>
      <c r="AQ566">
        <f t="shared" si="364"/>
        <v>0</v>
      </c>
    </row>
    <row r="567" spans="1:43" ht="15.5" x14ac:dyDescent="0.35">
      <c r="A567" s="51">
        <v>10</v>
      </c>
      <c r="B567" s="13" t="s">
        <v>407</v>
      </c>
      <c r="C567" s="1" t="s">
        <v>181</v>
      </c>
      <c r="D567" s="1" t="s">
        <v>228</v>
      </c>
      <c r="E567" s="19">
        <v>3132.7675263430287</v>
      </c>
      <c r="F567">
        <f t="shared" si="329"/>
        <v>0</v>
      </c>
      <c r="G567">
        <f t="shared" si="330"/>
        <v>0</v>
      </c>
      <c r="H567">
        <f t="shared" si="331"/>
        <v>0</v>
      </c>
      <c r="I567">
        <f t="shared" si="332"/>
        <v>0</v>
      </c>
      <c r="J567">
        <f t="shared" si="333"/>
        <v>0</v>
      </c>
      <c r="K567">
        <f t="shared" si="334"/>
        <v>0</v>
      </c>
      <c r="L567">
        <f t="shared" si="335"/>
        <v>0</v>
      </c>
      <c r="M567">
        <f t="shared" si="336"/>
        <v>0</v>
      </c>
      <c r="N567">
        <f t="shared" si="337"/>
        <v>0</v>
      </c>
      <c r="O567">
        <f t="shared" si="338"/>
        <v>0</v>
      </c>
      <c r="P567">
        <f t="shared" si="339"/>
        <v>3132.7675263430287</v>
      </c>
      <c r="Q567">
        <f t="shared" si="340"/>
        <v>0</v>
      </c>
      <c r="S567">
        <f t="shared" si="341"/>
        <v>29</v>
      </c>
      <c r="T567">
        <f t="shared" si="342"/>
        <v>24</v>
      </c>
      <c r="U567">
        <f t="shared" si="343"/>
        <v>6</v>
      </c>
      <c r="V567">
        <f t="shared" si="344"/>
        <v>10</v>
      </c>
      <c r="W567">
        <f t="shared" si="345"/>
        <v>46</v>
      </c>
      <c r="X567">
        <f t="shared" si="346"/>
        <v>33</v>
      </c>
      <c r="Y567">
        <f t="shared" si="347"/>
        <v>8</v>
      </c>
      <c r="Z567">
        <f t="shared" si="348"/>
        <v>3</v>
      </c>
      <c r="AA567">
        <f t="shared" si="349"/>
        <v>4</v>
      </c>
      <c r="AB567">
        <f t="shared" si="350"/>
        <v>2</v>
      </c>
      <c r="AC567">
        <f t="shared" si="351"/>
        <v>63</v>
      </c>
      <c r="AD567">
        <f t="shared" si="352"/>
        <v>0</v>
      </c>
      <c r="AF567">
        <f t="shared" si="353"/>
        <v>0</v>
      </c>
      <c r="AG567">
        <f t="shared" si="354"/>
        <v>0</v>
      </c>
      <c r="AH567">
        <f t="shared" si="355"/>
        <v>0</v>
      </c>
      <c r="AI567">
        <f t="shared" si="356"/>
        <v>0</v>
      </c>
      <c r="AJ567">
        <f t="shared" si="357"/>
        <v>0</v>
      </c>
      <c r="AK567">
        <f t="shared" si="358"/>
        <v>0</v>
      </c>
      <c r="AL567">
        <f t="shared" si="359"/>
        <v>0</v>
      </c>
      <c r="AM567">
        <f t="shared" si="360"/>
        <v>0</v>
      </c>
      <c r="AN567">
        <f t="shared" si="361"/>
        <v>0</v>
      </c>
      <c r="AO567">
        <f t="shared" si="362"/>
        <v>0</v>
      </c>
      <c r="AP567">
        <f t="shared" si="363"/>
        <v>0</v>
      </c>
      <c r="AQ567">
        <f t="shared" si="364"/>
        <v>0</v>
      </c>
    </row>
    <row r="568" spans="1:43" ht="15.5" x14ac:dyDescent="0.35">
      <c r="A568" s="51">
        <v>11</v>
      </c>
      <c r="B568" s="13" t="s">
        <v>407</v>
      </c>
      <c r="C568" s="17" t="s">
        <v>183</v>
      </c>
      <c r="D568" s="17" t="s">
        <v>54</v>
      </c>
      <c r="E568" s="19">
        <v>3156.1427248369396</v>
      </c>
      <c r="F568">
        <f t="shared" si="329"/>
        <v>0</v>
      </c>
      <c r="G568">
        <f t="shared" si="330"/>
        <v>0</v>
      </c>
      <c r="H568">
        <f t="shared" si="331"/>
        <v>0</v>
      </c>
      <c r="I568">
        <f t="shared" si="332"/>
        <v>0</v>
      </c>
      <c r="J568">
        <f t="shared" si="333"/>
        <v>0</v>
      </c>
      <c r="K568">
        <f t="shared" si="334"/>
        <v>3156.1427248369396</v>
      </c>
      <c r="L568">
        <f t="shared" si="335"/>
        <v>0</v>
      </c>
      <c r="M568">
        <f t="shared" si="336"/>
        <v>0</v>
      </c>
      <c r="N568">
        <f t="shared" si="337"/>
        <v>0</v>
      </c>
      <c r="O568">
        <f t="shared" si="338"/>
        <v>0</v>
      </c>
      <c r="P568">
        <f t="shared" si="339"/>
        <v>0</v>
      </c>
      <c r="Q568">
        <f t="shared" si="340"/>
        <v>0</v>
      </c>
      <c r="S568">
        <f t="shared" si="341"/>
        <v>29</v>
      </c>
      <c r="T568">
        <f t="shared" si="342"/>
        <v>24</v>
      </c>
      <c r="U568">
        <f t="shared" si="343"/>
        <v>6</v>
      </c>
      <c r="V568">
        <f t="shared" si="344"/>
        <v>10</v>
      </c>
      <c r="W568">
        <f t="shared" si="345"/>
        <v>46</v>
      </c>
      <c r="X568">
        <f t="shared" si="346"/>
        <v>33</v>
      </c>
      <c r="Y568">
        <f t="shared" si="347"/>
        <v>8</v>
      </c>
      <c r="Z568">
        <f t="shared" si="348"/>
        <v>3</v>
      </c>
      <c r="AA568">
        <f t="shared" si="349"/>
        <v>4</v>
      </c>
      <c r="AB568">
        <f t="shared" si="350"/>
        <v>2</v>
      </c>
      <c r="AC568">
        <f t="shared" si="351"/>
        <v>62</v>
      </c>
      <c r="AD568">
        <f t="shared" si="352"/>
        <v>0</v>
      </c>
      <c r="AF568">
        <f t="shared" si="353"/>
        <v>0</v>
      </c>
      <c r="AG568">
        <f t="shared" si="354"/>
        <v>0</v>
      </c>
      <c r="AH568">
        <f t="shared" si="355"/>
        <v>0</v>
      </c>
      <c r="AI568">
        <f t="shared" si="356"/>
        <v>0</v>
      </c>
      <c r="AJ568">
        <f t="shared" si="357"/>
        <v>0</v>
      </c>
      <c r="AK568">
        <f t="shared" si="358"/>
        <v>0</v>
      </c>
      <c r="AL568">
        <f t="shared" si="359"/>
        <v>0</v>
      </c>
      <c r="AM568">
        <f t="shared" si="360"/>
        <v>0</v>
      </c>
      <c r="AN568">
        <f t="shared" si="361"/>
        <v>0</v>
      </c>
      <c r="AO568">
        <f t="shared" si="362"/>
        <v>0</v>
      </c>
      <c r="AP568">
        <f t="shared" si="363"/>
        <v>0</v>
      </c>
      <c r="AQ568">
        <f t="shared" si="364"/>
        <v>0</v>
      </c>
    </row>
    <row r="569" spans="1:43" ht="15.5" x14ac:dyDescent="0.35">
      <c r="A569" s="51">
        <v>12</v>
      </c>
      <c r="B569" s="13" t="s">
        <v>407</v>
      </c>
      <c r="C569" s="1" t="s">
        <v>56</v>
      </c>
      <c r="D569" s="1" t="s">
        <v>76</v>
      </c>
      <c r="E569" s="19">
        <v>3019.6104786002693</v>
      </c>
      <c r="F569">
        <f t="shared" si="329"/>
        <v>3019.6104786002693</v>
      </c>
      <c r="G569">
        <f t="shared" si="330"/>
        <v>0</v>
      </c>
      <c r="H569">
        <f t="shared" si="331"/>
        <v>0</v>
      </c>
      <c r="I569">
        <f t="shared" si="332"/>
        <v>0</v>
      </c>
      <c r="J569">
        <f t="shared" si="333"/>
        <v>0</v>
      </c>
      <c r="K569">
        <f t="shared" si="334"/>
        <v>0</v>
      </c>
      <c r="L569">
        <f t="shared" si="335"/>
        <v>0</v>
      </c>
      <c r="M569">
        <f t="shared" si="336"/>
        <v>0</v>
      </c>
      <c r="N569">
        <f t="shared" si="337"/>
        <v>0</v>
      </c>
      <c r="O569">
        <f t="shared" si="338"/>
        <v>0</v>
      </c>
      <c r="P569">
        <f t="shared" si="339"/>
        <v>0</v>
      </c>
      <c r="Q569">
        <f t="shared" si="340"/>
        <v>0</v>
      </c>
      <c r="S569">
        <f t="shared" si="341"/>
        <v>29</v>
      </c>
      <c r="T569">
        <f t="shared" si="342"/>
        <v>24</v>
      </c>
      <c r="U569">
        <f t="shared" si="343"/>
        <v>6</v>
      </c>
      <c r="V569">
        <f t="shared" si="344"/>
        <v>10</v>
      </c>
      <c r="W569">
        <f t="shared" si="345"/>
        <v>46</v>
      </c>
      <c r="X569">
        <f t="shared" si="346"/>
        <v>32</v>
      </c>
      <c r="Y569">
        <f t="shared" si="347"/>
        <v>8</v>
      </c>
      <c r="Z569">
        <f t="shared" si="348"/>
        <v>3</v>
      </c>
      <c r="AA569">
        <f t="shared" si="349"/>
        <v>4</v>
      </c>
      <c r="AB569">
        <f t="shared" si="350"/>
        <v>2</v>
      </c>
      <c r="AC569">
        <f t="shared" si="351"/>
        <v>62</v>
      </c>
      <c r="AD569">
        <f t="shared" si="352"/>
        <v>0</v>
      </c>
      <c r="AF569">
        <f t="shared" si="353"/>
        <v>0</v>
      </c>
      <c r="AG569">
        <f t="shared" si="354"/>
        <v>0</v>
      </c>
      <c r="AH569">
        <f t="shared" si="355"/>
        <v>0</v>
      </c>
      <c r="AI569">
        <f t="shared" si="356"/>
        <v>0</v>
      </c>
      <c r="AJ569">
        <f t="shared" si="357"/>
        <v>0</v>
      </c>
      <c r="AK569">
        <f t="shared" si="358"/>
        <v>0</v>
      </c>
      <c r="AL569">
        <f t="shared" si="359"/>
        <v>0</v>
      </c>
      <c r="AM569">
        <f t="shared" si="360"/>
        <v>0</v>
      </c>
      <c r="AN569">
        <f t="shared" si="361"/>
        <v>0</v>
      </c>
      <c r="AO569">
        <f t="shared" si="362"/>
        <v>0</v>
      </c>
      <c r="AP569">
        <f t="shared" si="363"/>
        <v>0</v>
      </c>
      <c r="AQ569">
        <f t="shared" si="364"/>
        <v>0</v>
      </c>
    </row>
    <row r="570" spans="1:43" ht="15.5" x14ac:dyDescent="0.35">
      <c r="A570" s="51">
        <v>13</v>
      </c>
      <c r="B570" s="13" t="s">
        <v>409</v>
      </c>
      <c r="C570" s="1" t="s">
        <v>310</v>
      </c>
      <c r="D570" s="1" t="s">
        <v>54</v>
      </c>
      <c r="E570" s="19">
        <v>3132.4143544951448</v>
      </c>
      <c r="F570">
        <f t="shared" si="329"/>
        <v>0</v>
      </c>
      <c r="G570">
        <f t="shared" si="330"/>
        <v>0</v>
      </c>
      <c r="H570">
        <f t="shared" si="331"/>
        <v>0</v>
      </c>
      <c r="I570">
        <f t="shared" si="332"/>
        <v>0</v>
      </c>
      <c r="J570">
        <f t="shared" si="333"/>
        <v>0</v>
      </c>
      <c r="K570">
        <f t="shared" si="334"/>
        <v>3132.4143544951448</v>
      </c>
      <c r="L570">
        <f t="shared" si="335"/>
        <v>0</v>
      </c>
      <c r="M570">
        <f t="shared" si="336"/>
        <v>0</v>
      </c>
      <c r="N570">
        <f t="shared" si="337"/>
        <v>0</v>
      </c>
      <c r="O570">
        <f t="shared" si="338"/>
        <v>0</v>
      </c>
      <c r="P570">
        <f t="shared" si="339"/>
        <v>0</v>
      </c>
      <c r="Q570">
        <f t="shared" si="340"/>
        <v>0</v>
      </c>
      <c r="S570">
        <f t="shared" si="341"/>
        <v>28</v>
      </c>
      <c r="T570">
        <f t="shared" si="342"/>
        <v>24</v>
      </c>
      <c r="U570">
        <f t="shared" si="343"/>
        <v>6</v>
      </c>
      <c r="V570">
        <f t="shared" si="344"/>
        <v>10</v>
      </c>
      <c r="W570">
        <f t="shared" si="345"/>
        <v>46</v>
      </c>
      <c r="X570">
        <f t="shared" si="346"/>
        <v>32</v>
      </c>
      <c r="Y570">
        <f t="shared" si="347"/>
        <v>8</v>
      </c>
      <c r="Z570">
        <f t="shared" si="348"/>
        <v>3</v>
      </c>
      <c r="AA570">
        <f t="shared" si="349"/>
        <v>4</v>
      </c>
      <c r="AB570">
        <f t="shared" si="350"/>
        <v>2</v>
      </c>
      <c r="AC570">
        <f t="shared" si="351"/>
        <v>62</v>
      </c>
      <c r="AD570">
        <f t="shared" si="352"/>
        <v>0</v>
      </c>
      <c r="AF570">
        <f t="shared" si="353"/>
        <v>0</v>
      </c>
      <c r="AG570">
        <f t="shared" si="354"/>
        <v>0</v>
      </c>
      <c r="AH570">
        <f t="shared" si="355"/>
        <v>0</v>
      </c>
      <c r="AI570">
        <f t="shared" si="356"/>
        <v>0</v>
      </c>
      <c r="AJ570">
        <f t="shared" si="357"/>
        <v>0</v>
      </c>
      <c r="AK570">
        <f t="shared" si="358"/>
        <v>0</v>
      </c>
      <c r="AL570">
        <f t="shared" si="359"/>
        <v>0</v>
      </c>
      <c r="AM570">
        <f t="shared" si="360"/>
        <v>0</v>
      </c>
      <c r="AN570">
        <f t="shared" si="361"/>
        <v>0</v>
      </c>
      <c r="AO570">
        <f t="shared" si="362"/>
        <v>0</v>
      </c>
      <c r="AP570">
        <f t="shared" si="363"/>
        <v>0</v>
      </c>
      <c r="AQ570">
        <f t="shared" si="364"/>
        <v>0</v>
      </c>
    </row>
    <row r="571" spans="1:43" ht="15.5" x14ac:dyDescent="0.35">
      <c r="A571" s="51">
        <v>14</v>
      </c>
      <c r="B571" s="13" t="s">
        <v>409</v>
      </c>
      <c r="C571" s="1" t="s">
        <v>58</v>
      </c>
      <c r="D571" s="1" t="s">
        <v>54</v>
      </c>
      <c r="E571" s="19">
        <v>3391.0782263910969</v>
      </c>
      <c r="F571">
        <f t="shared" si="329"/>
        <v>0</v>
      </c>
      <c r="G571">
        <f t="shared" si="330"/>
        <v>0</v>
      </c>
      <c r="H571">
        <f t="shared" si="331"/>
        <v>0</v>
      </c>
      <c r="I571">
        <f t="shared" si="332"/>
        <v>0</v>
      </c>
      <c r="J571">
        <f t="shared" si="333"/>
        <v>0</v>
      </c>
      <c r="K571">
        <f t="shared" si="334"/>
        <v>3391.0782263910969</v>
      </c>
      <c r="L571">
        <f t="shared" si="335"/>
        <v>0</v>
      </c>
      <c r="M571">
        <f t="shared" si="336"/>
        <v>0</v>
      </c>
      <c r="N571">
        <f t="shared" si="337"/>
        <v>0</v>
      </c>
      <c r="O571">
        <f t="shared" si="338"/>
        <v>0</v>
      </c>
      <c r="P571">
        <f t="shared" si="339"/>
        <v>0</v>
      </c>
      <c r="Q571">
        <f t="shared" si="340"/>
        <v>0</v>
      </c>
      <c r="S571">
        <f t="shared" si="341"/>
        <v>28</v>
      </c>
      <c r="T571">
        <f t="shared" si="342"/>
        <v>24</v>
      </c>
      <c r="U571">
        <f t="shared" si="343"/>
        <v>6</v>
      </c>
      <c r="V571">
        <f t="shared" si="344"/>
        <v>10</v>
      </c>
      <c r="W571">
        <f t="shared" si="345"/>
        <v>46</v>
      </c>
      <c r="X571">
        <f t="shared" si="346"/>
        <v>31</v>
      </c>
      <c r="Y571">
        <f t="shared" si="347"/>
        <v>8</v>
      </c>
      <c r="Z571">
        <f t="shared" si="348"/>
        <v>3</v>
      </c>
      <c r="AA571">
        <f t="shared" si="349"/>
        <v>4</v>
      </c>
      <c r="AB571">
        <f t="shared" si="350"/>
        <v>2</v>
      </c>
      <c r="AC571">
        <f t="shared" si="351"/>
        <v>62</v>
      </c>
      <c r="AD571">
        <f t="shared" si="352"/>
        <v>0</v>
      </c>
      <c r="AF571">
        <f t="shared" si="353"/>
        <v>0</v>
      </c>
      <c r="AG571">
        <f t="shared" si="354"/>
        <v>0</v>
      </c>
      <c r="AH571">
        <f t="shared" si="355"/>
        <v>0</v>
      </c>
      <c r="AI571">
        <f t="shared" si="356"/>
        <v>0</v>
      </c>
      <c r="AJ571">
        <f t="shared" si="357"/>
        <v>0</v>
      </c>
      <c r="AK571">
        <f t="shared" si="358"/>
        <v>0</v>
      </c>
      <c r="AL571">
        <f t="shared" si="359"/>
        <v>0</v>
      </c>
      <c r="AM571">
        <f t="shared" si="360"/>
        <v>0</v>
      </c>
      <c r="AN571">
        <f t="shared" si="361"/>
        <v>0</v>
      </c>
      <c r="AO571">
        <f t="shared" si="362"/>
        <v>0</v>
      </c>
      <c r="AP571">
        <f t="shared" si="363"/>
        <v>0</v>
      </c>
      <c r="AQ571">
        <f t="shared" si="364"/>
        <v>0</v>
      </c>
    </row>
    <row r="572" spans="1:43" ht="15.5" x14ac:dyDescent="0.35">
      <c r="A572" s="51">
        <v>15</v>
      </c>
      <c r="B572" s="13" t="s">
        <v>409</v>
      </c>
      <c r="C572" s="17" t="s">
        <v>61</v>
      </c>
      <c r="D572" s="1" t="s">
        <v>228</v>
      </c>
      <c r="E572" s="19">
        <v>3402.8554662259867</v>
      </c>
      <c r="F572">
        <f t="shared" si="329"/>
        <v>0</v>
      </c>
      <c r="G572">
        <f t="shared" si="330"/>
        <v>0</v>
      </c>
      <c r="H572">
        <f t="shared" si="331"/>
        <v>0</v>
      </c>
      <c r="I572">
        <f t="shared" si="332"/>
        <v>0</v>
      </c>
      <c r="J572">
        <f t="shared" si="333"/>
        <v>0</v>
      </c>
      <c r="K572">
        <f t="shared" si="334"/>
        <v>0</v>
      </c>
      <c r="L572">
        <f t="shared" si="335"/>
        <v>0</v>
      </c>
      <c r="M572">
        <f t="shared" si="336"/>
        <v>0</v>
      </c>
      <c r="N572">
        <f t="shared" si="337"/>
        <v>0</v>
      </c>
      <c r="O572">
        <f t="shared" si="338"/>
        <v>0</v>
      </c>
      <c r="P572">
        <f t="shared" si="339"/>
        <v>3402.8554662259867</v>
      </c>
      <c r="Q572">
        <f t="shared" si="340"/>
        <v>0</v>
      </c>
      <c r="S572">
        <f t="shared" si="341"/>
        <v>28</v>
      </c>
      <c r="T572">
        <f t="shared" si="342"/>
        <v>24</v>
      </c>
      <c r="U572">
        <f t="shared" si="343"/>
        <v>6</v>
      </c>
      <c r="V572">
        <f t="shared" si="344"/>
        <v>10</v>
      </c>
      <c r="W572">
        <f t="shared" si="345"/>
        <v>46</v>
      </c>
      <c r="X572">
        <f t="shared" si="346"/>
        <v>30</v>
      </c>
      <c r="Y572">
        <f t="shared" si="347"/>
        <v>8</v>
      </c>
      <c r="Z572">
        <f t="shared" si="348"/>
        <v>3</v>
      </c>
      <c r="AA572">
        <f t="shared" si="349"/>
        <v>4</v>
      </c>
      <c r="AB572">
        <f t="shared" si="350"/>
        <v>2</v>
      </c>
      <c r="AC572">
        <f t="shared" si="351"/>
        <v>62</v>
      </c>
      <c r="AD572">
        <f t="shared" si="352"/>
        <v>0</v>
      </c>
      <c r="AF572">
        <f t="shared" si="353"/>
        <v>0</v>
      </c>
      <c r="AG572">
        <f t="shared" si="354"/>
        <v>0</v>
      </c>
      <c r="AH572">
        <f t="shared" si="355"/>
        <v>0</v>
      </c>
      <c r="AI572">
        <f t="shared" si="356"/>
        <v>0</v>
      </c>
      <c r="AJ572">
        <f t="shared" si="357"/>
        <v>0</v>
      </c>
      <c r="AK572">
        <f t="shared" si="358"/>
        <v>0</v>
      </c>
      <c r="AL572">
        <f t="shared" si="359"/>
        <v>0</v>
      </c>
      <c r="AM572">
        <f t="shared" si="360"/>
        <v>0</v>
      </c>
      <c r="AN572">
        <f t="shared" si="361"/>
        <v>0</v>
      </c>
      <c r="AO572">
        <f t="shared" si="362"/>
        <v>0</v>
      </c>
      <c r="AP572">
        <f t="shared" si="363"/>
        <v>0</v>
      </c>
      <c r="AQ572">
        <f t="shared" si="364"/>
        <v>0</v>
      </c>
    </row>
    <row r="573" spans="1:43" ht="15.5" x14ac:dyDescent="0.35">
      <c r="A573" s="51">
        <v>16</v>
      </c>
      <c r="B573" s="13" t="s">
        <v>409</v>
      </c>
      <c r="C573" s="1" t="s">
        <v>59</v>
      </c>
      <c r="D573" s="1" t="s">
        <v>76</v>
      </c>
      <c r="E573" s="19">
        <v>3065.531348166563</v>
      </c>
      <c r="F573">
        <f t="shared" si="329"/>
        <v>3065.531348166563</v>
      </c>
      <c r="G573">
        <f t="shared" si="330"/>
        <v>0</v>
      </c>
      <c r="H573">
        <f t="shared" si="331"/>
        <v>0</v>
      </c>
      <c r="I573">
        <f t="shared" si="332"/>
        <v>0</v>
      </c>
      <c r="J573">
        <f t="shared" si="333"/>
        <v>0</v>
      </c>
      <c r="K573">
        <f t="shared" si="334"/>
        <v>0</v>
      </c>
      <c r="L573">
        <f t="shared" si="335"/>
        <v>0</v>
      </c>
      <c r="M573">
        <f t="shared" si="336"/>
        <v>0</v>
      </c>
      <c r="N573">
        <f t="shared" si="337"/>
        <v>0</v>
      </c>
      <c r="O573">
        <f t="shared" si="338"/>
        <v>0</v>
      </c>
      <c r="P573">
        <f t="shared" si="339"/>
        <v>0</v>
      </c>
      <c r="Q573">
        <f t="shared" si="340"/>
        <v>0</v>
      </c>
      <c r="S573">
        <f t="shared" si="341"/>
        <v>28</v>
      </c>
      <c r="T573">
        <f t="shared" si="342"/>
        <v>24</v>
      </c>
      <c r="U573">
        <f t="shared" si="343"/>
        <v>6</v>
      </c>
      <c r="V573">
        <f t="shared" si="344"/>
        <v>10</v>
      </c>
      <c r="W573">
        <f t="shared" si="345"/>
        <v>46</v>
      </c>
      <c r="X573">
        <f t="shared" si="346"/>
        <v>30</v>
      </c>
      <c r="Y573">
        <f t="shared" si="347"/>
        <v>8</v>
      </c>
      <c r="Z573">
        <f t="shared" si="348"/>
        <v>3</v>
      </c>
      <c r="AA573">
        <f t="shared" si="349"/>
        <v>4</v>
      </c>
      <c r="AB573">
        <f t="shared" si="350"/>
        <v>2</v>
      </c>
      <c r="AC573">
        <f t="shared" si="351"/>
        <v>61</v>
      </c>
      <c r="AD573">
        <f t="shared" si="352"/>
        <v>0</v>
      </c>
      <c r="AF573">
        <f t="shared" si="353"/>
        <v>0</v>
      </c>
      <c r="AG573">
        <f t="shared" si="354"/>
        <v>0</v>
      </c>
      <c r="AH573">
        <f t="shared" si="355"/>
        <v>0</v>
      </c>
      <c r="AI573">
        <f t="shared" si="356"/>
        <v>0</v>
      </c>
      <c r="AJ573">
        <f t="shared" si="357"/>
        <v>0</v>
      </c>
      <c r="AK573">
        <f t="shared" si="358"/>
        <v>0</v>
      </c>
      <c r="AL573">
        <f t="shared" si="359"/>
        <v>0</v>
      </c>
      <c r="AM573">
        <f t="shared" si="360"/>
        <v>0</v>
      </c>
      <c r="AN573">
        <f t="shared" si="361"/>
        <v>0</v>
      </c>
      <c r="AO573">
        <f t="shared" si="362"/>
        <v>0</v>
      </c>
      <c r="AP573">
        <f t="shared" si="363"/>
        <v>0</v>
      </c>
      <c r="AQ573">
        <f t="shared" si="364"/>
        <v>0</v>
      </c>
    </row>
    <row r="574" spans="1:43" ht="15.5" x14ac:dyDescent="0.35">
      <c r="A574" s="51">
        <v>17</v>
      </c>
      <c r="B574" s="13" t="s">
        <v>410</v>
      </c>
      <c r="C574" s="17" t="s">
        <v>64</v>
      </c>
      <c r="D574" s="1" t="s">
        <v>228</v>
      </c>
      <c r="E574" s="19">
        <v>3492.4632404331373</v>
      </c>
      <c r="F574">
        <f t="shared" si="329"/>
        <v>0</v>
      </c>
      <c r="G574">
        <f t="shared" si="330"/>
        <v>0</v>
      </c>
      <c r="H574">
        <f t="shared" si="331"/>
        <v>0</v>
      </c>
      <c r="I574">
        <f t="shared" si="332"/>
        <v>0</v>
      </c>
      <c r="J574">
        <f t="shared" si="333"/>
        <v>0</v>
      </c>
      <c r="K574">
        <f t="shared" si="334"/>
        <v>0</v>
      </c>
      <c r="L574">
        <f t="shared" si="335"/>
        <v>0</v>
      </c>
      <c r="M574">
        <f t="shared" si="336"/>
        <v>0</v>
      </c>
      <c r="N574">
        <f t="shared" si="337"/>
        <v>0</v>
      </c>
      <c r="O574">
        <f t="shared" si="338"/>
        <v>0</v>
      </c>
      <c r="P574">
        <f t="shared" si="339"/>
        <v>3492.4632404331373</v>
      </c>
      <c r="Q574">
        <f t="shared" si="340"/>
        <v>0</v>
      </c>
      <c r="S574">
        <f t="shared" si="341"/>
        <v>27</v>
      </c>
      <c r="T574">
        <f t="shared" si="342"/>
        <v>24</v>
      </c>
      <c r="U574">
        <f t="shared" si="343"/>
        <v>6</v>
      </c>
      <c r="V574">
        <f t="shared" si="344"/>
        <v>10</v>
      </c>
      <c r="W574">
        <f t="shared" si="345"/>
        <v>46</v>
      </c>
      <c r="X574">
        <f t="shared" si="346"/>
        <v>30</v>
      </c>
      <c r="Y574">
        <f t="shared" si="347"/>
        <v>8</v>
      </c>
      <c r="Z574">
        <f t="shared" si="348"/>
        <v>3</v>
      </c>
      <c r="AA574">
        <f t="shared" si="349"/>
        <v>4</v>
      </c>
      <c r="AB574">
        <f t="shared" si="350"/>
        <v>2</v>
      </c>
      <c r="AC574">
        <f t="shared" si="351"/>
        <v>61</v>
      </c>
      <c r="AD574">
        <f t="shared" si="352"/>
        <v>0</v>
      </c>
      <c r="AF574">
        <f t="shared" si="353"/>
        <v>0</v>
      </c>
      <c r="AG574">
        <f t="shared" si="354"/>
        <v>0</v>
      </c>
      <c r="AH574">
        <f t="shared" si="355"/>
        <v>0</v>
      </c>
      <c r="AI574">
        <f t="shared" si="356"/>
        <v>0</v>
      </c>
      <c r="AJ574">
        <f t="shared" si="357"/>
        <v>0</v>
      </c>
      <c r="AK574">
        <f t="shared" si="358"/>
        <v>0</v>
      </c>
      <c r="AL574">
        <f t="shared" si="359"/>
        <v>0</v>
      </c>
      <c r="AM574">
        <f t="shared" si="360"/>
        <v>0</v>
      </c>
      <c r="AN574">
        <f t="shared" si="361"/>
        <v>0</v>
      </c>
      <c r="AO574">
        <f t="shared" si="362"/>
        <v>0</v>
      </c>
      <c r="AP574">
        <f t="shared" si="363"/>
        <v>0</v>
      </c>
      <c r="AQ574">
        <f t="shared" si="364"/>
        <v>0</v>
      </c>
    </row>
    <row r="575" spans="1:43" ht="15.5" x14ac:dyDescent="0.35">
      <c r="A575" s="51">
        <v>18</v>
      </c>
      <c r="B575" s="13" t="s">
        <v>410</v>
      </c>
      <c r="C575" s="1" t="s">
        <v>65</v>
      </c>
      <c r="D575" s="17" t="s">
        <v>60</v>
      </c>
      <c r="E575" s="19">
        <v>3458.1271568405618</v>
      </c>
      <c r="F575">
        <f t="shared" si="329"/>
        <v>0</v>
      </c>
      <c r="G575">
        <f t="shared" si="330"/>
        <v>0</v>
      </c>
      <c r="H575">
        <f t="shared" si="331"/>
        <v>0</v>
      </c>
      <c r="I575">
        <f t="shared" si="332"/>
        <v>0</v>
      </c>
      <c r="J575">
        <f t="shared" si="333"/>
        <v>3458.1271568405618</v>
      </c>
      <c r="K575">
        <f t="shared" si="334"/>
        <v>0</v>
      </c>
      <c r="L575">
        <f t="shared" si="335"/>
        <v>0</v>
      </c>
      <c r="M575">
        <f t="shared" si="336"/>
        <v>0</v>
      </c>
      <c r="N575">
        <f t="shared" si="337"/>
        <v>0</v>
      </c>
      <c r="O575">
        <f t="shared" si="338"/>
        <v>0</v>
      </c>
      <c r="P575">
        <f t="shared" si="339"/>
        <v>0</v>
      </c>
      <c r="Q575">
        <f t="shared" si="340"/>
        <v>0</v>
      </c>
      <c r="S575">
        <f t="shared" si="341"/>
        <v>27</v>
      </c>
      <c r="T575">
        <f t="shared" si="342"/>
        <v>24</v>
      </c>
      <c r="U575">
        <f t="shared" si="343"/>
        <v>6</v>
      </c>
      <c r="V575">
        <f t="shared" si="344"/>
        <v>10</v>
      </c>
      <c r="W575">
        <f t="shared" si="345"/>
        <v>46</v>
      </c>
      <c r="X575">
        <f t="shared" si="346"/>
        <v>30</v>
      </c>
      <c r="Y575">
        <f t="shared" si="347"/>
        <v>8</v>
      </c>
      <c r="Z575">
        <f t="shared" si="348"/>
        <v>3</v>
      </c>
      <c r="AA575">
        <f t="shared" si="349"/>
        <v>4</v>
      </c>
      <c r="AB575">
        <f t="shared" si="350"/>
        <v>2</v>
      </c>
      <c r="AC575">
        <f t="shared" si="351"/>
        <v>60</v>
      </c>
      <c r="AD575">
        <f t="shared" si="352"/>
        <v>0</v>
      </c>
      <c r="AF575">
        <f t="shared" si="353"/>
        <v>0</v>
      </c>
      <c r="AG575">
        <f t="shared" si="354"/>
        <v>0</v>
      </c>
      <c r="AH575">
        <f t="shared" si="355"/>
        <v>0</v>
      </c>
      <c r="AI575">
        <f t="shared" si="356"/>
        <v>0</v>
      </c>
      <c r="AJ575">
        <f t="shared" si="357"/>
        <v>0</v>
      </c>
      <c r="AK575">
        <f t="shared" si="358"/>
        <v>0</v>
      </c>
      <c r="AL575">
        <f t="shared" si="359"/>
        <v>0</v>
      </c>
      <c r="AM575">
        <f t="shared" si="360"/>
        <v>0</v>
      </c>
      <c r="AN575">
        <f t="shared" si="361"/>
        <v>0</v>
      </c>
      <c r="AO575">
        <f t="shared" si="362"/>
        <v>0</v>
      </c>
      <c r="AP575">
        <f t="shared" si="363"/>
        <v>0</v>
      </c>
      <c r="AQ575">
        <f t="shared" si="364"/>
        <v>0</v>
      </c>
    </row>
    <row r="576" spans="1:43" ht="15.5" x14ac:dyDescent="0.35">
      <c r="A576" s="51">
        <v>19</v>
      </c>
      <c r="B576" s="13" t="s">
        <v>410</v>
      </c>
      <c r="C576" s="1" t="s">
        <v>303</v>
      </c>
      <c r="D576" s="1" t="s">
        <v>76</v>
      </c>
      <c r="E576" s="19">
        <v>3506.7248065098697</v>
      </c>
      <c r="F576">
        <f t="shared" si="329"/>
        <v>3506.7248065098697</v>
      </c>
      <c r="G576">
        <f t="shared" si="330"/>
        <v>0</v>
      </c>
      <c r="H576">
        <f t="shared" si="331"/>
        <v>0</v>
      </c>
      <c r="I576">
        <f t="shared" si="332"/>
        <v>0</v>
      </c>
      <c r="J576">
        <f t="shared" si="333"/>
        <v>0</v>
      </c>
      <c r="K576">
        <f t="shared" si="334"/>
        <v>0</v>
      </c>
      <c r="L576">
        <f t="shared" si="335"/>
        <v>0</v>
      </c>
      <c r="M576">
        <f t="shared" si="336"/>
        <v>0</v>
      </c>
      <c r="N576">
        <f t="shared" si="337"/>
        <v>0</v>
      </c>
      <c r="O576">
        <f t="shared" si="338"/>
        <v>0</v>
      </c>
      <c r="P576">
        <f t="shared" si="339"/>
        <v>0</v>
      </c>
      <c r="Q576">
        <f t="shared" si="340"/>
        <v>0</v>
      </c>
      <c r="S576">
        <f t="shared" si="341"/>
        <v>27</v>
      </c>
      <c r="T576">
        <f t="shared" si="342"/>
        <v>24</v>
      </c>
      <c r="U576">
        <f t="shared" si="343"/>
        <v>6</v>
      </c>
      <c r="V576">
        <f t="shared" si="344"/>
        <v>10</v>
      </c>
      <c r="W576">
        <f t="shared" si="345"/>
        <v>45</v>
      </c>
      <c r="X576">
        <f t="shared" si="346"/>
        <v>30</v>
      </c>
      <c r="Y576">
        <f t="shared" si="347"/>
        <v>8</v>
      </c>
      <c r="Z576">
        <f t="shared" si="348"/>
        <v>3</v>
      </c>
      <c r="AA576">
        <f t="shared" si="349"/>
        <v>4</v>
      </c>
      <c r="AB576">
        <f t="shared" si="350"/>
        <v>2</v>
      </c>
      <c r="AC576">
        <f t="shared" si="351"/>
        <v>60</v>
      </c>
      <c r="AD576">
        <f t="shared" si="352"/>
        <v>0</v>
      </c>
      <c r="AF576">
        <f t="shared" si="353"/>
        <v>0</v>
      </c>
      <c r="AG576">
        <f t="shared" si="354"/>
        <v>0</v>
      </c>
      <c r="AH576">
        <f t="shared" si="355"/>
        <v>0</v>
      </c>
      <c r="AI576">
        <f t="shared" si="356"/>
        <v>0</v>
      </c>
      <c r="AJ576">
        <f t="shared" si="357"/>
        <v>0</v>
      </c>
      <c r="AK576">
        <f t="shared" si="358"/>
        <v>0</v>
      </c>
      <c r="AL576">
        <f t="shared" si="359"/>
        <v>0</v>
      </c>
      <c r="AM576">
        <f t="shared" si="360"/>
        <v>0</v>
      </c>
      <c r="AN576">
        <f t="shared" si="361"/>
        <v>0</v>
      </c>
      <c r="AO576">
        <f t="shared" si="362"/>
        <v>0</v>
      </c>
      <c r="AP576">
        <f t="shared" si="363"/>
        <v>0</v>
      </c>
      <c r="AQ576">
        <f t="shared" si="364"/>
        <v>0</v>
      </c>
    </row>
    <row r="577" spans="1:43" ht="15.5" x14ac:dyDescent="0.35">
      <c r="A577" s="51">
        <v>20</v>
      </c>
      <c r="B577" s="13" t="s">
        <v>411</v>
      </c>
      <c r="C577" s="17" t="s">
        <v>66</v>
      </c>
      <c r="D577" s="17" t="s">
        <v>228</v>
      </c>
      <c r="E577" s="19">
        <v>3642.1378435929651</v>
      </c>
      <c r="F577">
        <f t="shared" si="329"/>
        <v>0</v>
      </c>
      <c r="G577">
        <f t="shared" si="330"/>
        <v>0</v>
      </c>
      <c r="H577">
        <f t="shared" si="331"/>
        <v>0</v>
      </c>
      <c r="I577">
        <f t="shared" si="332"/>
        <v>0</v>
      </c>
      <c r="J577">
        <f t="shared" si="333"/>
        <v>0</v>
      </c>
      <c r="K577">
        <f t="shared" si="334"/>
        <v>0</v>
      </c>
      <c r="L577">
        <f t="shared" si="335"/>
        <v>0</v>
      </c>
      <c r="M577">
        <f t="shared" si="336"/>
        <v>0</v>
      </c>
      <c r="N577">
        <f t="shared" si="337"/>
        <v>0</v>
      </c>
      <c r="O577">
        <f t="shared" si="338"/>
        <v>0</v>
      </c>
      <c r="P577">
        <f t="shared" si="339"/>
        <v>3642.1378435929651</v>
      </c>
      <c r="Q577">
        <f t="shared" si="340"/>
        <v>0</v>
      </c>
      <c r="S577">
        <f t="shared" si="341"/>
        <v>26</v>
      </c>
      <c r="T577">
        <f t="shared" si="342"/>
        <v>24</v>
      </c>
      <c r="U577">
        <f t="shared" si="343"/>
        <v>6</v>
      </c>
      <c r="V577">
        <f t="shared" si="344"/>
        <v>10</v>
      </c>
      <c r="W577">
        <f t="shared" si="345"/>
        <v>45</v>
      </c>
      <c r="X577">
        <f t="shared" si="346"/>
        <v>30</v>
      </c>
      <c r="Y577">
        <f t="shared" si="347"/>
        <v>8</v>
      </c>
      <c r="Z577">
        <f t="shared" si="348"/>
        <v>3</v>
      </c>
      <c r="AA577">
        <f t="shared" si="349"/>
        <v>4</v>
      </c>
      <c r="AB577">
        <f t="shared" si="350"/>
        <v>2</v>
      </c>
      <c r="AC577">
        <f t="shared" si="351"/>
        <v>60</v>
      </c>
      <c r="AD577">
        <f t="shared" si="352"/>
        <v>0</v>
      </c>
      <c r="AF577">
        <f t="shared" si="353"/>
        <v>0</v>
      </c>
      <c r="AG577">
        <f t="shared" si="354"/>
        <v>0</v>
      </c>
      <c r="AH577">
        <f t="shared" si="355"/>
        <v>0</v>
      </c>
      <c r="AI577">
        <f t="shared" si="356"/>
        <v>0</v>
      </c>
      <c r="AJ577">
        <f t="shared" si="357"/>
        <v>0</v>
      </c>
      <c r="AK577">
        <f t="shared" si="358"/>
        <v>0</v>
      </c>
      <c r="AL577">
        <f t="shared" si="359"/>
        <v>0</v>
      </c>
      <c r="AM577">
        <f t="shared" si="360"/>
        <v>0</v>
      </c>
      <c r="AN577">
        <f t="shared" si="361"/>
        <v>0</v>
      </c>
      <c r="AO577">
        <f t="shared" si="362"/>
        <v>0</v>
      </c>
      <c r="AP577">
        <f t="shared" si="363"/>
        <v>0</v>
      </c>
      <c r="AQ577">
        <f t="shared" si="364"/>
        <v>0</v>
      </c>
    </row>
    <row r="578" spans="1:43" ht="15.5" x14ac:dyDescent="0.35">
      <c r="A578" s="51">
        <v>21</v>
      </c>
      <c r="B578" s="13" t="s">
        <v>411</v>
      </c>
      <c r="C578" s="1" t="s">
        <v>211</v>
      </c>
      <c r="D578" s="1" t="s">
        <v>227</v>
      </c>
      <c r="E578" s="19">
        <v>3020.3272902482458</v>
      </c>
      <c r="F578">
        <f t="shared" si="329"/>
        <v>0</v>
      </c>
      <c r="G578">
        <f t="shared" si="330"/>
        <v>3020.3272902482458</v>
      </c>
      <c r="H578">
        <f t="shared" si="331"/>
        <v>0</v>
      </c>
      <c r="I578">
        <f t="shared" si="332"/>
        <v>0</v>
      </c>
      <c r="J578">
        <f t="shared" si="333"/>
        <v>0</v>
      </c>
      <c r="K578">
        <f t="shared" si="334"/>
        <v>0</v>
      </c>
      <c r="L578">
        <f t="shared" si="335"/>
        <v>0</v>
      </c>
      <c r="M578">
        <f t="shared" si="336"/>
        <v>0</v>
      </c>
      <c r="N578">
        <f t="shared" si="337"/>
        <v>0</v>
      </c>
      <c r="O578">
        <f t="shared" si="338"/>
        <v>0</v>
      </c>
      <c r="P578">
        <f t="shared" si="339"/>
        <v>0</v>
      </c>
      <c r="Q578">
        <f t="shared" si="340"/>
        <v>0</v>
      </c>
      <c r="S578">
        <f t="shared" si="341"/>
        <v>26</v>
      </c>
      <c r="T578">
        <f t="shared" si="342"/>
        <v>24</v>
      </c>
      <c r="U578">
        <f t="shared" si="343"/>
        <v>6</v>
      </c>
      <c r="V578">
        <f t="shared" si="344"/>
        <v>10</v>
      </c>
      <c r="W578">
        <f t="shared" si="345"/>
        <v>45</v>
      </c>
      <c r="X578">
        <f t="shared" si="346"/>
        <v>30</v>
      </c>
      <c r="Y578">
        <f t="shared" si="347"/>
        <v>8</v>
      </c>
      <c r="Z578">
        <f t="shared" si="348"/>
        <v>3</v>
      </c>
      <c r="AA578">
        <f t="shared" si="349"/>
        <v>4</v>
      </c>
      <c r="AB578">
        <f t="shared" si="350"/>
        <v>2</v>
      </c>
      <c r="AC578">
        <f t="shared" si="351"/>
        <v>59</v>
      </c>
      <c r="AD578">
        <f t="shared" si="352"/>
        <v>0</v>
      </c>
      <c r="AF578">
        <f t="shared" si="353"/>
        <v>0</v>
      </c>
      <c r="AG578">
        <f t="shared" si="354"/>
        <v>0</v>
      </c>
      <c r="AH578">
        <f t="shared" si="355"/>
        <v>0</v>
      </c>
      <c r="AI578">
        <f t="shared" si="356"/>
        <v>0</v>
      </c>
      <c r="AJ578">
        <f t="shared" si="357"/>
        <v>0</v>
      </c>
      <c r="AK578">
        <f t="shared" si="358"/>
        <v>0</v>
      </c>
      <c r="AL578">
        <f t="shared" si="359"/>
        <v>0</v>
      </c>
      <c r="AM578">
        <f t="shared" si="360"/>
        <v>0</v>
      </c>
      <c r="AN578">
        <f t="shared" si="361"/>
        <v>0</v>
      </c>
      <c r="AO578">
        <f t="shared" si="362"/>
        <v>0</v>
      </c>
      <c r="AP578">
        <f t="shared" si="363"/>
        <v>0</v>
      </c>
      <c r="AQ578">
        <f t="shared" si="364"/>
        <v>0</v>
      </c>
    </row>
    <row r="579" spans="1:43" ht="15.5" x14ac:dyDescent="0.35">
      <c r="A579" s="51">
        <v>22</v>
      </c>
      <c r="B579" s="13" t="s">
        <v>412</v>
      </c>
      <c r="C579" s="1" t="s">
        <v>69</v>
      </c>
      <c r="D579" s="17" t="s">
        <v>228</v>
      </c>
      <c r="E579" s="19">
        <v>3386.7251569811315</v>
      </c>
      <c r="F579">
        <f t="shared" si="329"/>
        <v>0</v>
      </c>
      <c r="G579">
        <f t="shared" si="330"/>
        <v>0</v>
      </c>
      <c r="H579">
        <f t="shared" si="331"/>
        <v>0</v>
      </c>
      <c r="I579">
        <f t="shared" si="332"/>
        <v>0</v>
      </c>
      <c r="J579">
        <f t="shared" si="333"/>
        <v>0</v>
      </c>
      <c r="K579">
        <f t="shared" si="334"/>
        <v>0</v>
      </c>
      <c r="L579">
        <f t="shared" si="335"/>
        <v>0</v>
      </c>
      <c r="M579">
        <f t="shared" si="336"/>
        <v>0</v>
      </c>
      <c r="N579">
        <f t="shared" si="337"/>
        <v>0</v>
      </c>
      <c r="O579">
        <f t="shared" si="338"/>
        <v>0</v>
      </c>
      <c r="P579">
        <f t="shared" si="339"/>
        <v>3386.7251569811315</v>
      </c>
      <c r="Q579">
        <f t="shared" si="340"/>
        <v>0</v>
      </c>
      <c r="S579">
        <f t="shared" si="341"/>
        <v>26</v>
      </c>
      <c r="T579">
        <f t="shared" si="342"/>
        <v>23</v>
      </c>
      <c r="U579">
        <f t="shared" si="343"/>
        <v>6</v>
      </c>
      <c r="V579">
        <f t="shared" si="344"/>
        <v>10</v>
      </c>
      <c r="W579">
        <f t="shared" si="345"/>
        <v>45</v>
      </c>
      <c r="X579">
        <f t="shared" si="346"/>
        <v>30</v>
      </c>
      <c r="Y579">
        <f t="shared" si="347"/>
        <v>8</v>
      </c>
      <c r="Z579">
        <f t="shared" si="348"/>
        <v>3</v>
      </c>
      <c r="AA579">
        <f t="shared" si="349"/>
        <v>4</v>
      </c>
      <c r="AB579">
        <f t="shared" si="350"/>
        <v>2</v>
      </c>
      <c r="AC579">
        <f t="shared" si="351"/>
        <v>59</v>
      </c>
      <c r="AD579">
        <f t="shared" si="352"/>
        <v>0</v>
      </c>
      <c r="AF579">
        <f t="shared" si="353"/>
        <v>0</v>
      </c>
      <c r="AG579">
        <f t="shared" si="354"/>
        <v>0</v>
      </c>
      <c r="AH579">
        <f t="shared" si="355"/>
        <v>0</v>
      </c>
      <c r="AI579">
        <f t="shared" si="356"/>
        <v>0</v>
      </c>
      <c r="AJ579">
        <f t="shared" si="357"/>
        <v>0</v>
      </c>
      <c r="AK579">
        <f t="shared" si="358"/>
        <v>0</v>
      </c>
      <c r="AL579">
        <f t="shared" si="359"/>
        <v>0</v>
      </c>
      <c r="AM579">
        <f t="shared" si="360"/>
        <v>0</v>
      </c>
      <c r="AN579">
        <f t="shared" si="361"/>
        <v>0</v>
      </c>
      <c r="AO579">
        <f t="shared" si="362"/>
        <v>0</v>
      </c>
      <c r="AP579">
        <f t="shared" si="363"/>
        <v>0</v>
      </c>
      <c r="AQ579">
        <f t="shared" si="364"/>
        <v>0</v>
      </c>
    </row>
    <row r="580" spans="1:43" ht="15.5" x14ac:dyDescent="0.35">
      <c r="A580" s="51">
        <v>23</v>
      </c>
      <c r="B580" s="13" t="s">
        <v>412</v>
      </c>
      <c r="C580" s="17" t="s">
        <v>73</v>
      </c>
      <c r="D580" s="17" t="s">
        <v>76</v>
      </c>
      <c r="E580" s="19">
        <v>3521.9436967795896</v>
      </c>
      <c r="F580">
        <f t="shared" si="329"/>
        <v>3521.9436967795896</v>
      </c>
      <c r="G580">
        <f t="shared" si="330"/>
        <v>0</v>
      </c>
      <c r="H580">
        <f t="shared" si="331"/>
        <v>0</v>
      </c>
      <c r="I580">
        <f t="shared" si="332"/>
        <v>0</v>
      </c>
      <c r="J580">
        <f t="shared" si="333"/>
        <v>0</v>
      </c>
      <c r="K580">
        <f t="shared" si="334"/>
        <v>0</v>
      </c>
      <c r="L580">
        <f t="shared" si="335"/>
        <v>0</v>
      </c>
      <c r="M580">
        <f t="shared" si="336"/>
        <v>0</v>
      </c>
      <c r="N580">
        <f t="shared" si="337"/>
        <v>0</v>
      </c>
      <c r="O580">
        <f t="shared" si="338"/>
        <v>0</v>
      </c>
      <c r="P580">
        <f t="shared" si="339"/>
        <v>0</v>
      </c>
      <c r="Q580">
        <f t="shared" si="340"/>
        <v>0</v>
      </c>
      <c r="S580">
        <f t="shared" si="341"/>
        <v>26</v>
      </c>
      <c r="T580">
        <f t="shared" si="342"/>
        <v>23</v>
      </c>
      <c r="U580">
        <f t="shared" si="343"/>
        <v>6</v>
      </c>
      <c r="V580">
        <f t="shared" si="344"/>
        <v>10</v>
      </c>
      <c r="W580">
        <f t="shared" si="345"/>
        <v>45</v>
      </c>
      <c r="X580">
        <f t="shared" si="346"/>
        <v>30</v>
      </c>
      <c r="Y580">
        <f t="shared" si="347"/>
        <v>8</v>
      </c>
      <c r="Z580">
        <f t="shared" si="348"/>
        <v>3</v>
      </c>
      <c r="AA580">
        <f t="shared" si="349"/>
        <v>4</v>
      </c>
      <c r="AB580">
        <f t="shared" si="350"/>
        <v>2</v>
      </c>
      <c r="AC580">
        <f t="shared" si="351"/>
        <v>58</v>
      </c>
      <c r="AD580">
        <f t="shared" si="352"/>
        <v>0</v>
      </c>
      <c r="AF580">
        <f t="shared" si="353"/>
        <v>0</v>
      </c>
      <c r="AG580">
        <f t="shared" si="354"/>
        <v>0</v>
      </c>
      <c r="AH580">
        <f t="shared" si="355"/>
        <v>0</v>
      </c>
      <c r="AI580">
        <f t="shared" si="356"/>
        <v>0</v>
      </c>
      <c r="AJ580">
        <f t="shared" si="357"/>
        <v>0</v>
      </c>
      <c r="AK580">
        <f t="shared" si="358"/>
        <v>0</v>
      </c>
      <c r="AL580">
        <f t="shared" si="359"/>
        <v>0</v>
      </c>
      <c r="AM580">
        <f t="shared" si="360"/>
        <v>0</v>
      </c>
      <c r="AN580">
        <f t="shared" si="361"/>
        <v>0</v>
      </c>
      <c r="AO580">
        <f t="shared" si="362"/>
        <v>0</v>
      </c>
      <c r="AP580">
        <f t="shared" si="363"/>
        <v>0</v>
      </c>
      <c r="AQ580">
        <f t="shared" si="364"/>
        <v>0</v>
      </c>
    </row>
    <row r="581" spans="1:43" ht="15.5" x14ac:dyDescent="0.35">
      <c r="A581" s="51">
        <v>24</v>
      </c>
      <c r="B581" s="13" t="s">
        <v>412</v>
      </c>
      <c r="C581" s="1" t="s">
        <v>72</v>
      </c>
      <c r="D581" s="1" t="s">
        <v>228</v>
      </c>
      <c r="E581" s="19">
        <v>3585.5038317027083</v>
      </c>
      <c r="F581">
        <f t="shared" si="329"/>
        <v>0</v>
      </c>
      <c r="G581">
        <f t="shared" si="330"/>
        <v>0</v>
      </c>
      <c r="H581">
        <f t="shared" si="331"/>
        <v>0</v>
      </c>
      <c r="I581">
        <f t="shared" si="332"/>
        <v>0</v>
      </c>
      <c r="J581">
        <f t="shared" si="333"/>
        <v>0</v>
      </c>
      <c r="K581">
        <f t="shared" si="334"/>
        <v>0</v>
      </c>
      <c r="L581">
        <f t="shared" si="335"/>
        <v>0</v>
      </c>
      <c r="M581">
        <f t="shared" si="336"/>
        <v>0</v>
      </c>
      <c r="N581">
        <f t="shared" si="337"/>
        <v>0</v>
      </c>
      <c r="O581">
        <f t="shared" si="338"/>
        <v>0</v>
      </c>
      <c r="P581">
        <f t="shared" si="339"/>
        <v>3585.5038317027083</v>
      </c>
      <c r="Q581">
        <f t="shared" si="340"/>
        <v>0</v>
      </c>
      <c r="S581">
        <f t="shared" si="341"/>
        <v>25</v>
      </c>
      <c r="T581">
        <f t="shared" si="342"/>
        <v>23</v>
      </c>
      <c r="U581">
        <f t="shared" si="343"/>
        <v>6</v>
      </c>
      <c r="V581">
        <f t="shared" si="344"/>
        <v>10</v>
      </c>
      <c r="W581">
        <f t="shared" si="345"/>
        <v>45</v>
      </c>
      <c r="X581">
        <f t="shared" si="346"/>
        <v>30</v>
      </c>
      <c r="Y581">
        <f t="shared" si="347"/>
        <v>8</v>
      </c>
      <c r="Z581">
        <f t="shared" si="348"/>
        <v>3</v>
      </c>
      <c r="AA581">
        <f t="shared" si="349"/>
        <v>4</v>
      </c>
      <c r="AB581">
        <f t="shared" si="350"/>
        <v>2</v>
      </c>
      <c r="AC581">
        <f t="shared" si="351"/>
        <v>58</v>
      </c>
      <c r="AD581">
        <f t="shared" si="352"/>
        <v>0</v>
      </c>
      <c r="AF581">
        <f t="shared" si="353"/>
        <v>0</v>
      </c>
      <c r="AG581">
        <f t="shared" si="354"/>
        <v>0</v>
      </c>
      <c r="AH581">
        <f t="shared" si="355"/>
        <v>0</v>
      </c>
      <c r="AI581">
        <f t="shared" si="356"/>
        <v>0</v>
      </c>
      <c r="AJ581">
        <f t="shared" si="357"/>
        <v>0</v>
      </c>
      <c r="AK581">
        <f t="shared" si="358"/>
        <v>0</v>
      </c>
      <c r="AL581">
        <f t="shared" si="359"/>
        <v>0</v>
      </c>
      <c r="AM581">
        <f t="shared" si="360"/>
        <v>0</v>
      </c>
      <c r="AN581">
        <f t="shared" si="361"/>
        <v>0</v>
      </c>
      <c r="AO581">
        <f t="shared" si="362"/>
        <v>0</v>
      </c>
      <c r="AP581">
        <f t="shared" si="363"/>
        <v>0</v>
      </c>
      <c r="AQ581">
        <f t="shared" si="364"/>
        <v>0</v>
      </c>
    </row>
    <row r="582" spans="1:43" ht="15.5" x14ac:dyDescent="0.35">
      <c r="A582" s="51">
        <v>25</v>
      </c>
      <c r="B582" s="13" t="s">
        <v>413</v>
      </c>
      <c r="C582" s="17" t="s">
        <v>79</v>
      </c>
      <c r="D582" s="17" t="s">
        <v>54</v>
      </c>
      <c r="E582" s="19">
        <v>3319.2107030164348</v>
      </c>
      <c r="F582">
        <f t="shared" si="329"/>
        <v>0</v>
      </c>
      <c r="G582">
        <f t="shared" si="330"/>
        <v>0</v>
      </c>
      <c r="H582">
        <f t="shared" si="331"/>
        <v>0</v>
      </c>
      <c r="I582">
        <f t="shared" si="332"/>
        <v>0</v>
      </c>
      <c r="J582">
        <f t="shared" si="333"/>
        <v>0</v>
      </c>
      <c r="K582">
        <f t="shared" si="334"/>
        <v>3319.2107030164348</v>
      </c>
      <c r="L582">
        <f t="shared" si="335"/>
        <v>0</v>
      </c>
      <c r="M582">
        <f t="shared" si="336"/>
        <v>0</v>
      </c>
      <c r="N582">
        <f t="shared" si="337"/>
        <v>0</v>
      </c>
      <c r="O582">
        <f t="shared" si="338"/>
        <v>0</v>
      </c>
      <c r="P582">
        <f t="shared" si="339"/>
        <v>0</v>
      </c>
      <c r="Q582">
        <f t="shared" si="340"/>
        <v>0</v>
      </c>
      <c r="S582">
        <f t="shared" si="341"/>
        <v>25</v>
      </c>
      <c r="T582">
        <f t="shared" si="342"/>
        <v>23</v>
      </c>
      <c r="U582">
        <f t="shared" si="343"/>
        <v>6</v>
      </c>
      <c r="V582">
        <f t="shared" si="344"/>
        <v>10</v>
      </c>
      <c r="W582">
        <f t="shared" si="345"/>
        <v>45</v>
      </c>
      <c r="X582">
        <f t="shared" si="346"/>
        <v>30</v>
      </c>
      <c r="Y582">
        <f t="shared" si="347"/>
        <v>8</v>
      </c>
      <c r="Z582">
        <f t="shared" si="348"/>
        <v>3</v>
      </c>
      <c r="AA582">
        <f t="shared" si="349"/>
        <v>4</v>
      </c>
      <c r="AB582">
        <f t="shared" si="350"/>
        <v>2</v>
      </c>
      <c r="AC582">
        <f t="shared" si="351"/>
        <v>57</v>
      </c>
      <c r="AD582">
        <f t="shared" si="352"/>
        <v>0</v>
      </c>
      <c r="AF582">
        <f t="shared" si="353"/>
        <v>0</v>
      </c>
      <c r="AG582">
        <f t="shared" si="354"/>
        <v>0</v>
      </c>
      <c r="AH582">
        <f t="shared" si="355"/>
        <v>0</v>
      </c>
      <c r="AI582">
        <f t="shared" si="356"/>
        <v>0</v>
      </c>
      <c r="AJ582">
        <f t="shared" si="357"/>
        <v>0</v>
      </c>
      <c r="AK582">
        <f t="shared" si="358"/>
        <v>0</v>
      </c>
      <c r="AL582">
        <f t="shared" si="359"/>
        <v>0</v>
      </c>
      <c r="AM582">
        <f t="shared" si="360"/>
        <v>0</v>
      </c>
      <c r="AN582">
        <f t="shared" si="361"/>
        <v>0</v>
      </c>
      <c r="AO582">
        <f t="shared" si="362"/>
        <v>0</v>
      </c>
      <c r="AP582">
        <f t="shared" si="363"/>
        <v>0</v>
      </c>
      <c r="AQ582">
        <f t="shared" si="364"/>
        <v>0</v>
      </c>
    </row>
    <row r="583" spans="1:43" ht="15.5" x14ac:dyDescent="0.35">
      <c r="A583" s="51">
        <v>26</v>
      </c>
      <c r="B583" s="13" t="s">
        <v>413</v>
      </c>
      <c r="C583" s="1" t="s">
        <v>75</v>
      </c>
      <c r="D583" s="1" t="s">
        <v>228</v>
      </c>
      <c r="E583" s="19">
        <v>3652.8220712718153</v>
      </c>
      <c r="F583">
        <f t="shared" si="329"/>
        <v>0</v>
      </c>
      <c r="G583">
        <f t="shared" si="330"/>
        <v>0</v>
      </c>
      <c r="H583">
        <f t="shared" si="331"/>
        <v>0</v>
      </c>
      <c r="I583">
        <f t="shared" si="332"/>
        <v>0</v>
      </c>
      <c r="J583">
        <f t="shared" si="333"/>
        <v>0</v>
      </c>
      <c r="K583">
        <f t="shared" si="334"/>
        <v>0</v>
      </c>
      <c r="L583">
        <f t="shared" si="335"/>
        <v>0</v>
      </c>
      <c r="M583">
        <f t="shared" si="336"/>
        <v>0</v>
      </c>
      <c r="N583">
        <f t="shared" si="337"/>
        <v>0</v>
      </c>
      <c r="O583">
        <f t="shared" si="338"/>
        <v>0</v>
      </c>
      <c r="P583">
        <f t="shared" si="339"/>
        <v>3652.8220712718153</v>
      </c>
      <c r="Q583">
        <f t="shared" si="340"/>
        <v>0</v>
      </c>
      <c r="S583">
        <f t="shared" si="341"/>
        <v>25</v>
      </c>
      <c r="T583">
        <f t="shared" si="342"/>
        <v>23</v>
      </c>
      <c r="U583">
        <f t="shared" si="343"/>
        <v>6</v>
      </c>
      <c r="V583">
        <f t="shared" si="344"/>
        <v>10</v>
      </c>
      <c r="W583">
        <f t="shared" si="345"/>
        <v>45</v>
      </c>
      <c r="X583">
        <f t="shared" si="346"/>
        <v>29</v>
      </c>
      <c r="Y583">
        <f t="shared" si="347"/>
        <v>8</v>
      </c>
      <c r="Z583">
        <f t="shared" si="348"/>
        <v>3</v>
      </c>
      <c r="AA583">
        <f t="shared" si="349"/>
        <v>4</v>
      </c>
      <c r="AB583">
        <f t="shared" si="350"/>
        <v>2</v>
      </c>
      <c r="AC583">
        <f t="shared" si="351"/>
        <v>57</v>
      </c>
      <c r="AD583">
        <f t="shared" si="352"/>
        <v>0</v>
      </c>
      <c r="AF583">
        <f t="shared" si="353"/>
        <v>0</v>
      </c>
      <c r="AG583">
        <f t="shared" si="354"/>
        <v>0</v>
      </c>
      <c r="AH583">
        <f t="shared" si="355"/>
        <v>0</v>
      </c>
      <c r="AI583">
        <f t="shared" si="356"/>
        <v>0</v>
      </c>
      <c r="AJ583">
        <f t="shared" si="357"/>
        <v>0</v>
      </c>
      <c r="AK583">
        <f t="shared" si="358"/>
        <v>0</v>
      </c>
      <c r="AL583">
        <f t="shared" si="359"/>
        <v>0</v>
      </c>
      <c r="AM583">
        <f t="shared" si="360"/>
        <v>0</v>
      </c>
      <c r="AN583">
        <f t="shared" si="361"/>
        <v>0</v>
      </c>
      <c r="AO583">
        <f t="shared" si="362"/>
        <v>0</v>
      </c>
      <c r="AP583">
        <f t="shared" si="363"/>
        <v>0</v>
      </c>
      <c r="AQ583">
        <f t="shared" si="364"/>
        <v>0</v>
      </c>
    </row>
    <row r="584" spans="1:43" ht="15.5" x14ac:dyDescent="0.35">
      <c r="A584" s="51">
        <v>27</v>
      </c>
      <c r="B584" s="13" t="s">
        <v>414</v>
      </c>
      <c r="C584" s="1" t="s">
        <v>82</v>
      </c>
      <c r="D584" s="1" t="s">
        <v>60</v>
      </c>
      <c r="E584" s="19">
        <v>3486.4393184573573</v>
      </c>
      <c r="F584">
        <f t="shared" si="329"/>
        <v>0</v>
      </c>
      <c r="G584">
        <f t="shared" si="330"/>
        <v>0</v>
      </c>
      <c r="H584">
        <f t="shared" si="331"/>
        <v>0</v>
      </c>
      <c r="I584">
        <f t="shared" si="332"/>
        <v>0</v>
      </c>
      <c r="J584">
        <f t="shared" si="333"/>
        <v>3486.4393184573573</v>
      </c>
      <c r="K584">
        <f t="shared" si="334"/>
        <v>0</v>
      </c>
      <c r="L584">
        <f t="shared" si="335"/>
        <v>0</v>
      </c>
      <c r="M584">
        <f t="shared" si="336"/>
        <v>0</v>
      </c>
      <c r="N584">
        <f t="shared" si="337"/>
        <v>0</v>
      </c>
      <c r="O584">
        <f t="shared" si="338"/>
        <v>0</v>
      </c>
      <c r="P584">
        <f t="shared" si="339"/>
        <v>0</v>
      </c>
      <c r="Q584">
        <f t="shared" si="340"/>
        <v>0</v>
      </c>
      <c r="S584">
        <f t="shared" si="341"/>
        <v>25</v>
      </c>
      <c r="T584">
        <f t="shared" si="342"/>
        <v>23</v>
      </c>
      <c r="U584">
        <f t="shared" si="343"/>
        <v>6</v>
      </c>
      <c r="V584">
        <f t="shared" si="344"/>
        <v>10</v>
      </c>
      <c r="W584">
        <f t="shared" si="345"/>
        <v>45</v>
      </c>
      <c r="X584">
        <f t="shared" si="346"/>
        <v>29</v>
      </c>
      <c r="Y584">
        <f t="shared" si="347"/>
        <v>8</v>
      </c>
      <c r="Z584">
        <f t="shared" si="348"/>
        <v>3</v>
      </c>
      <c r="AA584">
        <f t="shared" si="349"/>
        <v>4</v>
      </c>
      <c r="AB584">
        <f t="shared" si="350"/>
        <v>2</v>
      </c>
      <c r="AC584">
        <f t="shared" si="351"/>
        <v>56</v>
      </c>
      <c r="AD584">
        <f t="shared" si="352"/>
        <v>0</v>
      </c>
      <c r="AF584">
        <f t="shared" si="353"/>
        <v>0</v>
      </c>
      <c r="AG584">
        <f t="shared" si="354"/>
        <v>0</v>
      </c>
      <c r="AH584">
        <f t="shared" si="355"/>
        <v>0</v>
      </c>
      <c r="AI584">
        <f t="shared" si="356"/>
        <v>0</v>
      </c>
      <c r="AJ584">
        <f t="shared" si="357"/>
        <v>0</v>
      </c>
      <c r="AK584">
        <f t="shared" si="358"/>
        <v>0</v>
      </c>
      <c r="AL584">
        <f t="shared" si="359"/>
        <v>0</v>
      </c>
      <c r="AM584">
        <f t="shared" si="360"/>
        <v>0</v>
      </c>
      <c r="AN584">
        <f t="shared" si="361"/>
        <v>0</v>
      </c>
      <c r="AO584">
        <f t="shared" si="362"/>
        <v>0</v>
      </c>
      <c r="AP584">
        <f t="shared" si="363"/>
        <v>0</v>
      </c>
      <c r="AQ584">
        <f t="shared" si="364"/>
        <v>0</v>
      </c>
    </row>
    <row r="585" spans="1:43" ht="15.5" x14ac:dyDescent="0.35">
      <c r="A585" s="51">
        <v>28</v>
      </c>
      <c r="B585" s="13" t="s">
        <v>414</v>
      </c>
      <c r="C585" s="17" t="s">
        <v>416</v>
      </c>
      <c r="D585" s="17" t="s">
        <v>176</v>
      </c>
      <c r="E585" s="19">
        <v>3177.9660561101186</v>
      </c>
      <c r="F585">
        <f t="shared" si="329"/>
        <v>0</v>
      </c>
      <c r="G585">
        <f t="shared" si="330"/>
        <v>0</v>
      </c>
      <c r="H585">
        <f t="shared" si="331"/>
        <v>0</v>
      </c>
      <c r="I585">
        <f t="shared" si="332"/>
        <v>0</v>
      </c>
      <c r="J585">
        <f t="shared" si="333"/>
        <v>0</v>
      </c>
      <c r="K585">
        <f t="shared" si="334"/>
        <v>0</v>
      </c>
      <c r="L585">
        <f t="shared" si="335"/>
        <v>0</v>
      </c>
      <c r="M585">
        <f t="shared" si="336"/>
        <v>0</v>
      </c>
      <c r="N585">
        <f t="shared" si="337"/>
        <v>3177.9660561101186</v>
      </c>
      <c r="O585">
        <f t="shared" si="338"/>
        <v>0</v>
      </c>
      <c r="P585">
        <f t="shared" si="339"/>
        <v>0</v>
      </c>
      <c r="Q585">
        <f t="shared" si="340"/>
        <v>0</v>
      </c>
      <c r="S585">
        <f t="shared" si="341"/>
        <v>25</v>
      </c>
      <c r="T585">
        <f t="shared" si="342"/>
        <v>23</v>
      </c>
      <c r="U585">
        <f t="shared" si="343"/>
        <v>6</v>
      </c>
      <c r="V585">
        <f t="shared" si="344"/>
        <v>10</v>
      </c>
      <c r="W585">
        <f t="shared" si="345"/>
        <v>44</v>
      </c>
      <c r="X585">
        <f t="shared" si="346"/>
        <v>29</v>
      </c>
      <c r="Y585">
        <f t="shared" si="347"/>
        <v>8</v>
      </c>
      <c r="Z585">
        <f t="shared" si="348"/>
        <v>3</v>
      </c>
      <c r="AA585">
        <f t="shared" si="349"/>
        <v>4</v>
      </c>
      <c r="AB585">
        <f t="shared" si="350"/>
        <v>2</v>
      </c>
      <c r="AC585">
        <f t="shared" si="351"/>
        <v>56</v>
      </c>
      <c r="AD585">
        <f t="shared" si="352"/>
        <v>0</v>
      </c>
      <c r="AF585">
        <f t="shared" si="353"/>
        <v>0</v>
      </c>
      <c r="AG585">
        <f t="shared" si="354"/>
        <v>0</v>
      </c>
      <c r="AH585">
        <f t="shared" si="355"/>
        <v>0</v>
      </c>
      <c r="AI585">
        <f t="shared" si="356"/>
        <v>0</v>
      </c>
      <c r="AJ585">
        <f t="shared" si="357"/>
        <v>0</v>
      </c>
      <c r="AK585">
        <f t="shared" si="358"/>
        <v>0</v>
      </c>
      <c r="AL585">
        <f t="shared" si="359"/>
        <v>0</v>
      </c>
      <c r="AM585">
        <f t="shared" si="360"/>
        <v>0</v>
      </c>
      <c r="AN585">
        <f t="shared" si="361"/>
        <v>3177.9660561101186</v>
      </c>
      <c r="AO585">
        <f t="shared" si="362"/>
        <v>0</v>
      </c>
      <c r="AP585">
        <f t="shared" si="363"/>
        <v>0</v>
      </c>
      <c r="AQ585">
        <f t="shared" si="364"/>
        <v>0</v>
      </c>
    </row>
    <row r="586" spans="1:43" ht="15.5" x14ac:dyDescent="0.35">
      <c r="A586" s="51">
        <v>29</v>
      </c>
      <c r="B586" s="13" t="s">
        <v>414</v>
      </c>
      <c r="C586" s="1" t="s">
        <v>77</v>
      </c>
      <c r="D586" s="1" t="s">
        <v>228</v>
      </c>
      <c r="E586" s="19">
        <v>3223.4521067385449</v>
      </c>
      <c r="F586">
        <f t="shared" si="329"/>
        <v>0</v>
      </c>
      <c r="G586">
        <f t="shared" si="330"/>
        <v>0</v>
      </c>
      <c r="H586">
        <f t="shared" si="331"/>
        <v>0</v>
      </c>
      <c r="I586">
        <f t="shared" si="332"/>
        <v>0</v>
      </c>
      <c r="J586">
        <f t="shared" si="333"/>
        <v>0</v>
      </c>
      <c r="K586">
        <f t="shared" si="334"/>
        <v>0</v>
      </c>
      <c r="L586">
        <f t="shared" si="335"/>
        <v>0</v>
      </c>
      <c r="M586">
        <f t="shared" si="336"/>
        <v>0</v>
      </c>
      <c r="N586">
        <f t="shared" si="337"/>
        <v>0</v>
      </c>
      <c r="O586">
        <f t="shared" si="338"/>
        <v>0</v>
      </c>
      <c r="P586">
        <f t="shared" si="339"/>
        <v>3223.4521067385449</v>
      </c>
      <c r="Q586">
        <f t="shared" si="340"/>
        <v>0</v>
      </c>
      <c r="S586">
        <f t="shared" si="341"/>
        <v>25</v>
      </c>
      <c r="T586">
        <f t="shared" si="342"/>
        <v>23</v>
      </c>
      <c r="U586">
        <f t="shared" si="343"/>
        <v>6</v>
      </c>
      <c r="V586">
        <f t="shared" si="344"/>
        <v>10</v>
      </c>
      <c r="W586">
        <f t="shared" si="345"/>
        <v>44</v>
      </c>
      <c r="X586">
        <f t="shared" si="346"/>
        <v>29</v>
      </c>
      <c r="Y586">
        <f t="shared" si="347"/>
        <v>8</v>
      </c>
      <c r="Z586">
        <f t="shared" si="348"/>
        <v>3</v>
      </c>
      <c r="AA586">
        <f t="shared" si="349"/>
        <v>3</v>
      </c>
      <c r="AB586">
        <f t="shared" si="350"/>
        <v>2</v>
      </c>
      <c r="AC586">
        <f t="shared" si="351"/>
        <v>56</v>
      </c>
      <c r="AD586">
        <f t="shared" si="352"/>
        <v>0</v>
      </c>
      <c r="AF586">
        <f t="shared" si="353"/>
        <v>0</v>
      </c>
      <c r="AG586">
        <f t="shared" si="354"/>
        <v>0</v>
      </c>
      <c r="AH586">
        <f t="shared" si="355"/>
        <v>0</v>
      </c>
      <c r="AI586">
        <f t="shared" si="356"/>
        <v>0</v>
      </c>
      <c r="AJ586">
        <f t="shared" si="357"/>
        <v>0</v>
      </c>
      <c r="AK586">
        <f t="shared" si="358"/>
        <v>0</v>
      </c>
      <c r="AL586">
        <f t="shared" si="359"/>
        <v>0</v>
      </c>
      <c r="AM586">
        <f t="shared" si="360"/>
        <v>0</v>
      </c>
      <c r="AN586">
        <f t="shared" si="361"/>
        <v>0</v>
      </c>
      <c r="AO586">
        <f t="shared" si="362"/>
        <v>0</v>
      </c>
      <c r="AP586">
        <f t="shared" si="363"/>
        <v>0</v>
      </c>
      <c r="AQ586">
        <f t="shared" si="364"/>
        <v>0</v>
      </c>
    </row>
    <row r="587" spans="1:43" ht="15.5" x14ac:dyDescent="0.35">
      <c r="A587" s="51">
        <v>30</v>
      </c>
      <c r="B587" s="13" t="s">
        <v>414</v>
      </c>
      <c r="C587" s="1" t="s">
        <v>84</v>
      </c>
      <c r="D587" s="1" t="s">
        <v>228</v>
      </c>
      <c r="E587" s="19">
        <v>3243.8655834558049</v>
      </c>
      <c r="F587">
        <f t="shared" si="329"/>
        <v>0</v>
      </c>
      <c r="G587">
        <f t="shared" si="330"/>
        <v>0</v>
      </c>
      <c r="H587">
        <f t="shared" si="331"/>
        <v>0</v>
      </c>
      <c r="I587">
        <f t="shared" si="332"/>
        <v>0</v>
      </c>
      <c r="J587">
        <f t="shared" si="333"/>
        <v>0</v>
      </c>
      <c r="K587">
        <f t="shared" si="334"/>
        <v>0</v>
      </c>
      <c r="L587">
        <f t="shared" si="335"/>
        <v>0</v>
      </c>
      <c r="M587">
        <f t="shared" si="336"/>
        <v>0</v>
      </c>
      <c r="N587">
        <f t="shared" si="337"/>
        <v>0</v>
      </c>
      <c r="O587">
        <f t="shared" si="338"/>
        <v>0</v>
      </c>
      <c r="P587">
        <f t="shared" si="339"/>
        <v>3243.8655834558049</v>
      </c>
      <c r="Q587">
        <f t="shared" si="340"/>
        <v>0</v>
      </c>
      <c r="S587">
        <f t="shared" si="341"/>
        <v>25</v>
      </c>
      <c r="T587">
        <f t="shared" si="342"/>
        <v>23</v>
      </c>
      <c r="U587">
        <f t="shared" si="343"/>
        <v>6</v>
      </c>
      <c r="V587">
        <f t="shared" si="344"/>
        <v>10</v>
      </c>
      <c r="W587">
        <f t="shared" si="345"/>
        <v>44</v>
      </c>
      <c r="X587">
        <f t="shared" si="346"/>
        <v>29</v>
      </c>
      <c r="Y587">
        <f t="shared" si="347"/>
        <v>8</v>
      </c>
      <c r="Z587">
        <f t="shared" si="348"/>
        <v>3</v>
      </c>
      <c r="AA587">
        <f t="shared" si="349"/>
        <v>3</v>
      </c>
      <c r="AB587">
        <f t="shared" si="350"/>
        <v>2</v>
      </c>
      <c r="AC587">
        <f t="shared" si="351"/>
        <v>55</v>
      </c>
      <c r="AD587">
        <f t="shared" si="352"/>
        <v>0</v>
      </c>
      <c r="AF587">
        <f t="shared" si="353"/>
        <v>0</v>
      </c>
      <c r="AG587">
        <f t="shared" si="354"/>
        <v>0</v>
      </c>
      <c r="AH587">
        <f t="shared" si="355"/>
        <v>0</v>
      </c>
      <c r="AI587">
        <f t="shared" si="356"/>
        <v>0</v>
      </c>
      <c r="AJ587">
        <f t="shared" si="357"/>
        <v>0</v>
      </c>
      <c r="AK587">
        <f t="shared" si="358"/>
        <v>0</v>
      </c>
      <c r="AL587">
        <f t="shared" si="359"/>
        <v>0</v>
      </c>
      <c r="AM587">
        <f t="shared" si="360"/>
        <v>0</v>
      </c>
      <c r="AN587">
        <f t="shared" si="361"/>
        <v>0</v>
      </c>
      <c r="AO587">
        <f t="shared" si="362"/>
        <v>0</v>
      </c>
      <c r="AP587">
        <f t="shared" si="363"/>
        <v>0</v>
      </c>
      <c r="AQ587">
        <f t="shared" si="364"/>
        <v>0</v>
      </c>
    </row>
    <row r="588" spans="1:43" ht="15.5" x14ac:dyDescent="0.35">
      <c r="A588" s="51">
        <v>31</v>
      </c>
      <c r="B588" s="13" t="s">
        <v>415</v>
      </c>
      <c r="C588" s="1" t="s">
        <v>86</v>
      </c>
      <c r="D588" s="1" t="s">
        <v>76</v>
      </c>
      <c r="E588" s="19">
        <v>2881.1688174509195</v>
      </c>
      <c r="F588">
        <f t="shared" si="329"/>
        <v>2881.1688174509195</v>
      </c>
      <c r="G588">
        <f t="shared" si="330"/>
        <v>0</v>
      </c>
      <c r="H588">
        <f t="shared" si="331"/>
        <v>0</v>
      </c>
      <c r="I588">
        <f t="shared" si="332"/>
        <v>0</v>
      </c>
      <c r="J588">
        <f t="shared" si="333"/>
        <v>0</v>
      </c>
      <c r="K588">
        <f t="shared" si="334"/>
        <v>0</v>
      </c>
      <c r="L588">
        <f t="shared" si="335"/>
        <v>0</v>
      </c>
      <c r="M588">
        <f t="shared" si="336"/>
        <v>0</v>
      </c>
      <c r="N588">
        <f t="shared" si="337"/>
        <v>0</v>
      </c>
      <c r="O588">
        <f t="shared" si="338"/>
        <v>0</v>
      </c>
      <c r="P588">
        <f t="shared" si="339"/>
        <v>0</v>
      </c>
      <c r="Q588">
        <f t="shared" si="340"/>
        <v>0</v>
      </c>
      <c r="S588">
        <f t="shared" si="341"/>
        <v>25</v>
      </c>
      <c r="T588">
        <f t="shared" si="342"/>
        <v>23</v>
      </c>
      <c r="U588">
        <f t="shared" si="343"/>
        <v>6</v>
      </c>
      <c r="V588">
        <f t="shared" si="344"/>
        <v>10</v>
      </c>
      <c r="W588">
        <f t="shared" si="345"/>
        <v>44</v>
      </c>
      <c r="X588">
        <f t="shared" si="346"/>
        <v>29</v>
      </c>
      <c r="Y588">
        <f t="shared" si="347"/>
        <v>8</v>
      </c>
      <c r="Z588">
        <f t="shared" si="348"/>
        <v>3</v>
      </c>
      <c r="AA588">
        <f t="shared" si="349"/>
        <v>3</v>
      </c>
      <c r="AB588">
        <f t="shared" si="350"/>
        <v>2</v>
      </c>
      <c r="AC588">
        <f t="shared" si="351"/>
        <v>54</v>
      </c>
      <c r="AD588">
        <f t="shared" si="352"/>
        <v>0</v>
      </c>
      <c r="AF588">
        <f t="shared" si="353"/>
        <v>0</v>
      </c>
      <c r="AG588">
        <f t="shared" si="354"/>
        <v>0</v>
      </c>
      <c r="AH588">
        <f t="shared" si="355"/>
        <v>0</v>
      </c>
      <c r="AI588">
        <f t="shared" si="356"/>
        <v>0</v>
      </c>
      <c r="AJ588">
        <f t="shared" si="357"/>
        <v>0</v>
      </c>
      <c r="AK588">
        <f t="shared" si="358"/>
        <v>0</v>
      </c>
      <c r="AL588">
        <f t="shared" si="359"/>
        <v>0</v>
      </c>
      <c r="AM588">
        <f t="shared" si="360"/>
        <v>0</v>
      </c>
      <c r="AN588">
        <f t="shared" si="361"/>
        <v>0</v>
      </c>
      <c r="AO588">
        <f t="shared" si="362"/>
        <v>0</v>
      </c>
      <c r="AP588">
        <f t="shared" si="363"/>
        <v>0</v>
      </c>
      <c r="AQ588">
        <f t="shared" si="364"/>
        <v>0</v>
      </c>
    </row>
    <row r="589" spans="1:43" ht="15.5" x14ac:dyDescent="0.35">
      <c r="A589" s="51">
        <v>32</v>
      </c>
      <c r="B589" s="13" t="s">
        <v>415</v>
      </c>
      <c r="C589" s="17" t="s">
        <v>89</v>
      </c>
      <c r="D589" s="17" t="s">
        <v>228</v>
      </c>
      <c r="E589" s="19">
        <v>3395.2191867659399</v>
      </c>
      <c r="F589">
        <f t="shared" si="329"/>
        <v>0</v>
      </c>
      <c r="G589">
        <f t="shared" si="330"/>
        <v>0</v>
      </c>
      <c r="H589">
        <f t="shared" si="331"/>
        <v>0</v>
      </c>
      <c r="I589">
        <f t="shared" si="332"/>
        <v>0</v>
      </c>
      <c r="J589">
        <f t="shared" si="333"/>
        <v>0</v>
      </c>
      <c r="K589">
        <f t="shared" si="334"/>
        <v>0</v>
      </c>
      <c r="L589">
        <f t="shared" si="335"/>
        <v>0</v>
      </c>
      <c r="M589">
        <f t="shared" si="336"/>
        <v>0</v>
      </c>
      <c r="N589">
        <f t="shared" si="337"/>
        <v>0</v>
      </c>
      <c r="O589">
        <f t="shared" si="338"/>
        <v>0</v>
      </c>
      <c r="P589">
        <f t="shared" si="339"/>
        <v>3395.2191867659399</v>
      </c>
      <c r="Q589">
        <f t="shared" si="340"/>
        <v>0</v>
      </c>
      <c r="S589">
        <f t="shared" si="341"/>
        <v>24</v>
      </c>
      <c r="T589">
        <f t="shared" si="342"/>
        <v>23</v>
      </c>
      <c r="U589">
        <f t="shared" si="343"/>
        <v>6</v>
      </c>
      <c r="V589">
        <f t="shared" si="344"/>
        <v>10</v>
      </c>
      <c r="W589">
        <f t="shared" si="345"/>
        <v>44</v>
      </c>
      <c r="X589">
        <f t="shared" si="346"/>
        <v>29</v>
      </c>
      <c r="Y589">
        <f t="shared" si="347"/>
        <v>8</v>
      </c>
      <c r="Z589">
        <f t="shared" si="348"/>
        <v>3</v>
      </c>
      <c r="AA589">
        <f t="shared" si="349"/>
        <v>3</v>
      </c>
      <c r="AB589">
        <f t="shared" si="350"/>
        <v>2</v>
      </c>
      <c r="AC589">
        <f t="shared" si="351"/>
        <v>54</v>
      </c>
      <c r="AD589">
        <f t="shared" si="352"/>
        <v>0</v>
      </c>
      <c r="AF589">
        <f t="shared" si="353"/>
        <v>0</v>
      </c>
      <c r="AG589">
        <f t="shared" si="354"/>
        <v>0</v>
      </c>
      <c r="AH589">
        <f t="shared" si="355"/>
        <v>0</v>
      </c>
      <c r="AI589">
        <f t="shared" si="356"/>
        <v>0</v>
      </c>
      <c r="AJ589">
        <f t="shared" si="357"/>
        <v>0</v>
      </c>
      <c r="AK589">
        <f t="shared" si="358"/>
        <v>0</v>
      </c>
      <c r="AL589">
        <f t="shared" si="359"/>
        <v>0</v>
      </c>
      <c r="AM589">
        <f t="shared" si="360"/>
        <v>0</v>
      </c>
      <c r="AN589">
        <f t="shared" si="361"/>
        <v>0</v>
      </c>
      <c r="AO589">
        <f t="shared" si="362"/>
        <v>0</v>
      </c>
      <c r="AP589">
        <f t="shared" si="363"/>
        <v>0</v>
      </c>
      <c r="AQ589">
        <f t="shared" si="364"/>
        <v>0</v>
      </c>
    </row>
    <row r="590" spans="1:43" ht="15.5" x14ac:dyDescent="0.35">
      <c r="A590" s="51">
        <v>33</v>
      </c>
      <c r="B590" s="13" t="s">
        <v>415</v>
      </c>
      <c r="C590" s="17" t="s">
        <v>83</v>
      </c>
      <c r="D590" s="1" t="s">
        <v>417</v>
      </c>
      <c r="E590" s="19">
        <v>2883.8490126994056</v>
      </c>
      <c r="F590">
        <f t="shared" si="329"/>
        <v>0</v>
      </c>
      <c r="G590">
        <f t="shared" si="330"/>
        <v>0</v>
      </c>
      <c r="H590">
        <f t="shared" si="331"/>
        <v>0</v>
      </c>
      <c r="I590">
        <f t="shared" si="332"/>
        <v>0</v>
      </c>
      <c r="J590">
        <f t="shared" si="333"/>
        <v>0</v>
      </c>
      <c r="K590">
        <f t="shared" si="334"/>
        <v>0</v>
      </c>
      <c r="L590">
        <f t="shared" si="335"/>
        <v>2883.8490126994056</v>
      </c>
      <c r="M590">
        <f t="shared" si="336"/>
        <v>0</v>
      </c>
      <c r="N590">
        <f t="shared" si="337"/>
        <v>0</v>
      </c>
      <c r="O590">
        <f t="shared" si="338"/>
        <v>0</v>
      </c>
      <c r="P590">
        <f t="shared" si="339"/>
        <v>0</v>
      </c>
      <c r="Q590">
        <f t="shared" si="340"/>
        <v>0</v>
      </c>
      <c r="S590">
        <f t="shared" si="341"/>
        <v>24</v>
      </c>
      <c r="T590">
        <f t="shared" si="342"/>
        <v>23</v>
      </c>
      <c r="U590">
        <f t="shared" si="343"/>
        <v>6</v>
      </c>
      <c r="V590">
        <f t="shared" si="344"/>
        <v>10</v>
      </c>
      <c r="W590">
        <f t="shared" si="345"/>
        <v>44</v>
      </c>
      <c r="X590">
        <f t="shared" si="346"/>
        <v>29</v>
      </c>
      <c r="Y590">
        <f t="shared" si="347"/>
        <v>8</v>
      </c>
      <c r="Z590">
        <f t="shared" si="348"/>
        <v>3</v>
      </c>
      <c r="AA590">
        <f t="shared" si="349"/>
        <v>3</v>
      </c>
      <c r="AB590">
        <f t="shared" si="350"/>
        <v>2</v>
      </c>
      <c r="AC590">
        <f t="shared" si="351"/>
        <v>53</v>
      </c>
      <c r="AD590">
        <f t="shared" si="352"/>
        <v>0</v>
      </c>
      <c r="AF590">
        <f t="shared" si="353"/>
        <v>0</v>
      </c>
      <c r="AG590">
        <f t="shared" si="354"/>
        <v>0</v>
      </c>
      <c r="AH590">
        <f t="shared" si="355"/>
        <v>0</v>
      </c>
      <c r="AI590">
        <f t="shared" si="356"/>
        <v>0</v>
      </c>
      <c r="AJ590">
        <f t="shared" si="357"/>
        <v>0</v>
      </c>
      <c r="AK590">
        <f t="shared" si="358"/>
        <v>0</v>
      </c>
      <c r="AL590">
        <f t="shared" si="359"/>
        <v>2883.8490126994056</v>
      </c>
      <c r="AM590">
        <f t="shared" si="360"/>
        <v>0</v>
      </c>
      <c r="AN590">
        <f t="shared" si="361"/>
        <v>0</v>
      </c>
      <c r="AO590">
        <f t="shared" si="362"/>
        <v>0</v>
      </c>
      <c r="AP590">
        <f t="shared" si="363"/>
        <v>0</v>
      </c>
      <c r="AQ590">
        <f t="shared" si="364"/>
        <v>0</v>
      </c>
    </row>
    <row r="591" spans="1:43" ht="15.5" x14ac:dyDescent="0.35">
      <c r="A591" s="51">
        <v>34</v>
      </c>
      <c r="B591" s="13" t="s">
        <v>418</v>
      </c>
      <c r="C591" s="17" t="s">
        <v>87</v>
      </c>
      <c r="D591" s="17" t="s">
        <v>94</v>
      </c>
      <c r="E591" s="19">
        <v>3198.1123694406547</v>
      </c>
      <c r="F591">
        <f t="shared" si="329"/>
        <v>0</v>
      </c>
      <c r="G591">
        <f t="shared" si="330"/>
        <v>0</v>
      </c>
      <c r="H591">
        <f t="shared" si="331"/>
        <v>0</v>
      </c>
      <c r="I591">
        <f t="shared" si="332"/>
        <v>0</v>
      </c>
      <c r="J591">
        <f t="shared" si="333"/>
        <v>0</v>
      </c>
      <c r="K591">
        <f t="shared" si="334"/>
        <v>0</v>
      </c>
      <c r="L591">
        <f t="shared" si="335"/>
        <v>3198.1123694406547</v>
      </c>
      <c r="M591">
        <f t="shared" si="336"/>
        <v>0</v>
      </c>
      <c r="N591">
        <f t="shared" si="337"/>
        <v>0</v>
      </c>
      <c r="O591">
        <f t="shared" si="338"/>
        <v>0</v>
      </c>
      <c r="P591">
        <f t="shared" si="339"/>
        <v>0</v>
      </c>
      <c r="Q591">
        <f t="shared" si="340"/>
        <v>0</v>
      </c>
      <c r="S591">
        <f t="shared" si="341"/>
        <v>24</v>
      </c>
      <c r="T591">
        <f t="shared" si="342"/>
        <v>23</v>
      </c>
      <c r="U591">
        <f t="shared" si="343"/>
        <v>6</v>
      </c>
      <c r="V591">
        <f t="shared" si="344"/>
        <v>10</v>
      </c>
      <c r="W591">
        <f t="shared" si="345"/>
        <v>44</v>
      </c>
      <c r="X591">
        <f t="shared" si="346"/>
        <v>29</v>
      </c>
      <c r="Y591">
        <f t="shared" si="347"/>
        <v>7</v>
      </c>
      <c r="Z591">
        <f t="shared" si="348"/>
        <v>3</v>
      </c>
      <c r="AA591">
        <f t="shared" si="349"/>
        <v>3</v>
      </c>
      <c r="AB591">
        <f t="shared" si="350"/>
        <v>2</v>
      </c>
      <c r="AC591">
        <f t="shared" si="351"/>
        <v>53</v>
      </c>
      <c r="AD591">
        <f t="shared" si="352"/>
        <v>0</v>
      </c>
      <c r="AF591">
        <f t="shared" si="353"/>
        <v>0</v>
      </c>
      <c r="AG591">
        <f t="shared" si="354"/>
        <v>0</v>
      </c>
      <c r="AH591">
        <f t="shared" si="355"/>
        <v>0</v>
      </c>
      <c r="AI591">
        <f t="shared" si="356"/>
        <v>0</v>
      </c>
      <c r="AJ591">
        <f t="shared" si="357"/>
        <v>0</v>
      </c>
      <c r="AK591">
        <f t="shared" si="358"/>
        <v>0</v>
      </c>
      <c r="AL591">
        <f t="shared" si="359"/>
        <v>3198.1123694406547</v>
      </c>
      <c r="AM591">
        <f t="shared" si="360"/>
        <v>0</v>
      </c>
      <c r="AN591">
        <f t="shared" si="361"/>
        <v>0</v>
      </c>
      <c r="AO591">
        <f t="shared" si="362"/>
        <v>0</v>
      </c>
      <c r="AP591">
        <f t="shared" si="363"/>
        <v>0</v>
      </c>
      <c r="AQ591">
        <f t="shared" si="364"/>
        <v>0</v>
      </c>
    </row>
    <row r="592" spans="1:43" ht="15.5" x14ac:dyDescent="0.35">
      <c r="A592" s="51">
        <v>35</v>
      </c>
      <c r="B592" s="13" t="s">
        <v>418</v>
      </c>
      <c r="C592" s="1" t="s">
        <v>420</v>
      </c>
      <c r="D592" s="1" t="s">
        <v>227</v>
      </c>
      <c r="E592" s="19">
        <v>3038.2765518783544</v>
      </c>
      <c r="F592">
        <f t="shared" si="329"/>
        <v>0</v>
      </c>
      <c r="G592">
        <f t="shared" si="330"/>
        <v>3038.2765518783544</v>
      </c>
      <c r="H592">
        <f t="shared" si="331"/>
        <v>0</v>
      </c>
      <c r="I592">
        <f t="shared" si="332"/>
        <v>0</v>
      </c>
      <c r="J592">
        <f t="shared" si="333"/>
        <v>0</v>
      </c>
      <c r="K592">
        <f t="shared" si="334"/>
        <v>0</v>
      </c>
      <c r="L592">
        <f t="shared" si="335"/>
        <v>0</v>
      </c>
      <c r="M592">
        <f t="shared" si="336"/>
        <v>0</v>
      </c>
      <c r="N592">
        <f t="shared" si="337"/>
        <v>0</v>
      </c>
      <c r="O592">
        <f t="shared" si="338"/>
        <v>0</v>
      </c>
      <c r="P592">
        <f t="shared" si="339"/>
        <v>0</v>
      </c>
      <c r="Q592">
        <f t="shared" si="340"/>
        <v>0</v>
      </c>
      <c r="S592">
        <f t="shared" si="341"/>
        <v>24</v>
      </c>
      <c r="T592">
        <f t="shared" si="342"/>
        <v>23</v>
      </c>
      <c r="U592">
        <f t="shared" si="343"/>
        <v>6</v>
      </c>
      <c r="V592">
        <f t="shared" si="344"/>
        <v>10</v>
      </c>
      <c r="W592">
        <f t="shared" si="345"/>
        <v>44</v>
      </c>
      <c r="X592">
        <f t="shared" si="346"/>
        <v>29</v>
      </c>
      <c r="Y592">
        <f t="shared" si="347"/>
        <v>6</v>
      </c>
      <c r="Z592">
        <f t="shared" si="348"/>
        <v>3</v>
      </c>
      <c r="AA592">
        <f t="shared" si="349"/>
        <v>3</v>
      </c>
      <c r="AB592">
        <f t="shared" si="350"/>
        <v>2</v>
      </c>
      <c r="AC592">
        <f t="shared" si="351"/>
        <v>53</v>
      </c>
      <c r="AD592">
        <f t="shared" si="352"/>
        <v>0</v>
      </c>
      <c r="AF592">
        <f t="shared" si="353"/>
        <v>0</v>
      </c>
      <c r="AG592">
        <f t="shared" si="354"/>
        <v>0</v>
      </c>
      <c r="AH592">
        <f t="shared" si="355"/>
        <v>0</v>
      </c>
      <c r="AI592">
        <f t="shared" si="356"/>
        <v>0</v>
      </c>
      <c r="AJ592">
        <f t="shared" si="357"/>
        <v>0</v>
      </c>
      <c r="AK592">
        <f t="shared" si="358"/>
        <v>0</v>
      </c>
      <c r="AL592">
        <f t="shared" si="359"/>
        <v>0</v>
      </c>
      <c r="AM592">
        <f t="shared" si="360"/>
        <v>0</v>
      </c>
      <c r="AN592">
        <f t="shared" si="361"/>
        <v>0</v>
      </c>
      <c r="AO592">
        <f t="shared" si="362"/>
        <v>0</v>
      </c>
      <c r="AP592">
        <f t="shared" si="363"/>
        <v>0</v>
      </c>
      <c r="AQ592">
        <f t="shared" si="364"/>
        <v>0</v>
      </c>
    </row>
    <row r="593" spans="1:43" ht="15.5" x14ac:dyDescent="0.35">
      <c r="A593" s="51">
        <v>36</v>
      </c>
      <c r="B593" s="13" t="s">
        <v>418</v>
      </c>
      <c r="C593" s="1" t="s">
        <v>91</v>
      </c>
      <c r="D593" s="1" t="s">
        <v>54</v>
      </c>
      <c r="E593" s="19">
        <v>2911.2751791666665</v>
      </c>
      <c r="F593">
        <f t="shared" si="329"/>
        <v>0</v>
      </c>
      <c r="G593">
        <f t="shared" si="330"/>
        <v>0</v>
      </c>
      <c r="H593">
        <f t="shared" si="331"/>
        <v>0</v>
      </c>
      <c r="I593">
        <f t="shared" si="332"/>
        <v>0</v>
      </c>
      <c r="J593">
        <f t="shared" si="333"/>
        <v>0</v>
      </c>
      <c r="K593">
        <f t="shared" si="334"/>
        <v>2911.2751791666665</v>
      </c>
      <c r="L593">
        <f t="shared" si="335"/>
        <v>0</v>
      </c>
      <c r="M593">
        <f t="shared" si="336"/>
        <v>0</v>
      </c>
      <c r="N593">
        <f t="shared" si="337"/>
        <v>0</v>
      </c>
      <c r="O593">
        <f t="shared" si="338"/>
        <v>0</v>
      </c>
      <c r="P593">
        <f t="shared" si="339"/>
        <v>0</v>
      </c>
      <c r="Q593">
        <f t="shared" si="340"/>
        <v>0</v>
      </c>
      <c r="S593">
        <f t="shared" si="341"/>
        <v>24</v>
      </c>
      <c r="T593">
        <f t="shared" si="342"/>
        <v>22</v>
      </c>
      <c r="U593">
        <f t="shared" si="343"/>
        <v>6</v>
      </c>
      <c r="V593">
        <f t="shared" si="344"/>
        <v>10</v>
      </c>
      <c r="W593">
        <f t="shared" si="345"/>
        <v>44</v>
      </c>
      <c r="X593">
        <f t="shared" si="346"/>
        <v>29</v>
      </c>
      <c r="Y593">
        <f t="shared" si="347"/>
        <v>6</v>
      </c>
      <c r="Z593">
        <f t="shared" si="348"/>
        <v>3</v>
      </c>
      <c r="AA593">
        <f t="shared" si="349"/>
        <v>3</v>
      </c>
      <c r="AB593">
        <f t="shared" si="350"/>
        <v>2</v>
      </c>
      <c r="AC593">
        <f t="shared" si="351"/>
        <v>53</v>
      </c>
      <c r="AD593">
        <f t="shared" si="352"/>
        <v>0</v>
      </c>
      <c r="AF593">
        <f t="shared" si="353"/>
        <v>0</v>
      </c>
      <c r="AG593">
        <f t="shared" si="354"/>
        <v>0</v>
      </c>
      <c r="AH593">
        <f t="shared" si="355"/>
        <v>0</v>
      </c>
      <c r="AI593">
        <f t="shared" si="356"/>
        <v>0</v>
      </c>
      <c r="AJ593">
        <f t="shared" si="357"/>
        <v>0</v>
      </c>
      <c r="AK593">
        <f t="shared" si="358"/>
        <v>0</v>
      </c>
      <c r="AL593">
        <f t="shared" si="359"/>
        <v>0</v>
      </c>
      <c r="AM593">
        <f t="shared" si="360"/>
        <v>0</v>
      </c>
      <c r="AN593">
        <f t="shared" si="361"/>
        <v>0</v>
      </c>
      <c r="AO593">
        <f t="shared" si="362"/>
        <v>0</v>
      </c>
      <c r="AP593">
        <f t="shared" si="363"/>
        <v>0</v>
      </c>
      <c r="AQ593">
        <f t="shared" si="364"/>
        <v>0</v>
      </c>
    </row>
    <row r="594" spans="1:43" ht="15.5" x14ac:dyDescent="0.35">
      <c r="A594" s="51">
        <v>37</v>
      </c>
      <c r="B594" s="13" t="s">
        <v>418</v>
      </c>
      <c r="C594" s="1" t="s">
        <v>93</v>
      </c>
      <c r="D594" s="1" t="s">
        <v>60</v>
      </c>
      <c r="E594" s="19">
        <v>2840.1055912623397</v>
      </c>
      <c r="F594">
        <f t="shared" si="329"/>
        <v>0</v>
      </c>
      <c r="G594">
        <f t="shared" si="330"/>
        <v>0</v>
      </c>
      <c r="H594">
        <f t="shared" si="331"/>
        <v>0</v>
      </c>
      <c r="I594">
        <f t="shared" si="332"/>
        <v>0</v>
      </c>
      <c r="J594">
        <f t="shared" si="333"/>
        <v>2840.1055912623397</v>
      </c>
      <c r="K594">
        <f t="shared" si="334"/>
        <v>0</v>
      </c>
      <c r="L594">
        <f t="shared" si="335"/>
        <v>0</v>
      </c>
      <c r="M594">
        <f t="shared" si="336"/>
        <v>0</v>
      </c>
      <c r="N594">
        <f t="shared" si="337"/>
        <v>0</v>
      </c>
      <c r="O594">
        <f t="shared" si="338"/>
        <v>0</v>
      </c>
      <c r="P594">
        <f t="shared" si="339"/>
        <v>0</v>
      </c>
      <c r="Q594">
        <f t="shared" si="340"/>
        <v>0</v>
      </c>
      <c r="S594">
        <f t="shared" si="341"/>
        <v>24</v>
      </c>
      <c r="T594">
        <f t="shared" si="342"/>
        <v>22</v>
      </c>
      <c r="U594">
        <f t="shared" si="343"/>
        <v>6</v>
      </c>
      <c r="V594">
        <f t="shared" si="344"/>
        <v>10</v>
      </c>
      <c r="W594">
        <f t="shared" si="345"/>
        <v>44</v>
      </c>
      <c r="X594">
        <f t="shared" si="346"/>
        <v>28</v>
      </c>
      <c r="Y594">
        <f t="shared" si="347"/>
        <v>6</v>
      </c>
      <c r="Z594">
        <f t="shared" si="348"/>
        <v>3</v>
      </c>
      <c r="AA594">
        <f t="shared" si="349"/>
        <v>3</v>
      </c>
      <c r="AB594">
        <f t="shared" si="350"/>
        <v>2</v>
      </c>
      <c r="AC594">
        <f t="shared" si="351"/>
        <v>53</v>
      </c>
      <c r="AD594">
        <f t="shared" si="352"/>
        <v>0</v>
      </c>
      <c r="AF594">
        <f t="shared" si="353"/>
        <v>0</v>
      </c>
      <c r="AG594">
        <f t="shared" si="354"/>
        <v>0</v>
      </c>
      <c r="AH594">
        <f t="shared" si="355"/>
        <v>0</v>
      </c>
      <c r="AI594">
        <f t="shared" si="356"/>
        <v>0</v>
      </c>
      <c r="AJ594">
        <f t="shared" si="357"/>
        <v>0</v>
      </c>
      <c r="AK594">
        <f t="shared" si="358"/>
        <v>0</v>
      </c>
      <c r="AL594">
        <f t="shared" si="359"/>
        <v>0</v>
      </c>
      <c r="AM594">
        <f t="shared" si="360"/>
        <v>0</v>
      </c>
      <c r="AN594">
        <f t="shared" si="361"/>
        <v>0</v>
      </c>
      <c r="AO594">
        <f t="shared" si="362"/>
        <v>0</v>
      </c>
      <c r="AP594">
        <f t="shared" si="363"/>
        <v>0</v>
      </c>
      <c r="AQ594">
        <f t="shared" si="364"/>
        <v>0</v>
      </c>
    </row>
    <row r="595" spans="1:43" ht="15.5" x14ac:dyDescent="0.35">
      <c r="A595" s="51">
        <v>38</v>
      </c>
      <c r="B595" s="13" t="s">
        <v>418</v>
      </c>
      <c r="C595" s="1" t="s">
        <v>92</v>
      </c>
      <c r="D595" s="1" t="s">
        <v>76</v>
      </c>
      <c r="E595" s="19">
        <v>3063.4535213402387</v>
      </c>
      <c r="F595">
        <f t="shared" si="329"/>
        <v>3063.4535213402387</v>
      </c>
      <c r="G595">
        <f t="shared" si="330"/>
        <v>0</v>
      </c>
      <c r="H595">
        <f t="shared" si="331"/>
        <v>0</v>
      </c>
      <c r="I595">
        <f t="shared" si="332"/>
        <v>0</v>
      </c>
      <c r="J595">
        <f t="shared" si="333"/>
        <v>0</v>
      </c>
      <c r="K595">
        <f t="shared" si="334"/>
        <v>0</v>
      </c>
      <c r="L595">
        <f t="shared" si="335"/>
        <v>0</v>
      </c>
      <c r="M595">
        <f t="shared" si="336"/>
        <v>0</v>
      </c>
      <c r="N595">
        <f t="shared" si="337"/>
        <v>0</v>
      </c>
      <c r="O595">
        <f t="shared" si="338"/>
        <v>0</v>
      </c>
      <c r="P595">
        <f t="shared" si="339"/>
        <v>0</v>
      </c>
      <c r="Q595">
        <f t="shared" si="340"/>
        <v>0</v>
      </c>
      <c r="S595">
        <f t="shared" si="341"/>
        <v>24</v>
      </c>
      <c r="T595">
        <f t="shared" si="342"/>
        <v>22</v>
      </c>
      <c r="U595">
        <f t="shared" si="343"/>
        <v>6</v>
      </c>
      <c r="V595">
        <f t="shared" si="344"/>
        <v>10</v>
      </c>
      <c r="W595">
        <f t="shared" si="345"/>
        <v>43</v>
      </c>
      <c r="X595">
        <f t="shared" si="346"/>
        <v>28</v>
      </c>
      <c r="Y595">
        <f t="shared" si="347"/>
        <v>6</v>
      </c>
      <c r="Z595">
        <f t="shared" si="348"/>
        <v>3</v>
      </c>
      <c r="AA595">
        <f t="shared" si="349"/>
        <v>3</v>
      </c>
      <c r="AB595">
        <f t="shared" si="350"/>
        <v>2</v>
      </c>
      <c r="AC595">
        <f t="shared" si="351"/>
        <v>53</v>
      </c>
      <c r="AD595">
        <f t="shared" si="352"/>
        <v>0</v>
      </c>
      <c r="AF595">
        <f t="shared" si="353"/>
        <v>0</v>
      </c>
      <c r="AG595">
        <f t="shared" si="354"/>
        <v>0</v>
      </c>
      <c r="AH595">
        <f t="shared" si="355"/>
        <v>0</v>
      </c>
      <c r="AI595">
        <f t="shared" si="356"/>
        <v>0</v>
      </c>
      <c r="AJ595">
        <f t="shared" si="357"/>
        <v>0</v>
      </c>
      <c r="AK595">
        <f t="shared" si="358"/>
        <v>0</v>
      </c>
      <c r="AL595">
        <f t="shared" si="359"/>
        <v>0</v>
      </c>
      <c r="AM595">
        <f t="shared" si="360"/>
        <v>0</v>
      </c>
      <c r="AN595">
        <f t="shared" si="361"/>
        <v>0</v>
      </c>
      <c r="AO595">
        <f t="shared" si="362"/>
        <v>0</v>
      </c>
      <c r="AP595">
        <f t="shared" si="363"/>
        <v>0</v>
      </c>
      <c r="AQ595">
        <f t="shared" si="364"/>
        <v>0</v>
      </c>
    </row>
    <row r="596" spans="1:43" ht="15.5" x14ac:dyDescent="0.35">
      <c r="A596" s="51">
        <v>39</v>
      </c>
      <c r="B596" s="13" t="s">
        <v>419</v>
      </c>
      <c r="C596" s="1" t="s">
        <v>95</v>
      </c>
      <c r="D596" s="1" t="s">
        <v>227</v>
      </c>
      <c r="E596" s="70">
        <v>2690.0299629411761</v>
      </c>
      <c r="F596">
        <f t="shared" si="329"/>
        <v>0</v>
      </c>
      <c r="G596">
        <f t="shared" si="330"/>
        <v>2690.0299629411761</v>
      </c>
      <c r="H596">
        <f t="shared" si="331"/>
        <v>0</v>
      </c>
      <c r="I596">
        <f t="shared" si="332"/>
        <v>0</v>
      </c>
      <c r="J596">
        <f t="shared" si="333"/>
        <v>0</v>
      </c>
      <c r="K596">
        <f t="shared" si="334"/>
        <v>0</v>
      </c>
      <c r="L596">
        <f t="shared" si="335"/>
        <v>0</v>
      </c>
      <c r="M596">
        <f t="shared" si="336"/>
        <v>0</v>
      </c>
      <c r="N596">
        <f t="shared" si="337"/>
        <v>0</v>
      </c>
      <c r="O596">
        <f t="shared" si="338"/>
        <v>0</v>
      </c>
      <c r="P596">
        <f t="shared" si="339"/>
        <v>0</v>
      </c>
      <c r="Q596">
        <f t="shared" si="340"/>
        <v>0</v>
      </c>
      <c r="S596">
        <f t="shared" si="341"/>
        <v>23</v>
      </c>
      <c r="T596">
        <f t="shared" si="342"/>
        <v>22</v>
      </c>
      <c r="U596">
        <f t="shared" si="343"/>
        <v>6</v>
      </c>
      <c r="V596">
        <f t="shared" si="344"/>
        <v>10</v>
      </c>
      <c r="W596">
        <f t="shared" si="345"/>
        <v>43</v>
      </c>
      <c r="X596">
        <f t="shared" si="346"/>
        <v>28</v>
      </c>
      <c r="Y596">
        <f t="shared" si="347"/>
        <v>6</v>
      </c>
      <c r="Z596">
        <f t="shared" si="348"/>
        <v>3</v>
      </c>
      <c r="AA596">
        <f t="shared" si="349"/>
        <v>3</v>
      </c>
      <c r="AB596">
        <f t="shared" si="350"/>
        <v>2</v>
      </c>
      <c r="AC596">
        <f t="shared" si="351"/>
        <v>53</v>
      </c>
      <c r="AD596">
        <f t="shared" si="352"/>
        <v>0</v>
      </c>
      <c r="AF596">
        <f t="shared" si="353"/>
        <v>0</v>
      </c>
      <c r="AG596">
        <f t="shared" si="354"/>
        <v>0</v>
      </c>
      <c r="AH596">
        <f t="shared" si="355"/>
        <v>0</v>
      </c>
      <c r="AI596">
        <f t="shared" si="356"/>
        <v>0</v>
      </c>
      <c r="AJ596">
        <f t="shared" si="357"/>
        <v>0</v>
      </c>
      <c r="AK596">
        <f t="shared" si="358"/>
        <v>0</v>
      </c>
      <c r="AL596">
        <f t="shared" si="359"/>
        <v>0</v>
      </c>
      <c r="AM596">
        <f t="shared" si="360"/>
        <v>0</v>
      </c>
      <c r="AN596">
        <f t="shared" si="361"/>
        <v>0</v>
      </c>
      <c r="AO596">
        <f t="shared" si="362"/>
        <v>0</v>
      </c>
      <c r="AP596">
        <f t="shared" si="363"/>
        <v>0</v>
      </c>
      <c r="AQ596">
        <f t="shared" si="364"/>
        <v>0</v>
      </c>
    </row>
    <row r="597" spans="1:43" ht="15.5" x14ac:dyDescent="0.35">
      <c r="A597" s="51">
        <v>40</v>
      </c>
      <c r="B597" s="13" t="s">
        <v>419</v>
      </c>
      <c r="C597" s="17" t="s">
        <v>99</v>
      </c>
      <c r="D597" s="17" t="s">
        <v>228</v>
      </c>
      <c r="E597" s="19">
        <v>3079.2095530253609</v>
      </c>
      <c r="F597">
        <f t="shared" si="329"/>
        <v>0</v>
      </c>
      <c r="G597">
        <f t="shared" si="330"/>
        <v>0</v>
      </c>
      <c r="H597">
        <f t="shared" si="331"/>
        <v>0</v>
      </c>
      <c r="I597">
        <f t="shared" si="332"/>
        <v>0</v>
      </c>
      <c r="J597">
        <f t="shared" si="333"/>
        <v>0</v>
      </c>
      <c r="K597">
        <f t="shared" si="334"/>
        <v>0</v>
      </c>
      <c r="L597">
        <f t="shared" si="335"/>
        <v>0</v>
      </c>
      <c r="M597">
        <f t="shared" si="336"/>
        <v>0</v>
      </c>
      <c r="N597">
        <f t="shared" si="337"/>
        <v>0</v>
      </c>
      <c r="O597">
        <f t="shared" si="338"/>
        <v>0</v>
      </c>
      <c r="P597">
        <f t="shared" si="339"/>
        <v>3079.2095530253609</v>
      </c>
      <c r="Q597">
        <f t="shared" si="340"/>
        <v>0</v>
      </c>
      <c r="S597">
        <f t="shared" si="341"/>
        <v>23</v>
      </c>
      <c r="T597">
        <f t="shared" si="342"/>
        <v>21</v>
      </c>
      <c r="U597">
        <f t="shared" si="343"/>
        <v>6</v>
      </c>
      <c r="V597">
        <f t="shared" si="344"/>
        <v>10</v>
      </c>
      <c r="W597">
        <f t="shared" si="345"/>
        <v>43</v>
      </c>
      <c r="X597">
        <f t="shared" si="346"/>
        <v>28</v>
      </c>
      <c r="Y597">
        <f t="shared" si="347"/>
        <v>6</v>
      </c>
      <c r="Z597">
        <f t="shared" si="348"/>
        <v>3</v>
      </c>
      <c r="AA597">
        <f t="shared" si="349"/>
        <v>3</v>
      </c>
      <c r="AB597">
        <f t="shared" si="350"/>
        <v>2</v>
      </c>
      <c r="AC597">
        <f t="shared" si="351"/>
        <v>53</v>
      </c>
      <c r="AD597">
        <f t="shared" si="352"/>
        <v>0</v>
      </c>
      <c r="AF597">
        <f t="shared" si="353"/>
        <v>0</v>
      </c>
      <c r="AG597">
        <f t="shared" si="354"/>
        <v>0</v>
      </c>
      <c r="AH597">
        <f t="shared" si="355"/>
        <v>0</v>
      </c>
      <c r="AI597">
        <f t="shared" si="356"/>
        <v>0</v>
      </c>
      <c r="AJ597">
        <f t="shared" si="357"/>
        <v>0</v>
      </c>
      <c r="AK597">
        <f t="shared" si="358"/>
        <v>0</v>
      </c>
      <c r="AL597">
        <f t="shared" si="359"/>
        <v>0</v>
      </c>
      <c r="AM597">
        <f t="shared" si="360"/>
        <v>0</v>
      </c>
      <c r="AN597">
        <f t="shared" si="361"/>
        <v>0</v>
      </c>
      <c r="AO597">
        <f t="shared" si="362"/>
        <v>0</v>
      </c>
      <c r="AP597">
        <f t="shared" si="363"/>
        <v>0</v>
      </c>
      <c r="AQ597">
        <f t="shared" si="364"/>
        <v>0</v>
      </c>
    </row>
    <row r="598" spans="1:43" ht="15.5" x14ac:dyDescent="0.35">
      <c r="A598" s="51">
        <v>41</v>
      </c>
      <c r="B598" s="13" t="s">
        <v>419</v>
      </c>
      <c r="C598" s="1" t="s">
        <v>98</v>
      </c>
      <c r="D598" s="1" t="s">
        <v>60</v>
      </c>
      <c r="E598" s="70">
        <v>2789.8402358500475</v>
      </c>
      <c r="F598">
        <f t="shared" si="329"/>
        <v>0</v>
      </c>
      <c r="G598">
        <f t="shared" si="330"/>
        <v>0</v>
      </c>
      <c r="H598">
        <f t="shared" si="331"/>
        <v>0</v>
      </c>
      <c r="I598">
        <f t="shared" si="332"/>
        <v>0</v>
      </c>
      <c r="J598">
        <f t="shared" si="333"/>
        <v>2789.8402358500475</v>
      </c>
      <c r="K598">
        <f t="shared" si="334"/>
        <v>0</v>
      </c>
      <c r="L598">
        <f t="shared" si="335"/>
        <v>0</v>
      </c>
      <c r="M598">
        <f t="shared" si="336"/>
        <v>0</v>
      </c>
      <c r="N598">
        <f t="shared" si="337"/>
        <v>0</v>
      </c>
      <c r="O598">
        <f t="shared" si="338"/>
        <v>0</v>
      </c>
      <c r="P598">
        <f t="shared" si="339"/>
        <v>0</v>
      </c>
      <c r="Q598">
        <f t="shared" si="340"/>
        <v>0</v>
      </c>
      <c r="S598">
        <f t="shared" si="341"/>
        <v>23</v>
      </c>
      <c r="T598">
        <f t="shared" si="342"/>
        <v>21</v>
      </c>
      <c r="U598">
        <f t="shared" si="343"/>
        <v>6</v>
      </c>
      <c r="V598">
        <f t="shared" si="344"/>
        <v>10</v>
      </c>
      <c r="W598">
        <f t="shared" si="345"/>
        <v>43</v>
      </c>
      <c r="X598">
        <f t="shared" si="346"/>
        <v>28</v>
      </c>
      <c r="Y598">
        <f t="shared" si="347"/>
        <v>6</v>
      </c>
      <c r="Z598">
        <f t="shared" si="348"/>
        <v>3</v>
      </c>
      <c r="AA598">
        <f t="shared" si="349"/>
        <v>3</v>
      </c>
      <c r="AB598">
        <f t="shared" si="350"/>
        <v>2</v>
      </c>
      <c r="AC598">
        <f t="shared" si="351"/>
        <v>52</v>
      </c>
      <c r="AD598">
        <f t="shared" si="352"/>
        <v>0</v>
      </c>
      <c r="AF598">
        <f t="shared" si="353"/>
        <v>0</v>
      </c>
      <c r="AG598">
        <f t="shared" si="354"/>
        <v>0</v>
      </c>
      <c r="AH598">
        <f t="shared" si="355"/>
        <v>0</v>
      </c>
      <c r="AI598">
        <f t="shared" si="356"/>
        <v>0</v>
      </c>
      <c r="AJ598">
        <f t="shared" si="357"/>
        <v>0</v>
      </c>
      <c r="AK598">
        <f t="shared" si="358"/>
        <v>0</v>
      </c>
      <c r="AL598">
        <f t="shared" si="359"/>
        <v>0</v>
      </c>
      <c r="AM598">
        <f t="shared" si="360"/>
        <v>0</v>
      </c>
      <c r="AN598">
        <f t="shared" si="361"/>
        <v>0</v>
      </c>
      <c r="AO598">
        <f t="shared" si="362"/>
        <v>0</v>
      </c>
      <c r="AP598">
        <f t="shared" si="363"/>
        <v>0</v>
      </c>
      <c r="AQ598">
        <f t="shared" si="364"/>
        <v>0</v>
      </c>
    </row>
    <row r="599" spans="1:43" ht="15.5" x14ac:dyDescent="0.35">
      <c r="A599" s="51">
        <v>42</v>
      </c>
      <c r="B599" s="13" t="s">
        <v>419</v>
      </c>
      <c r="C599" s="1" t="s">
        <v>314</v>
      </c>
      <c r="D599" s="1" t="s">
        <v>102</v>
      </c>
      <c r="E599" s="70">
        <v>2356.926630458504</v>
      </c>
      <c r="F599">
        <f t="shared" si="329"/>
        <v>0</v>
      </c>
      <c r="G599">
        <f t="shared" si="330"/>
        <v>0</v>
      </c>
      <c r="H599">
        <f t="shared" si="331"/>
        <v>0</v>
      </c>
      <c r="I599">
        <f t="shared" si="332"/>
        <v>0</v>
      </c>
      <c r="J599">
        <f t="shared" si="333"/>
        <v>0</v>
      </c>
      <c r="K599">
        <f t="shared" si="334"/>
        <v>0</v>
      </c>
      <c r="L599">
        <f t="shared" si="335"/>
        <v>0</v>
      </c>
      <c r="M599">
        <f t="shared" si="336"/>
        <v>0</v>
      </c>
      <c r="N599">
        <f t="shared" si="337"/>
        <v>0</v>
      </c>
      <c r="O599">
        <f t="shared" si="338"/>
        <v>2356.926630458504</v>
      </c>
      <c r="P599">
        <f t="shared" si="339"/>
        <v>0</v>
      </c>
      <c r="Q599">
        <f t="shared" si="340"/>
        <v>0</v>
      </c>
      <c r="S599">
        <f t="shared" si="341"/>
        <v>23</v>
      </c>
      <c r="T599">
        <f t="shared" si="342"/>
        <v>21</v>
      </c>
      <c r="U599">
        <f t="shared" si="343"/>
        <v>6</v>
      </c>
      <c r="V599">
        <f t="shared" si="344"/>
        <v>10</v>
      </c>
      <c r="W599">
        <f t="shared" si="345"/>
        <v>42</v>
      </c>
      <c r="X599">
        <f t="shared" si="346"/>
        <v>28</v>
      </c>
      <c r="Y599">
        <f t="shared" si="347"/>
        <v>6</v>
      </c>
      <c r="Z599">
        <f t="shared" si="348"/>
        <v>3</v>
      </c>
      <c r="AA599">
        <f t="shared" si="349"/>
        <v>3</v>
      </c>
      <c r="AB599">
        <f t="shared" si="350"/>
        <v>2</v>
      </c>
      <c r="AC599">
        <f t="shared" si="351"/>
        <v>52</v>
      </c>
      <c r="AD599">
        <f t="shared" si="352"/>
        <v>0</v>
      </c>
      <c r="AF599">
        <f t="shared" si="353"/>
        <v>0</v>
      </c>
      <c r="AG599">
        <f t="shared" si="354"/>
        <v>0</v>
      </c>
      <c r="AH599">
        <f t="shared" si="355"/>
        <v>0</v>
      </c>
      <c r="AI599">
        <f t="shared" si="356"/>
        <v>0</v>
      </c>
      <c r="AJ599">
        <f t="shared" si="357"/>
        <v>0</v>
      </c>
      <c r="AK599">
        <f t="shared" si="358"/>
        <v>0</v>
      </c>
      <c r="AL599">
        <f t="shared" si="359"/>
        <v>0</v>
      </c>
      <c r="AM599">
        <f t="shared" si="360"/>
        <v>0</v>
      </c>
      <c r="AN599">
        <f t="shared" si="361"/>
        <v>0</v>
      </c>
      <c r="AO599">
        <f t="shared" si="362"/>
        <v>2356.926630458504</v>
      </c>
      <c r="AP599">
        <f t="shared" si="363"/>
        <v>0</v>
      </c>
      <c r="AQ599">
        <f t="shared" si="364"/>
        <v>0</v>
      </c>
    </row>
    <row r="600" spans="1:43" ht="15.5" x14ac:dyDescent="0.35">
      <c r="A600" s="51">
        <v>43</v>
      </c>
      <c r="B600" s="13" t="s">
        <v>421</v>
      </c>
      <c r="C600" s="1" t="s">
        <v>101</v>
      </c>
      <c r="D600" s="1" t="s">
        <v>94</v>
      </c>
      <c r="E600" s="19">
        <v>2948.9733080155479</v>
      </c>
      <c r="F600">
        <f t="shared" si="329"/>
        <v>0</v>
      </c>
      <c r="G600">
        <f t="shared" si="330"/>
        <v>0</v>
      </c>
      <c r="H600">
        <f t="shared" si="331"/>
        <v>0</v>
      </c>
      <c r="I600">
        <f t="shared" si="332"/>
        <v>0</v>
      </c>
      <c r="J600">
        <f t="shared" si="333"/>
        <v>0</v>
      </c>
      <c r="K600">
        <f t="shared" si="334"/>
        <v>0</v>
      </c>
      <c r="L600">
        <f t="shared" si="335"/>
        <v>2948.9733080155479</v>
      </c>
      <c r="M600">
        <f t="shared" si="336"/>
        <v>0</v>
      </c>
      <c r="N600">
        <f t="shared" si="337"/>
        <v>0</v>
      </c>
      <c r="O600">
        <f t="shared" si="338"/>
        <v>0</v>
      </c>
      <c r="P600">
        <f t="shared" si="339"/>
        <v>0</v>
      </c>
      <c r="Q600">
        <f t="shared" si="340"/>
        <v>0</v>
      </c>
      <c r="S600">
        <f t="shared" si="341"/>
        <v>23</v>
      </c>
      <c r="T600">
        <f t="shared" si="342"/>
        <v>21</v>
      </c>
      <c r="U600">
        <f t="shared" si="343"/>
        <v>6</v>
      </c>
      <c r="V600">
        <f t="shared" si="344"/>
        <v>10</v>
      </c>
      <c r="W600">
        <f t="shared" si="345"/>
        <v>42</v>
      </c>
      <c r="X600">
        <f t="shared" si="346"/>
        <v>28</v>
      </c>
      <c r="Y600">
        <f t="shared" si="347"/>
        <v>6</v>
      </c>
      <c r="Z600">
        <f t="shared" si="348"/>
        <v>3</v>
      </c>
      <c r="AA600">
        <f t="shared" si="349"/>
        <v>3</v>
      </c>
      <c r="AB600">
        <f t="shared" si="350"/>
        <v>1</v>
      </c>
      <c r="AC600">
        <f t="shared" si="351"/>
        <v>52</v>
      </c>
      <c r="AD600">
        <f t="shared" si="352"/>
        <v>0</v>
      </c>
      <c r="AF600">
        <f t="shared" si="353"/>
        <v>0</v>
      </c>
      <c r="AG600">
        <f t="shared" si="354"/>
        <v>0</v>
      </c>
      <c r="AH600">
        <f t="shared" si="355"/>
        <v>0</v>
      </c>
      <c r="AI600">
        <f t="shared" si="356"/>
        <v>0</v>
      </c>
      <c r="AJ600">
        <f t="shared" si="357"/>
        <v>0</v>
      </c>
      <c r="AK600">
        <f t="shared" si="358"/>
        <v>0</v>
      </c>
      <c r="AL600">
        <f t="shared" si="359"/>
        <v>2948.9733080155479</v>
      </c>
      <c r="AM600">
        <f t="shared" si="360"/>
        <v>0</v>
      </c>
      <c r="AN600">
        <f t="shared" si="361"/>
        <v>0</v>
      </c>
      <c r="AO600">
        <f t="shared" si="362"/>
        <v>0</v>
      </c>
      <c r="AP600">
        <f t="shared" si="363"/>
        <v>0</v>
      </c>
      <c r="AQ600">
        <f t="shared" si="364"/>
        <v>0</v>
      </c>
    </row>
    <row r="601" spans="1:43" ht="15.5" x14ac:dyDescent="0.35">
      <c r="A601" s="51">
        <v>44</v>
      </c>
      <c r="B601" s="13" t="s">
        <v>421</v>
      </c>
      <c r="C601" s="1" t="s">
        <v>105</v>
      </c>
      <c r="D601" s="1" t="s">
        <v>67</v>
      </c>
      <c r="E601" s="19">
        <v>3182.1197666420508</v>
      </c>
      <c r="F601">
        <f t="shared" si="329"/>
        <v>0</v>
      </c>
      <c r="G601">
        <f t="shared" si="330"/>
        <v>0</v>
      </c>
      <c r="H601">
        <f t="shared" si="331"/>
        <v>0</v>
      </c>
      <c r="I601">
        <f t="shared" si="332"/>
        <v>3182.1197666420508</v>
      </c>
      <c r="J601">
        <f t="shared" si="333"/>
        <v>0</v>
      </c>
      <c r="K601">
        <f t="shared" si="334"/>
        <v>0</v>
      </c>
      <c r="L601">
        <f t="shared" si="335"/>
        <v>0</v>
      </c>
      <c r="M601">
        <f t="shared" si="336"/>
        <v>0</v>
      </c>
      <c r="N601">
        <f t="shared" si="337"/>
        <v>0</v>
      </c>
      <c r="O601">
        <f t="shared" si="338"/>
        <v>0</v>
      </c>
      <c r="P601">
        <f t="shared" si="339"/>
        <v>0</v>
      </c>
      <c r="Q601">
        <f t="shared" si="340"/>
        <v>0</v>
      </c>
      <c r="S601">
        <f t="shared" si="341"/>
        <v>23</v>
      </c>
      <c r="T601">
        <f t="shared" si="342"/>
        <v>21</v>
      </c>
      <c r="U601">
        <f t="shared" si="343"/>
        <v>6</v>
      </c>
      <c r="V601">
        <f t="shared" si="344"/>
        <v>10</v>
      </c>
      <c r="W601">
        <f t="shared" si="345"/>
        <v>42</v>
      </c>
      <c r="X601">
        <f t="shared" si="346"/>
        <v>28</v>
      </c>
      <c r="Y601">
        <f t="shared" si="347"/>
        <v>5</v>
      </c>
      <c r="Z601">
        <f t="shared" si="348"/>
        <v>3</v>
      </c>
      <c r="AA601">
        <f t="shared" si="349"/>
        <v>3</v>
      </c>
      <c r="AB601">
        <f t="shared" si="350"/>
        <v>1</v>
      </c>
      <c r="AC601">
        <f t="shared" si="351"/>
        <v>52</v>
      </c>
      <c r="AD601">
        <f t="shared" si="352"/>
        <v>0</v>
      </c>
      <c r="AF601">
        <f t="shared" si="353"/>
        <v>0</v>
      </c>
      <c r="AG601">
        <f t="shared" si="354"/>
        <v>0</v>
      </c>
      <c r="AH601">
        <f t="shared" si="355"/>
        <v>0</v>
      </c>
      <c r="AI601">
        <f t="shared" si="356"/>
        <v>3182.1197666420508</v>
      </c>
      <c r="AJ601">
        <f t="shared" si="357"/>
        <v>0</v>
      </c>
      <c r="AK601">
        <f t="shared" si="358"/>
        <v>0</v>
      </c>
      <c r="AL601">
        <f t="shared" si="359"/>
        <v>0</v>
      </c>
      <c r="AM601">
        <f t="shared" si="360"/>
        <v>0</v>
      </c>
      <c r="AN601">
        <f t="shared" si="361"/>
        <v>0</v>
      </c>
      <c r="AO601">
        <f t="shared" si="362"/>
        <v>0</v>
      </c>
      <c r="AP601">
        <f t="shared" si="363"/>
        <v>0</v>
      </c>
      <c r="AQ601">
        <f t="shared" si="364"/>
        <v>0</v>
      </c>
    </row>
    <row r="602" spans="1:43" ht="15.5" x14ac:dyDescent="0.35">
      <c r="A602" s="51">
        <v>45</v>
      </c>
      <c r="B602" s="13" t="s">
        <v>421</v>
      </c>
      <c r="C602" s="17" t="s">
        <v>103</v>
      </c>
      <c r="D602" s="17" t="s">
        <v>76</v>
      </c>
      <c r="E602" s="19">
        <v>3349.167664606683</v>
      </c>
      <c r="F602">
        <f t="shared" si="329"/>
        <v>3349.167664606683</v>
      </c>
      <c r="G602">
        <f t="shared" si="330"/>
        <v>0</v>
      </c>
      <c r="H602">
        <f t="shared" si="331"/>
        <v>0</v>
      </c>
      <c r="I602">
        <f t="shared" si="332"/>
        <v>0</v>
      </c>
      <c r="J602">
        <f t="shared" si="333"/>
        <v>0</v>
      </c>
      <c r="K602">
        <f t="shared" si="334"/>
        <v>0</v>
      </c>
      <c r="L602">
        <f t="shared" si="335"/>
        <v>0</v>
      </c>
      <c r="M602">
        <f t="shared" si="336"/>
        <v>0</v>
      </c>
      <c r="N602">
        <f t="shared" si="337"/>
        <v>0</v>
      </c>
      <c r="O602">
        <f t="shared" si="338"/>
        <v>0</v>
      </c>
      <c r="P602">
        <f t="shared" si="339"/>
        <v>0</v>
      </c>
      <c r="Q602">
        <f t="shared" si="340"/>
        <v>0</v>
      </c>
      <c r="S602">
        <f t="shared" si="341"/>
        <v>23</v>
      </c>
      <c r="T602">
        <f t="shared" si="342"/>
        <v>21</v>
      </c>
      <c r="U602">
        <f t="shared" si="343"/>
        <v>6</v>
      </c>
      <c r="V602">
        <f t="shared" si="344"/>
        <v>9</v>
      </c>
      <c r="W602">
        <f t="shared" si="345"/>
        <v>42</v>
      </c>
      <c r="X602">
        <f t="shared" si="346"/>
        <v>28</v>
      </c>
      <c r="Y602">
        <f t="shared" si="347"/>
        <v>5</v>
      </c>
      <c r="Z602">
        <f t="shared" si="348"/>
        <v>3</v>
      </c>
      <c r="AA602">
        <f t="shared" si="349"/>
        <v>3</v>
      </c>
      <c r="AB602">
        <f t="shared" si="350"/>
        <v>1</v>
      </c>
      <c r="AC602">
        <f t="shared" si="351"/>
        <v>52</v>
      </c>
      <c r="AD602">
        <f t="shared" si="352"/>
        <v>0</v>
      </c>
      <c r="AF602">
        <f t="shared" si="353"/>
        <v>0</v>
      </c>
      <c r="AG602">
        <f t="shared" si="354"/>
        <v>0</v>
      </c>
      <c r="AH602">
        <f t="shared" si="355"/>
        <v>0</v>
      </c>
      <c r="AI602">
        <f t="shared" si="356"/>
        <v>0</v>
      </c>
      <c r="AJ602">
        <f t="shared" si="357"/>
        <v>0</v>
      </c>
      <c r="AK602">
        <f t="shared" si="358"/>
        <v>0</v>
      </c>
      <c r="AL602">
        <f t="shared" si="359"/>
        <v>0</v>
      </c>
      <c r="AM602">
        <f t="shared" si="360"/>
        <v>0</v>
      </c>
      <c r="AN602">
        <f t="shared" si="361"/>
        <v>0</v>
      </c>
      <c r="AO602">
        <f t="shared" si="362"/>
        <v>0</v>
      </c>
      <c r="AP602">
        <f t="shared" si="363"/>
        <v>0</v>
      </c>
      <c r="AQ602">
        <f t="shared" si="364"/>
        <v>0</v>
      </c>
    </row>
    <row r="603" spans="1:43" ht="15.5" x14ac:dyDescent="0.35">
      <c r="A603" s="51">
        <v>46</v>
      </c>
      <c r="B603" s="13" t="s">
        <v>421</v>
      </c>
      <c r="C603" s="1" t="s">
        <v>107</v>
      </c>
      <c r="D603" s="1" t="s">
        <v>228</v>
      </c>
      <c r="E603" s="19">
        <v>2985.7308599290782</v>
      </c>
      <c r="F603">
        <f t="shared" si="329"/>
        <v>0</v>
      </c>
      <c r="G603">
        <f t="shared" si="330"/>
        <v>0</v>
      </c>
      <c r="H603">
        <f t="shared" si="331"/>
        <v>0</v>
      </c>
      <c r="I603">
        <f t="shared" si="332"/>
        <v>0</v>
      </c>
      <c r="J603">
        <f t="shared" si="333"/>
        <v>0</v>
      </c>
      <c r="K603">
        <f t="shared" si="334"/>
        <v>0</v>
      </c>
      <c r="L603">
        <f t="shared" si="335"/>
        <v>0</v>
      </c>
      <c r="M603">
        <f t="shared" si="336"/>
        <v>0</v>
      </c>
      <c r="N603">
        <f t="shared" si="337"/>
        <v>0</v>
      </c>
      <c r="O603">
        <f t="shared" si="338"/>
        <v>0</v>
      </c>
      <c r="P603">
        <f t="shared" si="339"/>
        <v>2985.7308599290782</v>
      </c>
      <c r="Q603">
        <f t="shared" si="340"/>
        <v>0</v>
      </c>
      <c r="S603">
        <f t="shared" si="341"/>
        <v>22</v>
      </c>
      <c r="T603">
        <f t="shared" si="342"/>
        <v>21</v>
      </c>
      <c r="U603">
        <f t="shared" si="343"/>
        <v>6</v>
      </c>
      <c r="V603">
        <f t="shared" si="344"/>
        <v>9</v>
      </c>
      <c r="W603">
        <f t="shared" si="345"/>
        <v>42</v>
      </c>
      <c r="X603">
        <f t="shared" si="346"/>
        <v>28</v>
      </c>
      <c r="Y603">
        <f t="shared" si="347"/>
        <v>5</v>
      </c>
      <c r="Z603">
        <f t="shared" si="348"/>
        <v>3</v>
      </c>
      <c r="AA603">
        <f t="shared" si="349"/>
        <v>3</v>
      </c>
      <c r="AB603">
        <f t="shared" si="350"/>
        <v>1</v>
      </c>
      <c r="AC603">
        <f t="shared" si="351"/>
        <v>52</v>
      </c>
      <c r="AD603">
        <f t="shared" si="352"/>
        <v>0</v>
      </c>
      <c r="AF603">
        <f t="shared" si="353"/>
        <v>0</v>
      </c>
      <c r="AG603">
        <f t="shared" si="354"/>
        <v>0</v>
      </c>
      <c r="AH603">
        <f t="shared" si="355"/>
        <v>0</v>
      </c>
      <c r="AI603">
        <f t="shared" si="356"/>
        <v>0</v>
      </c>
      <c r="AJ603">
        <f t="shared" si="357"/>
        <v>0</v>
      </c>
      <c r="AK603">
        <f t="shared" si="358"/>
        <v>0</v>
      </c>
      <c r="AL603">
        <f t="shared" si="359"/>
        <v>0</v>
      </c>
      <c r="AM603">
        <f t="shared" si="360"/>
        <v>0</v>
      </c>
      <c r="AN603">
        <f t="shared" si="361"/>
        <v>0</v>
      </c>
      <c r="AO603">
        <f t="shared" si="362"/>
        <v>0</v>
      </c>
      <c r="AP603">
        <f t="shared" si="363"/>
        <v>0</v>
      </c>
      <c r="AQ603">
        <f t="shared" si="364"/>
        <v>0</v>
      </c>
    </row>
    <row r="604" spans="1:43" ht="15.5" x14ac:dyDescent="0.35">
      <c r="A604" s="51">
        <v>47</v>
      </c>
      <c r="B604" s="13" t="s">
        <v>421</v>
      </c>
      <c r="C604" s="1" t="s">
        <v>104</v>
      </c>
      <c r="D604" s="1" t="s">
        <v>94</v>
      </c>
      <c r="E604" s="70">
        <v>2727.2586394078398</v>
      </c>
      <c r="F604">
        <f t="shared" si="329"/>
        <v>0</v>
      </c>
      <c r="G604">
        <f t="shared" si="330"/>
        <v>0</v>
      </c>
      <c r="H604">
        <f t="shared" si="331"/>
        <v>0</v>
      </c>
      <c r="I604">
        <f t="shared" si="332"/>
        <v>0</v>
      </c>
      <c r="J604">
        <f t="shared" si="333"/>
        <v>0</v>
      </c>
      <c r="K604">
        <f t="shared" si="334"/>
        <v>0</v>
      </c>
      <c r="L604">
        <f t="shared" si="335"/>
        <v>2727.2586394078398</v>
      </c>
      <c r="M604">
        <f t="shared" si="336"/>
        <v>0</v>
      </c>
      <c r="N604">
        <f t="shared" si="337"/>
        <v>0</v>
      </c>
      <c r="O604">
        <f t="shared" si="338"/>
        <v>0</v>
      </c>
      <c r="P604">
        <f t="shared" si="339"/>
        <v>0</v>
      </c>
      <c r="Q604">
        <f t="shared" si="340"/>
        <v>0</v>
      </c>
      <c r="S604">
        <f t="shared" si="341"/>
        <v>22</v>
      </c>
      <c r="T604">
        <f t="shared" si="342"/>
        <v>21</v>
      </c>
      <c r="U604">
        <f t="shared" si="343"/>
        <v>6</v>
      </c>
      <c r="V604">
        <f t="shared" si="344"/>
        <v>9</v>
      </c>
      <c r="W604">
        <f t="shared" si="345"/>
        <v>42</v>
      </c>
      <c r="X604">
        <f t="shared" si="346"/>
        <v>28</v>
      </c>
      <c r="Y604">
        <f t="shared" si="347"/>
        <v>5</v>
      </c>
      <c r="Z604">
        <f t="shared" si="348"/>
        <v>3</v>
      </c>
      <c r="AA604">
        <f t="shared" si="349"/>
        <v>3</v>
      </c>
      <c r="AB604">
        <f t="shared" si="350"/>
        <v>1</v>
      </c>
      <c r="AC604">
        <f t="shared" si="351"/>
        <v>51</v>
      </c>
      <c r="AD604">
        <f t="shared" si="352"/>
        <v>0</v>
      </c>
      <c r="AF604">
        <f t="shared" si="353"/>
        <v>0</v>
      </c>
      <c r="AG604">
        <f t="shared" si="354"/>
        <v>0</v>
      </c>
      <c r="AH604">
        <f t="shared" si="355"/>
        <v>0</v>
      </c>
      <c r="AI604">
        <f t="shared" si="356"/>
        <v>0</v>
      </c>
      <c r="AJ604">
        <f t="shared" si="357"/>
        <v>0</v>
      </c>
      <c r="AK604">
        <f t="shared" si="358"/>
        <v>0</v>
      </c>
      <c r="AL604">
        <f t="shared" si="359"/>
        <v>2727.2586394078398</v>
      </c>
      <c r="AM604">
        <f t="shared" si="360"/>
        <v>0</v>
      </c>
      <c r="AN604">
        <f t="shared" si="361"/>
        <v>0</v>
      </c>
      <c r="AO604">
        <f t="shared" si="362"/>
        <v>0</v>
      </c>
      <c r="AP604">
        <f t="shared" si="363"/>
        <v>0</v>
      </c>
      <c r="AQ604">
        <f t="shared" si="364"/>
        <v>0</v>
      </c>
    </row>
    <row r="605" spans="1:43" ht="15.5" x14ac:dyDescent="0.35">
      <c r="A605" s="51">
        <v>48</v>
      </c>
      <c r="B605" s="13" t="s">
        <v>421</v>
      </c>
      <c r="C605" s="1" t="s">
        <v>108</v>
      </c>
      <c r="D605" s="1" t="s">
        <v>60</v>
      </c>
      <c r="E605" s="19">
        <v>3279.8949308551742</v>
      </c>
      <c r="F605">
        <f t="shared" si="329"/>
        <v>0</v>
      </c>
      <c r="G605">
        <f t="shared" si="330"/>
        <v>0</v>
      </c>
      <c r="H605">
        <f t="shared" si="331"/>
        <v>0</v>
      </c>
      <c r="I605">
        <f t="shared" si="332"/>
        <v>0</v>
      </c>
      <c r="J605">
        <f t="shared" si="333"/>
        <v>3279.8949308551742</v>
      </c>
      <c r="K605">
        <f t="shared" si="334"/>
        <v>0</v>
      </c>
      <c r="L605">
        <f t="shared" si="335"/>
        <v>0</v>
      </c>
      <c r="M605">
        <f t="shared" si="336"/>
        <v>0</v>
      </c>
      <c r="N605">
        <f t="shared" si="337"/>
        <v>0</v>
      </c>
      <c r="O605">
        <f t="shared" si="338"/>
        <v>0</v>
      </c>
      <c r="P605">
        <f t="shared" si="339"/>
        <v>0</v>
      </c>
      <c r="Q605">
        <f t="shared" si="340"/>
        <v>0</v>
      </c>
      <c r="S605">
        <f t="shared" si="341"/>
        <v>22</v>
      </c>
      <c r="T605">
        <f t="shared" si="342"/>
        <v>21</v>
      </c>
      <c r="U605">
        <f t="shared" si="343"/>
        <v>6</v>
      </c>
      <c r="V605">
        <f t="shared" si="344"/>
        <v>9</v>
      </c>
      <c r="W605">
        <f t="shared" si="345"/>
        <v>42</v>
      </c>
      <c r="X605">
        <f t="shared" si="346"/>
        <v>28</v>
      </c>
      <c r="Y605">
        <f t="shared" si="347"/>
        <v>4</v>
      </c>
      <c r="Z605">
        <f t="shared" si="348"/>
        <v>3</v>
      </c>
      <c r="AA605">
        <f t="shared" si="349"/>
        <v>3</v>
      </c>
      <c r="AB605">
        <f t="shared" si="350"/>
        <v>1</v>
      </c>
      <c r="AC605">
        <f t="shared" si="351"/>
        <v>51</v>
      </c>
      <c r="AD605">
        <f t="shared" si="352"/>
        <v>0</v>
      </c>
      <c r="AF605">
        <f t="shared" si="353"/>
        <v>0</v>
      </c>
      <c r="AG605">
        <f t="shared" si="354"/>
        <v>0</v>
      </c>
      <c r="AH605">
        <f t="shared" si="355"/>
        <v>0</v>
      </c>
      <c r="AI605">
        <f t="shared" si="356"/>
        <v>0</v>
      </c>
      <c r="AJ605">
        <f t="shared" si="357"/>
        <v>0</v>
      </c>
      <c r="AK605">
        <f t="shared" si="358"/>
        <v>0</v>
      </c>
      <c r="AL605">
        <f t="shared" si="359"/>
        <v>0</v>
      </c>
      <c r="AM605">
        <f t="shared" si="360"/>
        <v>0</v>
      </c>
      <c r="AN605">
        <f t="shared" si="361"/>
        <v>0</v>
      </c>
      <c r="AO605">
        <f t="shared" si="362"/>
        <v>0</v>
      </c>
      <c r="AP605">
        <f t="shared" si="363"/>
        <v>0</v>
      </c>
      <c r="AQ605">
        <f t="shared" si="364"/>
        <v>0</v>
      </c>
    </row>
    <row r="606" spans="1:43" ht="15.5" x14ac:dyDescent="0.35">
      <c r="A606" s="51">
        <v>49</v>
      </c>
      <c r="B606" s="13" t="s">
        <v>422</v>
      </c>
      <c r="C606" s="1" t="s">
        <v>423</v>
      </c>
      <c r="D606" s="1" t="s">
        <v>60</v>
      </c>
      <c r="E606" s="19">
        <v>2999.7961930987822</v>
      </c>
      <c r="F606">
        <f t="shared" si="329"/>
        <v>0</v>
      </c>
      <c r="G606">
        <f t="shared" si="330"/>
        <v>0</v>
      </c>
      <c r="H606">
        <f t="shared" si="331"/>
        <v>0</v>
      </c>
      <c r="I606">
        <f t="shared" si="332"/>
        <v>0</v>
      </c>
      <c r="J606">
        <f t="shared" si="333"/>
        <v>2999.7961930987822</v>
      </c>
      <c r="K606">
        <f t="shared" si="334"/>
        <v>0</v>
      </c>
      <c r="L606">
        <f t="shared" si="335"/>
        <v>0</v>
      </c>
      <c r="M606">
        <f t="shared" si="336"/>
        <v>0</v>
      </c>
      <c r="N606">
        <f t="shared" si="337"/>
        <v>0</v>
      </c>
      <c r="O606">
        <f t="shared" si="338"/>
        <v>0</v>
      </c>
      <c r="P606">
        <f t="shared" si="339"/>
        <v>0</v>
      </c>
      <c r="Q606">
        <f t="shared" si="340"/>
        <v>0</v>
      </c>
      <c r="S606">
        <f t="shared" si="341"/>
        <v>22</v>
      </c>
      <c r="T606">
        <f t="shared" si="342"/>
        <v>21</v>
      </c>
      <c r="U606">
        <f t="shared" si="343"/>
        <v>6</v>
      </c>
      <c r="V606">
        <f t="shared" si="344"/>
        <v>9</v>
      </c>
      <c r="W606">
        <f t="shared" si="345"/>
        <v>41</v>
      </c>
      <c r="X606">
        <f t="shared" si="346"/>
        <v>28</v>
      </c>
      <c r="Y606">
        <f t="shared" si="347"/>
        <v>4</v>
      </c>
      <c r="Z606">
        <f t="shared" si="348"/>
        <v>3</v>
      </c>
      <c r="AA606">
        <f t="shared" si="349"/>
        <v>3</v>
      </c>
      <c r="AB606">
        <f t="shared" si="350"/>
        <v>1</v>
      </c>
      <c r="AC606">
        <f t="shared" si="351"/>
        <v>51</v>
      </c>
      <c r="AD606">
        <f t="shared" si="352"/>
        <v>0</v>
      </c>
      <c r="AF606">
        <f t="shared" si="353"/>
        <v>0</v>
      </c>
      <c r="AG606">
        <f t="shared" si="354"/>
        <v>0</v>
      </c>
      <c r="AH606">
        <f t="shared" si="355"/>
        <v>0</v>
      </c>
      <c r="AI606">
        <f t="shared" si="356"/>
        <v>0</v>
      </c>
      <c r="AJ606">
        <f t="shared" si="357"/>
        <v>0</v>
      </c>
      <c r="AK606">
        <f t="shared" si="358"/>
        <v>0</v>
      </c>
      <c r="AL606">
        <f t="shared" si="359"/>
        <v>0</v>
      </c>
      <c r="AM606">
        <f t="shared" si="360"/>
        <v>0</v>
      </c>
      <c r="AN606">
        <f t="shared" si="361"/>
        <v>0</v>
      </c>
      <c r="AO606">
        <f t="shared" si="362"/>
        <v>0</v>
      </c>
      <c r="AP606">
        <f t="shared" si="363"/>
        <v>0</v>
      </c>
      <c r="AQ606">
        <f t="shared" si="364"/>
        <v>0</v>
      </c>
    </row>
    <row r="607" spans="1:43" ht="15.5" x14ac:dyDescent="0.35">
      <c r="A607" s="51">
        <v>50</v>
      </c>
      <c r="B607" s="13" t="s">
        <v>422</v>
      </c>
      <c r="C607" s="17" t="s">
        <v>111</v>
      </c>
      <c r="D607" s="17" t="s">
        <v>80</v>
      </c>
      <c r="E607" s="19">
        <v>3083.9748392688307</v>
      </c>
      <c r="F607">
        <f t="shared" si="329"/>
        <v>0</v>
      </c>
      <c r="G607">
        <f t="shared" si="330"/>
        <v>0</v>
      </c>
      <c r="H607">
        <f t="shared" si="331"/>
        <v>3083.9748392688307</v>
      </c>
      <c r="I607">
        <f t="shared" si="332"/>
        <v>0</v>
      </c>
      <c r="J607">
        <f t="shared" si="333"/>
        <v>0</v>
      </c>
      <c r="K607">
        <f t="shared" si="334"/>
        <v>0</v>
      </c>
      <c r="L607">
        <f t="shared" si="335"/>
        <v>0</v>
      </c>
      <c r="M607">
        <f t="shared" si="336"/>
        <v>0</v>
      </c>
      <c r="N607">
        <f t="shared" si="337"/>
        <v>0</v>
      </c>
      <c r="O607">
        <f t="shared" si="338"/>
        <v>0</v>
      </c>
      <c r="P607">
        <f t="shared" si="339"/>
        <v>0</v>
      </c>
      <c r="Q607">
        <f t="shared" si="340"/>
        <v>0</v>
      </c>
      <c r="S607">
        <f t="shared" si="341"/>
        <v>22</v>
      </c>
      <c r="T607">
        <f t="shared" si="342"/>
        <v>21</v>
      </c>
      <c r="U607">
        <f t="shared" si="343"/>
        <v>6</v>
      </c>
      <c r="V607">
        <f t="shared" si="344"/>
        <v>9</v>
      </c>
      <c r="W607">
        <f t="shared" si="345"/>
        <v>40</v>
      </c>
      <c r="X607">
        <f t="shared" si="346"/>
        <v>28</v>
      </c>
      <c r="Y607">
        <f t="shared" si="347"/>
        <v>4</v>
      </c>
      <c r="Z607">
        <f t="shared" si="348"/>
        <v>3</v>
      </c>
      <c r="AA607">
        <f t="shared" si="349"/>
        <v>3</v>
      </c>
      <c r="AB607">
        <f t="shared" si="350"/>
        <v>1</v>
      </c>
      <c r="AC607">
        <f t="shared" si="351"/>
        <v>51</v>
      </c>
      <c r="AD607">
        <f t="shared" si="352"/>
        <v>0</v>
      </c>
      <c r="AF607">
        <f t="shared" si="353"/>
        <v>0</v>
      </c>
      <c r="AG607">
        <f t="shared" si="354"/>
        <v>0</v>
      </c>
      <c r="AH607">
        <f t="shared" si="355"/>
        <v>3083.9748392688307</v>
      </c>
      <c r="AI607">
        <f t="shared" si="356"/>
        <v>0</v>
      </c>
      <c r="AJ607">
        <f t="shared" si="357"/>
        <v>0</v>
      </c>
      <c r="AK607">
        <f t="shared" si="358"/>
        <v>0</v>
      </c>
      <c r="AL607">
        <f t="shared" si="359"/>
        <v>0</v>
      </c>
      <c r="AM607">
        <f t="shared" si="360"/>
        <v>0</v>
      </c>
      <c r="AN607">
        <f t="shared" si="361"/>
        <v>0</v>
      </c>
      <c r="AO607">
        <f t="shared" si="362"/>
        <v>0</v>
      </c>
      <c r="AP607">
        <f t="shared" si="363"/>
        <v>0</v>
      </c>
      <c r="AQ607">
        <f t="shared" si="364"/>
        <v>0</v>
      </c>
    </row>
    <row r="608" spans="1:43" ht="15.5" x14ac:dyDescent="0.35">
      <c r="A608" s="51">
        <v>51</v>
      </c>
      <c r="B608" s="13" t="s">
        <v>422</v>
      </c>
      <c r="C608" s="1" t="s">
        <v>113</v>
      </c>
      <c r="D608" s="1" t="s">
        <v>228</v>
      </c>
      <c r="E608" s="19">
        <v>3199.8854452316073</v>
      </c>
      <c r="F608">
        <f t="shared" si="329"/>
        <v>0</v>
      </c>
      <c r="G608">
        <f t="shared" si="330"/>
        <v>0</v>
      </c>
      <c r="H608">
        <f t="shared" si="331"/>
        <v>0</v>
      </c>
      <c r="I608">
        <f t="shared" si="332"/>
        <v>0</v>
      </c>
      <c r="J608">
        <f t="shared" si="333"/>
        <v>0</v>
      </c>
      <c r="K608">
        <f t="shared" si="334"/>
        <v>0</v>
      </c>
      <c r="L608">
        <f t="shared" si="335"/>
        <v>0</v>
      </c>
      <c r="M608">
        <f t="shared" si="336"/>
        <v>0</v>
      </c>
      <c r="N608">
        <f t="shared" si="337"/>
        <v>0</v>
      </c>
      <c r="O608">
        <f t="shared" si="338"/>
        <v>0</v>
      </c>
      <c r="P608">
        <f t="shared" si="339"/>
        <v>3199.8854452316073</v>
      </c>
      <c r="Q608">
        <f t="shared" si="340"/>
        <v>0</v>
      </c>
      <c r="S608">
        <f t="shared" si="341"/>
        <v>22</v>
      </c>
      <c r="T608">
        <f t="shared" si="342"/>
        <v>21</v>
      </c>
      <c r="U608">
        <f t="shared" si="343"/>
        <v>5</v>
      </c>
      <c r="V608">
        <f t="shared" si="344"/>
        <v>9</v>
      </c>
      <c r="W608">
        <f t="shared" si="345"/>
        <v>40</v>
      </c>
      <c r="X608">
        <f t="shared" si="346"/>
        <v>28</v>
      </c>
      <c r="Y608">
        <f t="shared" si="347"/>
        <v>4</v>
      </c>
      <c r="Z608">
        <f t="shared" si="348"/>
        <v>3</v>
      </c>
      <c r="AA608">
        <f t="shared" si="349"/>
        <v>3</v>
      </c>
      <c r="AB608">
        <f t="shared" si="350"/>
        <v>1</v>
      </c>
      <c r="AC608">
        <f t="shared" si="351"/>
        <v>51</v>
      </c>
      <c r="AD608">
        <f t="shared" si="352"/>
        <v>0</v>
      </c>
      <c r="AF608">
        <f t="shared" si="353"/>
        <v>0</v>
      </c>
      <c r="AG608">
        <f t="shared" si="354"/>
        <v>0</v>
      </c>
      <c r="AH608">
        <f t="shared" si="355"/>
        <v>0</v>
      </c>
      <c r="AI608">
        <f t="shared" si="356"/>
        <v>0</v>
      </c>
      <c r="AJ608">
        <f t="shared" si="357"/>
        <v>0</v>
      </c>
      <c r="AK608">
        <f t="shared" si="358"/>
        <v>0</v>
      </c>
      <c r="AL608">
        <f t="shared" si="359"/>
        <v>0</v>
      </c>
      <c r="AM608">
        <f t="shared" si="360"/>
        <v>0</v>
      </c>
      <c r="AN608">
        <f t="shared" si="361"/>
        <v>0</v>
      </c>
      <c r="AO608">
        <f t="shared" si="362"/>
        <v>0</v>
      </c>
      <c r="AP608">
        <f t="shared" si="363"/>
        <v>0</v>
      </c>
      <c r="AQ608">
        <f t="shared" si="364"/>
        <v>0</v>
      </c>
    </row>
    <row r="609" spans="1:43" ht="15.5" x14ac:dyDescent="0.35">
      <c r="A609" s="51">
        <v>52</v>
      </c>
      <c r="B609" s="13" t="s">
        <v>424</v>
      </c>
      <c r="C609" s="1" t="s">
        <v>115</v>
      </c>
      <c r="D609" s="1" t="s">
        <v>54</v>
      </c>
      <c r="E609" s="70">
        <v>2350.7718708123953</v>
      </c>
      <c r="F609">
        <f t="shared" si="329"/>
        <v>0</v>
      </c>
      <c r="G609">
        <f t="shared" si="330"/>
        <v>0</v>
      </c>
      <c r="H609">
        <f t="shared" si="331"/>
        <v>0</v>
      </c>
      <c r="I609">
        <f t="shared" si="332"/>
        <v>0</v>
      </c>
      <c r="J609">
        <f t="shared" si="333"/>
        <v>0</v>
      </c>
      <c r="K609">
        <f t="shared" si="334"/>
        <v>2350.7718708123953</v>
      </c>
      <c r="L609">
        <f t="shared" si="335"/>
        <v>0</v>
      </c>
      <c r="M609">
        <f t="shared" si="336"/>
        <v>0</v>
      </c>
      <c r="N609">
        <f t="shared" si="337"/>
        <v>0</v>
      </c>
      <c r="O609">
        <f t="shared" si="338"/>
        <v>0</v>
      </c>
      <c r="P609">
        <f t="shared" si="339"/>
        <v>0</v>
      </c>
      <c r="Q609">
        <f t="shared" si="340"/>
        <v>0</v>
      </c>
      <c r="S609">
        <f t="shared" si="341"/>
        <v>22</v>
      </c>
      <c r="T609">
        <f t="shared" si="342"/>
        <v>21</v>
      </c>
      <c r="U609">
        <f t="shared" si="343"/>
        <v>5</v>
      </c>
      <c r="V609">
        <f t="shared" si="344"/>
        <v>9</v>
      </c>
      <c r="W609">
        <f t="shared" si="345"/>
        <v>40</v>
      </c>
      <c r="X609">
        <f t="shared" si="346"/>
        <v>28</v>
      </c>
      <c r="Y609">
        <f t="shared" si="347"/>
        <v>4</v>
      </c>
      <c r="Z609">
        <f t="shared" si="348"/>
        <v>3</v>
      </c>
      <c r="AA609">
        <f t="shared" si="349"/>
        <v>3</v>
      </c>
      <c r="AB609">
        <f t="shared" si="350"/>
        <v>1</v>
      </c>
      <c r="AC609">
        <f t="shared" si="351"/>
        <v>50</v>
      </c>
      <c r="AD609">
        <f t="shared" si="352"/>
        <v>0</v>
      </c>
      <c r="AF609">
        <f t="shared" si="353"/>
        <v>0</v>
      </c>
      <c r="AG609">
        <f t="shared" si="354"/>
        <v>0</v>
      </c>
      <c r="AH609">
        <f t="shared" si="355"/>
        <v>0</v>
      </c>
      <c r="AI609">
        <f t="shared" si="356"/>
        <v>0</v>
      </c>
      <c r="AJ609">
        <f t="shared" si="357"/>
        <v>0</v>
      </c>
      <c r="AK609">
        <f t="shared" si="358"/>
        <v>0</v>
      </c>
      <c r="AL609">
        <f t="shared" si="359"/>
        <v>0</v>
      </c>
      <c r="AM609">
        <f t="shared" si="360"/>
        <v>0</v>
      </c>
      <c r="AN609">
        <f t="shared" si="361"/>
        <v>0</v>
      </c>
      <c r="AO609">
        <f t="shared" si="362"/>
        <v>0</v>
      </c>
      <c r="AP609">
        <f t="shared" si="363"/>
        <v>0</v>
      </c>
      <c r="AQ609">
        <f t="shared" si="364"/>
        <v>0</v>
      </c>
    </row>
    <row r="610" spans="1:43" ht="15.5" x14ac:dyDescent="0.35">
      <c r="A610" s="51">
        <v>53</v>
      </c>
      <c r="B610" s="13" t="s">
        <v>424</v>
      </c>
      <c r="C610" s="17" t="s">
        <v>112</v>
      </c>
      <c r="D610" s="17" t="s">
        <v>228</v>
      </c>
      <c r="E610" s="70">
        <v>2655.4894113609971</v>
      </c>
      <c r="F610">
        <f t="shared" si="329"/>
        <v>0</v>
      </c>
      <c r="G610">
        <f t="shared" si="330"/>
        <v>0</v>
      </c>
      <c r="H610">
        <f t="shared" si="331"/>
        <v>0</v>
      </c>
      <c r="I610">
        <f t="shared" si="332"/>
        <v>0</v>
      </c>
      <c r="J610">
        <f t="shared" si="333"/>
        <v>0</v>
      </c>
      <c r="K610">
        <f t="shared" si="334"/>
        <v>0</v>
      </c>
      <c r="L610">
        <f t="shared" si="335"/>
        <v>0</v>
      </c>
      <c r="M610">
        <f t="shared" si="336"/>
        <v>0</v>
      </c>
      <c r="N610">
        <f t="shared" si="337"/>
        <v>0</v>
      </c>
      <c r="O610">
        <f t="shared" si="338"/>
        <v>0</v>
      </c>
      <c r="P610">
        <f t="shared" si="339"/>
        <v>2655.4894113609971</v>
      </c>
      <c r="Q610">
        <f t="shared" si="340"/>
        <v>0</v>
      </c>
      <c r="S610">
        <f t="shared" si="341"/>
        <v>22</v>
      </c>
      <c r="T610">
        <f t="shared" si="342"/>
        <v>21</v>
      </c>
      <c r="U610">
        <f t="shared" si="343"/>
        <v>5</v>
      </c>
      <c r="V610">
        <f t="shared" si="344"/>
        <v>9</v>
      </c>
      <c r="W610">
        <f t="shared" si="345"/>
        <v>40</v>
      </c>
      <c r="X610">
        <f t="shared" si="346"/>
        <v>27</v>
      </c>
      <c r="Y610">
        <f t="shared" si="347"/>
        <v>4</v>
      </c>
      <c r="Z610">
        <f t="shared" si="348"/>
        <v>3</v>
      </c>
      <c r="AA610">
        <f t="shared" si="349"/>
        <v>3</v>
      </c>
      <c r="AB610">
        <f t="shared" si="350"/>
        <v>1</v>
      </c>
      <c r="AC610">
        <f t="shared" si="351"/>
        <v>50</v>
      </c>
      <c r="AD610">
        <f t="shared" si="352"/>
        <v>0</v>
      </c>
      <c r="AF610">
        <f t="shared" si="353"/>
        <v>0</v>
      </c>
      <c r="AG610">
        <f t="shared" si="354"/>
        <v>0</v>
      </c>
      <c r="AH610">
        <f t="shared" si="355"/>
        <v>0</v>
      </c>
      <c r="AI610">
        <f t="shared" si="356"/>
        <v>0</v>
      </c>
      <c r="AJ610">
        <f t="shared" si="357"/>
        <v>0</v>
      </c>
      <c r="AK610">
        <f t="shared" si="358"/>
        <v>0</v>
      </c>
      <c r="AL610">
        <f t="shared" si="359"/>
        <v>0</v>
      </c>
      <c r="AM610">
        <f t="shared" si="360"/>
        <v>0</v>
      </c>
      <c r="AN610">
        <f t="shared" si="361"/>
        <v>0</v>
      </c>
      <c r="AO610">
        <f t="shared" si="362"/>
        <v>0</v>
      </c>
      <c r="AP610">
        <f t="shared" si="363"/>
        <v>0</v>
      </c>
      <c r="AQ610">
        <f t="shared" si="364"/>
        <v>0</v>
      </c>
    </row>
    <row r="611" spans="1:43" ht="15.5" x14ac:dyDescent="0.35">
      <c r="A611" s="51">
        <v>54</v>
      </c>
      <c r="B611" s="13" t="s">
        <v>425</v>
      </c>
      <c r="C611" s="1" t="s">
        <v>117</v>
      </c>
      <c r="D611" s="1" t="s">
        <v>228</v>
      </c>
      <c r="E611" s="19">
        <v>3069.2954791710499</v>
      </c>
      <c r="F611">
        <f t="shared" si="329"/>
        <v>0</v>
      </c>
      <c r="G611">
        <f t="shared" si="330"/>
        <v>0</v>
      </c>
      <c r="H611">
        <f t="shared" si="331"/>
        <v>0</v>
      </c>
      <c r="I611">
        <f t="shared" si="332"/>
        <v>0</v>
      </c>
      <c r="J611">
        <f t="shared" si="333"/>
        <v>0</v>
      </c>
      <c r="K611">
        <f t="shared" si="334"/>
        <v>0</v>
      </c>
      <c r="L611">
        <f t="shared" si="335"/>
        <v>0</v>
      </c>
      <c r="M611">
        <f t="shared" si="336"/>
        <v>0</v>
      </c>
      <c r="N611">
        <f t="shared" si="337"/>
        <v>0</v>
      </c>
      <c r="O611">
        <f t="shared" si="338"/>
        <v>0</v>
      </c>
      <c r="P611">
        <f t="shared" si="339"/>
        <v>3069.2954791710499</v>
      </c>
      <c r="Q611">
        <f t="shared" si="340"/>
        <v>0</v>
      </c>
      <c r="S611">
        <f t="shared" si="341"/>
        <v>22</v>
      </c>
      <c r="T611">
        <f t="shared" si="342"/>
        <v>21</v>
      </c>
      <c r="U611">
        <f t="shared" si="343"/>
        <v>5</v>
      </c>
      <c r="V611">
        <f t="shared" si="344"/>
        <v>9</v>
      </c>
      <c r="W611">
        <f t="shared" si="345"/>
        <v>40</v>
      </c>
      <c r="X611">
        <f t="shared" si="346"/>
        <v>27</v>
      </c>
      <c r="Y611">
        <f t="shared" si="347"/>
        <v>4</v>
      </c>
      <c r="Z611">
        <f t="shared" si="348"/>
        <v>3</v>
      </c>
      <c r="AA611">
        <f t="shared" si="349"/>
        <v>3</v>
      </c>
      <c r="AB611">
        <f t="shared" si="350"/>
        <v>1</v>
      </c>
      <c r="AC611">
        <f t="shared" si="351"/>
        <v>49</v>
      </c>
      <c r="AD611">
        <f t="shared" si="352"/>
        <v>0</v>
      </c>
      <c r="AF611">
        <f t="shared" si="353"/>
        <v>0</v>
      </c>
      <c r="AG611">
        <f t="shared" si="354"/>
        <v>0</v>
      </c>
      <c r="AH611">
        <f t="shared" si="355"/>
        <v>0</v>
      </c>
      <c r="AI611">
        <f t="shared" si="356"/>
        <v>0</v>
      </c>
      <c r="AJ611">
        <f t="shared" si="357"/>
        <v>0</v>
      </c>
      <c r="AK611">
        <f t="shared" si="358"/>
        <v>0</v>
      </c>
      <c r="AL611">
        <f t="shared" si="359"/>
        <v>0</v>
      </c>
      <c r="AM611">
        <f t="shared" si="360"/>
        <v>0</v>
      </c>
      <c r="AN611">
        <f t="shared" si="361"/>
        <v>0</v>
      </c>
      <c r="AO611">
        <f t="shared" si="362"/>
        <v>0</v>
      </c>
      <c r="AP611">
        <f t="shared" si="363"/>
        <v>0</v>
      </c>
      <c r="AQ611">
        <f t="shared" si="364"/>
        <v>0</v>
      </c>
    </row>
    <row r="612" spans="1:43" ht="15.5" x14ac:dyDescent="0.35">
      <c r="A612" s="51">
        <v>55</v>
      </c>
      <c r="B612" s="13" t="s">
        <v>425</v>
      </c>
      <c r="C612" s="1" t="s">
        <v>116</v>
      </c>
      <c r="D612" s="1" t="s">
        <v>67</v>
      </c>
      <c r="E612" s="19">
        <v>3224.9057837116852</v>
      </c>
      <c r="F612">
        <f t="shared" si="329"/>
        <v>0</v>
      </c>
      <c r="G612">
        <f t="shared" si="330"/>
        <v>0</v>
      </c>
      <c r="H612">
        <f t="shared" si="331"/>
        <v>0</v>
      </c>
      <c r="I612">
        <f t="shared" si="332"/>
        <v>3224.9057837116852</v>
      </c>
      <c r="J612">
        <f t="shared" si="333"/>
        <v>0</v>
      </c>
      <c r="K612">
        <f t="shared" si="334"/>
        <v>0</v>
      </c>
      <c r="L612">
        <f t="shared" si="335"/>
        <v>0</v>
      </c>
      <c r="M612">
        <f t="shared" si="336"/>
        <v>0</v>
      </c>
      <c r="N612">
        <f t="shared" si="337"/>
        <v>0</v>
      </c>
      <c r="O612">
        <f t="shared" si="338"/>
        <v>0</v>
      </c>
      <c r="P612">
        <f t="shared" si="339"/>
        <v>0</v>
      </c>
      <c r="Q612">
        <f t="shared" si="340"/>
        <v>0</v>
      </c>
      <c r="S612">
        <f t="shared" si="341"/>
        <v>22</v>
      </c>
      <c r="T612">
        <f t="shared" si="342"/>
        <v>21</v>
      </c>
      <c r="U612">
        <f t="shared" si="343"/>
        <v>5</v>
      </c>
      <c r="V612">
        <f t="shared" si="344"/>
        <v>9</v>
      </c>
      <c r="W612">
        <f t="shared" si="345"/>
        <v>40</v>
      </c>
      <c r="X612">
        <f t="shared" si="346"/>
        <v>27</v>
      </c>
      <c r="Y612">
        <f t="shared" si="347"/>
        <v>4</v>
      </c>
      <c r="Z612">
        <f t="shared" si="348"/>
        <v>3</v>
      </c>
      <c r="AA612">
        <f t="shared" si="349"/>
        <v>3</v>
      </c>
      <c r="AB612">
        <f t="shared" si="350"/>
        <v>1</v>
      </c>
      <c r="AC612">
        <f t="shared" si="351"/>
        <v>48</v>
      </c>
      <c r="AD612">
        <f t="shared" si="352"/>
        <v>0</v>
      </c>
      <c r="AF612">
        <f t="shared" si="353"/>
        <v>0</v>
      </c>
      <c r="AG612">
        <f t="shared" si="354"/>
        <v>0</v>
      </c>
      <c r="AH612">
        <f t="shared" si="355"/>
        <v>0</v>
      </c>
      <c r="AI612">
        <f t="shared" si="356"/>
        <v>3224.9057837116852</v>
      </c>
      <c r="AJ612">
        <f t="shared" si="357"/>
        <v>0</v>
      </c>
      <c r="AK612">
        <f t="shared" si="358"/>
        <v>0</v>
      </c>
      <c r="AL612">
        <f t="shared" si="359"/>
        <v>0</v>
      </c>
      <c r="AM612">
        <f t="shared" si="360"/>
        <v>0</v>
      </c>
      <c r="AN612">
        <f t="shared" si="361"/>
        <v>0</v>
      </c>
      <c r="AO612">
        <f t="shared" si="362"/>
        <v>0</v>
      </c>
      <c r="AP612">
        <f t="shared" si="363"/>
        <v>0</v>
      </c>
      <c r="AQ612">
        <f t="shared" si="364"/>
        <v>0</v>
      </c>
    </row>
    <row r="613" spans="1:43" ht="15.5" x14ac:dyDescent="0.35">
      <c r="A613" s="51">
        <v>56</v>
      </c>
      <c r="B613" s="13" t="s">
        <v>426</v>
      </c>
      <c r="C613" s="17" t="s">
        <v>121</v>
      </c>
      <c r="D613" s="17" t="s">
        <v>228</v>
      </c>
      <c r="E613" s="70">
        <v>2770.1677774407576</v>
      </c>
      <c r="F613">
        <f t="shared" si="329"/>
        <v>0</v>
      </c>
      <c r="G613">
        <f t="shared" si="330"/>
        <v>0</v>
      </c>
      <c r="H613">
        <f t="shared" si="331"/>
        <v>0</v>
      </c>
      <c r="I613">
        <f t="shared" si="332"/>
        <v>0</v>
      </c>
      <c r="J613">
        <f t="shared" si="333"/>
        <v>0</v>
      </c>
      <c r="K613">
        <f t="shared" si="334"/>
        <v>0</v>
      </c>
      <c r="L613">
        <f t="shared" si="335"/>
        <v>0</v>
      </c>
      <c r="M613">
        <f t="shared" si="336"/>
        <v>0</v>
      </c>
      <c r="N613">
        <f t="shared" si="337"/>
        <v>0</v>
      </c>
      <c r="O613">
        <f t="shared" si="338"/>
        <v>0</v>
      </c>
      <c r="P613">
        <f t="shared" si="339"/>
        <v>2770.1677774407576</v>
      </c>
      <c r="Q613">
        <f t="shared" si="340"/>
        <v>0</v>
      </c>
      <c r="S613">
        <f t="shared" si="341"/>
        <v>22</v>
      </c>
      <c r="T613">
        <f t="shared" si="342"/>
        <v>21</v>
      </c>
      <c r="U613">
        <f t="shared" si="343"/>
        <v>5</v>
      </c>
      <c r="V613">
        <f t="shared" si="344"/>
        <v>8</v>
      </c>
      <c r="W613">
        <f t="shared" si="345"/>
        <v>40</v>
      </c>
      <c r="X613">
        <f t="shared" si="346"/>
        <v>27</v>
      </c>
      <c r="Y613">
        <f t="shared" si="347"/>
        <v>4</v>
      </c>
      <c r="Z613">
        <f t="shared" si="348"/>
        <v>3</v>
      </c>
      <c r="AA613">
        <f t="shared" si="349"/>
        <v>3</v>
      </c>
      <c r="AB613">
        <f t="shared" si="350"/>
        <v>1</v>
      </c>
      <c r="AC613">
        <f t="shared" si="351"/>
        <v>48</v>
      </c>
      <c r="AD613">
        <f t="shared" si="352"/>
        <v>0</v>
      </c>
      <c r="AF613">
        <f t="shared" si="353"/>
        <v>0</v>
      </c>
      <c r="AG613">
        <f t="shared" si="354"/>
        <v>0</v>
      </c>
      <c r="AH613">
        <f t="shared" si="355"/>
        <v>0</v>
      </c>
      <c r="AI613">
        <f t="shared" si="356"/>
        <v>0</v>
      </c>
      <c r="AJ613">
        <f t="shared" si="357"/>
        <v>0</v>
      </c>
      <c r="AK613">
        <f t="shared" si="358"/>
        <v>0</v>
      </c>
      <c r="AL613">
        <f t="shared" si="359"/>
        <v>0</v>
      </c>
      <c r="AM613">
        <f t="shared" si="360"/>
        <v>0</v>
      </c>
      <c r="AN613">
        <f t="shared" si="361"/>
        <v>0</v>
      </c>
      <c r="AO613">
        <f t="shared" si="362"/>
        <v>0</v>
      </c>
      <c r="AP613">
        <f t="shared" si="363"/>
        <v>0</v>
      </c>
      <c r="AQ613">
        <f t="shared" si="364"/>
        <v>0</v>
      </c>
    </row>
    <row r="614" spans="1:43" ht="15.5" x14ac:dyDescent="0.35">
      <c r="A614" s="51">
        <v>57</v>
      </c>
      <c r="B614" s="13" t="s">
        <v>426</v>
      </c>
      <c r="C614" s="1" t="s">
        <v>118</v>
      </c>
      <c r="D614" s="1" t="s">
        <v>60</v>
      </c>
      <c r="E614" s="19">
        <v>3127.2653083974292</v>
      </c>
      <c r="F614">
        <f t="shared" si="329"/>
        <v>0</v>
      </c>
      <c r="G614">
        <f t="shared" si="330"/>
        <v>0</v>
      </c>
      <c r="H614">
        <f t="shared" si="331"/>
        <v>0</v>
      </c>
      <c r="I614">
        <f t="shared" si="332"/>
        <v>0</v>
      </c>
      <c r="J614">
        <f t="shared" si="333"/>
        <v>3127.2653083974292</v>
      </c>
      <c r="K614">
        <f t="shared" si="334"/>
        <v>0</v>
      </c>
      <c r="L614">
        <f t="shared" si="335"/>
        <v>0</v>
      </c>
      <c r="M614">
        <f t="shared" si="336"/>
        <v>0</v>
      </c>
      <c r="N614">
        <f t="shared" si="337"/>
        <v>0</v>
      </c>
      <c r="O614">
        <f t="shared" si="338"/>
        <v>0</v>
      </c>
      <c r="P614">
        <f t="shared" si="339"/>
        <v>0</v>
      </c>
      <c r="Q614">
        <f t="shared" si="340"/>
        <v>0</v>
      </c>
      <c r="S614">
        <f t="shared" si="341"/>
        <v>22</v>
      </c>
      <c r="T614">
        <f t="shared" si="342"/>
        <v>21</v>
      </c>
      <c r="U614">
        <f t="shared" si="343"/>
        <v>5</v>
      </c>
      <c r="V614">
        <f t="shared" si="344"/>
        <v>8</v>
      </c>
      <c r="W614">
        <f t="shared" si="345"/>
        <v>40</v>
      </c>
      <c r="X614">
        <f t="shared" si="346"/>
        <v>27</v>
      </c>
      <c r="Y614">
        <f t="shared" si="347"/>
        <v>4</v>
      </c>
      <c r="Z614">
        <f t="shared" si="348"/>
        <v>3</v>
      </c>
      <c r="AA614">
        <f t="shared" si="349"/>
        <v>3</v>
      </c>
      <c r="AB614">
        <f t="shared" si="350"/>
        <v>1</v>
      </c>
      <c r="AC614">
        <f t="shared" si="351"/>
        <v>47</v>
      </c>
      <c r="AD614">
        <f t="shared" si="352"/>
        <v>0</v>
      </c>
      <c r="AF614">
        <f t="shared" si="353"/>
        <v>0</v>
      </c>
      <c r="AG614">
        <f t="shared" si="354"/>
        <v>0</v>
      </c>
      <c r="AH614">
        <f t="shared" si="355"/>
        <v>0</v>
      </c>
      <c r="AI614">
        <f t="shared" si="356"/>
        <v>0</v>
      </c>
      <c r="AJ614">
        <f t="shared" si="357"/>
        <v>0</v>
      </c>
      <c r="AK614">
        <f t="shared" si="358"/>
        <v>0</v>
      </c>
      <c r="AL614">
        <f t="shared" si="359"/>
        <v>0</v>
      </c>
      <c r="AM614">
        <f t="shared" si="360"/>
        <v>0</v>
      </c>
      <c r="AN614">
        <f t="shared" si="361"/>
        <v>0</v>
      </c>
      <c r="AO614">
        <f t="shared" si="362"/>
        <v>0</v>
      </c>
      <c r="AP614">
        <f t="shared" si="363"/>
        <v>0</v>
      </c>
      <c r="AQ614">
        <f t="shared" si="364"/>
        <v>0</v>
      </c>
    </row>
    <row r="615" spans="1:43" ht="15.5" x14ac:dyDescent="0.35">
      <c r="A615" s="51">
        <v>58</v>
      </c>
      <c r="B615" s="13" t="s">
        <v>427</v>
      </c>
      <c r="C615" s="1" t="s">
        <v>428</v>
      </c>
      <c r="D615" s="1" t="s">
        <v>60</v>
      </c>
      <c r="E615" s="19">
        <v>2908.9609223240318</v>
      </c>
      <c r="F615">
        <f t="shared" si="329"/>
        <v>0</v>
      </c>
      <c r="G615">
        <f t="shared" si="330"/>
        <v>0</v>
      </c>
      <c r="H615">
        <f t="shared" si="331"/>
        <v>0</v>
      </c>
      <c r="I615">
        <f t="shared" si="332"/>
        <v>0</v>
      </c>
      <c r="J615">
        <f t="shared" si="333"/>
        <v>2908.9609223240318</v>
      </c>
      <c r="K615">
        <f t="shared" si="334"/>
        <v>0</v>
      </c>
      <c r="L615">
        <f t="shared" si="335"/>
        <v>0</v>
      </c>
      <c r="M615">
        <f t="shared" si="336"/>
        <v>0</v>
      </c>
      <c r="N615">
        <f t="shared" si="337"/>
        <v>0</v>
      </c>
      <c r="O615">
        <f t="shared" si="338"/>
        <v>0</v>
      </c>
      <c r="P615">
        <f t="shared" si="339"/>
        <v>0</v>
      </c>
      <c r="Q615">
        <f t="shared" si="340"/>
        <v>0</v>
      </c>
      <c r="S615">
        <f t="shared" si="341"/>
        <v>22</v>
      </c>
      <c r="T615">
        <f t="shared" si="342"/>
        <v>21</v>
      </c>
      <c r="U615">
        <f t="shared" si="343"/>
        <v>5</v>
      </c>
      <c r="V615">
        <f t="shared" si="344"/>
        <v>8</v>
      </c>
      <c r="W615">
        <f t="shared" si="345"/>
        <v>39</v>
      </c>
      <c r="X615">
        <f t="shared" si="346"/>
        <v>27</v>
      </c>
      <c r="Y615">
        <f t="shared" si="347"/>
        <v>4</v>
      </c>
      <c r="Z615">
        <f t="shared" si="348"/>
        <v>3</v>
      </c>
      <c r="AA615">
        <f t="shared" si="349"/>
        <v>3</v>
      </c>
      <c r="AB615">
        <f t="shared" si="350"/>
        <v>1</v>
      </c>
      <c r="AC615">
        <f t="shared" si="351"/>
        <v>47</v>
      </c>
      <c r="AD615">
        <f t="shared" si="352"/>
        <v>0</v>
      </c>
      <c r="AF615">
        <f t="shared" si="353"/>
        <v>0</v>
      </c>
      <c r="AG615">
        <f t="shared" si="354"/>
        <v>0</v>
      </c>
      <c r="AH615">
        <f t="shared" si="355"/>
        <v>0</v>
      </c>
      <c r="AI615">
        <f t="shared" si="356"/>
        <v>0</v>
      </c>
      <c r="AJ615">
        <f t="shared" si="357"/>
        <v>0</v>
      </c>
      <c r="AK615">
        <f t="shared" si="358"/>
        <v>0</v>
      </c>
      <c r="AL615">
        <f t="shared" si="359"/>
        <v>0</v>
      </c>
      <c r="AM615">
        <f t="shared" si="360"/>
        <v>0</v>
      </c>
      <c r="AN615">
        <f t="shared" si="361"/>
        <v>0</v>
      </c>
      <c r="AO615">
        <f t="shared" si="362"/>
        <v>0</v>
      </c>
      <c r="AP615">
        <f t="shared" si="363"/>
        <v>0</v>
      </c>
      <c r="AQ615">
        <f t="shared" si="364"/>
        <v>0</v>
      </c>
    </row>
    <row r="616" spans="1:43" ht="15.5" x14ac:dyDescent="0.35">
      <c r="A616" s="51">
        <v>59</v>
      </c>
      <c r="B616" s="13" t="s">
        <v>427</v>
      </c>
      <c r="C616" s="17" t="s">
        <v>122</v>
      </c>
      <c r="D616" s="17" t="s">
        <v>60</v>
      </c>
      <c r="E616" s="19">
        <v>3173.3553958587345</v>
      </c>
      <c r="F616">
        <f t="shared" si="329"/>
        <v>0</v>
      </c>
      <c r="G616">
        <f t="shared" si="330"/>
        <v>0</v>
      </c>
      <c r="H616">
        <f t="shared" si="331"/>
        <v>0</v>
      </c>
      <c r="I616">
        <f t="shared" si="332"/>
        <v>0</v>
      </c>
      <c r="J616">
        <f t="shared" si="333"/>
        <v>3173.3553958587345</v>
      </c>
      <c r="K616">
        <f t="shared" si="334"/>
        <v>0</v>
      </c>
      <c r="L616">
        <f t="shared" si="335"/>
        <v>0</v>
      </c>
      <c r="M616">
        <f t="shared" si="336"/>
        <v>0</v>
      </c>
      <c r="N616">
        <f t="shared" si="337"/>
        <v>0</v>
      </c>
      <c r="O616">
        <f t="shared" si="338"/>
        <v>0</v>
      </c>
      <c r="P616">
        <f t="shared" si="339"/>
        <v>0</v>
      </c>
      <c r="Q616">
        <f t="shared" si="340"/>
        <v>0</v>
      </c>
      <c r="S616">
        <f t="shared" si="341"/>
        <v>22</v>
      </c>
      <c r="T616">
        <f t="shared" si="342"/>
        <v>21</v>
      </c>
      <c r="U616">
        <f t="shared" si="343"/>
        <v>5</v>
      </c>
      <c r="V616">
        <f t="shared" si="344"/>
        <v>8</v>
      </c>
      <c r="W616">
        <f t="shared" si="345"/>
        <v>38</v>
      </c>
      <c r="X616">
        <f t="shared" si="346"/>
        <v>27</v>
      </c>
      <c r="Y616">
        <f t="shared" si="347"/>
        <v>4</v>
      </c>
      <c r="Z616">
        <f t="shared" si="348"/>
        <v>3</v>
      </c>
      <c r="AA616">
        <f t="shared" si="349"/>
        <v>3</v>
      </c>
      <c r="AB616">
        <f t="shared" si="350"/>
        <v>1</v>
      </c>
      <c r="AC616">
        <f t="shared" si="351"/>
        <v>47</v>
      </c>
      <c r="AD616">
        <f t="shared" si="352"/>
        <v>0</v>
      </c>
      <c r="AF616">
        <f t="shared" si="353"/>
        <v>0</v>
      </c>
      <c r="AG616">
        <f t="shared" si="354"/>
        <v>0</v>
      </c>
      <c r="AH616">
        <f t="shared" si="355"/>
        <v>0</v>
      </c>
      <c r="AI616">
        <f t="shared" si="356"/>
        <v>0</v>
      </c>
      <c r="AJ616">
        <f t="shared" si="357"/>
        <v>0</v>
      </c>
      <c r="AK616">
        <f t="shared" si="358"/>
        <v>0</v>
      </c>
      <c r="AL616">
        <f t="shared" si="359"/>
        <v>0</v>
      </c>
      <c r="AM616">
        <f t="shared" si="360"/>
        <v>0</v>
      </c>
      <c r="AN616">
        <f t="shared" si="361"/>
        <v>0</v>
      </c>
      <c r="AO616">
        <f t="shared" si="362"/>
        <v>0</v>
      </c>
      <c r="AP616">
        <f t="shared" si="363"/>
        <v>0</v>
      </c>
      <c r="AQ616">
        <f t="shared" si="364"/>
        <v>0</v>
      </c>
    </row>
    <row r="617" spans="1:43" ht="15.5" x14ac:dyDescent="0.35">
      <c r="A617" s="51">
        <v>60</v>
      </c>
      <c r="B617" s="13" t="s">
        <v>427</v>
      </c>
      <c r="C617" s="1" t="s">
        <v>125</v>
      </c>
      <c r="D617" s="1" t="s">
        <v>228</v>
      </c>
      <c r="E617" s="19">
        <v>2887.349911959609</v>
      </c>
      <c r="F617">
        <f t="shared" si="329"/>
        <v>0</v>
      </c>
      <c r="G617">
        <f t="shared" si="330"/>
        <v>0</v>
      </c>
      <c r="H617">
        <f t="shared" si="331"/>
        <v>0</v>
      </c>
      <c r="I617">
        <f t="shared" si="332"/>
        <v>0</v>
      </c>
      <c r="J617">
        <f t="shared" si="333"/>
        <v>0</v>
      </c>
      <c r="K617">
        <f t="shared" si="334"/>
        <v>0</v>
      </c>
      <c r="L617">
        <f t="shared" si="335"/>
        <v>0</v>
      </c>
      <c r="M617">
        <f t="shared" si="336"/>
        <v>0</v>
      </c>
      <c r="N617">
        <f t="shared" si="337"/>
        <v>0</v>
      </c>
      <c r="O617">
        <f t="shared" si="338"/>
        <v>0</v>
      </c>
      <c r="P617">
        <f t="shared" si="339"/>
        <v>2887.349911959609</v>
      </c>
      <c r="Q617">
        <f t="shared" si="340"/>
        <v>0</v>
      </c>
      <c r="S617">
        <f t="shared" si="341"/>
        <v>22</v>
      </c>
      <c r="T617">
        <f t="shared" si="342"/>
        <v>21</v>
      </c>
      <c r="U617">
        <f t="shared" si="343"/>
        <v>5</v>
      </c>
      <c r="V617">
        <f t="shared" si="344"/>
        <v>8</v>
      </c>
      <c r="W617">
        <f t="shared" si="345"/>
        <v>37</v>
      </c>
      <c r="X617">
        <f t="shared" si="346"/>
        <v>27</v>
      </c>
      <c r="Y617">
        <f t="shared" si="347"/>
        <v>4</v>
      </c>
      <c r="Z617">
        <f t="shared" si="348"/>
        <v>3</v>
      </c>
      <c r="AA617">
        <f t="shared" si="349"/>
        <v>3</v>
      </c>
      <c r="AB617">
        <f t="shared" si="350"/>
        <v>1</v>
      </c>
      <c r="AC617">
        <f t="shared" si="351"/>
        <v>47</v>
      </c>
      <c r="AD617">
        <f t="shared" si="352"/>
        <v>0</v>
      </c>
      <c r="AF617">
        <f t="shared" si="353"/>
        <v>0</v>
      </c>
      <c r="AG617">
        <f t="shared" si="354"/>
        <v>0</v>
      </c>
      <c r="AH617">
        <f t="shared" si="355"/>
        <v>0</v>
      </c>
      <c r="AI617">
        <f t="shared" si="356"/>
        <v>0</v>
      </c>
      <c r="AJ617">
        <f t="shared" si="357"/>
        <v>0</v>
      </c>
      <c r="AK617">
        <f t="shared" si="358"/>
        <v>0</v>
      </c>
      <c r="AL617">
        <f t="shared" si="359"/>
        <v>0</v>
      </c>
      <c r="AM617">
        <f t="shared" si="360"/>
        <v>0</v>
      </c>
      <c r="AN617">
        <f t="shared" si="361"/>
        <v>0</v>
      </c>
      <c r="AO617">
        <f t="shared" si="362"/>
        <v>0</v>
      </c>
      <c r="AP617">
        <f t="shared" si="363"/>
        <v>0</v>
      </c>
      <c r="AQ617">
        <f t="shared" si="364"/>
        <v>0</v>
      </c>
    </row>
    <row r="618" spans="1:43" ht="15.5" x14ac:dyDescent="0.35">
      <c r="A618" s="51">
        <v>61</v>
      </c>
      <c r="B618" s="13" t="s">
        <v>427</v>
      </c>
      <c r="C618" s="1" t="s">
        <v>429</v>
      </c>
      <c r="D618" s="1" t="s">
        <v>54</v>
      </c>
      <c r="E618" s="19">
        <v>3300.8160860391658</v>
      </c>
      <c r="F618">
        <f t="shared" si="329"/>
        <v>0</v>
      </c>
      <c r="G618">
        <f t="shared" si="330"/>
        <v>0</v>
      </c>
      <c r="H618">
        <f t="shared" si="331"/>
        <v>0</v>
      </c>
      <c r="I618">
        <f t="shared" si="332"/>
        <v>0</v>
      </c>
      <c r="J618">
        <f t="shared" si="333"/>
        <v>0</v>
      </c>
      <c r="K618">
        <f t="shared" si="334"/>
        <v>3300.8160860391658</v>
      </c>
      <c r="L618">
        <f t="shared" si="335"/>
        <v>0</v>
      </c>
      <c r="M618">
        <f t="shared" si="336"/>
        <v>0</v>
      </c>
      <c r="N618">
        <f t="shared" si="337"/>
        <v>0</v>
      </c>
      <c r="O618">
        <f t="shared" si="338"/>
        <v>0</v>
      </c>
      <c r="P618">
        <f t="shared" si="339"/>
        <v>0</v>
      </c>
      <c r="Q618">
        <f t="shared" si="340"/>
        <v>0</v>
      </c>
      <c r="S618">
        <f t="shared" si="341"/>
        <v>22</v>
      </c>
      <c r="T618">
        <f t="shared" si="342"/>
        <v>21</v>
      </c>
      <c r="U618">
        <f t="shared" si="343"/>
        <v>5</v>
      </c>
      <c r="V618">
        <f t="shared" si="344"/>
        <v>8</v>
      </c>
      <c r="W618">
        <f t="shared" si="345"/>
        <v>37</v>
      </c>
      <c r="X618">
        <f t="shared" si="346"/>
        <v>27</v>
      </c>
      <c r="Y618">
        <f t="shared" si="347"/>
        <v>4</v>
      </c>
      <c r="Z618">
        <f t="shared" si="348"/>
        <v>3</v>
      </c>
      <c r="AA618">
        <f t="shared" si="349"/>
        <v>3</v>
      </c>
      <c r="AB618">
        <f t="shared" si="350"/>
        <v>1</v>
      </c>
      <c r="AC618">
        <f t="shared" si="351"/>
        <v>46</v>
      </c>
      <c r="AD618">
        <f t="shared" si="352"/>
        <v>0</v>
      </c>
      <c r="AF618">
        <f t="shared" si="353"/>
        <v>0</v>
      </c>
      <c r="AG618">
        <f t="shared" si="354"/>
        <v>0</v>
      </c>
      <c r="AH618">
        <f t="shared" si="355"/>
        <v>0</v>
      </c>
      <c r="AI618">
        <f t="shared" si="356"/>
        <v>0</v>
      </c>
      <c r="AJ618">
        <f t="shared" si="357"/>
        <v>0</v>
      </c>
      <c r="AK618">
        <f t="shared" si="358"/>
        <v>0</v>
      </c>
      <c r="AL618">
        <f t="shared" si="359"/>
        <v>0</v>
      </c>
      <c r="AM618">
        <f t="shared" si="360"/>
        <v>0</v>
      </c>
      <c r="AN618">
        <f t="shared" si="361"/>
        <v>0</v>
      </c>
      <c r="AO618">
        <f t="shared" si="362"/>
        <v>0</v>
      </c>
      <c r="AP618">
        <f t="shared" si="363"/>
        <v>0</v>
      </c>
      <c r="AQ618">
        <f t="shared" si="364"/>
        <v>0</v>
      </c>
    </row>
    <row r="619" spans="1:43" ht="15.5" x14ac:dyDescent="0.35">
      <c r="A619" s="51">
        <v>62</v>
      </c>
      <c r="B619" s="13" t="s">
        <v>430</v>
      </c>
      <c r="C619" s="17" t="s">
        <v>126</v>
      </c>
      <c r="D619" s="17" t="s">
        <v>60</v>
      </c>
      <c r="E619" s="19">
        <v>3346.1751545714587</v>
      </c>
      <c r="F619">
        <f t="shared" ref="F619:F682" si="365">IF(D619="SPUR-01",E619,0)</f>
        <v>0</v>
      </c>
      <c r="G619">
        <f t="shared" ref="G619:G682" si="366">IF(D619="SPUR-02",E619,0)</f>
        <v>0</v>
      </c>
      <c r="H619">
        <f t="shared" ref="H619:H682" si="367">IF(D619="SPUR-03",E619,0)</f>
        <v>0</v>
      </c>
      <c r="I619">
        <f t="shared" ref="I619:I682" si="368">IF(D619="SPUR-04",E619,0)</f>
        <v>0</v>
      </c>
      <c r="J619">
        <f t="shared" ref="J619:J682" si="369">IF(D619="SPUR-05",E619,0)</f>
        <v>3346.1751545714587</v>
      </c>
      <c r="K619">
        <f t="shared" ref="K619:K682" si="370">IF(D619="SPUR-06",E619,0)</f>
        <v>0</v>
      </c>
      <c r="L619">
        <f t="shared" ref="L619:L682" si="371">IF(D619="SPUR-07",E619,0)</f>
        <v>0</v>
      </c>
      <c r="M619">
        <f t="shared" ref="M619:M682" si="372">IF(D619="SPUR-08",E619,0)</f>
        <v>0</v>
      </c>
      <c r="N619">
        <f t="shared" ref="N619:N682" si="373">IF(D619="SPUR-09",E619,0)</f>
        <v>0</v>
      </c>
      <c r="O619">
        <f t="shared" ref="O619:O682" si="374">IF(D619="SPUR-10",E619,0)</f>
        <v>0</v>
      </c>
      <c r="P619">
        <f t="shared" ref="P619:P682" si="375">IF(D619="SPUR-SILO",E619,0)</f>
        <v>0</v>
      </c>
      <c r="Q619">
        <f t="shared" ref="Q619:Q682" si="376">IF(D619="SPUR-DB",E619,0)</f>
        <v>0</v>
      </c>
      <c r="S619">
        <f t="shared" ref="S619:S682" si="377">IF(F619&gt;0,1,0)+S620</f>
        <v>22</v>
      </c>
      <c r="T619">
        <f t="shared" ref="T619:T682" si="378">IF(G619&gt;0,1,0)+T620</f>
        <v>21</v>
      </c>
      <c r="U619">
        <f t="shared" ref="U619:U682" si="379">IF(H619&gt;0,1,0)+U620</f>
        <v>5</v>
      </c>
      <c r="V619">
        <f t="shared" ref="V619:V682" si="380">IF(I619&gt;0,1,0)+V620</f>
        <v>8</v>
      </c>
      <c r="W619">
        <f t="shared" ref="W619:W682" si="381">IF(J619&gt;0,1,0)+W620</f>
        <v>37</v>
      </c>
      <c r="X619">
        <f t="shared" ref="X619:X682" si="382">IF(K619&gt;0,1,0)+X620</f>
        <v>26</v>
      </c>
      <c r="Y619">
        <f t="shared" ref="Y619:Y682" si="383">IF(L619&gt;0,1,0)+Y620</f>
        <v>4</v>
      </c>
      <c r="Z619">
        <f t="shared" ref="Z619:Z682" si="384">IF(M619&gt;0,1,0)+Z620</f>
        <v>3</v>
      </c>
      <c r="AA619">
        <f t="shared" ref="AA619:AA682" si="385">IF(N619&gt;0,1,0)+AA620</f>
        <v>3</v>
      </c>
      <c r="AB619">
        <f t="shared" ref="AB619:AB682" si="386">IF(O619&gt;0,1,0)+AB620</f>
        <v>1</v>
      </c>
      <c r="AC619">
        <f t="shared" ref="AC619:AC682" si="387">IF(P619&gt;0,1,0)+AC620</f>
        <v>46</v>
      </c>
      <c r="AD619">
        <f t="shared" ref="AD619:AD682" si="388">IF(Q619&gt;0,1,0)+AD620</f>
        <v>0</v>
      </c>
      <c r="AF619">
        <f t="shared" ref="AF619:AF682" si="389">IF(S619&lt;=$AT$1,F619,0)</f>
        <v>0</v>
      </c>
      <c r="AG619">
        <f t="shared" ref="AG619:AG682" si="390">IF(T619&lt;=$AT$1,G619,0)</f>
        <v>0</v>
      </c>
      <c r="AH619">
        <f t="shared" ref="AH619:AH682" si="391">IF(U619&lt;=$AT$1,H619,0)</f>
        <v>0</v>
      </c>
      <c r="AI619">
        <f t="shared" ref="AI619:AI682" si="392">IF(V619&lt;=$AT$1,I619,0)</f>
        <v>0</v>
      </c>
      <c r="AJ619">
        <f t="shared" ref="AJ619:AJ682" si="393">IF(W619&lt;=$AT$1,J619,0)</f>
        <v>0</v>
      </c>
      <c r="AK619">
        <f t="shared" ref="AK619:AK682" si="394">IF(X619&lt;=$AT$1,K619,0)</f>
        <v>0</v>
      </c>
      <c r="AL619">
        <f t="shared" ref="AL619:AL682" si="395">IF(Y619&lt;=$AT$1,L619,0)</f>
        <v>0</v>
      </c>
      <c r="AM619">
        <f t="shared" ref="AM619:AM682" si="396">IF(Z619&lt;=$AT$1,M619,0)</f>
        <v>0</v>
      </c>
      <c r="AN619">
        <f t="shared" ref="AN619:AN682" si="397">IF(AA619&lt;=$AT$1,N619,0)</f>
        <v>0</v>
      </c>
      <c r="AO619">
        <f t="shared" ref="AO619:AO682" si="398">IF(AB619&lt;=$AT$1,O619,0)</f>
        <v>0</v>
      </c>
      <c r="AP619">
        <f t="shared" ref="AP619:AP682" si="399">IF(AC619&lt;=$AT$1,P619,0)</f>
        <v>0</v>
      </c>
      <c r="AQ619">
        <f t="shared" ref="AQ619:AQ682" si="400">IF(AD619&lt;=$AT$1,Q619,0)</f>
        <v>0</v>
      </c>
    </row>
    <row r="620" spans="1:43" ht="15.5" x14ac:dyDescent="0.35">
      <c r="A620" s="51">
        <v>63</v>
      </c>
      <c r="B620" s="13" t="s">
        <v>430</v>
      </c>
      <c r="C620" s="1" t="s">
        <v>128</v>
      </c>
      <c r="D620" s="1" t="s">
        <v>60</v>
      </c>
      <c r="E620" s="19">
        <v>3248.311999831632</v>
      </c>
      <c r="F620">
        <f t="shared" si="365"/>
        <v>0</v>
      </c>
      <c r="G620">
        <f t="shared" si="366"/>
        <v>0</v>
      </c>
      <c r="H620">
        <f t="shared" si="367"/>
        <v>0</v>
      </c>
      <c r="I620">
        <f t="shared" si="368"/>
        <v>0</v>
      </c>
      <c r="J620">
        <f t="shared" si="369"/>
        <v>3248.311999831632</v>
      </c>
      <c r="K620">
        <f t="shared" si="370"/>
        <v>0</v>
      </c>
      <c r="L620">
        <f t="shared" si="371"/>
        <v>0</v>
      </c>
      <c r="M620">
        <f t="shared" si="372"/>
        <v>0</v>
      </c>
      <c r="N620">
        <f t="shared" si="373"/>
        <v>0</v>
      </c>
      <c r="O620">
        <f t="shared" si="374"/>
        <v>0</v>
      </c>
      <c r="P620">
        <f t="shared" si="375"/>
        <v>0</v>
      </c>
      <c r="Q620">
        <f t="shared" si="376"/>
        <v>0</v>
      </c>
      <c r="S620">
        <f t="shared" si="377"/>
        <v>22</v>
      </c>
      <c r="T620">
        <f t="shared" si="378"/>
        <v>21</v>
      </c>
      <c r="U620">
        <f t="shared" si="379"/>
        <v>5</v>
      </c>
      <c r="V620">
        <f t="shared" si="380"/>
        <v>8</v>
      </c>
      <c r="W620">
        <f t="shared" si="381"/>
        <v>36</v>
      </c>
      <c r="X620">
        <f t="shared" si="382"/>
        <v>26</v>
      </c>
      <c r="Y620">
        <f t="shared" si="383"/>
        <v>4</v>
      </c>
      <c r="Z620">
        <f t="shared" si="384"/>
        <v>3</v>
      </c>
      <c r="AA620">
        <f t="shared" si="385"/>
        <v>3</v>
      </c>
      <c r="AB620">
        <f t="shared" si="386"/>
        <v>1</v>
      </c>
      <c r="AC620">
        <f t="shared" si="387"/>
        <v>46</v>
      </c>
      <c r="AD620">
        <f t="shared" si="388"/>
        <v>0</v>
      </c>
      <c r="AF620">
        <f t="shared" si="389"/>
        <v>0</v>
      </c>
      <c r="AG620">
        <f t="shared" si="390"/>
        <v>0</v>
      </c>
      <c r="AH620">
        <f t="shared" si="391"/>
        <v>0</v>
      </c>
      <c r="AI620">
        <f t="shared" si="392"/>
        <v>0</v>
      </c>
      <c r="AJ620">
        <f t="shared" si="393"/>
        <v>0</v>
      </c>
      <c r="AK620">
        <f t="shared" si="394"/>
        <v>0</v>
      </c>
      <c r="AL620">
        <f t="shared" si="395"/>
        <v>0</v>
      </c>
      <c r="AM620">
        <f t="shared" si="396"/>
        <v>0</v>
      </c>
      <c r="AN620">
        <f t="shared" si="397"/>
        <v>0</v>
      </c>
      <c r="AO620">
        <f t="shared" si="398"/>
        <v>0</v>
      </c>
      <c r="AP620">
        <f t="shared" si="399"/>
        <v>0</v>
      </c>
      <c r="AQ620">
        <f t="shared" si="400"/>
        <v>0</v>
      </c>
    </row>
    <row r="621" spans="1:43" ht="15.5" x14ac:dyDescent="0.35">
      <c r="A621" s="51">
        <v>64</v>
      </c>
      <c r="B621" s="13" t="s">
        <v>430</v>
      </c>
      <c r="C621" s="1" t="s">
        <v>130</v>
      </c>
      <c r="D621" s="1" t="s">
        <v>228</v>
      </c>
      <c r="E621" s="19">
        <v>3039.7511245660176</v>
      </c>
      <c r="F621">
        <f t="shared" si="365"/>
        <v>0</v>
      </c>
      <c r="G621">
        <f t="shared" si="366"/>
        <v>0</v>
      </c>
      <c r="H621">
        <f t="shared" si="367"/>
        <v>0</v>
      </c>
      <c r="I621">
        <f t="shared" si="368"/>
        <v>0</v>
      </c>
      <c r="J621">
        <f t="shared" si="369"/>
        <v>0</v>
      </c>
      <c r="K621">
        <f t="shared" si="370"/>
        <v>0</v>
      </c>
      <c r="L621">
        <f t="shared" si="371"/>
        <v>0</v>
      </c>
      <c r="M621">
        <f t="shared" si="372"/>
        <v>0</v>
      </c>
      <c r="N621">
        <f t="shared" si="373"/>
        <v>0</v>
      </c>
      <c r="O621">
        <f t="shared" si="374"/>
        <v>0</v>
      </c>
      <c r="P621">
        <f t="shared" si="375"/>
        <v>3039.7511245660176</v>
      </c>
      <c r="Q621">
        <f t="shared" si="376"/>
        <v>0</v>
      </c>
      <c r="S621">
        <f t="shared" si="377"/>
        <v>22</v>
      </c>
      <c r="T621">
        <f t="shared" si="378"/>
        <v>21</v>
      </c>
      <c r="U621">
        <f t="shared" si="379"/>
        <v>5</v>
      </c>
      <c r="V621">
        <f t="shared" si="380"/>
        <v>8</v>
      </c>
      <c r="W621">
        <f t="shared" si="381"/>
        <v>35</v>
      </c>
      <c r="X621">
        <f t="shared" si="382"/>
        <v>26</v>
      </c>
      <c r="Y621">
        <f t="shared" si="383"/>
        <v>4</v>
      </c>
      <c r="Z621">
        <f t="shared" si="384"/>
        <v>3</v>
      </c>
      <c r="AA621">
        <f t="shared" si="385"/>
        <v>3</v>
      </c>
      <c r="AB621">
        <f t="shared" si="386"/>
        <v>1</v>
      </c>
      <c r="AC621">
        <f t="shared" si="387"/>
        <v>46</v>
      </c>
      <c r="AD621">
        <f t="shared" si="388"/>
        <v>0</v>
      </c>
      <c r="AF621">
        <f t="shared" si="389"/>
        <v>0</v>
      </c>
      <c r="AG621">
        <f t="shared" si="390"/>
        <v>0</v>
      </c>
      <c r="AH621">
        <f t="shared" si="391"/>
        <v>0</v>
      </c>
      <c r="AI621">
        <f t="shared" si="392"/>
        <v>0</v>
      </c>
      <c r="AJ621">
        <f t="shared" si="393"/>
        <v>0</v>
      </c>
      <c r="AK621">
        <f t="shared" si="394"/>
        <v>0</v>
      </c>
      <c r="AL621">
        <f t="shared" si="395"/>
        <v>0</v>
      </c>
      <c r="AM621">
        <f t="shared" si="396"/>
        <v>0</v>
      </c>
      <c r="AN621">
        <f t="shared" si="397"/>
        <v>0</v>
      </c>
      <c r="AO621">
        <f t="shared" si="398"/>
        <v>0</v>
      </c>
      <c r="AP621">
        <f t="shared" si="399"/>
        <v>0</v>
      </c>
      <c r="AQ621">
        <f t="shared" si="400"/>
        <v>0</v>
      </c>
    </row>
    <row r="622" spans="1:43" ht="15.5" x14ac:dyDescent="0.35">
      <c r="A622" s="51">
        <v>65</v>
      </c>
      <c r="B622" s="13" t="s">
        <v>431</v>
      </c>
      <c r="C622" s="1" t="s">
        <v>131</v>
      </c>
      <c r="D622" s="1" t="s">
        <v>228</v>
      </c>
      <c r="E622" s="19">
        <v>3285.6432502325583</v>
      </c>
      <c r="F622">
        <f t="shared" si="365"/>
        <v>0</v>
      </c>
      <c r="G622">
        <f t="shared" si="366"/>
        <v>0</v>
      </c>
      <c r="H622">
        <f t="shared" si="367"/>
        <v>0</v>
      </c>
      <c r="I622">
        <f t="shared" si="368"/>
        <v>0</v>
      </c>
      <c r="J622">
        <f t="shared" si="369"/>
        <v>0</v>
      </c>
      <c r="K622">
        <f t="shared" si="370"/>
        <v>0</v>
      </c>
      <c r="L622">
        <f t="shared" si="371"/>
        <v>0</v>
      </c>
      <c r="M622">
        <f t="shared" si="372"/>
        <v>0</v>
      </c>
      <c r="N622">
        <f t="shared" si="373"/>
        <v>0</v>
      </c>
      <c r="O622">
        <f t="shared" si="374"/>
        <v>0</v>
      </c>
      <c r="P622">
        <f t="shared" si="375"/>
        <v>3285.6432502325583</v>
      </c>
      <c r="Q622">
        <f t="shared" si="376"/>
        <v>0</v>
      </c>
      <c r="S622">
        <f t="shared" si="377"/>
        <v>22</v>
      </c>
      <c r="T622">
        <f t="shared" si="378"/>
        <v>21</v>
      </c>
      <c r="U622">
        <f t="shared" si="379"/>
        <v>5</v>
      </c>
      <c r="V622">
        <f t="shared" si="380"/>
        <v>8</v>
      </c>
      <c r="W622">
        <f t="shared" si="381"/>
        <v>35</v>
      </c>
      <c r="X622">
        <f t="shared" si="382"/>
        <v>26</v>
      </c>
      <c r="Y622">
        <f t="shared" si="383"/>
        <v>4</v>
      </c>
      <c r="Z622">
        <f t="shared" si="384"/>
        <v>3</v>
      </c>
      <c r="AA622">
        <f t="shared" si="385"/>
        <v>3</v>
      </c>
      <c r="AB622">
        <f t="shared" si="386"/>
        <v>1</v>
      </c>
      <c r="AC622">
        <f t="shared" si="387"/>
        <v>45</v>
      </c>
      <c r="AD622">
        <f t="shared" si="388"/>
        <v>0</v>
      </c>
      <c r="AF622">
        <f t="shared" si="389"/>
        <v>0</v>
      </c>
      <c r="AG622">
        <f t="shared" si="390"/>
        <v>0</v>
      </c>
      <c r="AH622">
        <f t="shared" si="391"/>
        <v>0</v>
      </c>
      <c r="AI622">
        <f t="shared" si="392"/>
        <v>0</v>
      </c>
      <c r="AJ622">
        <f t="shared" si="393"/>
        <v>0</v>
      </c>
      <c r="AK622">
        <f t="shared" si="394"/>
        <v>0</v>
      </c>
      <c r="AL622">
        <f t="shared" si="395"/>
        <v>0</v>
      </c>
      <c r="AM622">
        <f t="shared" si="396"/>
        <v>0</v>
      </c>
      <c r="AN622">
        <f t="shared" si="397"/>
        <v>0</v>
      </c>
      <c r="AO622">
        <f t="shared" si="398"/>
        <v>0</v>
      </c>
      <c r="AP622">
        <f t="shared" si="399"/>
        <v>0</v>
      </c>
      <c r="AQ622">
        <f t="shared" si="400"/>
        <v>0</v>
      </c>
    </row>
    <row r="623" spans="1:43" ht="15.5" x14ac:dyDescent="0.35">
      <c r="A623" s="51">
        <v>66</v>
      </c>
      <c r="B623" s="13" t="s">
        <v>431</v>
      </c>
      <c r="C623" s="17" t="s">
        <v>129</v>
      </c>
      <c r="D623" s="17" t="s">
        <v>54</v>
      </c>
      <c r="E623" s="19">
        <v>3306.2933395191899</v>
      </c>
      <c r="F623">
        <f t="shared" si="365"/>
        <v>0</v>
      </c>
      <c r="G623">
        <f t="shared" si="366"/>
        <v>0</v>
      </c>
      <c r="H623">
        <f t="shared" si="367"/>
        <v>0</v>
      </c>
      <c r="I623">
        <f t="shared" si="368"/>
        <v>0</v>
      </c>
      <c r="J623">
        <f t="shared" si="369"/>
        <v>0</v>
      </c>
      <c r="K623">
        <f t="shared" si="370"/>
        <v>3306.2933395191899</v>
      </c>
      <c r="L623">
        <f t="shared" si="371"/>
        <v>0</v>
      </c>
      <c r="M623">
        <f t="shared" si="372"/>
        <v>0</v>
      </c>
      <c r="N623">
        <f t="shared" si="373"/>
        <v>0</v>
      </c>
      <c r="O623">
        <f t="shared" si="374"/>
        <v>0</v>
      </c>
      <c r="P623">
        <f t="shared" si="375"/>
        <v>0</v>
      </c>
      <c r="Q623">
        <f t="shared" si="376"/>
        <v>0</v>
      </c>
      <c r="S623">
        <f t="shared" si="377"/>
        <v>22</v>
      </c>
      <c r="T623">
        <f t="shared" si="378"/>
        <v>21</v>
      </c>
      <c r="U623">
        <f t="shared" si="379"/>
        <v>5</v>
      </c>
      <c r="V623">
        <f t="shared" si="380"/>
        <v>8</v>
      </c>
      <c r="W623">
        <f t="shared" si="381"/>
        <v>35</v>
      </c>
      <c r="X623">
        <f t="shared" si="382"/>
        <v>26</v>
      </c>
      <c r="Y623">
        <f t="shared" si="383"/>
        <v>4</v>
      </c>
      <c r="Z623">
        <f t="shared" si="384"/>
        <v>3</v>
      </c>
      <c r="AA623">
        <f t="shared" si="385"/>
        <v>3</v>
      </c>
      <c r="AB623">
        <f t="shared" si="386"/>
        <v>1</v>
      </c>
      <c r="AC623">
        <f t="shared" si="387"/>
        <v>44</v>
      </c>
      <c r="AD623">
        <f t="shared" si="388"/>
        <v>0</v>
      </c>
      <c r="AF623">
        <f t="shared" si="389"/>
        <v>0</v>
      </c>
      <c r="AG623">
        <f t="shared" si="390"/>
        <v>0</v>
      </c>
      <c r="AH623">
        <f t="shared" si="391"/>
        <v>0</v>
      </c>
      <c r="AI623">
        <f t="shared" si="392"/>
        <v>0</v>
      </c>
      <c r="AJ623">
        <f t="shared" si="393"/>
        <v>0</v>
      </c>
      <c r="AK623">
        <f t="shared" si="394"/>
        <v>0</v>
      </c>
      <c r="AL623">
        <f t="shared" si="395"/>
        <v>0</v>
      </c>
      <c r="AM623">
        <f t="shared" si="396"/>
        <v>0</v>
      </c>
      <c r="AN623">
        <f t="shared" si="397"/>
        <v>0</v>
      </c>
      <c r="AO623">
        <f t="shared" si="398"/>
        <v>0</v>
      </c>
      <c r="AP623">
        <f t="shared" si="399"/>
        <v>0</v>
      </c>
      <c r="AQ623">
        <f t="shared" si="400"/>
        <v>0</v>
      </c>
    </row>
    <row r="624" spans="1:43" ht="15.5" x14ac:dyDescent="0.35">
      <c r="A624" s="51">
        <v>67</v>
      </c>
      <c r="B624" s="13" t="s">
        <v>431</v>
      </c>
      <c r="C624" s="1" t="s">
        <v>432</v>
      </c>
      <c r="D624" s="1" t="s">
        <v>60</v>
      </c>
      <c r="E624" s="70">
        <v>2512.9727244651849</v>
      </c>
      <c r="F624">
        <f t="shared" si="365"/>
        <v>0</v>
      </c>
      <c r="G624">
        <f t="shared" si="366"/>
        <v>0</v>
      </c>
      <c r="H624">
        <f t="shared" si="367"/>
        <v>0</v>
      </c>
      <c r="I624">
        <f t="shared" si="368"/>
        <v>0</v>
      </c>
      <c r="J624">
        <f t="shared" si="369"/>
        <v>2512.9727244651849</v>
      </c>
      <c r="K624">
        <f t="shared" si="370"/>
        <v>0</v>
      </c>
      <c r="L624">
        <f t="shared" si="371"/>
        <v>0</v>
      </c>
      <c r="M624">
        <f t="shared" si="372"/>
        <v>0</v>
      </c>
      <c r="N624">
        <f t="shared" si="373"/>
        <v>0</v>
      </c>
      <c r="O624">
        <f t="shared" si="374"/>
        <v>0</v>
      </c>
      <c r="P624">
        <f t="shared" si="375"/>
        <v>0</v>
      </c>
      <c r="Q624">
        <f t="shared" si="376"/>
        <v>0</v>
      </c>
      <c r="S624">
        <f t="shared" si="377"/>
        <v>22</v>
      </c>
      <c r="T624">
        <f t="shared" si="378"/>
        <v>21</v>
      </c>
      <c r="U624">
        <f t="shared" si="379"/>
        <v>5</v>
      </c>
      <c r="V624">
        <f t="shared" si="380"/>
        <v>8</v>
      </c>
      <c r="W624">
        <f t="shared" si="381"/>
        <v>35</v>
      </c>
      <c r="X624">
        <f t="shared" si="382"/>
        <v>25</v>
      </c>
      <c r="Y624">
        <f t="shared" si="383"/>
        <v>4</v>
      </c>
      <c r="Z624">
        <f t="shared" si="384"/>
        <v>3</v>
      </c>
      <c r="AA624">
        <f t="shared" si="385"/>
        <v>3</v>
      </c>
      <c r="AB624">
        <f t="shared" si="386"/>
        <v>1</v>
      </c>
      <c r="AC624">
        <f t="shared" si="387"/>
        <v>44</v>
      </c>
      <c r="AD624">
        <f t="shared" si="388"/>
        <v>0</v>
      </c>
      <c r="AF624">
        <f t="shared" si="389"/>
        <v>0</v>
      </c>
      <c r="AG624">
        <f t="shared" si="390"/>
        <v>0</v>
      </c>
      <c r="AH624">
        <f t="shared" si="391"/>
        <v>0</v>
      </c>
      <c r="AI624">
        <f t="shared" si="392"/>
        <v>0</v>
      </c>
      <c r="AJ624">
        <f t="shared" si="393"/>
        <v>0</v>
      </c>
      <c r="AK624">
        <f t="shared" si="394"/>
        <v>0</v>
      </c>
      <c r="AL624">
        <f t="shared" si="395"/>
        <v>0</v>
      </c>
      <c r="AM624">
        <f t="shared" si="396"/>
        <v>0</v>
      </c>
      <c r="AN624">
        <f t="shared" si="397"/>
        <v>0</v>
      </c>
      <c r="AO624">
        <f t="shared" si="398"/>
        <v>0</v>
      </c>
      <c r="AP624">
        <f t="shared" si="399"/>
        <v>0</v>
      </c>
      <c r="AQ624">
        <f t="shared" si="400"/>
        <v>0</v>
      </c>
    </row>
    <row r="625" spans="1:55" ht="15.5" x14ac:dyDescent="0.35">
      <c r="A625" s="51">
        <v>68</v>
      </c>
      <c r="B625" s="13" t="s">
        <v>433</v>
      </c>
      <c r="C625" s="17" t="s">
        <v>134</v>
      </c>
      <c r="D625" s="17" t="s">
        <v>227</v>
      </c>
      <c r="E625" s="19">
        <v>3128.2899620413327</v>
      </c>
      <c r="F625">
        <f t="shared" si="365"/>
        <v>0</v>
      </c>
      <c r="G625">
        <f t="shared" si="366"/>
        <v>3128.2899620413327</v>
      </c>
      <c r="H625">
        <f t="shared" si="367"/>
        <v>0</v>
      </c>
      <c r="I625">
        <f t="shared" si="368"/>
        <v>0</v>
      </c>
      <c r="J625">
        <f t="shared" si="369"/>
        <v>0</v>
      </c>
      <c r="K625">
        <f t="shared" si="370"/>
        <v>0</v>
      </c>
      <c r="L625">
        <f t="shared" si="371"/>
        <v>0</v>
      </c>
      <c r="M625">
        <f t="shared" si="372"/>
        <v>0</v>
      </c>
      <c r="N625">
        <f t="shared" si="373"/>
        <v>0</v>
      </c>
      <c r="O625">
        <f t="shared" si="374"/>
        <v>0</v>
      </c>
      <c r="P625">
        <f t="shared" si="375"/>
        <v>0</v>
      </c>
      <c r="Q625">
        <f t="shared" si="376"/>
        <v>0</v>
      </c>
      <c r="S625">
        <f t="shared" si="377"/>
        <v>22</v>
      </c>
      <c r="T625">
        <f t="shared" si="378"/>
        <v>21</v>
      </c>
      <c r="U625">
        <f t="shared" si="379"/>
        <v>5</v>
      </c>
      <c r="V625">
        <f t="shared" si="380"/>
        <v>8</v>
      </c>
      <c r="W625">
        <f t="shared" si="381"/>
        <v>34</v>
      </c>
      <c r="X625">
        <f t="shared" si="382"/>
        <v>25</v>
      </c>
      <c r="Y625">
        <f t="shared" si="383"/>
        <v>4</v>
      </c>
      <c r="Z625">
        <f t="shared" si="384"/>
        <v>3</v>
      </c>
      <c r="AA625">
        <f t="shared" si="385"/>
        <v>3</v>
      </c>
      <c r="AB625">
        <f t="shared" si="386"/>
        <v>1</v>
      </c>
      <c r="AC625">
        <f t="shared" si="387"/>
        <v>44</v>
      </c>
      <c r="AD625">
        <f t="shared" si="388"/>
        <v>0</v>
      </c>
      <c r="AF625">
        <f t="shared" si="389"/>
        <v>0</v>
      </c>
      <c r="AG625">
        <f t="shared" si="390"/>
        <v>0</v>
      </c>
      <c r="AH625">
        <f t="shared" si="391"/>
        <v>0</v>
      </c>
      <c r="AI625">
        <f t="shared" si="392"/>
        <v>0</v>
      </c>
      <c r="AJ625">
        <f t="shared" si="393"/>
        <v>0</v>
      </c>
      <c r="AK625">
        <f t="shared" si="394"/>
        <v>0</v>
      </c>
      <c r="AL625">
        <f t="shared" si="395"/>
        <v>0</v>
      </c>
      <c r="AM625">
        <f t="shared" si="396"/>
        <v>0</v>
      </c>
      <c r="AN625">
        <f t="shared" si="397"/>
        <v>0</v>
      </c>
      <c r="AO625">
        <f t="shared" si="398"/>
        <v>0</v>
      </c>
      <c r="AP625">
        <f t="shared" si="399"/>
        <v>0</v>
      </c>
      <c r="AQ625">
        <f t="shared" si="400"/>
        <v>0</v>
      </c>
    </row>
    <row r="626" spans="1:55" ht="15.5" x14ac:dyDescent="0.35">
      <c r="A626" s="51">
        <v>69</v>
      </c>
      <c r="B626" s="13" t="s">
        <v>433</v>
      </c>
      <c r="C626" s="1" t="s">
        <v>135</v>
      </c>
      <c r="D626" s="1" t="s">
        <v>67</v>
      </c>
      <c r="E626" s="70">
        <v>2359.5930708661417</v>
      </c>
      <c r="F626">
        <f t="shared" si="365"/>
        <v>0</v>
      </c>
      <c r="G626">
        <f t="shared" si="366"/>
        <v>0</v>
      </c>
      <c r="H626">
        <f t="shared" si="367"/>
        <v>0</v>
      </c>
      <c r="I626">
        <f t="shared" si="368"/>
        <v>2359.5930708661417</v>
      </c>
      <c r="J626">
        <f t="shared" si="369"/>
        <v>0</v>
      </c>
      <c r="K626">
        <f t="shared" si="370"/>
        <v>0</v>
      </c>
      <c r="L626">
        <f t="shared" si="371"/>
        <v>0</v>
      </c>
      <c r="M626">
        <f t="shared" si="372"/>
        <v>0</v>
      </c>
      <c r="N626">
        <f t="shared" si="373"/>
        <v>0</v>
      </c>
      <c r="O626">
        <f t="shared" si="374"/>
        <v>0</v>
      </c>
      <c r="P626">
        <f t="shared" si="375"/>
        <v>0</v>
      </c>
      <c r="Q626">
        <f t="shared" si="376"/>
        <v>0</v>
      </c>
      <c r="S626">
        <f t="shared" si="377"/>
        <v>22</v>
      </c>
      <c r="T626">
        <f t="shared" si="378"/>
        <v>20</v>
      </c>
      <c r="U626">
        <f t="shared" si="379"/>
        <v>5</v>
      </c>
      <c r="V626">
        <f t="shared" si="380"/>
        <v>8</v>
      </c>
      <c r="W626">
        <f t="shared" si="381"/>
        <v>34</v>
      </c>
      <c r="X626">
        <f t="shared" si="382"/>
        <v>25</v>
      </c>
      <c r="Y626">
        <f t="shared" si="383"/>
        <v>4</v>
      </c>
      <c r="Z626">
        <f t="shared" si="384"/>
        <v>3</v>
      </c>
      <c r="AA626">
        <f t="shared" si="385"/>
        <v>3</v>
      </c>
      <c r="AB626">
        <f t="shared" si="386"/>
        <v>1</v>
      </c>
      <c r="AC626">
        <f t="shared" si="387"/>
        <v>44</v>
      </c>
      <c r="AD626">
        <f t="shared" si="388"/>
        <v>0</v>
      </c>
      <c r="AF626">
        <f t="shared" si="389"/>
        <v>0</v>
      </c>
      <c r="AG626">
        <f t="shared" si="390"/>
        <v>0</v>
      </c>
      <c r="AH626">
        <f t="shared" si="391"/>
        <v>0</v>
      </c>
      <c r="AI626">
        <f t="shared" si="392"/>
        <v>2359.5930708661417</v>
      </c>
      <c r="AJ626">
        <f t="shared" si="393"/>
        <v>0</v>
      </c>
      <c r="AK626">
        <f t="shared" si="394"/>
        <v>0</v>
      </c>
      <c r="AL626">
        <f t="shared" si="395"/>
        <v>0</v>
      </c>
      <c r="AM626">
        <f t="shared" si="396"/>
        <v>0</v>
      </c>
      <c r="AN626">
        <f t="shared" si="397"/>
        <v>0</v>
      </c>
      <c r="AO626">
        <f t="shared" si="398"/>
        <v>0</v>
      </c>
      <c r="AP626">
        <f t="shared" si="399"/>
        <v>0</v>
      </c>
      <c r="AQ626">
        <f t="shared" si="400"/>
        <v>0</v>
      </c>
    </row>
    <row r="627" spans="1:55" ht="15.5" x14ac:dyDescent="0.35">
      <c r="A627" s="51">
        <v>70</v>
      </c>
      <c r="B627" s="13" t="s">
        <v>433</v>
      </c>
      <c r="C627" s="17" t="s">
        <v>137</v>
      </c>
      <c r="D627" s="17" t="s">
        <v>228</v>
      </c>
      <c r="E627" s="19">
        <v>3342.64752</v>
      </c>
      <c r="F627">
        <f t="shared" si="365"/>
        <v>0</v>
      </c>
      <c r="G627">
        <f t="shared" si="366"/>
        <v>0</v>
      </c>
      <c r="H627">
        <f t="shared" si="367"/>
        <v>0</v>
      </c>
      <c r="I627">
        <f t="shared" si="368"/>
        <v>0</v>
      </c>
      <c r="J627">
        <f t="shared" si="369"/>
        <v>0</v>
      </c>
      <c r="K627">
        <f t="shared" si="370"/>
        <v>0</v>
      </c>
      <c r="L627">
        <f t="shared" si="371"/>
        <v>0</v>
      </c>
      <c r="M627">
        <f t="shared" si="372"/>
        <v>0</v>
      </c>
      <c r="N627">
        <f t="shared" si="373"/>
        <v>0</v>
      </c>
      <c r="O627">
        <f t="shared" si="374"/>
        <v>0</v>
      </c>
      <c r="P627">
        <f t="shared" si="375"/>
        <v>3342.64752</v>
      </c>
      <c r="Q627">
        <f t="shared" si="376"/>
        <v>0</v>
      </c>
      <c r="S627">
        <f t="shared" si="377"/>
        <v>22</v>
      </c>
      <c r="T627">
        <f t="shared" si="378"/>
        <v>20</v>
      </c>
      <c r="U627">
        <f t="shared" si="379"/>
        <v>5</v>
      </c>
      <c r="V627">
        <f t="shared" si="380"/>
        <v>7</v>
      </c>
      <c r="W627">
        <f t="shared" si="381"/>
        <v>34</v>
      </c>
      <c r="X627">
        <f t="shared" si="382"/>
        <v>25</v>
      </c>
      <c r="Y627">
        <f t="shared" si="383"/>
        <v>4</v>
      </c>
      <c r="Z627">
        <f t="shared" si="384"/>
        <v>3</v>
      </c>
      <c r="AA627">
        <f t="shared" si="385"/>
        <v>3</v>
      </c>
      <c r="AB627">
        <f t="shared" si="386"/>
        <v>1</v>
      </c>
      <c r="AC627">
        <f t="shared" si="387"/>
        <v>44</v>
      </c>
      <c r="AD627">
        <f t="shared" si="388"/>
        <v>0</v>
      </c>
      <c r="AF627">
        <f t="shared" si="389"/>
        <v>0</v>
      </c>
      <c r="AG627">
        <f t="shared" si="390"/>
        <v>0</v>
      </c>
      <c r="AH627">
        <f t="shared" si="391"/>
        <v>0</v>
      </c>
      <c r="AI627">
        <f t="shared" si="392"/>
        <v>0</v>
      </c>
      <c r="AJ627">
        <f t="shared" si="393"/>
        <v>0</v>
      </c>
      <c r="AK627">
        <f t="shared" si="394"/>
        <v>0</v>
      </c>
      <c r="AL627">
        <f t="shared" si="395"/>
        <v>0</v>
      </c>
      <c r="AM627">
        <f t="shared" si="396"/>
        <v>0</v>
      </c>
      <c r="AN627">
        <f t="shared" si="397"/>
        <v>0</v>
      </c>
      <c r="AO627">
        <f t="shared" si="398"/>
        <v>0</v>
      </c>
      <c r="AP627">
        <f t="shared" si="399"/>
        <v>0</v>
      </c>
      <c r="AQ627">
        <f t="shared" si="400"/>
        <v>0</v>
      </c>
    </row>
    <row r="628" spans="1:55" ht="15.5" x14ac:dyDescent="0.35">
      <c r="A628" s="51">
        <v>71</v>
      </c>
      <c r="B628" s="13" t="s">
        <v>433</v>
      </c>
      <c r="C628" s="1" t="s">
        <v>138</v>
      </c>
      <c r="D628" s="1" t="s">
        <v>67</v>
      </c>
      <c r="E628" s="19">
        <v>3339.5036525881233</v>
      </c>
      <c r="F628">
        <f t="shared" si="365"/>
        <v>0</v>
      </c>
      <c r="G628">
        <f t="shared" si="366"/>
        <v>0</v>
      </c>
      <c r="H628">
        <f t="shared" si="367"/>
        <v>0</v>
      </c>
      <c r="I628">
        <f t="shared" si="368"/>
        <v>3339.5036525881233</v>
      </c>
      <c r="J628">
        <f t="shared" si="369"/>
        <v>0</v>
      </c>
      <c r="K628">
        <f t="shared" si="370"/>
        <v>0</v>
      </c>
      <c r="L628">
        <f t="shared" si="371"/>
        <v>0</v>
      </c>
      <c r="M628">
        <f t="shared" si="372"/>
        <v>0</v>
      </c>
      <c r="N628">
        <f t="shared" si="373"/>
        <v>0</v>
      </c>
      <c r="O628">
        <f t="shared" si="374"/>
        <v>0</v>
      </c>
      <c r="P628">
        <f t="shared" si="375"/>
        <v>0</v>
      </c>
      <c r="Q628">
        <f t="shared" si="376"/>
        <v>0</v>
      </c>
      <c r="S628">
        <f t="shared" si="377"/>
        <v>22</v>
      </c>
      <c r="T628">
        <f t="shared" si="378"/>
        <v>20</v>
      </c>
      <c r="U628">
        <f t="shared" si="379"/>
        <v>5</v>
      </c>
      <c r="V628">
        <f t="shared" si="380"/>
        <v>7</v>
      </c>
      <c r="W628">
        <f t="shared" si="381"/>
        <v>34</v>
      </c>
      <c r="X628">
        <f t="shared" si="382"/>
        <v>25</v>
      </c>
      <c r="Y628">
        <f t="shared" si="383"/>
        <v>4</v>
      </c>
      <c r="Z628">
        <f t="shared" si="384"/>
        <v>3</v>
      </c>
      <c r="AA628">
        <f t="shared" si="385"/>
        <v>3</v>
      </c>
      <c r="AB628">
        <f t="shared" si="386"/>
        <v>1</v>
      </c>
      <c r="AC628">
        <f t="shared" si="387"/>
        <v>43</v>
      </c>
      <c r="AD628">
        <f t="shared" si="388"/>
        <v>0</v>
      </c>
      <c r="AF628">
        <f t="shared" si="389"/>
        <v>0</v>
      </c>
      <c r="AG628">
        <f t="shared" si="390"/>
        <v>0</v>
      </c>
      <c r="AH628">
        <f t="shared" si="391"/>
        <v>0</v>
      </c>
      <c r="AI628">
        <f t="shared" si="392"/>
        <v>3339.5036525881233</v>
      </c>
      <c r="AJ628">
        <f t="shared" si="393"/>
        <v>0</v>
      </c>
      <c r="AK628">
        <f t="shared" si="394"/>
        <v>0</v>
      </c>
      <c r="AL628">
        <f t="shared" si="395"/>
        <v>0</v>
      </c>
      <c r="AM628">
        <f t="shared" si="396"/>
        <v>0</v>
      </c>
      <c r="AN628">
        <f t="shared" si="397"/>
        <v>0</v>
      </c>
      <c r="AO628">
        <f t="shared" si="398"/>
        <v>0</v>
      </c>
      <c r="AP628">
        <f t="shared" si="399"/>
        <v>0</v>
      </c>
      <c r="AQ628">
        <f t="shared" si="400"/>
        <v>0</v>
      </c>
    </row>
    <row r="629" spans="1:55" ht="15.5" x14ac:dyDescent="0.35">
      <c r="A629" s="51">
        <v>72</v>
      </c>
      <c r="B629" s="13" t="s">
        <v>434</v>
      </c>
      <c r="C629" s="1" t="s">
        <v>140</v>
      </c>
      <c r="D629" s="1" t="s">
        <v>228</v>
      </c>
      <c r="E629" s="19">
        <v>3458.6178057422376</v>
      </c>
      <c r="F629">
        <f t="shared" si="365"/>
        <v>0</v>
      </c>
      <c r="G629">
        <f t="shared" si="366"/>
        <v>0</v>
      </c>
      <c r="H629">
        <f t="shared" si="367"/>
        <v>0</v>
      </c>
      <c r="I629">
        <f t="shared" si="368"/>
        <v>0</v>
      </c>
      <c r="J629">
        <f t="shared" si="369"/>
        <v>0</v>
      </c>
      <c r="K629">
        <f t="shared" si="370"/>
        <v>0</v>
      </c>
      <c r="L629">
        <f t="shared" si="371"/>
        <v>0</v>
      </c>
      <c r="M629">
        <f t="shared" si="372"/>
        <v>0</v>
      </c>
      <c r="N629">
        <f t="shared" si="373"/>
        <v>0</v>
      </c>
      <c r="O629">
        <f t="shared" si="374"/>
        <v>0</v>
      </c>
      <c r="P629">
        <f t="shared" si="375"/>
        <v>3458.6178057422376</v>
      </c>
      <c r="Q629">
        <f t="shared" si="376"/>
        <v>0</v>
      </c>
      <c r="S629">
        <f t="shared" si="377"/>
        <v>22</v>
      </c>
      <c r="T629">
        <f t="shared" si="378"/>
        <v>20</v>
      </c>
      <c r="U629">
        <f t="shared" si="379"/>
        <v>5</v>
      </c>
      <c r="V629">
        <f t="shared" si="380"/>
        <v>6</v>
      </c>
      <c r="W629">
        <f t="shared" si="381"/>
        <v>34</v>
      </c>
      <c r="X629">
        <f t="shared" si="382"/>
        <v>25</v>
      </c>
      <c r="Y629">
        <f t="shared" si="383"/>
        <v>4</v>
      </c>
      <c r="Z629">
        <f t="shared" si="384"/>
        <v>3</v>
      </c>
      <c r="AA629">
        <f t="shared" si="385"/>
        <v>3</v>
      </c>
      <c r="AB629">
        <f t="shared" si="386"/>
        <v>1</v>
      </c>
      <c r="AC629">
        <f t="shared" si="387"/>
        <v>43</v>
      </c>
      <c r="AD629">
        <f t="shared" si="388"/>
        <v>0</v>
      </c>
      <c r="AF629">
        <f t="shared" si="389"/>
        <v>0</v>
      </c>
      <c r="AG629">
        <f t="shared" si="390"/>
        <v>0</v>
      </c>
      <c r="AH629">
        <f t="shared" si="391"/>
        <v>0</v>
      </c>
      <c r="AI629">
        <f t="shared" si="392"/>
        <v>0</v>
      </c>
      <c r="AJ629">
        <f t="shared" si="393"/>
        <v>0</v>
      </c>
      <c r="AK629">
        <f t="shared" si="394"/>
        <v>0</v>
      </c>
      <c r="AL629">
        <f t="shared" si="395"/>
        <v>0</v>
      </c>
      <c r="AM629">
        <f t="shared" si="396"/>
        <v>0</v>
      </c>
      <c r="AN629">
        <f t="shared" si="397"/>
        <v>0</v>
      </c>
      <c r="AO629">
        <f t="shared" si="398"/>
        <v>0</v>
      </c>
      <c r="AP629">
        <f t="shared" si="399"/>
        <v>0</v>
      </c>
      <c r="AQ629">
        <f t="shared" si="400"/>
        <v>0</v>
      </c>
      <c r="BC629" s="17"/>
    </row>
    <row r="630" spans="1:55" ht="15.5" x14ac:dyDescent="0.35">
      <c r="A630" s="51">
        <v>73</v>
      </c>
      <c r="B630" s="13" t="s">
        <v>434</v>
      </c>
      <c r="C630" s="1" t="s">
        <v>141</v>
      </c>
      <c r="D630" s="1" t="s">
        <v>67</v>
      </c>
      <c r="E630" s="70">
        <v>2515.2151360508205</v>
      </c>
      <c r="F630">
        <f t="shared" si="365"/>
        <v>0</v>
      </c>
      <c r="G630">
        <f t="shared" si="366"/>
        <v>0</v>
      </c>
      <c r="H630">
        <f t="shared" si="367"/>
        <v>0</v>
      </c>
      <c r="I630">
        <f t="shared" si="368"/>
        <v>2515.2151360508205</v>
      </c>
      <c r="J630">
        <f t="shared" si="369"/>
        <v>0</v>
      </c>
      <c r="K630">
        <f t="shared" si="370"/>
        <v>0</v>
      </c>
      <c r="L630">
        <f t="shared" si="371"/>
        <v>0</v>
      </c>
      <c r="M630">
        <f t="shared" si="372"/>
        <v>0</v>
      </c>
      <c r="N630">
        <f t="shared" si="373"/>
        <v>0</v>
      </c>
      <c r="O630">
        <f t="shared" si="374"/>
        <v>0</v>
      </c>
      <c r="P630">
        <f t="shared" si="375"/>
        <v>0</v>
      </c>
      <c r="Q630">
        <f t="shared" si="376"/>
        <v>0</v>
      </c>
      <c r="S630">
        <f t="shared" si="377"/>
        <v>22</v>
      </c>
      <c r="T630">
        <f t="shared" si="378"/>
        <v>20</v>
      </c>
      <c r="U630">
        <f t="shared" si="379"/>
        <v>5</v>
      </c>
      <c r="V630">
        <f t="shared" si="380"/>
        <v>6</v>
      </c>
      <c r="W630">
        <f t="shared" si="381"/>
        <v>34</v>
      </c>
      <c r="X630">
        <f t="shared" si="382"/>
        <v>25</v>
      </c>
      <c r="Y630">
        <f t="shared" si="383"/>
        <v>4</v>
      </c>
      <c r="Z630">
        <f t="shared" si="384"/>
        <v>3</v>
      </c>
      <c r="AA630">
        <f t="shared" si="385"/>
        <v>3</v>
      </c>
      <c r="AB630">
        <f t="shared" si="386"/>
        <v>1</v>
      </c>
      <c r="AC630">
        <f t="shared" si="387"/>
        <v>42</v>
      </c>
      <c r="AD630">
        <f t="shared" si="388"/>
        <v>0</v>
      </c>
      <c r="AF630">
        <f t="shared" si="389"/>
        <v>0</v>
      </c>
      <c r="AG630">
        <f t="shared" si="390"/>
        <v>0</v>
      </c>
      <c r="AH630">
        <f t="shared" si="391"/>
        <v>0</v>
      </c>
      <c r="AI630">
        <f t="shared" si="392"/>
        <v>2515.2151360508205</v>
      </c>
      <c r="AJ630">
        <f t="shared" si="393"/>
        <v>0</v>
      </c>
      <c r="AK630">
        <f t="shared" si="394"/>
        <v>0</v>
      </c>
      <c r="AL630">
        <f t="shared" si="395"/>
        <v>0</v>
      </c>
      <c r="AM630">
        <f t="shared" si="396"/>
        <v>0</v>
      </c>
      <c r="AN630">
        <f t="shared" si="397"/>
        <v>0</v>
      </c>
      <c r="AO630">
        <f t="shared" si="398"/>
        <v>0</v>
      </c>
      <c r="AP630">
        <f t="shared" si="399"/>
        <v>0</v>
      </c>
      <c r="AQ630">
        <f t="shared" si="400"/>
        <v>0</v>
      </c>
      <c r="BC630" s="1"/>
    </row>
    <row r="631" spans="1:55" ht="15.5" x14ac:dyDescent="0.35">
      <c r="A631" s="51">
        <v>74</v>
      </c>
      <c r="B631" s="13" t="s">
        <v>434</v>
      </c>
      <c r="C631" s="1" t="s">
        <v>142</v>
      </c>
      <c r="D631" s="1" t="s">
        <v>60</v>
      </c>
      <c r="E631" s="19">
        <v>2944.8194873507346</v>
      </c>
      <c r="F631">
        <f t="shared" si="365"/>
        <v>0</v>
      </c>
      <c r="G631">
        <f t="shared" si="366"/>
        <v>0</v>
      </c>
      <c r="H631">
        <f t="shared" si="367"/>
        <v>0</v>
      </c>
      <c r="I631">
        <f t="shared" si="368"/>
        <v>0</v>
      </c>
      <c r="J631">
        <f t="shared" si="369"/>
        <v>2944.8194873507346</v>
      </c>
      <c r="K631">
        <f t="shared" si="370"/>
        <v>0</v>
      </c>
      <c r="L631">
        <f t="shared" si="371"/>
        <v>0</v>
      </c>
      <c r="M631">
        <f t="shared" si="372"/>
        <v>0</v>
      </c>
      <c r="N631">
        <f t="shared" si="373"/>
        <v>0</v>
      </c>
      <c r="O631">
        <f t="shared" si="374"/>
        <v>0</v>
      </c>
      <c r="P631">
        <f t="shared" si="375"/>
        <v>0</v>
      </c>
      <c r="Q631">
        <f t="shared" si="376"/>
        <v>0</v>
      </c>
      <c r="S631">
        <f t="shared" si="377"/>
        <v>22</v>
      </c>
      <c r="T631">
        <f t="shared" si="378"/>
        <v>20</v>
      </c>
      <c r="U631">
        <f t="shared" si="379"/>
        <v>5</v>
      </c>
      <c r="V631">
        <f t="shared" si="380"/>
        <v>5</v>
      </c>
      <c r="W631">
        <f t="shared" si="381"/>
        <v>34</v>
      </c>
      <c r="X631">
        <f t="shared" si="382"/>
        <v>25</v>
      </c>
      <c r="Y631">
        <f t="shared" si="383"/>
        <v>4</v>
      </c>
      <c r="Z631">
        <f t="shared" si="384"/>
        <v>3</v>
      </c>
      <c r="AA631">
        <f t="shared" si="385"/>
        <v>3</v>
      </c>
      <c r="AB631">
        <f t="shared" si="386"/>
        <v>1</v>
      </c>
      <c r="AC631">
        <f t="shared" si="387"/>
        <v>42</v>
      </c>
      <c r="AD631">
        <f t="shared" si="388"/>
        <v>0</v>
      </c>
      <c r="AF631">
        <f t="shared" si="389"/>
        <v>0</v>
      </c>
      <c r="AG631">
        <f t="shared" si="390"/>
        <v>0</v>
      </c>
      <c r="AH631">
        <f t="shared" si="391"/>
        <v>0</v>
      </c>
      <c r="AI631">
        <f t="shared" si="392"/>
        <v>0</v>
      </c>
      <c r="AJ631">
        <f t="shared" si="393"/>
        <v>0</v>
      </c>
      <c r="AK631">
        <f t="shared" si="394"/>
        <v>0</v>
      </c>
      <c r="AL631">
        <f t="shared" si="395"/>
        <v>0</v>
      </c>
      <c r="AM631">
        <f t="shared" si="396"/>
        <v>0</v>
      </c>
      <c r="AN631">
        <f t="shared" si="397"/>
        <v>0</v>
      </c>
      <c r="AO631">
        <f t="shared" si="398"/>
        <v>0</v>
      </c>
      <c r="AP631">
        <f t="shared" si="399"/>
        <v>0</v>
      </c>
      <c r="AQ631">
        <f t="shared" si="400"/>
        <v>0</v>
      </c>
      <c r="BC631" s="1"/>
    </row>
    <row r="632" spans="1:55" ht="15.5" x14ac:dyDescent="0.35">
      <c r="A632" s="51">
        <v>75</v>
      </c>
      <c r="B632" s="13" t="s">
        <v>435</v>
      </c>
      <c r="C632" s="1" t="s">
        <v>145</v>
      </c>
      <c r="D632" s="1" t="s">
        <v>228</v>
      </c>
      <c r="E632" s="19">
        <v>3291.5488123650221</v>
      </c>
      <c r="F632">
        <f t="shared" si="365"/>
        <v>0</v>
      </c>
      <c r="G632">
        <f t="shared" si="366"/>
        <v>0</v>
      </c>
      <c r="H632">
        <f t="shared" si="367"/>
        <v>0</v>
      </c>
      <c r="I632">
        <f t="shared" si="368"/>
        <v>0</v>
      </c>
      <c r="J632">
        <f t="shared" si="369"/>
        <v>0</v>
      </c>
      <c r="K632">
        <f t="shared" si="370"/>
        <v>0</v>
      </c>
      <c r="L632">
        <f t="shared" si="371"/>
        <v>0</v>
      </c>
      <c r="M632">
        <f t="shared" si="372"/>
        <v>0</v>
      </c>
      <c r="N632">
        <f t="shared" si="373"/>
        <v>0</v>
      </c>
      <c r="O632">
        <f t="shared" si="374"/>
        <v>0</v>
      </c>
      <c r="P632">
        <f t="shared" si="375"/>
        <v>3291.5488123650221</v>
      </c>
      <c r="Q632">
        <f t="shared" si="376"/>
        <v>0</v>
      </c>
      <c r="S632">
        <f t="shared" si="377"/>
        <v>22</v>
      </c>
      <c r="T632">
        <f t="shared" si="378"/>
        <v>20</v>
      </c>
      <c r="U632">
        <f t="shared" si="379"/>
        <v>5</v>
      </c>
      <c r="V632">
        <f t="shared" si="380"/>
        <v>5</v>
      </c>
      <c r="W632">
        <f t="shared" si="381"/>
        <v>33</v>
      </c>
      <c r="X632">
        <f t="shared" si="382"/>
        <v>25</v>
      </c>
      <c r="Y632">
        <f t="shared" si="383"/>
        <v>4</v>
      </c>
      <c r="Z632">
        <f t="shared" si="384"/>
        <v>3</v>
      </c>
      <c r="AA632">
        <f t="shared" si="385"/>
        <v>3</v>
      </c>
      <c r="AB632">
        <f t="shared" si="386"/>
        <v>1</v>
      </c>
      <c r="AC632">
        <f t="shared" si="387"/>
        <v>42</v>
      </c>
      <c r="AD632">
        <f t="shared" si="388"/>
        <v>0</v>
      </c>
      <c r="AF632">
        <f t="shared" si="389"/>
        <v>0</v>
      </c>
      <c r="AG632">
        <f t="shared" si="390"/>
        <v>0</v>
      </c>
      <c r="AH632">
        <f t="shared" si="391"/>
        <v>0</v>
      </c>
      <c r="AI632">
        <f t="shared" si="392"/>
        <v>0</v>
      </c>
      <c r="AJ632">
        <f t="shared" si="393"/>
        <v>0</v>
      </c>
      <c r="AK632">
        <f t="shared" si="394"/>
        <v>0</v>
      </c>
      <c r="AL632">
        <f t="shared" si="395"/>
        <v>0</v>
      </c>
      <c r="AM632">
        <f t="shared" si="396"/>
        <v>0</v>
      </c>
      <c r="AN632">
        <f t="shared" si="397"/>
        <v>0</v>
      </c>
      <c r="AO632">
        <f t="shared" si="398"/>
        <v>0</v>
      </c>
      <c r="AP632">
        <f t="shared" si="399"/>
        <v>0</v>
      </c>
      <c r="AQ632">
        <f t="shared" si="400"/>
        <v>0</v>
      </c>
      <c r="BC632" s="1"/>
    </row>
    <row r="633" spans="1:55" ht="15.5" x14ac:dyDescent="0.35">
      <c r="A633" s="51">
        <v>76</v>
      </c>
      <c r="B633" s="13" t="s">
        <v>435</v>
      </c>
      <c r="C633" s="17" t="s">
        <v>143</v>
      </c>
      <c r="D633" s="17" t="s">
        <v>227</v>
      </c>
      <c r="E633" s="70">
        <v>2443.3364009533898</v>
      </c>
      <c r="F633">
        <f t="shared" si="365"/>
        <v>0</v>
      </c>
      <c r="G633">
        <f t="shared" si="366"/>
        <v>2443.3364009533898</v>
      </c>
      <c r="H633">
        <f t="shared" si="367"/>
        <v>0</v>
      </c>
      <c r="I633">
        <f t="shared" si="368"/>
        <v>0</v>
      </c>
      <c r="J633">
        <f t="shared" si="369"/>
        <v>0</v>
      </c>
      <c r="K633">
        <f t="shared" si="370"/>
        <v>0</v>
      </c>
      <c r="L633">
        <f t="shared" si="371"/>
        <v>0</v>
      </c>
      <c r="M633">
        <f t="shared" si="372"/>
        <v>0</v>
      </c>
      <c r="N633">
        <f t="shared" si="373"/>
        <v>0</v>
      </c>
      <c r="O633">
        <f t="shared" si="374"/>
        <v>0</v>
      </c>
      <c r="P633">
        <f t="shared" si="375"/>
        <v>0</v>
      </c>
      <c r="Q633">
        <f t="shared" si="376"/>
        <v>0</v>
      </c>
      <c r="S633">
        <f t="shared" si="377"/>
        <v>22</v>
      </c>
      <c r="T633">
        <f t="shared" si="378"/>
        <v>20</v>
      </c>
      <c r="U633">
        <f t="shared" si="379"/>
        <v>5</v>
      </c>
      <c r="V633">
        <f t="shared" si="380"/>
        <v>5</v>
      </c>
      <c r="W633">
        <f t="shared" si="381"/>
        <v>33</v>
      </c>
      <c r="X633">
        <f t="shared" si="382"/>
        <v>25</v>
      </c>
      <c r="Y633">
        <f t="shared" si="383"/>
        <v>4</v>
      </c>
      <c r="Z633">
        <f t="shared" si="384"/>
        <v>3</v>
      </c>
      <c r="AA633">
        <f t="shared" si="385"/>
        <v>3</v>
      </c>
      <c r="AB633">
        <f t="shared" si="386"/>
        <v>1</v>
      </c>
      <c r="AC633">
        <f t="shared" si="387"/>
        <v>41</v>
      </c>
      <c r="AD633">
        <f t="shared" si="388"/>
        <v>0</v>
      </c>
      <c r="AF633">
        <f t="shared" si="389"/>
        <v>0</v>
      </c>
      <c r="AG633">
        <f t="shared" si="390"/>
        <v>0</v>
      </c>
      <c r="AH633">
        <f t="shared" si="391"/>
        <v>0</v>
      </c>
      <c r="AI633">
        <f t="shared" si="392"/>
        <v>0</v>
      </c>
      <c r="AJ633">
        <f t="shared" si="393"/>
        <v>0</v>
      </c>
      <c r="AK633">
        <f t="shared" si="394"/>
        <v>0</v>
      </c>
      <c r="AL633">
        <f t="shared" si="395"/>
        <v>0</v>
      </c>
      <c r="AM633">
        <f t="shared" si="396"/>
        <v>0</v>
      </c>
      <c r="AN633">
        <f t="shared" si="397"/>
        <v>0</v>
      </c>
      <c r="AO633">
        <f t="shared" si="398"/>
        <v>0</v>
      </c>
      <c r="AP633">
        <f t="shared" si="399"/>
        <v>0</v>
      </c>
      <c r="AQ633">
        <f t="shared" si="400"/>
        <v>0</v>
      </c>
    </row>
    <row r="634" spans="1:55" ht="15.5" x14ac:dyDescent="0.35">
      <c r="A634" s="51">
        <v>77</v>
      </c>
      <c r="B634" s="13" t="s">
        <v>435</v>
      </c>
      <c r="C634" s="1" t="s">
        <v>146</v>
      </c>
      <c r="D634" s="1" t="s">
        <v>60</v>
      </c>
      <c r="E634" s="19">
        <v>3416.1493886877829</v>
      </c>
      <c r="F634">
        <f t="shared" si="365"/>
        <v>0</v>
      </c>
      <c r="G634">
        <f t="shared" si="366"/>
        <v>0</v>
      </c>
      <c r="H634">
        <f t="shared" si="367"/>
        <v>0</v>
      </c>
      <c r="I634">
        <f t="shared" si="368"/>
        <v>0</v>
      </c>
      <c r="J634">
        <f t="shared" si="369"/>
        <v>3416.1493886877829</v>
      </c>
      <c r="K634">
        <f t="shared" si="370"/>
        <v>0</v>
      </c>
      <c r="L634">
        <f t="shared" si="371"/>
        <v>0</v>
      </c>
      <c r="M634">
        <f t="shared" si="372"/>
        <v>0</v>
      </c>
      <c r="N634">
        <f t="shared" si="373"/>
        <v>0</v>
      </c>
      <c r="O634">
        <f t="shared" si="374"/>
        <v>0</v>
      </c>
      <c r="P634">
        <f t="shared" si="375"/>
        <v>0</v>
      </c>
      <c r="Q634">
        <f t="shared" si="376"/>
        <v>0</v>
      </c>
      <c r="S634">
        <f t="shared" si="377"/>
        <v>22</v>
      </c>
      <c r="T634">
        <f t="shared" si="378"/>
        <v>19</v>
      </c>
      <c r="U634">
        <f t="shared" si="379"/>
        <v>5</v>
      </c>
      <c r="V634">
        <f t="shared" si="380"/>
        <v>5</v>
      </c>
      <c r="W634">
        <f t="shared" si="381"/>
        <v>33</v>
      </c>
      <c r="X634">
        <f t="shared" si="382"/>
        <v>25</v>
      </c>
      <c r="Y634">
        <f t="shared" si="383"/>
        <v>4</v>
      </c>
      <c r="Z634">
        <f t="shared" si="384"/>
        <v>3</v>
      </c>
      <c r="AA634">
        <f t="shared" si="385"/>
        <v>3</v>
      </c>
      <c r="AB634">
        <f t="shared" si="386"/>
        <v>1</v>
      </c>
      <c r="AC634">
        <f t="shared" si="387"/>
        <v>41</v>
      </c>
      <c r="AD634">
        <f t="shared" si="388"/>
        <v>0</v>
      </c>
      <c r="AF634">
        <f t="shared" si="389"/>
        <v>0</v>
      </c>
      <c r="AG634">
        <f t="shared" si="390"/>
        <v>0</v>
      </c>
      <c r="AH634">
        <f t="shared" si="391"/>
        <v>0</v>
      </c>
      <c r="AI634">
        <f t="shared" si="392"/>
        <v>0</v>
      </c>
      <c r="AJ634">
        <f t="shared" si="393"/>
        <v>0</v>
      </c>
      <c r="AK634">
        <f t="shared" si="394"/>
        <v>0</v>
      </c>
      <c r="AL634">
        <f t="shared" si="395"/>
        <v>0</v>
      </c>
      <c r="AM634">
        <f t="shared" si="396"/>
        <v>0</v>
      </c>
      <c r="AN634">
        <f t="shared" si="397"/>
        <v>0</v>
      </c>
      <c r="AO634">
        <f t="shared" si="398"/>
        <v>0</v>
      </c>
      <c r="AP634">
        <f t="shared" si="399"/>
        <v>0</v>
      </c>
      <c r="AQ634">
        <f t="shared" si="400"/>
        <v>0</v>
      </c>
    </row>
    <row r="635" spans="1:55" ht="15.5" x14ac:dyDescent="0.35">
      <c r="A635" s="51">
        <v>78</v>
      </c>
      <c r="B635" s="13" t="s">
        <v>435</v>
      </c>
      <c r="C635" s="1" t="s">
        <v>147</v>
      </c>
      <c r="D635" s="1" t="s">
        <v>80</v>
      </c>
      <c r="E635" s="19">
        <v>3231.7914825759981</v>
      </c>
      <c r="F635">
        <f t="shared" si="365"/>
        <v>0</v>
      </c>
      <c r="G635">
        <f t="shared" si="366"/>
        <v>0</v>
      </c>
      <c r="H635">
        <f t="shared" si="367"/>
        <v>3231.7914825759981</v>
      </c>
      <c r="I635">
        <f t="shared" si="368"/>
        <v>0</v>
      </c>
      <c r="J635">
        <f t="shared" si="369"/>
        <v>0</v>
      </c>
      <c r="K635">
        <f t="shared" si="370"/>
        <v>0</v>
      </c>
      <c r="L635">
        <f t="shared" si="371"/>
        <v>0</v>
      </c>
      <c r="M635">
        <f t="shared" si="372"/>
        <v>0</v>
      </c>
      <c r="N635">
        <f t="shared" si="373"/>
        <v>0</v>
      </c>
      <c r="O635">
        <f t="shared" si="374"/>
        <v>0</v>
      </c>
      <c r="P635">
        <f t="shared" si="375"/>
        <v>0</v>
      </c>
      <c r="Q635">
        <f t="shared" si="376"/>
        <v>0</v>
      </c>
      <c r="S635">
        <f t="shared" si="377"/>
        <v>22</v>
      </c>
      <c r="T635">
        <f t="shared" si="378"/>
        <v>19</v>
      </c>
      <c r="U635">
        <f t="shared" si="379"/>
        <v>5</v>
      </c>
      <c r="V635">
        <f t="shared" si="380"/>
        <v>5</v>
      </c>
      <c r="W635">
        <f t="shared" si="381"/>
        <v>32</v>
      </c>
      <c r="X635">
        <f t="shared" si="382"/>
        <v>25</v>
      </c>
      <c r="Y635">
        <f t="shared" si="383"/>
        <v>4</v>
      </c>
      <c r="Z635">
        <f t="shared" si="384"/>
        <v>3</v>
      </c>
      <c r="AA635">
        <f t="shared" si="385"/>
        <v>3</v>
      </c>
      <c r="AB635">
        <f t="shared" si="386"/>
        <v>1</v>
      </c>
      <c r="AC635">
        <f t="shared" si="387"/>
        <v>41</v>
      </c>
      <c r="AD635">
        <f t="shared" si="388"/>
        <v>0</v>
      </c>
      <c r="AF635">
        <f t="shared" si="389"/>
        <v>0</v>
      </c>
      <c r="AG635">
        <f t="shared" si="390"/>
        <v>0</v>
      </c>
      <c r="AH635">
        <f t="shared" si="391"/>
        <v>3231.7914825759981</v>
      </c>
      <c r="AI635">
        <f t="shared" si="392"/>
        <v>0</v>
      </c>
      <c r="AJ635">
        <f t="shared" si="393"/>
        <v>0</v>
      </c>
      <c r="AK635">
        <f t="shared" si="394"/>
        <v>0</v>
      </c>
      <c r="AL635">
        <f t="shared" si="395"/>
        <v>0</v>
      </c>
      <c r="AM635">
        <f t="shared" si="396"/>
        <v>0</v>
      </c>
      <c r="AN635">
        <f t="shared" si="397"/>
        <v>0</v>
      </c>
      <c r="AO635">
        <f t="shared" si="398"/>
        <v>0</v>
      </c>
      <c r="AP635">
        <f t="shared" si="399"/>
        <v>0</v>
      </c>
      <c r="AQ635">
        <f t="shared" si="400"/>
        <v>0</v>
      </c>
    </row>
    <row r="636" spans="1:55" ht="15.5" x14ac:dyDescent="0.35">
      <c r="A636" s="51">
        <v>79</v>
      </c>
      <c r="B636" s="13" t="s">
        <v>436</v>
      </c>
      <c r="C636" s="1" t="s">
        <v>148</v>
      </c>
      <c r="D636" s="1" t="s">
        <v>60</v>
      </c>
      <c r="E636" s="19">
        <v>3382.0843032043144</v>
      </c>
      <c r="F636">
        <f t="shared" si="365"/>
        <v>0</v>
      </c>
      <c r="G636">
        <f t="shared" si="366"/>
        <v>0</v>
      </c>
      <c r="H636">
        <f t="shared" si="367"/>
        <v>0</v>
      </c>
      <c r="I636">
        <f t="shared" si="368"/>
        <v>0</v>
      </c>
      <c r="J636">
        <f t="shared" si="369"/>
        <v>3382.0843032043144</v>
      </c>
      <c r="K636">
        <f t="shared" si="370"/>
        <v>0</v>
      </c>
      <c r="L636">
        <f t="shared" si="371"/>
        <v>0</v>
      </c>
      <c r="M636">
        <f t="shared" si="372"/>
        <v>0</v>
      </c>
      <c r="N636">
        <f t="shared" si="373"/>
        <v>0</v>
      </c>
      <c r="O636">
        <f t="shared" si="374"/>
        <v>0</v>
      </c>
      <c r="P636">
        <f t="shared" si="375"/>
        <v>0</v>
      </c>
      <c r="Q636">
        <f t="shared" si="376"/>
        <v>0</v>
      </c>
      <c r="S636">
        <f t="shared" si="377"/>
        <v>22</v>
      </c>
      <c r="T636">
        <f t="shared" si="378"/>
        <v>19</v>
      </c>
      <c r="U636">
        <f t="shared" si="379"/>
        <v>4</v>
      </c>
      <c r="V636">
        <f t="shared" si="380"/>
        <v>5</v>
      </c>
      <c r="W636">
        <f t="shared" si="381"/>
        <v>32</v>
      </c>
      <c r="X636">
        <f t="shared" si="382"/>
        <v>25</v>
      </c>
      <c r="Y636">
        <f t="shared" si="383"/>
        <v>4</v>
      </c>
      <c r="Z636">
        <f t="shared" si="384"/>
        <v>3</v>
      </c>
      <c r="AA636">
        <f t="shared" si="385"/>
        <v>3</v>
      </c>
      <c r="AB636">
        <f t="shared" si="386"/>
        <v>1</v>
      </c>
      <c r="AC636">
        <f t="shared" si="387"/>
        <v>41</v>
      </c>
      <c r="AD636">
        <f t="shared" si="388"/>
        <v>0</v>
      </c>
      <c r="AF636">
        <f t="shared" si="389"/>
        <v>0</v>
      </c>
      <c r="AG636">
        <f t="shared" si="390"/>
        <v>0</v>
      </c>
      <c r="AH636">
        <f t="shared" si="391"/>
        <v>0</v>
      </c>
      <c r="AI636">
        <f t="shared" si="392"/>
        <v>0</v>
      </c>
      <c r="AJ636">
        <f t="shared" si="393"/>
        <v>0</v>
      </c>
      <c r="AK636">
        <f t="shared" si="394"/>
        <v>0</v>
      </c>
      <c r="AL636">
        <f t="shared" si="395"/>
        <v>0</v>
      </c>
      <c r="AM636">
        <f t="shared" si="396"/>
        <v>0</v>
      </c>
      <c r="AN636">
        <f t="shared" si="397"/>
        <v>0</v>
      </c>
      <c r="AO636">
        <f t="shared" si="398"/>
        <v>0</v>
      </c>
      <c r="AP636">
        <f t="shared" si="399"/>
        <v>0</v>
      </c>
      <c r="AQ636">
        <f t="shared" si="400"/>
        <v>0</v>
      </c>
    </row>
    <row r="637" spans="1:55" ht="15.5" x14ac:dyDescent="0.35">
      <c r="A637" s="51">
        <v>80</v>
      </c>
      <c r="B637" s="13" t="s">
        <v>436</v>
      </c>
      <c r="C637" s="17" t="s">
        <v>150</v>
      </c>
      <c r="D637" s="17" t="s">
        <v>228</v>
      </c>
      <c r="E637" s="19">
        <v>3012.6481587176249</v>
      </c>
      <c r="F637">
        <f t="shared" si="365"/>
        <v>0</v>
      </c>
      <c r="G637">
        <f t="shared" si="366"/>
        <v>0</v>
      </c>
      <c r="H637">
        <f t="shared" si="367"/>
        <v>0</v>
      </c>
      <c r="I637">
        <f t="shared" si="368"/>
        <v>0</v>
      </c>
      <c r="J637">
        <f t="shared" si="369"/>
        <v>0</v>
      </c>
      <c r="K637">
        <f t="shared" si="370"/>
        <v>0</v>
      </c>
      <c r="L637">
        <f t="shared" si="371"/>
        <v>0</v>
      </c>
      <c r="M637">
        <f t="shared" si="372"/>
        <v>0</v>
      </c>
      <c r="N637">
        <f t="shared" si="373"/>
        <v>0</v>
      </c>
      <c r="O637">
        <f t="shared" si="374"/>
        <v>0</v>
      </c>
      <c r="P637">
        <f t="shared" si="375"/>
        <v>3012.6481587176249</v>
      </c>
      <c r="Q637">
        <f t="shared" si="376"/>
        <v>0</v>
      </c>
      <c r="S637">
        <f t="shared" si="377"/>
        <v>22</v>
      </c>
      <c r="T637">
        <f t="shared" si="378"/>
        <v>19</v>
      </c>
      <c r="U637">
        <f t="shared" si="379"/>
        <v>4</v>
      </c>
      <c r="V637">
        <f t="shared" si="380"/>
        <v>5</v>
      </c>
      <c r="W637">
        <f t="shared" si="381"/>
        <v>31</v>
      </c>
      <c r="X637">
        <f t="shared" si="382"/>
        <v>25</v>
      </c>
      <c r="Y637">
        <f t="shared" si="383"/>
        <v>4</v>
      </c>
      <c r="Z637">
        <f t="shared" si="384"/>
        <v>3</v>
      </c>
      <c r="AA637">
        <f t="shared" si="385"/>
        <v>3</v>
      </c>
      <c r="AB637">
        <f t="shared" si="386"/>
        <v>1</v>
      </c>
      <c r="AC637">
        <f t="shared" si="387"/>
        <v>41</v>
      </c>
      <c r="AD637">
        <f t="shared" si="388"/>
        <v>0</v>
      </c>
      <c r="AF637">
        <f t="shared" si="389"/>
        <v>0</v>
      </c>
      <c r="AG637">
        <f t="shared" si="390"/>
        <v>0</v>
      </c>
      <c r="AH637">
        <f t="shared" si="391"/>
        <v>0</v>
      </c>
      <c r="AI637">
        <f t="shared" si="392"/>
        <v>0</v>
      </c>
      <c r="AJ637">
        <f t="shared" si="393"/>
        <v>0</v>
      </c>
      <c r="AK637">
        <f t="shared" si="394"/>
        <v>0</v>
      </c>
      <c r="AL637">
        <f t="shared" si="395"/>
        <v>0</v>
      </c>
      <c r="AM637">
        <f t="shared" si="396"/>
        <v>0</v>
      </c>
      <c r="AN637">
        <f t="shared" si="397"/>
        <v>0</v>
      </c>
      <c r="AO637">
        <f t="shared" si="398"/>
        <v>0</v>
      </c>
      <c r="AP637">
        <f t="shared" si="399"/>
        <v>0</v>
      </c>
      <c r="AQ637">
        <f t="shared" si="400"/>
        <v>0</v>
      </c>
    </row>
    <row r="638" spans="1:55" ht="15.5" x14ac:dyDescent="0.35">
      <c r="A638" s="51">
        <v>81</v>
      </c>
      <c r="B638" s="13" t="s">
        <v>437</v>
      </c>
      <c r="C638" s="17" t="s">
        <v>152</v>
      </c>
      <c r="D638" s="17" t="s">
        <v>60</v>
      </c>
      <c r="E638" s="19">
        <v>2977.9187070452153</v>
      </c>
      <c r="F638">
        <f t="shared" si="365"/>
        <v>0</v>
      </c>
      <c r="G638">
        <f t="shared" si="366"/>
        <v>0</v>
      </c>
      <c r="H638">
        <f t="shared" si="367"/>
        <v>0</v>
      </c>
      <c r="I638">
        <f t="shared" si="368"/>
        <v>0</v>
      </c>
      <c r="J638">
        <f t="shared" si="369"/>
        <v>2977.9187070452153</v>
      </c>
      <c r="K638">
        <f t="shared" si="370"/>
        <v>0</v>
      </c>
      <c r="L638">
        <f t="shared" si="371"/>
        <v>0</v>
      </c>
      <c r="M638">
        <f t="shared" si="372"/>
        <v>0</v>
      </c>
      <c r="N638">
        <f t="shared" si="373"/>
        <v>0</v>
      </c>
      <c r="O638">
        <f t="shared" si="374"/>
        <v>0</v>
      </c>
      <c r="P638">
        <f t="shared" si="375"/>
        <v>0</v>
      </c>
      <c r="Q638">
        <f t="shared" si="376"/>
        <v>0</v>
      </c>
      <c r="S638">
        <f t="shared" si="377"/>
        <v>22</v>
      </c>
      <c r="T638">
        <f t="shared" si="378"/>
        <v>19</v>
      </c>
      <c r="U638">
        <f t="shared" si="379"/>
        <v>4</v>
      </c>
      <c r="V638">
        <f t="shared" si="380"/>
        <v>5</v>
      </c>
      <c r="W638">
        <f t="shared" si="381"/>
        <v>31</v>
      </c>
      <c r="X638">
        <f t="shared" si="382"/>
        <v>25</v>
      </c>
      <c r="Y638">
        <f t="shared" si="383"/>
        <v>4</v>
      </c>
      <c r="Z638">
        <f t="shared" si="384"/>
        <v>3</v>
      </c>
      <c r="AA638">
        <f t="shared" si="385"/>
        <v>3</v>
      </c>
      <c r="AB638">
        <f t="shared" si="386"/>
        <v>1</v>
      </c>
      <c r="AC638">
        <f t="shared" si="387"/>
        <v>40</v>
      </c>
      <c r="AD638">
        <f t="shared" si="388"/>
        <v>0</v>
      </c>
      <c r="AF638">
        <f t="shared" si="389"/>
        <v>0</v>
      </c>
      <c r="AG638">
        <f t="shared" si="390"/>
        <v>0</v>
      </c>
      <c r="AH638">
        <f t="shared" si="391"/>
        <v>0</v>
      </c>
      <c r="AI638">
        <f t="shared" si="392"/>
        <v>0</v>
      </c>
      <c r="AJ638">
        <f t="shared" si="393"/>
        <v>0</v>
      </c>
      <c r="AK638">
        <f t="shared" si="394"/>
        <v>0</v>
      </c>
      <c r="AL638">
        <f t="shared" si="395"/>
        <v>0</v>
      </c>
      <c r="AM638">
        <f t="shared" si="396"/>
        <v>0</v>
      </c>
      <c r="AN638">
        <f t="shared" si="397"/>
        <v>0</v>
      </c>
      <c r="AO638">
        <f t="shared" si="398"/>
        <v>0</v>
      </c>
      <c r="AP638">
        <f t="shared" si="399"/>
        <v>0</v>
      </c>
      <c r="AQ638">
        <f t="shared" si="400"/>
        <v>0</v>
      </c>
    </row>
    <row r="639" spans="1:55" ht="15.5" x14ac:dyDescent="0.35">
      <c r="A639" s="51">
        <v>82</v>
      </c>
      <c r="B639" s="13" t="s">
        <v>437</v>
      </c>
      <c r="C639" s="1" t="s">
        <v>151</v>
      </c>
      <c r="D639" s="1" t="s">
        <v>228</v>
      </c>
      <c r="E639" s="19">
        <v>2899.9338746459671</v>
      </c>
      <c r="F639">
        <f t="shared" si="365"/>
        <v>0</v>
      </c>
      <c r="G639">
        <f t="shared" si="366"/>
        <v>0</v>
      </c>
      <c r="H639">
        <f t="shared" si="367"/>
        <v>0</v>
      </c>
      <c r="I639">
        <f t="shared" si="368"/>
        <v>0</v>
      </c>
      <c r="J639">
        <f t="shared" si="369"/>
        <v>0</v>
      </c>
      <c r="K639">
        <f t="shared" si="370"/>
        <v>0</v>
      </c>
      <c r="L639">
        <f t="shared" si="371"/>
        <v>0</v>
      </c>
      <c r="M639">
        <f t="shared" si="372"/>
        <v>0</v>
      </c>
      <c r="N639">
        <f t="shared" si="373"/>
        <v>0</v>
      </c>
      <c r="O639">
        <f t="shared" si="374"/>
        <v>0</v>
      </c>
      <c r="P639">
        <f t="shared" si="375"/>
        <v>2899.9338746459671</v>
      </c>
      <c r="Q639">
        <f t="shared" si="376"/>
        <v>0</v>
      </c>
      <c r="S639">
        <f t="shared" si="377"/>
        <v>22</v>
      </c>
      <c r="T639">
        <f t="shared" si="378"/>
        <v>19</v>
      </c>
      <c r="U639">
        <f t="shared" si="379"/>
        <v>4</v>
      </c>
      <c r="V639">
        <f t="shared" si="380"/>
        <v>5</v>
      </c>
      <c r="W639">
        <f t="shared" si="381"/>
        <v>30</v>
      </c>
      <c r="X639">
        <f t="shared" si="382"/>
        <v>25</v>
      </c>
      <c r="Y639">
        <f t="shared" si="383"/>
        <v>4</v>
      </c>
      <c r="Z639">
        <f t="shared" si="384"/>
        <v>3</v>
      </c>
      <c r="AA639">
        <f t="shared" si="385"/>
        <v>3</v>
      </c>
      <c r="AB639">
        <f t="shared" si="386"/>
        <v>1</v>
      </c>
      <c r="AC639">
        <f t="shared" si="387"/>
        <v>40</v>
      </c>
      <c r="AD639">
        <f t="shared" si="388"/>
        <v>0</v>
      </c>
      <c r="AF639">
        <f t="shared" si="389"/>
        <v>0</v>
      </c>
      <c r="AG639">
        <f t="shared" si="390"/>
        <v>0</v>
      </c>
      <c r="AH639">
        <f t="shared" si="391"/>
        <v>0</v>
      </c>
      <c r="AI639">
        <f t="shared" si="392"/>
        <v>0</v>
      </c>
      <c r="AJ639">
        <f t="shared" si="393"/>
        <v>0</v>
      </c>
      <c r="AK639">
        <f t="shared" si="394"/>
        <v>0</v>
      </c>
      <c r="AL639">
        <f t="shared" si="395"/>
        <v>0</v>
      </c>
      <c r="AM639">
        <f t="shared" si="396"/>
        <v>0</v>
      </c>
      <c r="AN639">
        <f t="shared" si="397"/>
        <v>0</v>
      </c>
      <c r="AO639">
        <f t="shared" si="398"/>
        <v>0</v>
      </c>
      <c r="AP639">
        <f t="shared" si="399"/>
        <v>0</v>
      </c>
      <c r="AQ639">
        <f t="shared" si="400"/>
        <v>0</v>
      </c>
    </row>
    <row r="640" spans="1:55" ht="15.5" x14ac:dyDescent="0.35">
      <c r="A640" s="51">
        <v>83</v>
      </c>
      <c r="B640" s="13" t="s">
        <v>438</v>
      </c>
      <c r="C640" s="17" t="s">
        <v>153</v>
      </c>
      <c r="D640" s="17" t="s">
        <v>60</v>
      </c>
      <c r="E640" s="19">
        <v>3147.515381238195</v>
      </c>
      <c r="F640">
        <f t="shared" si="365"/>
        <v>0</v>
      </c>
      <c r="G640">
        <f t="shared" si="366"/>
        <v>0</v>
      </c>
      <c r="H640">
        <f t="shared" si="367"/>
        <v>0</v>
      </c>
      <c r="I640">
        <f t="shared" si="368"/>
        <v>0</v>
      </c>
      <c r="J640">
        <f t="shared" si="369"/>
        <v>3147.515381238195</v>
      </c>
      <c r="K640">
        <f t="shared" si="370"/>
        <v>0</v>
      </c>
      <c r="L640">
        <f t="shared" si="371"/>
        <v>0</v>
      </c>
      <c r="M640">
        <f t="shared" si="372"/>
        <v>0</v>
      </c>
      <c r="N640">
        <f t="shared" si="373"/>
        <v>0</v>
      </c>
      <c r="O640">
        <f t="shared" si="374"/>
        <v>0</v>
      </c>
      <c r="P640">
        <f t="shared" si="375"/>
        <v>0</v>
      </c>
      <c r="Q640">
        <f t="shared" si="376"/>
        <v>0</v>
      </c>
      <c r="S640">
        <f t="shared" si="377"/>
        <v>22</v>
      </c>
      <c r="T640">
        <f t="shared" si="378"/>
        <v>19</v>
      </c>
      <c r="U640">
        <f t="shared" si="379"/>
        <v>4</v>
      </c>
      <c r="V640">
        <f t="shared" si="380"/>
        <v>5</v>
      </c>
      <c r="W640">
        <f t="shared" si="381"/>
        <v>30</v>
      </c>
      <c r="X640">
        <f t="shared" si="382"/>
        <v>25</v>
      </c>
      <c r="Y640">
        <f t="shared" si="383"/>
        <v>4</v>
      </c>
      <c r="Z640">
        <f t="shared" si="384"/>
        <v>3</v>
      </c>
      <c r="AA640">
        <f t="shared" si="385"/>
        <v>3</v>
      </c>
      <c r="AB640">
        <f t="shared" si="386"/>
        <v>1</v>
      </c>
      <c r="AC640">
        <f t="shared" si="387"/>
        <v>39</v>
      </c>
      <c r="AD640">
        <f t="shared" si="388"/>
        <v>0</v>
      </c>
      <c r="AF640">
        <f t="shared" si="389"/>
        <v>0</v>
      </c>
      <c r="AG640">
        <f t="shared" si="390"/>
        <v>0</v>
      </c>
      <c r="AH640">
        <f t="shared" si="391"/>
        <v>0</v>
      </c>
      <c r="AI640">
        <f t="shared" si="392"/>
        <v>0</v>
      </c>
      <c r="AJ640">
        <f t="shared" si="393"/>
        <v>0</v>
      </c>
      <c r="AK640">
        <f t="shared" si="394"/>
        <v>0</v>
      </c>
      <c r="AL640">
        <f t="shared" si="395"/>
        <v>0</v>
      </c>
      <c r="AM640">
        <f t="shared" si="396"/>
        <v>0</v>
      </c>
      <c r="AN640">
        <f t="shared" si="397"/>
        <v>0</v>
      </c>
      <c r="AO640">
        <f t="shared" si="398"/>
        <v>0</v>
      </c>
      <c r="AP640">
        <f t="shared" si="399"/>
        <v>0</v>
      </c>
      <c r="AQ640">
        <f t="shared" si="400"/>
        <v>0</v>
      </c>
    </row>
    <row r="641" spans="1:43" ht="15.5" x14ac:dyDescent="0.35">
      <c r="A641" s="51">
        <v>84</v>
      </c>
      <c r="B641" s="13" t="s">
        <v>438</v>
      </c>
      <c r="C641" s="1" t="s">
        <v>156</v>
      </c>
      <c r="D641" s="1" t="s">
        <v>228</v>
      </c>
      <c r="E641" s="19">
        <v>3177.0871028761057</v>
      </c>
      <c r="F641">
        <f t="shared" si="365"/>
        <v>0</v>
      </c>
      <c r="G641">
        <f t="shared" si="366"/>
        <v>0</v>
      </c>
      <c r="H641">
        <f t="shared" si="367"/>
        <v>0</v>
      </c>
      <c r="I641">
        <f t="shared" si="368"/>
        <v>0</v>
      </c>
      <c r="J641">
        <f t="shared" si="369"/>
        <v>0</v>
      </c>
      <c r="K641">
        <f t="shared" si="370"/>
        <v>0</v>
      </c>
      <c r="L641">
        <f t="shared" si="371"/>
        <v>0</v>
      </c>
      <c r="M641">
        <f t="shared" si="372"/>
        <v>0</v>
      </c>
      <c r="N641">
        <f t="shared" si="373"/>
        <v>0</v>
      </c>
      <c r="O641">
        <f t="shared" si="374"/>
        <v>0</v>
      </c>
      <c r="P641">
        <f t="shared" si="375"/>
        <v>3177.0871028761057</v>
      </c>
      <c r="Q641">
        <f t="shared" si="376"/>
        <v>0</v>
      </c>
      <c r="S641">
        <f t="shared" si="377"/>
        <v>22</v>
      </c>
      <c r="T641">
        <f t="shared" si="378"/>
        <v>19</v>
      </c>
      <c r="U641">
        <f t="shared" si="379"/>
        <v>4</v>
      </c>
      <c r="V641">
        <f t="shared" si="380"/>
        <v>5</v>
      </c>
      <c r="W641">
        <f t="shared" si="381"/>
        <v>29</v>
      </c>
      <c r="X641">
        <f t="shared" si="382"/>
        <v>25</v>
      </c>
      <c r="Y641">
        <f t="shared" si="383"/>
        <v>4</v>
      </c>
      <c r="Z641">
        <f t="shared" si="384"/>
        <v>3</v>
      </c>
      <c r="AA641">
        <f t="shared" si="385"/>
        <v>3</v>
      </c>
      <c r="AB641">
        <f t="shared" si="386"/>
        <v>1</v>
      </c>
      <c r="AC641">
        <f t="shared" si="387"/>
        <v>39</v>
      </c>
      <c r="AD641">
        <f t="shared" si="388"/>
        <v>0</v>
      </c>
      <c r="AF641">
        <f t="shared" si="389"/>
        <v>0</v>
      </c>
      <c r="AG641">
        <f t="shared" si="390"/>
        <v>0</v>
      </c>
      <c r="AH641">
        <f t="shared" si="391"/>
        <v>0</v>
      </c>
      <c r="AI641">
        <f t="shared" si="392"/>
        <v>0</v>
      </c>
      <c r="AJ641">
        <f t="shared" si="393"/>
        <v>0</v>
      </c>
      <c r="AK641">
        <f t="shared" si="394"/>
        <v>0</v>
      </c>
      <c r="AL641">
        <f t="shared" si="395"/>
        <v>0</v>
      </c>
      <c r="AM641">
        <f t="shared" si="396"/>
        <v>0</v>
      </c>
      <c r="AN641">
        <f t="shared" si="397"/>
        <v>0</v>
      </c>
      <c r="AO641">
        <f t="shared" si="398"/>
        <v>0</v>
      </c>
      <c r="AP641">
        <f t="shared" si="399"/>
        <v>0</v>
      </c>
      <c r="AQ641">
        <f t="shared" si="400"/>
        <v>0</v>
      </c>
    </row>
    <row r="642" spans="1:43" ht="15.5" x14ac:dyDescent="0.35">
      <c r="A642" s="51">
        <v>85</v>
      </c>
      <c r="B642" s="13" t="s">
        <v>438</v>
      </c>
      <c r="C642" s="1" t="s">
        <v>154</v>
      </c>
      <c r="D642" s="1" t="s">
        <v>80</v>
      </c>
      <c r="E642" s="70">
        <v>2477.9767229617128</v>
      </c>
      <c r="F642">
        <f t="shared" si="365"/>
        <v>0</v>
      </c>
      <c r="G642">
        <f t="shared" si="366"/>
        <v>0</v>
      </c>
      <c r="H642">
        <f t="shared" si="367"/>
        <v>2477.9767229617128</v>
      </c>
      <c r="I642">
        <f t="shared" si="368"/>
        <v>0</v>
      </c>
      <c r="J642">
        <f t="shared" si="369"/>
        <v>0</v>
      </c>
      <c r="K642">
        <f t="shared" si="370"/>
        <v>0</v>
      </c>
      <c r="L642">
        <f t="shared" si="371"/>
        <v>0</v>
      </c>
      <c r="M642">
        <f t="shared" si="372"/>
        <v>0</v>
      </c>
      <c r="N642">
        <f t="shared" si="373"/>
        <v>0</v>
      </c>
      <c r="O642">
        <f t="shared" si="374"/>
        <v>0</v>
      </c>
      <c r="P642">
        <f t="shared" si="375"/>
        <v>0</v>
      </c>
      <c r="Q642">
        <f t="shared" si="376"/>
        <v>0</v>
      </c>
      <c r="S642">
        <f t="shared" si="377"/>
        <v>22</v>
      </c>
      <c r="T642">
        <f t="shared" si="378"/>
        <v>19</v>
      </c>
      <c r="U642">
        <f t="shared" si="379"/>
        <v>4</v>
      </c>
      <c r="V642">
        <f t="shared" si="380"/>
        <v>5</v>
      </c>
      <c r="W642">
        <f t="shared" si="381"/>
        <v>29</v>
      </c>
      <c r="X642">
        <f t="shared" si="382"/>
        <v>25</v>
      </c>
      <c r="Y642">
        <f t="shared" si="383"/>
        <v>4</v>
      </c>
      <c r="Z642">
        <f t="shared" si="384"/>
        <v>3</v>
      </c>
      <c r="AA642">
        <f t="shared" si="385"/>
        <v>3</v>
      </c>
      <c r="AB642">
        <f t="shared" si="386"/>
        <v>1</v>
      </c>
      <c r="AC642">
        <f t="shared" si="387"/>
        <v>38</v>
      </c>
      <c r="AD642">
        <f t="shared" si="388"/>
        <v>0</v>
      </c>
      <c r="AF642">
        <f t="shared" si="389"/>
        <v>0</v>
      </c>
      <c r="AG642">
        <f t="shared" si="390"/>
        <v>0</v>
      </c>
      <c r="AH642">
        <f t="shared" si="391"/>
        <v>2477.9767229617128</v>
      </c>
      <c r="AI642">
        <f t="shared" si="392"/>
        <v>0</v>
      </c>
      <c r="AJ642">
        <f t="shared" si="393"/>
        <v>0</v>
      </c>
      <c r="AK642">
        <f t="shared" si="394"/>
        <v>0</v>
      </c>
      <c r="AL642">
        <f t="shared" si="395"/>
        <v>0</v>
      </c>
      <c r="AM642">
        <f t="shared" si="396"/>
        <v>0</v>
      </c>
      <c r="AN642">
        <f t="shared" si="397"/>
        <v>0</v>
      </c>
      <c r="AO642">
        <f t="shared" si="398"/>
        <v>0</v>
      </c>
      <c r="AP642">
        <f t="shared" si="399"/>
        <v>0</v>
      </c>
      <c r="AQ642">
        <f t="shared" si="400"/>
        <v>0</v>
      </c>
    </row>
    <row r="643" spans="1:43" ht="15.5" x14ac:dyDescent="0.35">
      <c r="A643" s="51">
        <v>86</v>
      </c>
      <c r="B643" s="13" t="s">
        <v>439</v>
      </c>
      <c r="C643" s="1" t="s">
        <v>440</v>
      </c>
      <c r="D643" s="1" t="s">
        <v>60</v>
      </c>
      <c r="E643" s="19">
        <v>3114.6724324561401</v>
      </c>
      <c r="F643">
        <f t="shared" si="365"/>
        <v>0</v>
      </c>
      <c r="G643">
        <f t="shared" si="366"/>
        <v>0</v>
      </c>
      <c r="H643">
        <f t="shared" si="367"/>
        <v>0</v>
      </c>
      <c r="I643">
        <f t="shared" si="368"/>
        <v>0</v>
      </c>
      <c r="J643">
        <f t="shared" si="369"/>
        <v>3114.6724324561401</v>
      </c>
      <c r="K643">
        <f t="shared" si="370"/>
        <v>0</v>
      </c>
      <c r="L643">
        <f t="shared" si="371"/>
        <v>0</v>
      </c>
      <c r="M643">
        <f t="shared" si="372"/>
        <v>0</v>
      </c>
      <c r="N643">
        <f t="shared" si="373"/>
        <v>0</v>
      </c>
      <c r="O643">
        <f t="shared" si="374"/>
        <v>0</v>
      </c>
      <c r="P643">
        <f t="shared" si="375"/>
        <v>0</v>
      </c>
      <c r="Q643">
        <f t="shared" si="376"/>
        <v>0</v>
      </c>
      <c r="S643">
        <f t="shared" si="377"/>
        <v>22</v>
      </c>
      <c r="T643">
        <f t="shared" si="378"/>
        <v>19</v>
      </c>
      <c r="U643">
        <f t="shared" si="379"/>
        <v>3</v>
      </c>
      <c r="V643">
        <f t="shared" si="380"/>
        <v>5</v>
      </c>
      <c r="W643">
        <f t="shared" si="381"/>
        <v>29</v>
      </c>
      <c r="X643">
        <f t="shared" si="382"/>
        <v>25</v>
      </c>
      <c r="Y643">
        <f t="shared" si="383"/>
        <v>4</v>
      </c>
      <c r="Z643">
        <f t="shared" si="384"/>
        <v>3</v>
      </c>
      <c r="AA643">
        <f t="shared" si="385"/>
        <v>3</v>
      </c>
      <c r="AB643">
        <f t="shared" si="386"/>
        <v>1</v>
      </c>
      <c r="AC643">
        <f t="shared" si="387"/>
        <v>38</v>
      </c>
      <c r="AD643">
        <f t="shared" si="388"/>
        <v>0</v>
      </c>
      <c r="AF643">
        <f t="shared" si="389"/>
        <v>0</v>
      </c>
      <c r="AG643">
        <f t="shared" si="390"/>
        <v>0</v>
      </c>
      <c r="AH643">
        <f t="shared" si="391"/>
        <v>0</v>
      </c>
      <c r="AI643">
        <f t="shared" si="392"/>
        <v>0</v>
      </c>
      <c r="AJ643">
        <f t="shared" si="393"/>
        <v>0</v>
      </c>
      <c r="AK643">
        <f t="shared" si="394"/>
        <v>0</v>
      </c>
      <c r="AL643">
        <f t="shared" si="395"/>
        <v>0</v>
      </c>
      <c r="AM643">
        <f t="shared" si="396"/>
        <v>0</v>
      </c>
      <c r="AN643">
        <f t="shared" si="397"/>
        <v>0</v>
      </c>
      <c r="AO643">
        <f t="shared" si="398"/>
        <v>0</v>
      </c>
      <c r="AP643">
        <f t="shared" si="399"/>
        <v>0</v>
      </c>
      <c r="AQ643">
        <f t="shared" si="400"/>
        <v>0</v>
      </c>
    </row>
    <row r="644" spans="1:43" ht="15.5" x14ac:dyDescent="0.35">
      <c r="A644" s="51">
        <v>87</v>
      </c>
      <c r="B644" s="13" t="s">
        <v>439</v>
      </c>
      <c r="C644" s="1" t="s">
        <v>157</v>
      </c>
      <c r="D644" s="1" t="s">
        <v>67</v>
      </c>
      <c r="E644" s="19">
        <v>3295.0011811340646</v>
      </c>
      <c r="F644">
        <f t="shared" si="365"/>
        <v>0</v>
      </c>
      <c r="G644">
        <f t="shared" si="366"/>
        <v>0</v>
      </c>
      <c r="H644">
        <f t="shared" si="367"/>
        <v>0</v>
      </c>
      <c r="I644">
        <f t="shared" si="368"/>
        <v>3295.0011811340646</v>
      </c>
      <c r="J644">
        <f t="shared" si="369"/>
        <v>0</v>
      </c>
      <c r="K644">
        <f t="shared" si="370"/>
        <v>0</v>
      </c>
      <c r="L644">
        <f t="shared" si="371"/>
        <v>0</v>
      </c>
      <c r="M644">
        <f t="shared" si="372"/>
        <v>0</v>
      </c>
      <c r="N644">
        <f t="shared" si="373"/>
        <v>0</v>
      </c>
      <c r="O644">
        <f t="shared" si="374"/>
        <v>0</v>
      </c>
      <c r="P644">
        <f t="shared" si="375"/>
        <v>0</v>
      </c>
      <c r="Q644">
        <f t="shared" si="376"/>
        <v>0</v>
      </c>
      <c r="S644">
        <f t="shared" si="377"/>
        <v>22</v>
      </c>
      <c r="T644">
        <f t="shared" si="378"/>
        <v>19</v>
      </c>
      <c r="U644">
        <f t="shared" si="379"/>
        <v>3</v>
      </c>
      <c r="V644">
        <f t="shared" si="380"/>
        <v>5</v>
      </c>
      <c r="W644">
        <f t="shared" si="381"/>
        <v>28</v>
      </c>
      <c r="X644">
        <f t="shared" si="382"/>
        <v>25</v>
      </c>
      <c r="Y644">
        <f t="shared" si="383"/>
        <v>4</v>
      </c>
      <c r="Z644">
        <f t="shared" si="384"/>
        <v>3</v>
      </c>
      <c r="AA644">
        <f t="shared" si="385"/>
        <v>3</v>
      </c>
      <c r="AB644">
        <f t="shared" si="386"/>
        <v>1</v>
      </c>
      <c r="AC644">
        <f t="shared" si="387"/>
        <v>38</v>
      </c>
      <c r="AD644">
        <f t="shared" si="388"/>
        <v>0</v>
      </c>
      <c r="AF644">
        <f t="shared" si="389"/>
        <v>0</v>
      </c>
      <c r="AG644">
        <f t="shared" si="390"/>
        <v>0</v>
      </c>
      <c r="AH644">
        <f t="shared" si="391"/>
        <v>0</v>
      </c>
      <c r="AI644">
        <f t="shared" si="392"/>
        <v>3295.0011811340646</v>
      </c>
      <c r="AJ644">
        <f t="shared" si="393"/>
        <v>0</v>
      </c>
      <c r="AK644">
        <f t="shared" si="394"/>
        <v>0</v>
      </c>
      <c r="AL644">
        <f t="shared" si="395"/>
        <v>0</v>
      </c>
      <c r="AM644">
        <f t="shared" si="396"/>
        <v>0</v>
      </c>
      <c r="AN644">
        <f t="shared" si="397"/>
        <v>0</v>
      </c>
      <c r="AO644">
        <f t="shared" si="398"/>
        <v>0</v>
      </c>
      <c r="AP644">
        <f t="shared" si="399"/>
        <v>0</v>
      </c>
      <c r="AQ644">
        <f t="shared" si="400"/>
        <v>0</v>
      </c>
    </row>
    <row r="645" spans="1:43" ht="15.5" x14ac:dyDescent="0.35">
      <c r="A645" s="51">
        <v>88</v>
      </c>
      <c r="B645" s="13" t="s">
        <v>439</v>
      </c>
      <c r="C645" s="17" t="s">
        <v>160</v>
      </c>
      <c r="D645" s="17" t="s">
        <v>54</v>
      </c>
      <c r="E645" s="19">
        <v>3377.4630194195029</v>
      </c>
      <c r="F645">
        <f t="shared" si="365"/>
        <v>0</v>
      </c>
      <c r="G645">
        <f t="shared" si="366"/>
        <v>0</v>
      </c>
      <c r="H645">
        <f t="shared" si="367"/>
        <v>0</v>
      </c>
      <c r="I645">
        <f t="shared" si="368"/>
        <v>0</v>
      </c>
      <c r="J645">
        <f t="shared" si="369"/>
        <v>0</v>
      </c>
      <c r="K645">
        <f t="shared" si="370"/>
        <v>3377.4630194195029</v>
      </c>
      <c r="L645">
        <f t="shared" si="371"/>
        <v>0</v>
      </c>
      <c r="M645">
        <f t="shared" si="372"/>
        <v>0</v>
      </c>
      <c r="N645">
        <f t="shared" si="373"/>
        <v>0</v>
      </c>
      <c r="O645">
        <f t="shared" si="374"/>
        <v>0</v>
      </c>
      <c r="P645">
        <f t="shared" si="375"/>
        <v>0</v>
      </c>
      <c r="Q645">
        <f t="shared" si="376"/>
        <v>0</v>
      </c>
      <c r="S645">
        <f t="shared" si="377"/>
        <v>22</v>
      </c>
      <c r="T645">
        <f t="shared" si="378"/>
        <v>19</v>
      </c>
      <c r="U645">
        <f t="shared" si="379"/>
        <v>3</v>
      </c>
      <c r="V645">
        <f t="shared" si="380"/>
        <v>4</v>
      </c>
      <c r="W645">
        <f t="shared" si="381"/>
        <v>28</v>
      </c>
      <c r="X645">
        <f t="shared" si="382"/>
        <v>25</v>
      </c>
      <c r="Y645">
        <f t="shared" si="383"/>
        <v>4</v>
      </c>
      <c r="Z645">
        <f t="shared" si="384"/>
        <v>3</v>
      </c>
      <c r="AA645">
        <f t="shared" si="385"/>
        <v>3</v>
      </c>
      <c r="AB645">
        <f t="shared" si="386"/>
        <v>1</v>
      </c>
      <c r="AC645">
        <f t="shared" si="387"/>
        <v>38</v>
      </c>
      <c r="AD645">
        <f t="shared" si="388"/>
        <v>0</v>
      </c>
      <c r="AF645">
        <f t="shared" si="389"/>
        <v>0</v>
      </c>
      <c r="AG645">
        <f t="shared" si="390"/>
        <v>0</v>
      </c>
      <c r="AH645">
        <f t="shared" si="391"/>
        <v>0</v>
      </c>
      <c r="AI645">
        <f t="shared" si="392"/>
        <v>0</v>
      </c>
      <c r="AJ645">
        <f t="shared" si="393"/>
        <v>0</v>
      </c>
      <c r="AK645">
        <f t="shared" si="394"/>
        <v>0</v>
      </c>
      <c r="AL645">
        <f t="shared" si="395"/>
        <v>0</v>
      </c>
      <c r="AM645">
        <f t="shared" si="396"/>
        <v>0</v>
      </c>
      <c r="AN645">
        <f t="shared" si="397"/>
        <v>0</v>
      </c>
      <c r="AO645">
        <f t="shared" si="398"/>
        <v>0</v>
      </c>
      <c r="AP645">
        <f t="shared" si="399"/>
        <v>0</v>
      </c>
      <c r="AQ645">
        <f t="shared" si="400"/>
        <v>0</v>
      </c>
    </row>
    <row r="646" spans="1:43" ht="15.5" x14ac:dyDescent="0.35">
      <c r="A646" s="51">
        <v>89</v>
      </c>
      <c r="B646" s="13" t="s">
        <v>439</v>
      </c>
      <c r="C646" s="1" t="s">
        <v>255</v>
      </c>
      <c r="D646" s="1" t="s">
        <v>228</v>
      </c>
      <c r="E646" s="19">
        <v>3346.4593877761417</v>
      </c>
      <c r="F646">
        <f t="shared" si="365"/>
        <v>0</v>
      </c>
      <c r="G646">
        <f t="shared" si="366"/>
        <v>0</v>
      </c>
      <c r="H646">
        <f t="shared" si="367"/>
        <v>0</v>
      </c>
      <c r="I646">
        <f t="shared" si="368"/>
        <v>0</v>
      </c>
      <c r="J646">
        <f t="shared" si="369"/>
        <v>0</v>
      </c>
      <c r="K646">
        <f t="shared" si="370"/>
        <v>0</v>
      </c>
      <c r="L646">
        <f t="shared" si="371"/>
        <v>0</v>
      </c>
      <c r="M646">
        <f t="shared" si="372"/>
        <v>0</v>
      </c>
      <c r="N646">
        <f t="shared" si="373"/>
        <v>0</v>
      </c>
      <c r="O646">
        <f t="shared" si="374"/>
        <v>0</v>
      </c>
      <c r="P646">
        <f t="shared" si="375"/>
        <v>3346.4593877761417</v>
      </c>
      <c r="Q646">
        <f t="shared" si="376"/>
        <v>0</v>
      </c>
      <c r="S646">
        <f t="shared" si="377"/>
        <v>22</v>
      </c>
      <c r="T646">
        <f t="shared" si="378"/>
        <v>19</v>
      </c>
      <c r="U646">
        <f t="shared" si="379"/>
        <v>3</v>
      </c>
      <c r="V646">
        <f t="shared" si="380"/>
        <v>4</v>
      </c>
      <c r="W646">
        <f t="shared" si="381"/>
        <v>28</v>
      </c>
      <c r="X646">
        <f t="shared" si="382"/>
        <v>24</v>
      </c>
      <c r="Y646">
        <f t="shared" si="383"/>
        <v>4</v>
      </c>
      <c r="Z646">
        <f t="shared" si="384"/>
        <v>3</v>
      </c>
      <c r="AA646">
        <f t="shared" si="385"/>
        <v>3</v>
      </c>
      <c r="AB646">
        <f t="shared" si="386"/>
        <v>1</v>
      </c>
      <c r="AC646">
        <f t="shared" si="387"/>
        <v>38</v>
      </c>
      <c r="AD646">
        <f t="shared" si="388"/>
        <v>0</v>
      </c>
      <c r="AF646">
        <f t="shared" si="389"/>
        <v>0</v>
      </c>
      <c r="AG646">
        <f t="shared" si="390"/>
        <v>0</v>
      </c>
      <c r="AH646">
        <f t="shared" si="391"/>
        <v>0</v>
      </c>
      <c r="AI646">
        <f t="shared" si="392"/>
        <v>0</v>
      </c>
      <c r="AJ646">
        <f t="shared" si="393"/>
        <v>0</v>
      </c>
      <c r="AK646">
        <f t="shared" si="394"/>
        <v>0</v>
      </c>
      <c r="AL646">
        <f t="shared" si="395"/>
        <v>0</v>
      </c>
      <c r="AM646">
        <f t="shared" si="396"/>
        <v>0</v>
      </c>
      <c r="AN646">
        <f t="shared" si="397"/>
        <v>0</v>
      </c>
      <c r="AO646">
        <f t="shared" si="398"/>
        <v>0</v>
      </c>
      <c r="AP646">
        <f t="shared" si="399"/>
        <v>0</v>
      </c>
      <c r="AQ646">
        <f t="shared" si="400"/>
        <v>0</v>
      </c>
    </row>
    <row r="647" spans="1:43" ht="15.5" x14ac:dyDescent="0.35">
      <c r="A647" s="51">
        <v>90</v>
      </c>
      <c r="B647" s="13" t="s">
        <v>441</v>
      </c>
      <c r="C647" s="1" t="s">
        <v>162</v>
      </c>
      <c r="D647" s="1" t="s">
        <v>228</v>
      </c>
      <c r="E647" s="19">
        <v>3351.2667736925509</v>
      </c>
      <c r="F647">
        <f t="shared" si="365"/>
        <v>0</v>
      </c>
      <c r="G647">
        <f t="shared" si="366"/>
        <v>0</v>
      </c>
      <c r="H647">
        <f t="shared" si="367"/>
        <v>0</v>
      </c>
      <c r="I647">
        <f t="shared" si="368"/>
        <v>0</v>
      </c>
      <c r="J647">
        <f t="shared" si="369"/>
        <v>0</v>
      </c>
      <c r="K647">
        <f t="shared" si="370"/>
        <v>0</v>
      </c>
      <c r="L647">
        <f t="shared" si="371"/>
        <v>0</v>
      </c>
      <c r="M647">
        <f t="shared" si="372"/>
        <v>0</v>
      </c>
      <c r="N647">
        <f t="shared" si="373"/>
        <v>0</v>
      </c>
      <c r="O647">
        <f t="shared" si="374"/>
        <v>0</v>
      </c>
      <c r="P647">
        <f t="shared" si="375"/>
        <v>3351.2667736925509</v>
      </c>
      <c r="Q647">
        <f t="shared" si="376"/>
        <v>0</v>
      </c>
      <c r="S647">
        <f t="shared" si="377"/>
        <v>22</v>
      </c>
      <c r="T647">
        <f t="shared" si="378"/>
        <v>19</v>
      </c>
      <c r="U647">
        <f t="shared" si="379"/>
        <v>3</v>
      </c>
      <c r="V647">
        <f t="shared" si="380"/>
        <v>4</v>
      </c>
      <c r="W647">
        <f t="shared" si="381"/>
        <v>28</v>
      </c>
      <c r="X647">
        <f t="shared" si="382"/>
        <v>24</v>
      </c>
      <c r="Y647">
        <f t="shared" si="383"/>
        <v>4</v>
      </c>
      <c r="Z647">
        <f t="shared" si="384"/>
        <v>3</v>
      </c>
      <c r="AA647">
        <f t="shared" si="385"/>
        <v>3</v>
      </c>
      <c r="AB647">
        <f t="shared" si="386"/>
        <v>1</v>
      </c>
      <c r="AC647">
        <f t="shared" si="387"/>
        <v>37</v>
      </c>
      <c r="AD647">
        <f t="shared" si="388"/>
        <v>0</v>
      </c>
      <c r="AF647">
        <f t="shared" si="389"/>
        <v>0</v>
      </c>
      <c r="AG647">
        <f t="shared" si="390"/>
        <v>0</v>
      </c>
      <c r="AH647">
        <f t="shared" si="391"/>
        <v>0</v>
      </c>
      <c r="AI647">
        <f t="shared" si="392"/>
        <v>0</v>
      </c>
      <c r="AJ647">
        <f t="shared" si="393"/>
        <v>0</v>
      </c>
      <c r="AK647">
        <f t="shared" si="394"/>
        <v>0</v>
      </c>
      <c r="AL647">
        <f t="shared" si="395"/>
        <v>0</v>
      </c>
      <c r="AM647">
        <f t="shared" si="396"/>
        <v>0</v>
      </c>
      <c r="AN647">
        <f t="shared" si="397"/>
        <v>0</v>
      </c>
      <c r="AO647">
        <f t="shared" si="398"/>
        <v>0</v>
      </c>
      <c r="AP647">
        <f t="shared" si="399"/>
        <v>0</v>
      </c>
      <c r="AQ647">
        <f t="shared" si="400"/>
        <v>0</v>
      </c>
    </row>
    <row r="648" spans="1:43" ht="15.5" x14ac:dyDescent="0.35">
      <c r="A648" s="51">
        <v>91</v>
      </c>
      <c r="B648" s="78" t="s">
        <v>441</v>
      </c>
      <c r="C648" s="1" t="s">
        <v>161</v>
      </c>
      <c r="D648" s="1" t="s">
        <v>80</v>
      </c>
      <c r="E648" s="19">
        <v>2873.6909360759496</v>
      </c>
      <c r="F648">
        <f t="shared" si="365"/>
        <v>0</v>
      </c>
      <c r="G648">
        <f t="shared" si="366"/>
        <v>0</v>
      </c>
      <c r="H648">
        <f t="shared" si="367"/>
        <v>2873.6909360759496</v>
      </c>
      <c r="I648">
        <f t="shared" si="368"/>
        <v>0</v>
      </c>
      <c r="J648">
        <f t="shared" si="369"/>
        <v>0</v>
      </c>
      <c r="K648">
        <f t="shared" si="370"/>
        <v>0</v>
      </c>
      <c r="L648">
        <f t="shared" si="371"/>
        <v>0</v>
      </c>
      <c r="M648">
        <f t="shared" si="372"/>
        <v>0</v>
      </c>
      <c r="N648">
        <f t="shared" si="373"/>
        <v>0</v>
      </c>
      <c r="O648">
        <f t="shared" si="374"/>
        <v>0</v>
      </c>
      <c r="P648">
        <f t="shared" si="375"/>
        <v>0</v>
      </c>
      <c r="Q648">
        <f t="shared" si="376"/>
        <v>0</v>
      </c>
      <c r="S648">
        <f t="shared" si="377"/>
        <v>22</v>
      </c>
      <c r="T648">
        <f t="shared" si="378"/>
        <v>19</v>
      </c>
      <c r="U648">
        <f t="shared" si="379"/>
        <v>3</v>
      </c>
      <c r="V648">
        <f t="shared" si="380"/>
        <v>4</v>
      </c>
      <c r="W648">
        <f t="shared" si="381"/>
        <v>28</v>
      </c>
      <c r="X648">
        <f t="shared" si="382"/>
        <v>24</v>
      </c>
      <c r="Y648">
        <f t="shared" si="383"/>
        <v>4</v>
      </c>
      <c r="Z648">
        <f t="shared" si="384"/>
        <v>3</v>
      </c>
      <c r="AA648">
        <f t="shared" si="385"/>
        <v>3</v>
      </c>
      <c r="AB648">
        <f t="shared" si="386"/>
        <v>1</v>
      </c>
      <c r="AC648">
        <f t="shared" si="387"/>
        <v>36</v>
      </c>
      <c r="AD648">
        <f t="shared" si="388"/>
        <v>0</v>
      </c>
      <c r="AF648">
        <f t="shared" si="389"/>
        <v>0</v>
      </c>
      <c r="AG648">
        <f t="shared" si="390"/>
        <v>0</v>
      </c>
      <c r="AH648">
        <f t="shared" si="391"/>
        <v>2873.6909360759496</v>
      </c>
      <c r="AI648">
        <f t="shared" si="392"/>
        <v>0</v>
      </c>
      <c r="AJ648">
        <f t="shared" si="393"/>
        <v>0</v>
      </c>
      <c r="AK648">
        <f t="shared" si="394"/>
        <v>0</v>
      </c>
      <c r="AL648">
        <f t="shared" si="395"/>
        <v>0</v>
      </c>
      <c r="AM648">
        <f t="shared" si="396"/>
        <v>0</v>
      </c>
      <c r="AN648">
        <f t="shared" si="397"/>
        <v>0</v>
      </c>
      <c r="AO648">
        <f t="shared" si="398"/>
        <v>0</v>
      </c>
      <c r="AP648">
        <f t="shared" si="399"/>
        <v>0</v>
      </c>
      <c r="AQ648">
        <f t="shared" si="400"/>
        <v>0</v>
      </c>
    </row>
    <row r="649" spans="1:43" ht="15.5" x14ac:dyDescent="0.35">
      <c r="A649" s="51">
        <v>1</v>
      </c>
      <c r="B649" s="13" t="s">
        <v>442</v>
      </c>
      <c r="C649" s="17" t="s">
        <v>164</v>
      </c>
      <c r="D649" s="17" t="s">
        <v>94</v>
      </c>
      <c r="E649" s="19">
        <v>3181.8474447686012</v>
      </c>
      <c r="F649">
        <f t="shared" si="365"/>
        <v>0</v>
      </c>
      <c r="G649">
        <f t="shared" si="366"/>
        <v>0</v>
      </c>
      <c r="H649">
        <f t="shared" si="367"/>
        <v>0</v>
      </c>
      <c r="I649">
        <f t="shared" si="368"/>
        <v>0</v>
      </c>
      <c r="J649">
        <f t="shared" si="369"/>
        <v>0</v>
      </c>
      <c r="K649">
        <f t="shared" si="370"/>
        <v>0</v>
      </c>
      <c r="L649">
        <f t="shared" si="371"/>
        <v>3181.8474447686012</v>
      </c>
      <c r="M649">
        <f t="shared" si="372"/>
        <v>0</v>
      </c>
      <c r="N649">
        <f t="shared" si="373"/>
        <v>0</v>
      </c>
      <c r="O649">
        <f t="shared" si="374"/>
        <v>0</v>
      </c>
      <c r="P649">
        <f t="shared" si="375"/>
        <v>0</v>
      </c>
      <c r="Q649">
        <f t="shared" si="376"/>
        <v>0</v>
      </c>
      <c r="S649">
        <f t="shared" si="377"/>
        <v>22</v>
      </c>
      <c r="T649">
        <f t="shared" si="378"/>
        <v>19</v>
      </c>
      <c r="U649">
        <f t="shared" si="379"/>
        <v>2</v>
      </c>
      <c r="V649">
        <f t="shared" si="380"/>
        <v>4</v>
      </c>
      <c r="W649">
        <f t="shared" si="381"/>
        <v>28</v>
      </c>
      <c r="X649">
        <f t="shared" si="382"/>
        <v>24</v>
      </c>
      <c r="Y649">
        <f t="shared" si="383"/>
        <v>4</v>
      </c>
      <c r="Z649">
        <f t="shared" si="384"/>
        <v>3</v>
      </c>
      <c r="AA649">
        <f t="shared" si="385"/>
        <v>3</v>
      </c>
      <c r="AB649">
        <f t="shared" si="386"/>
        <v>1</v>
      </c>
      <c r="AC649">
        <f t="shared" si="387"/>
        <v>36</v>
      </c>
      <c r="AD649">
        <f t="shared" si="388"/>
        <v>0</v>
      </c>
      <c r="AF649">
        <f t="shared" si="389"/>
        <v>0</v>
      </c>
      <c r="AG649">
        <f t="shared" si="390"/>
        <v>0</v>
      </c>
      <c r="AH649">
        <f t="shared" si="391"/>
        <v>0</v>
      </c>
      <c r="AI649">
        <f t="shared" si="392"/>
        <v>0</v>
      </c>
      <c r="AJ649">
        <f t="shared" si="393"/>
        <v>0</v>
      </c>
      <c r="AK649">
        <f t="shared" si="394"/>
        <v>0</v>
      </c>
      <c r="AL649">
        <f t="shared" si="395"/>
        <v>3181.8474447686012</v>
      </c>
      <c r="AM649">
        <f t="shared" si="396"/>
        <v>0</v>
      </c>
      <c r="AN649">
        <f t="shared" si="397"/>
        <v>0</v>
      </c>
      <c r="AO649">
        <f t="shared" si="398"/>
        <v>0</v>
      </c>
      <c r="AP649">
        <f t="shared" si="399"/>
        <v>0</v>
      </c>
      <c r="AQ649">
        <f t="shared" si="400"/>
        <v>0</v>
      </c>
    </row>
    <row r="650" spans="1:43" ht="15.5" x14ac:dyDescent="0.35">
      <c r="A650" s="51">
        <v>2</v>
      </c>
      <c r="B650" s="13" t="s">
        <v>442</v>
      </c>
      <c r="C650" s="1" t="s">
        <v>165</v>
      </c>
      <c r="D650" s="1" t="s">
        <v>54</v>
      </c>
      <c r="E650" s="70">
        <v>2733.02286858458</v>
      </c>
      <c r="F650">
        <f t="shared" si="365"/>
        <v>0</v>
      </c>
      <c r="G650">
        <f t="shared" si="366"/>
        <v>0</v>
      </c>
      <c r="H650">
        <f t="shared" si="367"/>
        <v>0</v>
      </c>
      <c r="I650">
        <f t="shared" si="368"/>
        <v>0</v>
      </c>
      <c r="J650">
        <f t="shared" si="369"/>
        <v>0</v>
      </c>
      <c r="K650">
        <f t="shared" si="370"/>
        <v>2733.02286858458</v>
      </c>
      <c r="L650">
        <f t="shared" si="371"/>
        <v>0</v>
      </c>
      <c r="M650">
        <f t="shared" si="372"/>
        <v>0</v>
      </c>
      <c r="N650">
        <f t="shared" si="373"/>
        <v>0</v>
      </c>
      <c r="O650">
        <f t="shared" si="374"/>
        <v>0</v>
      </c>
      <c r="P650">
        <f t="shared" si="375"/>
        <v>0</v>
      </c>
      <c r="Q650">
        <f t="shared" si="376"/>
        <v>0</v>
      </c>
      <c r="S650">
        <f t="shared" si="377"/>
        <v>22</v>
      </c>
      <c r="T650">
        <f t="shared" si="378"/>
        <v>19</v>
      </c>
      <c r="U650">
        <f t="shared" si="379"/>
        <v>2</v>
      </c>
      <c r="V650">
        <f t="shared" si="380"/>
        <v>4</v>
      </c>
      <c r="W650">
        <f t="shared" si="381"/>
        <v>28</v>
      </c>
      <c r="X650">
        <f t="shared" si="382"/>
        <v>24</v>
      </c>
      <c r="Y650">
        <f t="shared" si="383"/>
        <v>3</v>
      </c>
      <c r="Z650">
        <f t="shared" si="384"/>
        <v>3</v>
      </c>
      <c r="AA650">
        <f t="shared" si="385"/>
        <v>3</v>
      </c>
      <c r="AB650">
        <f t="shared" si="386"/>
        <v>1</v>
      </c>
      <c r="AC650">
        <f t="shared" si="387"/>
        <v>36</v>
      </c>
      <c r="AD650">
        <f t="shared" si="388"/>
        <v>0</v>
      </c>
      <c r="AF650">
        <f t="shared" si="389"/>
        <v>0</v>
      </c>
      <c r="AG650">
        <f t="shared" si="390"/>
        <v>0</v>
      </c>
      <c r="AH650">
        <f t="shared" si="391"/>
        <v>0</v>
      </c>
      <c r="AI650">
        <f t="shared" si="392"/>
        <v>0</v>
      </c>
      <c r="AJ650">
        <f t="shared" si="393"/>
        <v>0</v>
      </c>
      <c r="AK650">
        <f t="shared" si="394"/>
        <v>0</v>
      </c>
      <c r="AL650">
        <f t="shared" si="395"/>
        <v>0</v>
      </c>
      <c r="AM650">
        <f t="shared" si="396"/>
        <v>0</v>
      </c>
      <c r="AN650">
        <f t="shared" si="397"/>
        <v>0</v>
      </c>
      <c r="AO650">
        <f t="shared" si="398"/>
        <v>0</v>
      </c>
      <c r="AP650">
        <f t="shared" si="399"/>
        <v>0</v>
      </c>
      <c r="AQ650">
        <f t="shared" si="400"/>
        <v>0</v>
      </c>
    </row>
    <row r="651" spans="1:43" ht="15.5" x14ac:dyDescent="0.35">
      <c r="A651" s="51">
        <v>3</v>
      </c>
      <c r="B651" s="13" t="s">
        <v>442</v>
      </c>
      <c r="C651" s="1" t="s">
        <v>166</v>
      </c>
      <c r="D651" s="1" t="s">
        <v>227</v>
      </c>
      <c r="E651" s="19">
        <v>2885.7814603441043</v>
      </c>
      <c r="F651">
        <f t="shared" si="365"/>
        <v>0</v>
      </c>
      <c r="G651">
        <f t="shared" si="366"/>
        <v>2885.7814603441043</v>
      </c>
      <c r="H651">
        <f t="shared" si="367"/>
        <v>0</v>
      </c>
      <c r="I651">
        <f t="shared" si="368"/>
        <v>0</v>
      </c>
      <c r="J651">
        <f t="shared" si="369"/>
        <v>0</v>
      </c>
      <c r="K651">
        <f t="shared" si="370"/>
        <v>0</v>
      </c>
      <c r="L651">
        <f t="shared" si="371"/>
        <v>0</v>
      </c>
      <c r="M651">
        <f t="shared" si="372"/>
        <v>0</v>
      </c>
      <c r="N651">
        <f t="shared" si="373"/>
        <v>0</v>
      </c>
      <c r="O651">
        <f t="shared" si="374"/>
        <v>0</v>
      </c>
      <c r="P651">
        <f t="shared" si="375"/>
        <v>0</v>
      </c>
      <c r="Q651">
        <f t="shared" si="376"/>
        <v>0</v>
      </c>
      <c r="S651">
        <f t="shared" si="377"/>
        <v>22</v>
      </c>
      <c r="T651">
        <f t="shared" si="378"/>
        <v>19</v>
      </c>
      <c r="U651">
        <f t="shared" si="379"/>
        <v>2</v>
      </c>
      <c r="V651">
        <f t="shared" si="380"/>
        <v>4</v>
      </c>
      <c r="W651">
        <f t="shared" si="381"/>
        <v>28</v>
      </c>
      <c r="X651">
        <f t="shared" si="382"/>
        <v>23</v>
      </c>
      <c r="Y651">
        <f t="shared" si="383"/>
        <v>3</v>
      </c>
      <c r="Z651">
        <f t="shared" si="384"/>
        <v>3</v>
      </c>
      <c r="AA651">
        <f t="shared" si="385"/>
        <v>3</v>
      </c>
      <c r="AB651">
        <f t="shared" si="386"/>
        <v>1</v>
      </c>
      <c r="AC651">
        <f t="shared" si="387"/>
        <v>36</v>
      </c>
      <c r="AD651">
        <f t="shared" si="388"/>
        <v>0</v>
      </c>
      <c r="AF651">
        <f t="shared" si="389"/>
        <v>0</v>
      </c>
      <c r="AG651">
        <f t="shared" si="390"/>
        <v>0</v>
      </c>
      <c r="AH651">
        <f t="shared" si="391"/>
        <v>0</v>
      </c>
      <c r="AI651">
        <f t="shared" si="392"/>
        <v>0</v>
      </c>
      <c r="AJ651">
        <f t="shared" si="393"/>
        <v>0</v>
      </c>
      <c r="AK651">
        <f t="shared" si="394"/>
        <v>0</v>
      </c>
      <c r="AL651">
        <f t="shared" si="395"/>
        <v>0</v>
      </c>
      <c r="AM651">
        <f t="shared" si="396"/>
        <v>0</v>
      </c>
      <c r="AN651">
        <f t="shared" si="397"/>
        <v>0</v>
      </c>
      <c r="AO651">
        <f t="shared" si="398"/>
        <v>0</v>
      </c>
      <c r="AP651">
        <f t="shared" si="399"/>
        <v>0</v>
      </c>
      <c r="AQ651">
        <f t="shared" si="400"/>
        <v>0</v>
      </c>
    </row>
    <row r="652" spans="1:43" ht="15.5" x14ac:dyDescent="0.35">
      <c r="A652" s="51">
        <v>4</v>
      </c>
      <c r="B652" s="13" t="s">
        <v>442</v>
      </c>
      <c r="C652" s="1" t="s">
        <v>167</v>
      </c>
      <c r="D652" s="1" t="s">
        <v>227</v>
      </c>
      <c r="E652" s="19">
        <v>3205.729121097625</v>
      </c>
      <c r="F652">
        <f t="shared" si="365"/>
        <v>0</v>
      </c>
      <c r="G652">
        <f t="shared" si="366"/>
        <v>3205.729121097625</v>
      </c>
      <c r="H652">
        <f t="shared" si="367"/>
        <v>0</v>
      </c>
      <c r="I652">
        <f t="shared" si="368"/>
        <v>0</v>
      </c>
      <c r="J652">
        <f t="shared" si="369"/>
        <v>0</v>
      </c>
      <c r="K652">
        <f t="shared" si="370"/>
        <v>0</v>
      </c>
      <c r="L652">
        <f t="shared" si="371"/>
        <v>0</v>
      </c>
      <c r="M652">
        <f t="shared" si="372"/>
        <v>0</v>
      </c>
      <c r="N652">
        <f t="shared" si="373"/>
        <v>0</v>
      </c>
      <c r="O652">
        <f t="shared" si="374"/>
        <v>0</v>
      </c>
      <c r="P652">
        <f t="shared" si="375"/>
        <v>0</v>
      </c>
      <c r="Q652">
        <f t="shared" si="376"/>
        <v>0</v>
      </c>
      <c r="S652">
        <f t="shared" si="377"/>
        <v>22</v>
      </c>
      <c r="T652">
        <f t="shared" si="378"/>
        <v>18</v>
      </c>
      <c r="U652">
        <f t="shared" si="379"/>
        <v>2</v>
      </c>
      <c r="V652">
        <f t="shared" si="380"/>
        <v>4</v>
      </c>
      <c r="W652">
        <f t="shared" si="381"/>
        <v>28</v>
      </c>
      <c r="X652">
        <f t="shared" si="382"/>
        <v>23</v>
      </c>
      <c r="Y652">
        <f t="shared" si="383"/>
        <v>3</v>
      </c>
      <c r="Z652">
        <f t="shared" si="384"/>
        <v>3</v>
      </c>
      <c r="AA652">
        <f t="shared" si="385"/>
        <v>3</v>
      </c>
      <c r="AB652">
        <f t="shared" si="386"/>
        <v>1</v>
      </c>
      <c r="AC652">
        <f t="shared" si="387"/>
        <v>36</v>
      </c>
      <c r="AD652">
        <f t="shared" si="388"/>
        <v>0</v>
      </c>
      <c r="AF652">
        <f t="shared" si="389"/>
        <v>0</v>
      </c>
      <c r="AG652">
        <f t="shared" si="390"/>
        <v>0</v>
      </c>
      <c r="AH652">
        <f t="shared" si="391"/>
        <v>0</v>
      </c>
      <c r="AI652">
        <f t="shared" si="392"/>
        <v>0</v>
      </c>
      <c r="AJ652">
        <f t="shared" si="393"/>
        <v>0</v>
      </c>
      <c r="AK652">
        <f t="shared" si="394"/>
        <v>0</v>
      </c>
      <c r="AL652">
        <f t="shared" si="395"/>
        <v>0</v>
      </c>
      <c r="AM652">
        <f t="shared" si="396"/>
        <v>0</v>
      </c>
      <c r="AN652">
        <f t="shared" si="397"/>
        <v>0</v>
      </c>
      <c r="AO652">
        <f t="shared" si="398"/>
        <v>0</v>
      </c>
      <c r="AP652">
        <f t="shared" si="399"/>
        <v>0</v>
      </c>
      <c r="AQ652">
        <f t="shared" si="400"/>
        <v>0</v>
      </c>
    </row>
    <row r="653" spans="1:43" ht="15.5" x14ac:dyDescent="0.35">
      <c r="A653" s="51">
        <v>5</v>
      </c>
      <c r="B653" s="13" t="s">
        <v>443</v>
      </c>
      <c r="C653" s="1" t="s">
        <v>310</v>
      </c>
      <c r="D653" s="1" t="s">
        <v>60</v>
      </c>
      <c r="E653" s="19">
        <v>3228.1630518704806</v>
      </c>
      <c r="F653">
        <f t="shared" si="365"/>
        <v>0</v>
      </c>
      <c r="G653">
        <f t="shared" si="366"/>
        <v>0</v>
      </c>
      <c r="H653">
        <f t="shared" si="367"/>
        <v>0</v>
      </c>
      <c r="I653">
        <f t="shared" si="368"/>
        <v>0</v>
      </c>
      <c r="J653">
        <f t="shared" si="369"/>
        <v>3228.1630518704806</v>
      </c>
      <c r="K653">
        <f t="shared" si="370"/>
        <v>0</v>
      </c>
      <c r="L653">
        <f t="shared" si="371"/>
        <v>0</v>
      </c>
      <c r="M653">
        <f t="shared" si="372"/>
        <v>0</v>
      </c>
      <c r="N653">
        <f t="shared" si="373"/>
        <v>0</v>
      </c>
      <c r="O653">
        <f t="shared" si="374"/>
        <v>0</v>
      </c>
      <c r="P653">
        <f t="shared" si="375"/>
        <v>0</v>
      </c>
      <c r="Q653">
        <f t="shared" si="376"/>
        <v>0</v>
      </c>
      <c r="S653">
        <f t="shared" si="377"/>
        <v>22</v>
      </c>
      <c r="T653">
        <f t="shared" si="378"/>
        <v>17</v>
      </c>
      <c r="U653">
        <f t="shared" si="379"/>
        <v>2</v>
      </c>
      <c r="V653">
        <f t="shared" si="380"/>
        <v>4</v>
      </c>
      <c r="W653">
        <f t="shared" si="381"/>
        <v>28</v>
      </c>
      <c r="X653">
        <f t="shared" si="382"/>
        <v>23</v>
      </c>
      <c r="Y653">
        <f t="shared" si="383"/>
        <v>3</v>
      </c>
      <c r="Z653">
        <f t="shared" si="384"/>
        <v>3</v>
      </c>
      <c r="AA653">
        <f t="shared" si="385"/>
        <v>3</v>
      </c>
      <c r="AB653">
        <f t="shared" si="386"/>
        <v>1</v>
      </c>
      <c r="AC653">
        <f t="shared" si="387"/>
        <v>36</v>
      </c>
      <c r="AD653">
        <f t="shared" si="388"/>
        <v>0</v>
      </c>
      <c r="AF653">
        <f t="shared" si="389"/>
        <v>0</v>
      </c>
      <c r="AG653">
        <f t="shared" si="390"/>
        <v>0</v>
      </c>
      <c r="AH653">
        <f t="shared" si="391"/>
        <v>0</v>
      </c>
      <c r="AI653">
        <f t="shared" si="392"/>
        <v>0</v>
      </c>
      <c r="AJ653">
        <f t="shared" si="393"/>
        <v>0</v>
      </c>
      <c r="AK653">
        <f t="shared" si="394"/>
        <v>0</v>
      </c>
      <c r="AL653">
        <f t="shared" si="395"/>
        <v>0</v>
      </c>
      <c r="AM653">
        <f t="shared" si="396"/>
        <v>0</v>
      </c>
      <c r="AN653">
        <f t="shared" si="397"/>
        <v>0</v>
      </c>
      <c r="AO653">
        <f t="shared" si="398"/>
        <v>0</v>
      </c>
      <c r="AP653">
        <f t="shared" si="399"/>
        <v>0</v>
      </c>
      <c r="AQ653">
        <f t="shared" si="400"/>
        <v>0</v>
      </c>
    </row>
    <row r="654" spans="1:43" ht="15.5" x14ac:dyDescent="0.35">
      <c r="A654" s="51">
        <v>6</v>
      </c>
      <c r="B654" s="13" t="s">
        <v>443</v>
      </c>
      <c r="C654" s="1" t="s">
        <v>58</v>
      </c>
      <c r="D654" s="1" t="s">
        <v>228</v>
      </c>
      <c r="E654" s="19">
        <v>3246.8413739644975</v>
      </c>
      <c r="F654">
        <f t="shared" si="365"/>
        <v>0</v>
      </c>
      <c r="G654">
        <f t="shared" si="366"/>
        <v>0</v>
      </c>
      <c r="H654">
        <f t="shared" si="367"/>
        <v>0</v>
      </c>
      <c r="I654">
        <f t="shared" si="368"/>
        <v>0</v>
      </c>
      <c r="J654">
        <f t="shared" si="369"/>
        <v>0</v>
      </c>
      <c r="K654">
        <f t="shared" si="370"/>
        <v>0</v>
      </c>
      <c r="L654">
        <f t="shared" si="371"/>
        <v>0</v>
      </c>
      <c r="M654">
        <f t="shared" si="372"/>
        <v>0</v>
      </c>
      <c r="N654">
        <f t="shared" si="373"/>
        <v>0</v>
      </c>
      <c r="O654">
        <f t="shared" si="374"/>
        <v>0</v>
      </c>
      <c r="P654">
        <f t="shared" si="375"/>
        <v>3246.8413739644975</v>
      </c>
      <c r="Q654">
        <f t="shared" si="376"/>
        <v>0</v>
      </c>
      <c r="S654">
        <f t="shared" si="377"/>
        <v>22</v>
      </c>
      <c r="T654">
        <f t="shared" si="378"/>
        <v>17</v>
      </c>
      <c r="U654">
        <f t="shared" si="379"/>
        <v>2</v>
      </c>
      <c r="V654">
        <f t="shared" si="380"/>
        <v>4</v>
      </c>
      <c r="W654">
        <f t="shared" si="381"/>
        <v>27</v>
      </c>
      <c r="X654">
        <f t="shared" si="382"/>
        <v>23</v>
      </c>
      <c r="Y654">
        <f t="shared" si="383"/>
        <v>3</v>
      </c>
      <c r="Z654">
        <f t="shared" si="384"/>
        <v>3</v>
      </c>
      <c r="AA654">
        <f t="shared" si="385"/>
        <v>3</v>
      </c>
      <c r="AB654">
        <f t="shared" si="386"/>
        <v>1</v>
      </c>
      <c r="AC654">
        <f t="shared" si="387"/>
        <v>36</v>
      </c>
      <c r="AD654">
        <f t="shared" si="388"/>
        <v>0</v>
      </c>
      <c r="AF654">
        <f t="shared" si="389"/>
        <v>0</v>
      </c>
      <c r="AG654">
        <f t="shared" si="390"/>
        <v>0</v>
      </c>
      <c r="AH654">
        <f t="shared" si="391"/>
        <v>0</v>
      </c>
      <c r="AI654">
        <f t="shared" si="392"/>
        <v>0</v>
      </c>
      <c r="AJ654">
        <f t="shared" si="393"/>
        <v>0</v>
      </c>
      <c r="AK654">
        <f t="shared" si="394"/>
        <v>0</v>
      </c>
      <c r="AL654">
        <f t="shared" si="395"/>
        <v>0</v>
      </c>
      <c r="AM654">
        <f t="shared" si="396"/>
        <v>0</v>
      </c>
      <c r="AN654">
        <f t="shared" si="397"/>
        <v>0</v>
      </c>
      <c r="AO654">
        <f t="shared" si="398"/>
        <v>0</v>
      </c>
      <c r="AP654">
        <f t="shared" si="399"/>
        <v>0</v>
      </c>
      <c r="AQ654">
        <f t="shared" si="400"/>
        <v>0</v>
      </c>
    </row>
    <row r="655" spans="1:43" ht="15.5" x14ac:dyDescent="0.35">
      <c r="A655" s="51">
        <v>7</v>
      </c>
      <c r="B655" s="13" t="s">
        <v>443</v>
      </c>
      <c r="C655" s="1" t="s">
        <v>59</v>
      </c>
      <c r="D655" s="1" t="s">
        <v>54</v>
      </c>
      <c r="E655" s="19">
        <v>3438.8528757343688</v>
      </c>
      <c r="F655">
        <f t="shared" si="365"/>
        <v>0</v>
      </c>
      <c r="G655">
        <f t="shared" si="366"/>
        <v>0</v>
      </c>
      <c r="H655">
        <f t="shared" si="367"/>
        <v>0</v>
      </c>
      <c r="I655">
        <f t="shared" si="368"/>
        <v>0</v>
      </c>
      <c r="J655">
        <f t="shared" si="369"/>
        <v>0</v>
      </c>
      <c r="K655">
        <f t="shared" si="370"/>
        <v>3438.8528757343688</v>
      </c>
      <c r="L655">
        <f t="shared" si="371"/>
        <v>0</v>
      </c>
      <c r="M655">
        <f t="shared" si="372"/>
        <v>0</v>
      </c>
      <c r="N655">
        <f t="shared" si="373"/>
        <v>0</v>
      </c>
      <c r="O655">
        <f t="shared" si="374"/>
        <v>0</v>
      </c>
      <c r="P655">
        <f t="shared" si="375"/>
        <v>0</v>
      </c>
      <c r="Q655">
        <f t="shared" si="376"/>
        <v>0</v>
      </c>
      <c r="S655">
        <f t="shared" si="377"/>
        <v>22</v>
      </c>
      <c r="T655">
        <f t="shared" si="378"/>
        <v>17</v>
      </c>
      <c r="U655">
        <f t="shared" si="379"/>
        <v>2</v>
      </c>
      <c r="V655">
        <f t="shared" si="380"/>
        <v>4</v>
      </c>
      <c r="W655">
        <f t="shared" si="381"/>
        <v>27</v>
      </c>
      <c r="X655">
        <f t="shared" si="382"/>
        <v>23</v>
      </c>
      <c r="Y655">
        <f t="shared" si="383"/>
        <v>3</v>
      </c>
      <c r="Z655">
        <f t="shared" si="384"/>
        <v>3</v>
      </c>
      <c r="AA655">
        <f t="shared" si="385"/>
        <v>3</v>
      </c>
      <c r="AB655">
        <f t="shared" si="386"/>
        <v>1</v>
      </c>
      <c r="AC655">
        <f t="shared" si="387"/>
        <v>35</v>
      </c>
      <c r="AD655">
        <f t="shared" si="388"/>
        <v>0</v>
      </c>
      <c r="AF655">
        <f t="shared" si="389"/>
        <v>0</v>
      </c>
      <c r="AG655">
        <f t="shared" si="390"/>
        <v>0</v>
      </c>
      <c r="AH655">
        <f t="shared" si="391"/>
        <v>0</v>
      </c>
      <c r="AI655">
        <f t="shared" si="392"/>
        <v>0</v>
      </c>
      <c r="AJ655">
        <f t="shared" si="393"/>
        <v>0</v>
      </c>
      <c r="AK655">
        <f t="shared" si="394"/>
        <v>0</v>
      </c>
      <c r="AL655">
        <f t="shared" si="395"/>
        <v>0</v>
      </c>
      <c r="AM655">
        <f t="shared" si="396"/>
        <v>0</v>
      </c>
      <c r="AN655">
        <f t="shared" si="397"/>
        <v>0</v>
      </c>
      <c r="AO655">
        <f t="shared" si="398"/>
        <v>0</v>
      </c>
      <c r="AP655">
        <f t="shared" si="399"/>
        <v>0</v>
      </c>
      <c r="AQ655">
        <f t="shared" si="400"/>
        <v>0</v>
      </c>
    </row>
    <row r="656" spans="1:43" ht="15.5" x14ac:dyDescent="0.35">
      <c r="A656" s="51">
        <v>8</v>
      </c>
      <c r="B656" s="13" t="s">
        <v>443</v>
      </c>
      <c r="C656" s="1" t="s">
        <v>56</v>
      </c>
      <c r="D656" s="1" t="s">
        <v>76</v>
      </c>
      <c r="E656" s="70">
        <v>2721.0265045177557</v>
      </c>
      <c r="F656">
        <f t="shared" si="365"/>
        <v>2721.0265045177557</v>
      </c>
      <c r="G656">
        <f t="shared" si="366"/>
        <v>0</v>
      </c>
      <c r="H656">
        <f t="shared" si="367"/>
        <v>0</v>
      </c>
      <c r="I656">
        <f t="shared" si="368"/>
        <v>0</v>
      </c>
      <c r="J656">
        <f t="shared" si="369"/>
        <v>0</v>
      </c>
      <c r="K656">
        <f t="shared" si="370"/>
        <v>0</v>
      </c>
      <c r="L656">
        <f t="shared" si="371"/>
        <v>0</v>
      </c>
      <c r="M656">
        <f t="shared" si="372"/>
        <v>0</v>
      </c>
      <c r="N656">
        <f t="shared" si="373"/>
        <v>0</v>
      </c>
      <c r="O656">
        <f t="shared" si="374"/>
        <v>0</v>
      </c>
      <c r="P656">
        <f t="shared" si="375"/>
        <v>0</v>
      </c>
      <c r="Q656">
        <f t="shared" si="376"/>
        <v>0</v>
      </c>
      <c r="S656">
        <f t="shared" si="377"/>
        <v>22</v>
      </c>
      <c r="T656">
        <f t="shared" si="378"/>
        <v>17</v>
      </c>
      <c r="U656">
        <f t="shared" si="379"/>
        <v>2</v>
      </c>
      <c r="V656">
        <f t="shared" si="380"/>
        <v>4</v>
      </c>
      <c r="W656">
        <f t="shared" si="381"/>
        <v>27</v>
      </c>
      <c r="X656">
        <f t="shared" si="382"/>
        <v>22</v>
      </c>
      <c r="Y656">
        <f t="shared" si="383"/>
        <v>3</v>
      </c>
      <c r="Z656">
        <f t="shared" si="384"/>
        <v>3</v>
      </c>
      <c r="AA656">
        <f t="shared" si="385"/>
        <v>3</v>
      </c>
      <c r="AB656">
        <f t="shared" si="386"/>
        <v>1</v>
      </c>
      <c r="AC656">
        <f t="shared" si="387"/>
        <v>35</v>
      </c>
      <c r="AD656">
        <f t="shared" si="388"/>
        <v>0</v>
      </c>
      <c r="AF656">
        <f t="shared" si="389"/>
        <v>0</v>
      </c>
      <c r="AG656">
        <f t="shared" si="390"/>
        <v>0</v>
      </c>
      <c r="AH656">
        <f t="shared" si="391"/>
        <v>0</v>
      </c>
      <c r="AI656">
        <f t="shared" si="392"/>
        <v>0</v>
      </c>
      <c r="AJ656">
        <f t="shared" si="393"/>
        <v>0</v>
      </c>
      <c r="AK656">
        <f t="shared" si="394"/>
        <v>0</v>
      </c>
      <c r="AL656">
        <f t="shared" si="395"/>
        <v>0</v>
      </c>
      <c r="AM656">
        <f t="shared" si="396"/>
        <v>0</v>
      </c>
      <c r="AN656">
        <f t="shared" si="397"/>
        <v>0</v>
      </c>
      <c r="AO656">
        <f t="shared" si="398"/>
        <v>0</v>
      </c>
      <c r="AP656">
        <f t="shared" si="399"/>
        <v>0</v>
      </c>
      <c r="AQ656">
        <f t="shared" si="400"/>
        <v>0</v>
      </c>
    </row>
    <row r="657" spans="1:43" ht="15.5" x14ac:dyDescent="0.35">
      <c r="A657" s="51">
        <v>9</v>
      </c>
      <c r="B657" s="13" t="s">
        <v>444</v>
      </c>
      <c r="C657" s="1" t="s">
        <v>61</v>
      </c>
      <c r="D657" s="1" t="s">
        <v>54</v>
      </c>
      <c r="E657" s="19">
        <v>3512.1588885864426</v>
      </c>
      <c r="F657">
        <f t="shared" si="365"/>
        <v>0</v>
      </c>
      <c r="G657">
        <f t="shared" si="366"/>
        <v>0</v>
      </c>
      <c r="H657">
        <f t="shared" si="367"/>
        <v>0</v>
      </c>
      <c r="I657">
        <f t="shared" si="368"/>
        <v>0</v>
      </c>
      <c r="J657">
        <f t="shared" si="369"/>
        <v>0</v>
      </c>
      <c r="K657">
        <f t="shared" si="370"/>
        <v>3512.1588885864426</v>
      </c>
      <c r="L657">
        <f t="shared" si="371"/>
        <v>0</v>
      </c>
      <c r="M657">
        <f t="shared" si="372"/>
        <v>0</v>
      </c>
      <c r="N657">
        <f t="shared" si="373"/>
        <v>0</v>
      </c>
      <c r="O657">
        <f t="shared" si="374"/>
        <v>0</v>
      </c>
      <c r="P657">
        <f t="shared" si="375"/>
        <v>0</v>
      </c>
      <c r="Q657">
        <f t="shared" si="376"/>
        <v>0</v>
      </c>
      <c r="S657">
        <f t="shared" si="377"/>
        <v>21</v>
      </c>
      <c r="T657">
        <f t="shared" si="378"/>
        <v>17</v>
      </c>
      <c r="U657">
        <f t="shared" si="379"/>
        <v>2</v>
      </c>
      <c r="V657">
        <f t="shared" si="380"/>
        <v>4</v>
      </c>
      <c r="W657">
        <f t="shared" si="381"/>
        <v>27</v>
      </c>
      <c r="X657">
        <f t="shared" si="382"/>
        <v>22</v>
      </c>
      <c r="Y657">
        <f t="shared" si="383"/>
        <v>3</v>
      </c>
      <c r="Z657">
        <f t="shared" si="384"/>
        <v>3</v>
      </c>
      <c r="AA657">
        <f t="shared" si="385"/>
        <v>3</v>
      </c>
      <c r="AB657">
        <f t="shared" si="386"/>
        <v>1</v>
      </c>
      <c r="AC657">
        <f t="shared" si="387"/>
        <v>35</v>
      </c>
      <c r="AD657">
        <f t="shared" si="388"/>
        <v>0</v>
      </c>
      <c r="AF657">
        <f t="shared" si="389"/>
        <v>0</v>
      </c>
      <c r="AG657">
        <f t="shared" si="390"/>
        <v>0</v>
      </c>
      <c r="AH657">
        <f t="shared" si="391"/>
        <v>0</v>
      </c>
      <c r="AI657">
        <f t="shared" si="392"/>
        <v>0</v>
      </c>
      <c r="AJ657">
        <f t="shared" si="393"/>
        <v>0</v>
      </c>
      <c r="AK657">
        <f t="shared" si="394"/>
        <v>0</v>
      </c>
      <c r="AL657">
        <f t="shared" si="395"/>
        <v>0</v>
      </c>
      <c r="AM657">
        <f t="shared" si="396"/>
        <v>0</v>
      </c>
      <c r="AN657">
        <f t="shared" si="397"/>
        <v>0</v>
      </c>
      <c r="AO657">
        <f t="shared" si="398"/>
        <v>0</v>
      </c>
      <c r="AP657">
        <f t="shared" si="399"/>
        <v>0</v>
      </c>
      <c r="AQ657">
        <f t="shared" si="400"/>
        <v>0</v>
      </c>
    </row>
    <row r="658" spans="1:43" ht="15.5" x14ac:dyDescent="0.35">
      <c r="A658" s="51">
        <v>10</v>
      </c>
      <c r="B658" s="13" t="s">
        <v>445</v>
      </c>
      <c r="C658" s="17" t="s">
        <v>63</v>
      </c>
      <c r="D658" s="17" t="s">
        <v>76</v>
      </c>
      <c r="E658" s="19">
        <v>3284.905636291684</v>
      </c>
      <c r="F658">
        <f t="shared" si="365"/>
        <v>3284.905636291684</v>
      </c>
      <c r="G658">
        <f t="shared" si="366"/>
        <v>0</v>
      </c>
      <c r="H658">
        <f t="shared" si="367"/>
        <v>0</v>
      </c>
      <c r="I658">
        <f t="shared" si="368"/>
        <v>0</v>
      </c>
      <c r="J658">
        <f t="shared" si="369"/>
        <v>0</v>
      </c>
      <c r="K658">
        <f t="shared" si="370"/>
        <v>0</v>
      </c>
      <c r="L658">
        <f t="shared" si="371"/>
        <v>0</v>
      </c>
      <c r="M658">
        <f t="shared" si="372"/>
        <v>0</v>
      </c>
      <c r="N658">
        <f t="shared" si="373"/>
        <v>0</v>
      </c>
      <c r="O658">
        <f t="shared" si="374"/>
        <v>0</v>
      </c>
      <c r="P658">
        <f t="shared" si="375"/>
        <v>0</v>
      </c>
      <c r="Q658">
        <f t="shared" si="376"/>
        <v>0</v>
      </c>
      <c r="S658">
        <f t="shared" si="377"/>
        <v>21</v>
      </c>
      <c r="T658">
        <f t="shared" si="378"/>
        <v>17</v>
      </c>
      <c r="U658">
        <f t="shared" si="379"/>
        <v>2</v>
      </c>
      <c r="V658">
        <f t="shared" si="380"/>
        <v>4</v>
      </c>
      <c r="W658">
        <f t="shared" si="381"/>
        <v>27</v>
      </c>
      <c r="X658">
        <f t="shared" si="382"/>
        <v>21</v>
      </c>
      <c r="Y658">
        <f t="shared" si="383"/>
        <v>3</v>
      </c>
      <c r="Z658">
        <f t="shared" si="384"/>
        <v>3</v>
      </c>
      <c r="AA658">
        <f t="shared" si="385"/>
        <v>3</v>
      </c>
      <c r="AB658">
        <f t="shared" si="386"/>
        <v>1</v>
      </c>
      <c r="AC658">
        <f t="shared" si="387"/>
        <v>35</v>
      </c>
      <c r="AD658">
        <f t="shared" si="388"/>
        <v>0</v>
      </c>
      <c r="AF658">
        <f t="shared" si="389"/>
        <v>0</v>
      </c>
      <c r="AG658">
        <f t="shared" si="390"/>
        <v>0</v>
      </c>
      <c r="AH658">
        <f t="shared" si="391"/>
        <v>0</v>
      </c>
      <c r="AI658">
        <f t="shared" si="392"/>
        <v>0</v>
      </c>
      <c r="AJ658">
        <f t="shared" si="393"/>
        <v>0</v>
      </c>
      <c r="AK658">
        <f t="shared" si="394"/>
        <v>0</v>
      </c>
      <c r="AL658">
        <f t="shared" si="395"/>
        <v>0</v>
      </c>
      <c r="AM658">
        <f t="shared" si="396"/>
        <v>0</v>
      </c>
      <c r="AN658">
        <f t="shared" si="397"/>
        <v>0</v>
      </c>
      <c r="AO658">
        <f t="shared" si="398"/>
        <v>0</v>
      </c>
      <c r="AP658">
        <f t="shared" si="399"/>
        <v>0</v>
      </c>
      <c r="AQ658">
        <f t="shared" si="400"/>
        <v>0</v>
      </c>
    </row>
    <row r="659" spans="1:43" ht="15.5" x14ac:dyDescent="0.35">
      <c r="A659" s="51">
        <v>11</v>
      </c>
      <c r="B659" s="13" t="s">
        <v>445</v>
      </c>
      <c r="C659" s="1" t="s">
        <v>64</v>
      </c>
      <c r="D659" s="1" t="s">
        <v>94</v>
      </c>
      <c r="E659" s="19">
        <v>3069.3512638370121</v>
      </c>
      <c r="F659">
        <f t="shared" si="365"/>
        <v>0</v>
      </c>
      <c r="G659">
        <f t="shared" si="366"/>
        <v>0</v>
      </c>
      <c r="H659">
        <f t="shared" si="367"/>
        <v>0</v>
      </c>
      <c r="I659">
        <f t="shared" si="368"/>
        <v>0</v>
      </c>
      <c r="J659">
        <f t="shared" si="369"/>
        <v>0</v>
      </c>
      <c r="K659">
        <f t="shared" si="370"/>
        <v>0</v>
      </c>
      <c r="L659">
        <f t="shared" si="371"/>
        <v>3069.3512638370121</v>
      </c>
      <c r="M659">
        <f t="shared" si="372"/>
        <v>0</v>
      </c>
      <c r="N659">
        <f t="shared" si="373"/>
        <v>0</v>
      </c>
      <c r="O659">
        <f t="shared" si="374"/>
        <v>0</v>
      </c>
      <c r="P659">
        <f t="shared" si="375"/>
        <v>0</v>
      </c>
      <c r="Q659">
        <f t="shared" si="376"/>
        <v>0</v>
      </c>
      <c r="S659">
        <f t="shared" si="377"/>
        <v>20</v>
      </c>
      <c r="T659">
        <f t="shared" si="378"/>
        <v>17</v>
      </c>
      <c r="U659">
        <f t="shared" si="379"/>
        <v>2</v>
      </c>
      <c r="V659">
        <f t="shared" si="380"/>
        <v>4</v>
      </c>
      <c r="W659">
        <f t="shared" si="381"/>
        <v>27</v>
      </c>
      <c r="X659">
        <f t="shared" si="382"/>
        <v>21</v>
      </c>
      <c r="Y659">
        <f t="shared" si="383"/>
        <v>3</v>
      </c>
      <c r="Z659">
        <f t="shared" si="384"/>
        <v>3</v>
      </c>
      <c r="AA659">
        <f t="shared" si="385"/>
        <v>3</v>
      </c>
      <c r="AB659">
        <f t="shared" si="386"/>
        <v>1</v>
      </c>
      <c r="AC659">
        <f t="shared" si="387"/>
        <v>35</v>
      </c>
      <c r="AD659">
        <f t="shared" si="388"/>
        <v>0</v>
      </c>
      <c r="AF659">
        <f t="shared" si="389"/>
        <v>0</v>
      </c>
      <c r="AG659">
        <f t="shared" si="390"/>
        <v>0</v>
      </c>
      <c r="AH659">
        <f t="shared" si="391"/>
        <v>0</v>
      </c>
      <c r="AI659">
        <f t="shared" si="392"/>
        <v>0</v>
      </c>
      <c r="AJ659">
        <f t="shared" si="393"/>
        <v>0</v>
      </c>
      <c r="AK659">
        <f t="shared" si="394"/>
        <v>0</v>
      </c>
      <c r="AL659">
        <f t="shared" si="395"/>
        <v>3069.3512638370121</v>
      </c>
      <c r="AM659">
        <f t="shared" si="396"/>
        <v>0</v>
      </c>
      <c r="AN659">
        <f t="shared" si="397"/>
        <v>0</v>
      </c>
      <c r="AO659">
        <f t="shared" si="398"/>
        <v>0</v>
      </c>
      <c r="AP659">
        <f t="shared" si="399"/>
        <v>0</v>
      </c>
      <c r="AQ659">
        <f t="shared" si="400"/>
        <v>0</v>
      </c>
    </row>
    <row r="660" spans="1:43" ht="15.5" x14ac:dyDescent="0.35">
      <c r="A660" s="51">
        <v>12</v>
      </c>
      <c r="B660" s="13" t="s">
        <v>445</v>
      </c>
      <c r="C660" s="17" t="s">
        <v>65</v>
      </c>
      <c r="D660" s="17" t="s">
        <v>228</v>
      </c>
      <c r="E660" s="19">
        <v>3496.080137196851</v>
      </c>
      <c r="F660">
        <f t="shared" si="365"/>
        <v>0</v>
      </c>
      <c r="G660">
        <f t="shared" si="366"/>
        <v>0</v>
      </c>
      <c r="H660">
        <f t="shared" si="367"/>
        <v>0</v>
      </c>
      <c r="I660">
        <f t="shared" si="368"/>
        <v>0</v>
      </c>
      <c r="J660">
        <f t="shared" si="369"/>
        <v>0</v>
      </c>
      <c r="K660">
        <f t="shared" si="370"/>
        <v>0</v>
      </c>
      <c r="L660">
        <f t="shared" si="371"/>
        <v>0</v>
      </c>
      <c r="M660">
        <f t="shared" si="372"/>
        <v>0</v>
      </c>
      <c r="N660">
        <f t="shared" si="373"/>
        <v>0</v>
      </c>
      <c r="O660">
        <f t="shared" si="374"/>
        <v>0</v>
      </c>
      <c r="P660">
        <f t="shared" si="375"/>
        <v>3496.080137196851</v>
      </c>
      <c r="Q660">
        <f t="shared" si="376"/>
        <v>0</v>
      </c>
      <c r="S660">
        <f t="shared" si="377"/>
        <v>20</v>
      </c>
      <c r="T660">
        <f t="shared" si="378"/>
        <v>17</v>
      </c>
      <c r="U660">
        <f t="shared" si="379"/>
        <v>2</v>
      </c>
      <c r="V660">
        <f t="shared" si="380"/>
        <v>4</v>
      </c>
      <c r="W660">
        <f t="shared" si="381"/>
        <v>27</v>
      </c>
      <c r="X660">
        <f t="shared" si="382"/>
        <v>21</v>
      </c>
      <c r="Y660">
        <f t="shared" si="383"/>
        <v>2</v>
      </c>
      <c r="Z660">
        <f t="shared" si="384"/>
        <v>3</v>
      </c>
      <c r="AA660">
        <f t="shared" si="385"/>
        <v>3</v>
      </c>
      <c r="AB660">
        <f t="shared" si="386"/>
        <v>1</v>
      </c>
      <c r="AC660">
        <f t="shared" si="387"/>
        <v>35</v>
      </c>
      <c r="AD660">
        <f t="shared" si="388"/>
        <v>0</v>
      </c>
      <c r="AF660">
        <f t="shared" si="389"/>
        <v>0</v>
      </c>
      <c r="AG660">
        <f t="shared" si="390"/>
        <v>0</v>
      </c>
      <c r="AH660">
        <f t="shared" si="391"/>
        <v>0</v>
      </c>
      <c r="AI660">
        <f t="shared" si="392"/>
        <v>0</v>
      </c>
      <c r="AJ660">
        <f t="shared" si="393"/>
        <v>0</v>
      </c>
      <c r="AK660">
        <f t="shared" si="394"/>
        <v>0</v>
      </c>
      <c r="AL660">
        <f t="shared" si="395"/>
        <v>0</v>
      </c>
      <c r="AM660">
        <f t="shared" si="396"/>
        <v>0</v>
      </c>
      <c r="AN660">
        <f t="shared" si="397"/>
        <v>0</v>
      </c>
      <c r="AO660">
        <f t="shared" si="398"/>
        <v>0</v>
      </c>
      <c r="AP660">
        <f t="shared" si="399"/>
        <v>0</v>
      </c>
      <c r="AQ660">
        <f t="shared" si="400"/>
        <v>0</v>
      </c>
    </row>
    <row r="661" spans="1:43" ht="15.5" x14ac:dyDescent="0.35">
      <c r="A661" s="51">
        <v>13</v>
      </c>
      <c r="B661" s="13" t="s">
        <v>445</v>
      </c>
      <c r="C661" s="1" t="s">
        <v>66</v>
      </c>
      <c r="D661" s="1" t="s">
        <v>94</v>
      </c>
      <c r="E661" s="19">
        <v>3427.252332539766</v>
      </c>
      <c r="F661">
        <f t="shared" si="365"/>
        <v>0</v>
      </c>
      <c r="G661">
        <f t="shared" si="366"/>
        <v>0</v>
      </c>
      <c r="H661">
        <f t="shared" si="367"/>
        <v>0</v>
      </c>
      <c r="I661">
        <f t="shared" si="368"/>
        <v>0</v>
      </c>
      <c r="J661">
        <f t="shared" si="369"/>
        <v>0</v>
      </c>
      <c r="K661">
        <f t="shared" si="370"/>
        <v>0</v>
      </c>
      <c r="L661">
        <f t="shared" si="371"/>
        <v>3427.252332539766</v>
      </c>
      <c r="M661">
        <f t="shared" si="372"/>
        <v>0</v>
      </c>
      <c r="N661">
        <f t="shared" si="373"/>
        <v>0</v>
      </c>
      <c r="O661">
        <f t="shared" si="374"/>
        <v>0</v>
      </c>
      <c r="P661">
        <f t="shared" si="375"/>
        <v>0</v>
      </c>
      <c r="Q661">
        <f t="shared" si="376"/>
        <v>0</v>
      </c>
      <c r="S661">
        <f t="shared" si="377"/>
        <v>20</v>
      </c>
      <c r="T661">
        <f t="shared" si="378"/>
        <v>17</v>
      </c>
      <c r="U661">
        <f t="shared" si="379"/>
        <v>2</v>
      </c>
      <c r="V661">
        <f t="shared" si="380"/>
        <v>4</v>
      </c>
      <c r="W661">
        <f t="shared" si="381"/>
        <v>27</v>
      </c>
      <c r="X661">
        <f t="shared" si="382"/>
        <v>21</v>
      </c>
      <c r="Y661">
        <f t="shared" si="383"/>
        <v>2</v>
      </c>
      <c r="Z661">
        <f t="shared" si="384"/>
        <v>3</v>
      </c>
      <c r="AA661">
        <f t="shared" si="385"/>
        <v>3</v>
      </c>
      <c r="AB661">
        <f t="shared" si="386"/>
        <v>1</v>
      </c>
      <c r="AC661">
        <f t="shared" si="387"/>
        <v>34</v>
      </c>
      <c r="AD661">
        <f t="shared" si="388"/>
        <v>0</v>
      </c>
      <c r="AF661">
        <f t="shared" si="389"/>
        <v>0</v>
      </c>
      <c r="AG661">
        <f t="shared" si="390"/>
        <v>0</v>
      </c>
      <c r="AH661">
        <f t="shared" si="391"/>
        <v>0</v>
      </c>
      <c r="AI661">
        <f t="shared" si="392"/>
        <v>0</v>
      </c>
      <c r="AJ661">
        <f t="shared" si="393"/>
        <v>0</v>
      </c>
      <c r="AK661">
        <f t="shared" si="394"/>
        <v>0</v>
      </c>
      <c r="AL661">
        <f t="shared" si="395"/>
        <v>3427.252332539766</v>
      </c>
      <c r="AM661">
        <f t="shared" si="396"/>
        <v>0</v>
      </c>
      <c r="AN661">
        <f t="shared" si="397"/>
        <v>0</v>
      </c>
      <c r="AO661">
        <f t="shared" si="398"/>
        <v>0</v>
      </c>
      <c r="AP661">
        <f t="shared" si="399"/>
        <v>0</v>
      </c>
      <c r="AQ661">
        <f t="shared" si="400"/>
        <v>0</v>
      </c>
    </row>
    <row r="662" spans="1:43" ht="15.5" x14ac:dyDescent="0.35">
      <c r="A662" s="51">
        <v>14</v>
      </c>
      <c r="B662" s="13" t="s">
        <v>446</v>
      </c>
      <c r="C662" s="1" t="s">
        <v>71</v>
      </c>
      <c r="D662" s="1" t="s">
        <v>60</v>
      </c>
      <c r="E662" s="19">
        <v>3504.6976294723563</v>
      </c>
      <c r="F662">
        <f t="shared" si="365"/>
        <v>0</v>
      </c>
      <c r="G662">
        <f t="shared" si="366"/>
        <v>0</v>
      </c>
      <c r="H662">
        <f t="shared" si="367"/>
        <v>0</v>
      </c>
      <c r="I662">
        <f t="shared" si="368"/>
        <v>0</v>
      </c>
      <c r="J662">
        <f t="shared" si="369"/>
        <v>3504.6976294723563</v>
      </c>
      <c r="K662">
        <f t="shared" si="370"/>
        <v>0</v>
      </c>
      <c r="L662">
        <f t="shared" si="371"/>
        <v>0</v>
      </c>
      <c r="M662">
        <f t="shared" si="372"/>
        <v>0</v>
      </c>
      <c r="N662">
        <f t="shared" si="373"/>
        <v>0</v>
      </c>
      <c r="O662">
        <f t="shared" si="374"/>
        <v>0</v>
      </c>
      <c r="P662">
        <f t="shared" si="375"/>
        <v>0</v>
      </c>
      <c r="Q662">
        <f t="shared" si="376"/>
        <v>0</v>
      </c>
      <c r="S662">
        <f t="shared" si="377"/>
        <v>20</v>
      </c>
      <c r="T662">
        <f t="shared" si="378"/>
        <v>17</v>
      </c>
      <c r="U662">
        <f t="shared" si="379"/>
        <v>2</v>
      </c>
      <c r="V662">
        <f t="shared" si="380"/>
        <v>4</v>
      </c>
      <c r="W662">
        <f t="shared" si="381"/>
        <v>27</v>
      </c>
      <c r="X662">
        <f t="shared" si="382"/>
        <v>21</v>
      </c>
      <c r="Y662">
        <f t="shared" si="383"/>
        <v>1</v>
      </c>
      <c r="Z662">
        <f t="shared" si="384"/>
        <v>3</v>
      </c>
      <c r="AA662">
        <f t="shared" si="385"/>
        <v>3</v>
      </c>
      <c r="AB662">
        <f t="shared" si="386"/>
        <v>1</v>
      </c>
      <c r="AC662">
        <f t="shared" si="387"/>
        <v>34</v>
      </c>
      <c r="AD662">
        <f t="shared" si="388"/>
        <v>0</v>
      </c>
      <c r="AF662">
        <f t="shared" si="389"/>
        <v>0</v>
      </c>
      <c r="AG662">
        <f t="shared" si="390"/>
        <v>0</v>
      </c>
      <c r="AH662">
        <f t="shared" si="391"/>
        <v>0</v>
      </c>
      <c r="AI662">
        <f t="shared" si="392"/>
        <v>0</v>
      </c>
      <c r="AJ662">
        <f t="shared" si="393"/>
        <v>0</v>
      </c>
      <c r="AK662">
        <f t="shared" si="394"/>
        <v>0</v>
      </c>
      <c r="AL662">
        <f t="shared" si="395"/>
        <v>0</v>
      </c>
      <c r="AM662">
        <f t="shared" si="396"/>
        <v>0</v>
      </c>
      <c r="AN662">
        <f t="shared" si="397"/>
        <v>0</v>
      </c>
      <c r="AO662">
        <f t="shared" si="398"/>
        <v>0</v>
      </c>
      <c r="AP662">
        <f t="shared" si="399"/>
        <v>0</v>
      </c>
      <c r="AQ662">
        <f t="shared" si="400"/>
        <v>0</v>
      </c>
    </row>
    <row r="663" spans="1:43" ht="15.5" x14ac:dyDescent="0.35">
      <c r="A663" s="51">
        <v>15</v>
      </c>
      <c r="B663" s="13" t="s">
        <v>446</v>
      </c>
      <c r="C663" s="17" t="s">
        <v>69</v>
      </c>
      <c r="D663" s="17" t="s">
        <v>76</v>
      </c>
      <c r="E663" s="19">
        <v>3180.745036248416</v>
      </c>
      <c r="F663">
        <f t="shared" si="365"/>
        <v>3180.745036248416</v>
      </c>
      <c r="G663">
        <f t="shared" si="366"/>
        <v>0</v>
      </c>
      <c r="H663">
        <f t="shared" si="367"/>
        <v>0</v>
      </c>
      <c r="I663">
        <f t="shared" si="368"/>
        <v>0</v>
      </c>
      <c r="J663">
        <f t="shared" si="369"/>
        <v>0</v>
      </c>
      <c r="K663">
        <f t="shared" si="370"/>
        <v>0</v>
      </c>
      <c r="L663">
        <f t="shared" si="371"/>
        <v>0</v>
      </c>
      <c r="M663">
        <f t="shared" si="372"/>
        <v>0</v>
      </c>
      <c r="N663">
        <f t="shared" si="373"/>
        <v>0</v>
      </c>
      <c r="O663">
        <f t="shared" si="374"/>
        <v>0</v>
      </c>
      <c r="P663">
        <f t="shared" si="375"/>
        <v>0</v>
      </c>
      <c r="Q663">
        <f t="shared" si="376"/>
        <v>0</v>
      </c>
      <c r="S663">
        <f t="shared" si="377"/>
        <v>20</v>
      </c>
      <c r="T663">
        <f t="shared" si="378"/>
        <v>17</v>
      </c>
      <c r="U663">
        <f t="shared" si="379"/>
        <v>2</v>
      </c>
      <c r="V663">
        <f t="shared" si="380"/>
        <v>4</v>
      </c>
      <c r="W663">
        <f t="shared" si="381"/>
        <v>26</v>
      </c>
      <c r="X663">
        <f t="shared" si="382"/>
        <v>21</v>
      </c>
      <c r="Y663">
        <f t="shared" si="383"/>
        <v>1</v>
      </c>
      <c r="Z663">
        <f t="shared" si="384"/>
        <v>3</v>
      </c>
      <c r="AA663">
        <f t="shared" si="385"/>
        <v>3</v>
      </c>
      <c r="AB663">
        <f t="shared" si="386"/>
        <v>1</v>
      </c>
      <c r="AC663">
        <f t="shared" si="387"/>
        <v>34</v>
      </c>
      <c r="AD663">
        <f t="shared" si="388"/>
        <v>0</v>
      </c>
      <c r="AF663">
        <f t="shared" si="389"/>
        <v>0</v>
      </c>
      <c r="AG663">
        <f t="shared" si="390"/>
        <v>0</v>
      </c>
      <c r="AH663">
        <f t="shared" si="391"/>
        <v>0</v>
      </c>
      <c r="AI663">
        <f t="shared" si="392"/>
        <v>0</v>
      </c>
      <c r="AJ663">
        <f t="shared" si="393"/>
        <v>0</v>
      </c>
      <c r="AK663">
        <f t="shared" si="394"/>
        <v>0</v>
      </c>
      <c r="AL663">
        <f t="shared" si="395"/>
        <v>0</v>
      </c>
      <c r="AM663">
        <f t="shared" si="396"/>
        <v>0</v>
      </c>
      <c r="AN663">
        <f t="shared" si="397"/>
        <v>0</v>
      </c>
      <c r="AO663">
        <f t="shared" si="398"/>
        <v>0</v>
      </c>
      <c r="AP663">
        <f t="shared" si="399"/>
        <v>0</v>
      </c>
      <c r="AQ663">
        <f t="shared" si="400"/>
        <v>0</v>
      </c>
    </row>
    <row r="664" spans="1:43" ht="15.5" x14ac:dyDescent="0.35">
      <c r="A664" s="51">
        <v>16</v>
      </c>
      <c r="B664" s="13" t="s">
        <v>446</v>
      </c>
      <c r="C664" s="1" t="s">
        <v>73</v>
      </c>
      <c r="D664" s="1" t="s">
        <v>228</v>
      </c>
      <c r="E664" s="19">
        <v>3489.9818190728756</v>
      </c>
      <c r="F664">
        <f t="shared" si="365"/>
        <v>0</v>
      </c>
      <c r="G664">
        <f t="shared" si="366"/>
        <v>0</v>
      </c>
      <c r="H664">
        <f t="shared" si="367"/>
        <v>0</v>
      </c>
      <c r="I664">
        <f t="shared" si="368"/>
        <v>0</v>
      </c>
      <c r="J664">
        <f t="shared" si="369"/>
        <v>0</v>
      </c>
      <c r="K664">
        <f t="shared" si="370"/>
        <v>0</v>
      </c>
      <c r="L664">
        <f t="shared" si="371"/>
        <v>0</v>
      </c>
      <c r="M664">
        <f t="shared" si="372"/>
        <v>0</v>
      </c>
      <c r="N664">
        <f t="shared" si="373"/>
        <v>0</v>
      </c>
      <c r="O664">
        <f t="shared" si="374"/>
        <v>0</v>
      </c>
      <c r="P664">
        <f t="shared" si="375"/>
        <v>3489.9818190728756</v>
      </c>
      <c r="Q664">
        <f t="shared" si="376"/>
        <v>0</v>
      </c>
      <c r="S664">
        <f t="shared" si="377"/>
        <v>19</v>
      </c>
      <c r="T664">
        <f t="shared" si="378"/>
        <v>17</v>
      </c>
      <c r="U664">
        <f t="shared" si="379"/>
        <v>2</v>
      </c>
      <c r="V664">
        <f t="shared" si="380"/>
        <v>4</v>
      </c>
      <c r="W664">
        <f t="shared" si="381"/>
        <v>26</v>
      </c>
      <c r="X664">
        <f t="shared" si="382"/>
        <v>21</v>
      </c>
      <c r="Y664">
        <f t="shared" si="383"/>
        <v>1</v>
      </c>
      <c r="Z664">
        <f t="shared" si="384"/>
        <v>3</v>
      </c>
      <c r="AA664">
        <f t="shared" si="385"/>
        <v>3</v>
      </c>
      <c r="AB664">
        <f t="shared" si="386"/>
        <v>1</v>
      </c>
      <c r="AC664">
        <f t="shared" si="387"/>
        <v>34</v>
      </c>
      <c r="AD664">
        <f t="shared" si="388"/>
        <v>0</v>
      </c>
      <c r="AF664">
        <f t="shared" si="389"/>
        <v>0</v>
      </c>
      <c r="AG664">
        <f t="shared" si="390"/>
        <v>0</v>
      </c>
      <c r="AH664">
        <f t="shared" si="391"/>
        <v>0</v>
      </c>
      <c r="AI664">
        <f t="shared" si="392"/>
        <v>0</v>
      </c>
      <c r="AJ664">
        <f t="shared" si="393"/>
        <v>0</v>
      </c>
      <c r="AK664">
        <f t="shared" si="394"/>
        <v>0</v>
      </c>
      <c r="AL664">
        <f t="shared" si="395"/>
        <v>0</v>
      </c>
      <c r="AM664">
        <f t="shared" si="396"/>
        <v>0</v>
      </c>
      <c r="AN664">
        <f t="shared" si="397"/>
        <v>0</v>
      </c>
      <c r="AO664">
        <f t="shared" si="398"/>
        <v>0</v>
      </c>
      <c r="AP664">
        <f t="shared" si="399"/>
        <v>0</v>
      </c>
      <c r="AQ664">
        <f t="shared" si="400"/>
        <v>0</v>
      </c>
    </row>
    <row r="665" spans="1:43" ht="15.5" x14ac:dyDescent="0.35">
      <c r="A665" s="51">
        <v>17</v>
      </c>
      <c r="B665" s="13" t="s">
        <v>447</v>
      </c>
      <c r="C665" s="17" t="s">
        <v>72</v>
      </c>
      <c r="D665" s="17" t="s">
        <v>60</v>
      </c>
      <c r="E665" s="19">
        <v>3331.4651344881891</v>
      </c>
      <c r="F665">
        <f t="shared" si="365"/>
        <v>0</v>
      </c>
      <c r="G665">
        <f t="shared" si="366"/>
        <v>0</v>
      </c>
      <c r="H665">
        <f t="shared" si="367"/>
        <v>0</v>
      </c>
      <c r="I665">
        <f t="shared" si="368"/>
        <v>0</v>
      </c>
      <c r="J665">
        <f t="shared" si="369"/>
        <v>3331.4651344881891</v>
      </c>
      <c r="K665">
        <f t="shared" si="370"/>
        <v>0</v>
      </c>
      <c r="L665">
        <f t="shared" si="371"/>
        <v>0</v>
      </c>
      <c r="M665">
        <f t="shared" si="372"/>
        <v>0</v>
      </c>
      <c r="N665">
        <f t="shared" si="373"/>
        <v>0</v>
      </c>
      <c r="O665">
        <f t="shared" si="374"/>
        <v>0</v>
      </c>
      <c r="P665">
        <f t="shared" si="375"/>
        <v>0</v>
      </c>
      <c r="Q665">
        <f t="shared" si="376"/>
        <v>0</v>
      </c>
      <c r="S665">
        <f t="shared" si="377"/>
        <v>19</v>
      </c>
      <c r="T665">
        <f t="shared" si="378"/>
        <v>17</v>
      </c>
      <c r="U665">
        <f t="shared" si="379"/>
        <v>2</v>
      </c>
      <c r="V665">
        <f t="shared" si="380"/>
        <v>4</v>
      </c>
      <c r="W665">
        <f t="shared" si="381"/>
        <v>26</v>
      </c>
      <c r="X665">
        <f t="shared" si="382"/>
        <v>21</v>
      </c>
      <c r="Y665">
        <f t="shared" si="383"/>
        <v>1</v>
      </c>
      <c r="Z665">
        <f t="shared" si="384"/>
        <v>3</v>
      </c>
      <c r="AA665">
        <f t="shared" si="385"/>
        <v>3</v>
      </c>
      <c r="AB665">
        <f t="shared" si="386"/>
        <v>1</v>
      </c>
      <c r="AC665">
        <f t="shared" si="387"/>
        <v>33</v>
      </c>
      <c r="AD665">
        <f t="shared" si="388"/>
        <v>0</v>
      </c>
      <c r="AF665">
        <f t="shared" si="389"/>
        <v>0</v>
      </c>
      <c r="AG665">
        <f t="shared" si="390"/>
        <v>0</v>
      </c>
      <c r="AH665">
        <f t="shared" si="391"/>
        <v>0</v>
      </c>
      <c r="AI665">
        <f t="shared" si="392"/>
        <v>0</v>
      </c>
      <c r="AJ665">
        <f t="shared" si="393"/>
        <v>0</v>
      </c>
      <c r="AK665">
        <f t="shared" si="394"/>
        <v>0</v>
      </c>
      <c r="AL665">
        <f t="shared" si="395"/>
        <v>0</v>
      </c>
      <c r="AM665">
        <f t="shared" si="396"/>
        <v>0</v>
      </c>
      <c r="AN665">
        <f t="shared" si="397"/>
        <v>0</v>
      </c>
      <c r="AO665">
        <f t="shared" si="398"/>
        <v>0</v>
      </c>
      <c r="AP665">
        <f t="shared" si="399"/>
        <v>0</v>
      </c>
      <c r="AQ665">
        <f t="shared" si="400"/>
        <v>0</v>
      </c>
    </row>
    <row r="666" spans="1:43" ht="15.5" x14ac:dyDescent="0.35">
      <c r="A666" s="51">
        <v>18</v>
      </c>
      <c r="B666" s="13" t="s">
        <v>447</v>
      </c>
      <c r="C666" s="1" t="s">
        <v>79</v>
      </c>
      <c r="D666" s="1" t="s">
        <v>228</v>
      </c>
      <c r="E666" s="19">
        <v>3350.2174616860648</v>
      </c>
      <c r="F666">
        <f t="shared" si="365"/>
        <v>0</v>
      </c>
      <c r="G666">
        <f t="shared" si="366"/>
        <v>0</v>
      </c>
      <c r="H666">
        <f t="shared" si="367"/>
        <v>0</v>
      </c>
      <c r="I666">
        <f t="shared" si="368"/>
        <v>0</v>
      </c>
      <c r="J666">
        <f t="shared" si="369"/>
        <v>0</v>
      </c>
      <c r="K666">
        <f t="shared" si="370"/>
        <v>0</v>
      </c>
      <c r="L666">
        <f t="shared" si="371"/>
        <v>0</v>
      </c>
      <c r="M666">
        <f t="shared" si="372"/>
        <v>0</v>
      </c>
      <c r="N666">
        <f t="shared" si="373"/>
        <v>0</v>
      </c>
      <c r="O666">
        <f t="shared" si="374"/>
        <v>0</v>
      </c>
      <c r="P666">
        <f t="shared" si="375"/>
        <v>3350.2174616860648</v>
      </c>
      <c r="Q666">
        <f t="shared" si="376"/>
        <v>0</v>
      </c>
      <c r="S666">
        <f t="shared" si="377"/>
        <v>19</v>
      </c>
      <c r="T666">
        <f t="shared" si="378"/>
        <v>17</v>
      </c>
      <c r="U666">
        <f t="shared" si="379"/>
        <v>2</v>
      </c>
      <c r="V666">
        <f t="shared" si="380"/>
        <v>4</v>
      </c>
      <c r="W666">
        <f t="shared" si="381"/>
        <v>25</v>
      </c>
      <c r="X666">
        <f t="shared" si="382"/>
        <v>21</v>
      </c>
      <c r="Y666">
        <f t="shared" si="383"/>
        <v>1</v>
      </c>
      <c r="Z666">
        <f t="shared" si="384"/>
        <v>3</v>
      </c>
      <c r="AA666">
        <f t="shared" si="385"/>
        <v>3</v>
      </c>
      <c r="AB666">
        <f t="shared" si="386"/>
        <v>1</v>
      </c>
      <c r="AC666">
        <f t="shared" si="387"/>
        <v>33</v>
      </c>
      <c r="AD666">
        <f t="shared" si="388"/>
        <v>0</v>
      </c>
      <c r="AF666">
        <f t="shared" si="389"/>
        <v>0</v>
      </c>
      <c r="AG666">
        <f t="shared" si="390"/>
        <v>0</v>
      </c>
      <c r="AH666">
        <f t="shared" si="391"/>
        <v>0</v>
      </c>
      <c r="AI666">
        <f t="shared" si="392"/>
        <v>0</v>
      </c>
      <c r="AJ666">
        <f t="shared" si="393"/>
        <v>0</v>
      </c>
      <c r="AK666">
        <f t="shared" si="394"/>
        <v>0</v>
      </c>
      <c r="AL666">
        <f t="shared" si="395"/>
        <v>0</v>
      </c>
      <c r="AM666">
        <f t="shared" si="396"/>
        <v>0</v>
      </c>
      <c r="AN666">
        <f t="shared" si="397"/>
        <v>0</v>
      </c>
      <c r="AO666">
        <f t="shared" si="398"/>
        <v>0</v>
      </c>
      <c r="AP666">
        <f t="shared" si="399"/>
        <v>0</v>
      </c>
      <c r="AQ666">
        <f t="shared" si="400"/>
        <v>0</v>
      </c>
    </row>
    <row r="667" spans="1:43" ht="15.5" x14ac:dyDescent="0.35">
      <c r="A667" s="51">
        <v>19</v>
      </c>
      <c r="B667" s="13" t="s">
        <v>448</v>
      </c>
      <c r="C667" s="17" t="s">
        <v>75</v>
      </c>
      <c r="D667" s="17" t="s">
        <v>54</v>
      </c>
      <c r="E667" s="19">
        <v>3334.4174207684978</v>
      </c>
      <c r="F667">
        <f t="shared" si="365"/>
        <v>0</v>
      </c>
      <c r="G667">
        <f t="shared" si="366"/>
        <v>0</v>
      </c>
      <c r="H667">
        <f t="shared" si="367"/>
        <v>0</v>
      </c>
      <c r="I667">
        <f t="shared" si="368"/>
        <v>0</v>
      </c>
      <c r="J667">
        <f t="shared" si="369"/>
        <v>0</v>
      </c>
      <c r="K667">
        <f t="shared" si="370"/>
        <v>3334.4174207684978</v>
      </c>
      <c r="L667">
        <f t="shared" si="371"/>
        <v>0</v>
      </c>
      <c r="M667">
        <f t="shared" si="372"/>
        <v>0</v>
      </c>
      <c r="N667">
        <f t="shared" si="373"/>
        <v>0</v>
      </c>
      <c r="O667">
        <f t="shared" si="374"/>
        <v>0</v>
      </c>
      <c r="P667">
        <f t="shared" si="375"/>
        <v>0</v>
      </c>
      <c r="Q667">
        <f t="shared" si="376"/>
        <v>0</v>
      </c>
      <c r="S667">
        <f t="shared" si="377"/>
        <v>19</v>
      </c>
      <c r="T667">
        <f t="shared" si="378"/>
        <v>17</v>
      </c>
      <c r="U667">
        <f t="shared" si="379"/>
        <v>2</v>
      </c>
      <c r="V667">
        <f t="shared" si="380"/>
        <v>4</v>
      </c>
      <c r="W667">
        <f t="shared" si="381"/>
        <v>25</v>
      </c>
      <c r="X667">
        <f t="shared" si="382"/>
        <v>21</v>
      </c>
      <c r="Y667">
        <f t="shared" si="383"/>
        <v>1</v>
      </c>
      <c r="Z667">
        <f t="shared" si="384"/>
        <v>3</v>
      </c>
      <c r="AA667">
        <f t="shared" si="385"/>
        <v>3</v>
      </c>
      <c r="AB667">
        <f t="shared" si="386"/>
        <v>1</v>
      </c>
      <c r="AC667">
        <f t="shared" si="387"/>
        <v>32</v>
      </c>
      <c r="AD667">
        <f t="shared" si="388"/>
        <v>0</v>
      </c>
      <c r="AF667">
        <f t="shared" si="389"/>
        <v>0</v>
      </c>
      <c r="AG667">
        <f t="shared" si="390"/>
        <v>0</v>
      </c>
      <c r="AH667">
        <f t="shared" si="391"/>
        <v>0</v>
      </c>
      <c r="AI667">
        <f t="shared" si="392"/>
        <v>0</v>
      </c>
      <c r="AJ667">
        <f t="shared" si="393"/>
        <v>0</v>
      </c>
      <c r="AK667">
        <f t="shared" si="394"/>
        <v>0</v>
      </c>
      <c r="AL667">
        <f t="shared" si="395"/>
        <v>0</v>
      </c>
      <c r="AM667">
        <f t="shared" si="396"/>
        <v>0</v>
      </c>
      <c r="AN667">
        <f t="shared" si="397"/>
        <v>0</v>
      </c>
      <c r="AO667">
        <f t="shared" si="398"/>
        <v>0</v>
      </c>
      <c r="AP667">
        <f t="shared" si="399"/>
        <v>0</v>
      </c>
      <c r="AQ667">
        <f t="shared" si="400"/>
        <v>0</v>
      </c>
    </row>
    <row r="668" spans="1:43" ht="15.5" x14ac:dyDescent="0.35">
      <c r="A668" s="51">
        <v>20</v>
      </c>
      <c r="B668" s="13" t="s">
        <v>448</v>
      </c>
      <c r="C668" s="1" t="s">
        <v>78</v>
      </c>
      <c r="D668" s="1" t="s">
        <v>227</v>
      </c>
      <c r="E668" s="19">
        <v>3238.5031148949579</v>
      </c>
      <c r="F668">
        <f t="shared" si="365"/>
        <v>0</v>
      </c>
      <c r="G668">
        <f t="shared" si="366"/>
        <v>3238.5031148949579</v>
      </c>
      <c r="H668">
        <f t="shared" si="367"/>
        <v>0</v>
      </c>
      <c r="I668">
        <f t="shared" si="368"/>
        <v>0</v>
      </c>
      <c r="J668">
        <f t="shared" si="369"/>
        <v>0</v>
      </c>
      <c r="K668">
        <f t="shared" si="370"/>
        <v>0</v>
      </c>
      <c r="L668">
        <f t="shared" si="371"/>
        <v>0</v>
      </c>
      <c r="M668">
        <f t="shared" si="372"/>
        <v>0</v>
      </c>
      <c r="N668">
        <f t="shared" si="373"/>
        <v>0</v>
      </c>
      <c r="O668">
        <f t="shared" si="374"/>
        <v>0</v>
      </c>
      <c r="P668">
        <f t="shared" si="375"/>
        <v>0</v>
      </c>
      <c r="Q668">
        <f t="shared" si="376"/>
        <v>0</v>
      </c>
      <c r="S668">
        <f t="shared" si="377"/>
        <v>19</v>
      </c>
      <c r="T668">
        <f t="shared" si="378"/>
        <v>17</v>
      </c>
      <c r="U668">
        <f t="shared" si="379"/>
        <v>2</v>
      </c>
      <c r="V668">
        <f t="shared" si="380"/>
        <v>4</v>
      </c>
      <c r="W668">
        <f t="shared" si="381"/>
        <v>25</v>
      </c>
      <c r="X668">
        <f t="shared" si="382"/>
        <v>20</v>
      </c>
      <c r="Y668">
        <f t="shared" si="383"/>
        <v>1</v>
      </c>
      <c r="Z668">
        <f t="shared" si="384"/>
        <v>3</v>
      </c>
      <c r="AA668">
        <f t="shared" si="385"/>
        <v>3</v>
      </c>
      <c r="AB668">
        <f t="shared" si="386"/>
        <v>1</v>
      </c>
      <c r="AC668">
        <f t="shared" si="387"/>
        <v>32</v>
      </c>
      <c r="AD668">
        <f t="shared" si="388"/>
        <v>0</v>
      </c>
      <c r="AF668">
        <f t="shared" si="389"/>
        <v>0</v>
      </c>
      <c r="AG668">
        <f t="shared" si="390"/>
        <v>0</v>
      </c>
      <c r="AH668">
        <f t="shared" si="391"/>
        <v>0</v>
      </c>
      <c r="AI668">
        <f t="shared" si="392"/>
        <v>0</v>
      </c>
      <c r="AJ668">
        <f t="shared" si="393"/>
        <v>0</v>
      </c>
      <c r="AK668">
        <f t="shared" si="394"/>
        <v>0</v>
      </c>
      <c r="AL668">
        <f t="shared" si="395"/>
        <v>0</v>
      </c>
      <c r="AM668">
        <f t="shared" si="396"/>
        <v>0</v>
      </c>
      <c r="AN668">
        <f t="shared" si="397"/>
        <v>0</v>
      </c>
      <c r="AO668">
        <f t="shared" si="398"/>
        <v>0</v>
      </c>
      <c r="AP668">
        <f t="shared" si="399"/>
        <v>0</v>
      </c>
      <c r="AQ668">
        <f t="shared" si="400"/>
        <v>0</v>
      </c>
    </row>
    <row r="669" spans="1:43" ht="15.5" x14ac:dyDescent="0.35">
      <c r="A669" s="51">
        <v>21</v>
      </c>
      <c r="B669" s="13" t="s">
        <v>449</v>
      </c>
      <c r="C669" s="17" t="s">
        <v>77</v>
      </c>
      <c r="D669" s="17" t="s">
        <v>67</v>
      </c>
      <c r="E669" s="19">
        <v>2890.6277481203006</v>
      </c>
      <c r="F669">
        <f t="shared" si="365"/>
        <v>0</v>
      </c>
      <c r="G669">
        <f t="shared" si="366"/>
        <v>0</v>
      </c>
      <c r="H669">
        <f t="shared" si="367"/>
        <v>0</v>
      </c>
      <c r="I669">
        <f t="shared" si="368"/>
        <v>2890.6277481203006</v>
      </c>
      <c r="J669">
        <f t="shared" si="369"/>
        <v>0</v>
      </c>
      <c r="K669">
        <f t="shared" si="370"/>
        <v>0</v>
      </c>
      <c r="L669">
        <f t="shared" si="371"/>
        <v>0</v>
      </c>
      <c r="M669">
        <f t="shared" si="372"/>
        <v>0</v>
      </c>
      <c r="N669">
        <f t="shared" si="373"/>
        <v>0</v>
      </c>
      <c r="O669">
        <f t="shared" si="374"/>
        <v>0</v>
      </c>
      <c r="P669">
        <f t="shared" si="375"/>
        <v>0</v>
      </c>
      <c r="Q669">
        <f t="shared" si="376"/>
        <v>0</v>
      </c>
      <c r="S669">
        <f t="shared" si="377"/>
        <v>19</v>
      </c>
      <c r="T669">
        <f t="shared" si="378"/>
        <v>16</v>
      </c>
      <c r="U669">
        <f t="shared" si="379"/>
        <v>2</v>
      </c>
      <c r="V669">
        <f t="shared" si="380"/>
        <v>4</v>
      </c>
      <c r="W669">
        <f t="shared" si="381"/>
        <v>25</v>
      </c>
      <c r="X669">
        <f t="shared" si="382"/>
        <v>20</v>
      </c>
      <c r="Y669">
        <f t="shared" si="383"/>
        <v>1</v>
      </c>
      <c r="Z669">
        <f t="shared" si="384"/>
        <v>3</v>
      </c>
      <c r="AA669">
        <f t="shared" si="385"/>
        <v>3</v>
      </c>
      <c r="AB669">
        <f t="shared" si="386"/>
        <v>1</v>
      </c>
      <c r="AC669">
        <f t="shared" si="387"/>
        <v>32</v>
      </c>
      <c r="AD669">
        <f t="shared" si="388"/>
        <v>0</v>
      </c>
      <c r="AF669">
        <f t="shared" si="389"/>
        <v>0</v>
      </c>
      <c r="AG669">
        <f t="shared" si="390"/>
        <v>0</v>
      </c>
      <c r="AH669">
        <f t="shared" si="391"/>
        <v>0</v>
      </c>
      <c r="AI669">
        <f t="shared" si="392"/>
        <v>2890.6277481203006</v>
      </c>
      <c r="AJ669">
        <f t="shared" si="393"/>
        <v>0</v>
      </c>
      <c r="AK669">
        <f t="shared" si="394"/>
        <v>0</v>
      </c>
      <c r="AL669">
        <f t="shared" si="395"/>
        <v>0</v>
      </c>
      <c r="AM669">
        <f t="shared" si="396"/>
        <v>0</v>
      </c>
      <c r="AN669">
        <f t="shared" si="397"/>
        <v>0</v>
      </c>
      <c r="AO669">
        <f t="shared" si="398"/>
        <v>0</v>
      </c>
      <c r="AP669">
        <f t="shared" si="399"/>
        <v>0</v>
      </c>
      <c r="AQ669">
        <f t="shared" si="400"/>
        <v>0</v>
      </c>
    </row>
    <row r="670" spans="1:43" ht="15.5" x14ac:dyDescent="0.35">
      <c r="A670" s="51">
        <v>22</v>
      </c>
      <c r="B670" s="13" t="s">
        <v>449</v>
      </c>
      <c r="C670" s="1" t="s">
        <v>82</v>
      </c>
      <c r="D670" s="1" t="s">
        <v>60</v>
      </c>
      <c r="E670" s="19">
        <v>3531.3298591696225</v>
      </c>
      <c r="F670">
        <f t="shared" si="365"/>
        <v>0</v>
      </c>
      <c r="G670">
        <f t="shared" si="366"/>
        <v>0</v>
      </c>
      <c r="H670">
        <f t="shared" si="367"/>
        <v>0</v>
      </c>
      <c r="I670">
        <f t="shared" si="368"/>
        <v>0</v>
      </c>
      <c r="J670">
        <f t="shared" si="369"/>
        <v>3531.3298591696225</v>
      </c>
      <c r="K670">
        <f t="shared" si="370"/>
        <v>0</v>
      </c>
      <c r="L670">
        <f t="shared" si="371"/>
        <v>0</v>
      </c>
      <c r="M670">
        <f t="shared" si="372"/>
        <v>0</v>
      </c>
      <c r="N670">
        <f t="shared" si="373"/>
        <v>0</v>
      </c>
      <c r="O670">
        <f t="shared" si="374"/>
        <v>0</v>
      </c>
      <c r="P670">
        <f t="shared" si="375"/>
        <v>0</v>
      </c>
      <c r="Q670">
        <f t="shared" si="376"/>
        <v>0</v>
      </c>
      <c r="S670">
        <f t="shared" si="377"/>
        <v>19</v>
      </c>
      <c r="T670">
        <f t="shared" si="378"/>
        <v>16</v>
      </c>
      <c r="U670">
        <f t="shared" si="379"/>
        <v>2</v>
      </c>
      <c r="V670">
        <f t="shared" si="380"/>
        <v>3</v>
      </c>
      <c r="W670">
        <f t="shared" si="381"/>
        <v>25</v>
      </c>
      <c r="X670">
        <f t="shared" si="382"/>
        <v>20</v>
      </c>
      <c r="Y670">
        <f t="shared" si="383"/>
        <v>1</v>
      </c>
      <c r="Z670">
        <f t="shared" si="384"/>
        <v>3</v>
      </c>
      <c r="AA670">
        <f t="shared" si="385"/>
        <v>3</v>
      </c>
      <c r="AB670">
        <f t="shared" si="386"/>
        <v>1</v>
      </c>
      <c r="AC670">
        <f t="shared" si="387"/>
        <v>32</v>
      </c>
      <c r="AD670">
        <f t="shared" si="388"/>
        <v>0</v>
      </c>
      <c r="AF670">
        <f t="shared" si="389"/>
        <v>0</v>
      </c>
      <c r="AG670">
        <f t="shared" si="390"/>
        <v>0</v>
      </c>
      <c r="AH670">
        <f t="shared" si="391"/>
        <v>0</v>
      </c>
      <c r="AI670">
        <f t="shared" si="392"/>
        <v>0</v>
      </c>
      <c r="AJ670">
        <f t="shared" si="393"/>
        <v>0</v>
      </c>
      <c r="AK670">
        <f t="shared" si="394"/>
        <v>0</v>
      </c>
      <c r="AL670">
        <f t="shared" si="395"/>
        <v>0</v>
      </c>
      <c r="AM670">
        <f t="shared" si="396"/>
        <v>0</v>
      </c>
      <c r="AN670">
        <f t="shared" si="397"/>
        <v>0</v>
      </c>
      <c r="AO670">
        <f t="shared" si="398"/>
        <v>0</v>
      </c>
      <c r="AP670">
        <f t="shared" si="399"/>
        <v>0</v>
      </c>
      <c r="AQ670">
        <f t="shared" si="400"/>
        <v>0</v>
      </c>
    </row>
    <row r="671" spans="1:43" ht="15.5" x14ac:dyDescent="0.35">
      <c r="A671" s="51">
        <v>23</v>
      </c>
      <c r="B671" s="13" t="s">
        <v>449</v>
      </c>
      <c r="C671" s="17" t="s">
        <v>83</v>
      </c>
      <c r="D671" s="17" t="s">
        <v>80</v>
      </c>
      <c r="E671" s="19">
        <v>2818.0488356069363</v>
      </c>
      <c r="F671">
        <f t="shared" si="365"/>
        <v>0</v>
      </c>
      <c r="G671">
        <f t="shared" si="366"/>
        <v>0</v>
      </c>
      <c r="H671">
        <f t="shared" si="367"/>
        <v>2818.0488356069363</v>
      </c>
      <c r="I671">
        <f t="shared" si="368"/>
        <v>0</v>
      </c>
      <c r="J671">
        <f t="shared" si="369"/>
        <v>0</v>
      </c>
      <c r="K671">
        <f t="shared" si="370"/>
        <v>0</v>
      </c>
      <c r="L671">
        <f t="shared" si="371"/>
        <v>0</v>
      </c>
      <c r="M671">
        <f t="shared" si="372"/>
        <v>0</v>
      </c>
      <c r="N671">
        <f t="shared" si="373"/>
        <v>0</v>
      </c>
      <c r="O671">
        <f t="shared" si="374"/>
        <v>0</v>
      </c>
      <c r="P671">
        <f t="shared" si="375"/>
        <v>0</v>
      </c>
      <c r="Q671">
        <f t="shared" si="376"/>
        <v>0</v>
      </c>
      <c r="S671">
        <f t="shared" si="377"/>
        <v>19</v>
      </c>
      <c r="T671">
        <f t="shared" si="378"/>
        <v>16</v>
      </c>
      <c r="U671">
        <f t="shared" si="379"/>
        <v>2</v>
      </c>
      <c r="V671">
        <f t="shared" si="380"/>
        <v>3</v>
      </c>
      <c r="W671">
        <f t="shared" si="381"/>
        <v>24</v>
      </c>
      <c r="X671">
        <f t="shared" si="382"/>
        <v>20</v>
      </c>
      <c r="Y671">
        <f t="shared" si="383"/>
        <v>1</v>
      </c>
      <c r="Z671">
        <f t="shared" si="384"/>
        <v>3</v>
      </c>
      <c r="AA671">
        <f t="shared" si="385"/>
        <v>3</v>
      </c>
      <c r="AB671">
        <f t="shared" si="386"/>
        <v>1</v>
      </c>
      <c r="AC671">
        <f t="shared" si="387"/>
        <v>32</v>
      </c>
      <c r="AD671">
        <f t="shared" si="388"/>
        <v>0</v>
      </c>
      <c r="AF671">
        <f t="shared" si="389"/>
        <v>0</v>
      </c>
      <c r="AG671">
        <f t="shared" si="390"/>
        <v>0</v>
      </c>
      <c r="AH671">
        <f t="shared" si="391"/>
        <v>2818.0488356069363</v>
      </c>
      <c r="AI671">
        <f t="shared" si="392"/>
        <v>0</v>
      </c>
      <c r="AJ671">
        <f t="shared" si="393"/>
        <v>0</v>
      </c>
      <c r="AK671">
        <f t="shared" si="394"/>
        <v>0</v>
      </c>
      <c r="AL671">
        <f t="shared" si="395"/>
        <v>0</v>
      </c>
      <c r="AM671">
        <f t="shared" si="396"/>
        <v>0</v>
      </c>
      <c r="AN671">
        <f t="shared" si="397"/>
        <v>0</v>
      </c>
      <c r="AO671">
        <f t="shared" si="398"/>
        <v>0</v>
      </c>
      <c r="AP671">
        <f t="shared" si="399"/>
        <v>0</v>
      </c>
      <c r="AQ671">
        <f t="shared" si="400"/>
        <v>0</v>
      </c>
    </row>
    <row r="672" spans="1:43" ht="15.5" x14ac:dyDescent="0.35">
      <c r="A672" s="51">
        <v>24</v>
      </c>
      <c r="B672" s="13" t="s">
        <v>449</v>
      </c>
      <c r="C672" s="1" t="s">
        <v>84</v>
      </c>
      <c r="D672" s="1" t="s">
        <v>228</v>
      </c>
      <c r="E672" s="19">
        <v>3447.729331097561</v>
      </c>
      <c r="F672">
        <f t="shared" si="365"/>
        <v>0</v>
      </c>
      <c r="G672">
        <f t="shared" si="366"/>
        <v>0</v>
      </c>
      <c r="H672">
        <f t="shared" si="367"/>
        <v>0</v>
      </c>
      <c r="I672">
        <f t="shared" si="368"/>
        <v>0</v>
      </c>
      <c r="J672">
        <f t="shared" si="369"/>
        <v>0</v>
      </c>
      <c r="K672">
        <f t="shared" si="370"/>
        <v>0</v>
      </c>
      <c r="L672">
        <f t="shared" si="371"/>
        <v>0</v>
      </c>
      <c r="M672">
        <f t="shared" si="372"/>
        <v>0</v>
      </c>
      <c r="N672">
        <f t="shared" si="373"/>
        <v>0</v>
      </c>
      <c r="O672">
        <f t="shared" si="374"/>
        <v>0</v>
      </c>
      <c r="P672">
        <f t="shared" si="375"/>
        <v>3447.729331097561</v>
      </c>
      <c r="Q672">
        <f t="shared" si="376"/>
        <v>0</v>
      </c>
      <c r="S672">
        <f t="shared" si="377"/>
        <v>19</v>
      </c>
      <c r="T672">
        <f t="shared" si="378"/>
        <v>16</v>
      </c>
      <c r="U672">
        <f t="shared" si="379"/>
        <v>1</v>
      </c>
      <c r="V672">
        <f t="shared" si="380"/>
        <v>3</v>
      </c>
      <c r="W672">
        <f t="shared" si="381"/>
        <v>24</v>
      </c>
      <c r="X672">
        <f t="shared" si="382"/>
        <v>20</v>
      </c>
      <c r="Y672">
        <f t="shared" si="383"/>
        <v>1</v>
      </c>
      <c r="Z672">
        <f t="shared" si="384"/>
        <v>3</v>
      </c>
      <c r="AA672">
        <f t="shared" si="385"/>
        <v>3</v>
      </c>
      <c r="AB672">
        <f t="shared" si="386"/>
        <v>1</v>
      </c>
      <c r="AC672">
        <f t="shared" si="387"/>
        <v>32</v>
      </c>
      <c r="AD672">
        <f t="shared" si="388"/>
        <v>0</v>
      </c>
      <c r="AF672">
        <f t="shared" si="389"/>
        <v>0</v>
      </c>
      <c r="AG672">
        <f t="shared" si="390"/>
        <v>0</v>
      </c>
      <c r="AH672">
        <f t="shared" si="391"/>
        <v>0</v>
      </c>
      <c r="AI672">
        <f t="shared" si="392"/>
        <v>0</v>
      </c>
      <c r="AJ672">
        <f t="shared" si="393"/>
        <v>0</v>
      </c>
      <c r="AK672">
        <f t="shared" si="394"/>
        <v>0</v>
      </c>
      <c r="AL672">
        <f t="shared" si="395"/>
        <v>0</v>
      </c>
      <c r="AM672">
        <f t="shared" si="396"/>
        <v>0</v>
      </c>
      <c r="AN672">
        <f t="shared" si="397"/>
        <v>0</v>
      </c>
      <c r="AO672">
        <f t="shared" si="398"/>
        <v>0</v>
      </c>
      <c r="AP672">
        <f t="shared" si="399"/>
        <v>0</v>
      </c>
      <c r="AQ672">
        <f t="shared" si="400"/>
        <v>0</v>
      </c>
    </row>
    <row r="673" spans="1:43" ht="15.5" x14ac:dyDescent="0.35">
      <c r="A673" s="51">
        <v>25</v>
      </c>
      <c r="B673" s="13" t="s">
        <v>450</v>
      </c>
      <c r="C673" s="1" t="s">
        <v>86</v>
      </c>
      <c r="D673" s="1" t="s">
        <v>76</v>
      </c>
      <c r="E673" s="19">
        <v>3033.7968605860115</v>
      </c>
      <c r="F673">
        <f t="shared" si="365"/>
        <v>3033.7968605860115</v>
      </c>
      <c r="G673">
        <f t="shared" si="366"/>
        <v>0</v>
      </c>
      <c r="H673">
        <f t="shared" si="367"/>
        <v>0</v>
      </c>
      <c r="I673">
        <f t="shared" si="368"/>
        <v>0</v>
      </c>
      <c r="J673">
        <f t="shared" si="369"/>
        <v>0</v>
      </c>
      <c r="K673">
        <f t="shared" si="370"/>
        <v>0</v>
      </c>
      <c r="L673">
        <f t="shared" si="371"/>
        <v>0</v>
      </c>
      <c r="M673">
        <f t="shared" si="372"/>
        <v>0</v>
      </c>
      <c r="N673">
        <f t="shared" si="373"/>
        <v>0</v>
      </c>
      <c r="O673">
        <f t="shared" si="374"/>
        <v>0</v>
      </c>
      <c r="P673">
        <f t="shared" si="375"/>
        <v>0</v>
      </c>
      <c r="Q673">
        <f t="shared" si="376"/>
        <v>0</v>
      </c>
      <c r="S673">
        <f t="shared" si="377"/>
        <v>19</v>
      </c>
      <c r="T673">
        <f t="shared" si="378"/>
        <v>16</v>
      </c>
      <c r="U673">
        <f t="shared" si="379"/>
        <v>1</v>
      </c>
      <c r="V673">
        <f t="shared" si="380"/>
        <v>3</v>
      </c>
      <c r="W673">
        <f t="shared" si="381"/>
        <v>24</v>
      </c>
      <c r="X673">
        <f t="shared" si="382"/>
        <v>20</v>
      </c>
      <c r="Y673">
        <f t="shared" si="383"/>
        <v>1</v>
      </c>
      <c r="Z673">
        <f t="shared" si="384"/>
        <v>3</v>
      </c>
      <c r="AA673">
        <f t="shared" si="385"/>
        <v>3</v>
      </c>
      <c r="AB673">
        <f t="shared" si="386"/>
        <v>1</v>
      </c>
      <c r="AC673">
        <f t="shared" si="387"/>
        <v>31</v>
      </c>
      <c r="AD673">
        <f t="shared" si="388"/>
        <v>0</v>
      </c>
      <c r="AF673">
        <f t="shared" si="389"/>
        <v>0</v>
      </c>
      <c r="AG673">
        <f t="shared" si="390"/>
        <v>0</v>
      </c>
      <c r="AH673">
        <f t="shared" si="391"/>
        <v>0</v>
      </c>
      <c r="AI673">
        <f t="shared" si="392"/>
        <v>0</v>
      </c>
      <c r="AJ673">
        <f t="shared" si="393"/>
        <v>0</v>
      </c>
      <c r="AK673">
        <f t="shared" si="394"/>
        <v>0</v>
      </c>
      <c r="AL673">
        <f t="shared" si="395"/>
        <v>0</v>
      </c>
      <c r="AM673">
        <f t="shared" si="396"/>
        <v>0</v>
      </c>
      <c r="AN673">
        <f t="shared" si="397"/>
        <v>0</v>
      </c>
      <c r="AO673">
        <f t="shared" si="398"/>
        <v>0</v>
      </c>
      <c r="AP673">
        <f t="shared" si="399"/>
        <v>0</v>
      </c>
      <c r="AQ673">
        <f t="shared" si="400"/>
        <v>0</v>
      </c>
    </row>
    <row r="674" spans="1:43" ht="15.5" x14ac:dyDescent="0.35">
      <c r="A674" s="51">
        <v>26</v>
      </c>
      <c r="B674" s="13" t="s">
        <v>450</v>
      </c>
      <c r="C674" s="17" t="s">
        <v>89</v>
      </c>
      <c r="D674" s="17" t="s">
        <v>228</v>
      </c>
      <c r="E674" s="19">
        <v>3317.1458698426027</v>
      </c>
      <c r="F674">
        <f t="shared" si="365"/>
        <v>0</v>
      </c>
      <c r="G674">
        <f t="shared" si="366"/>
        <v>0</v>
      </c>
      <c r="H674">
        <f t="shared" si="367"/>
        <v>0</v>
      </c>
      <c r="I674">
        <f t="shared" si="368"/>
        <v>0</v>
      </c>
      <c r="J674">
        <f t="shared" si="369"/>
        <v>0</v>
      </c>
      <c r="K674">
        <f t="shared" si="370"/>
        <v>0</v>
      </c>
      <c r="L674">
        <f t="shared" si="371"/>
        <v>0</v>
      </c>
      <c r="M674">
        <f t="shared" si="372"/>
        <v>0</v>
      </c>
      <c r="N674">
        <f t="shared" si="373"/>
        <v>0</v>
      </c>
      <c r="O674">
        <f t="shared" si="374"/>
        <v>0</v>
      </c>
      <c r="P674">
        <f t="shared" si="375"/>
        <v>3317.1458698426027</v>
      </c>
      <c r="Q674">
        <f t="shared" si="376"/>
        <v>0</v>
      </c>
      <c r="S674">
        <f t="shared" si="377"/>
        <v>18</v>
      </c>
      <c r="T674">
        <f t="shared" si="378"/>
        <v>16</v>
      </c>
      <c r="U674">
        <f t="shared" si="379"/>
        <v>1</v>
      </c>
      <c r="V674">
        <f t="shared" si="380"/>
        <v>3</v>
      </c>
      <c r="W674">
        <f t="shared" si="381"/>
        <v>24</v>
      </c>
      <c r="X674">
        <f t="shared" si="382"/>
        <v>20</v>
      </c>
      <c r="Y674">
        <f t="shared" si="383"/>
        <v>1</v>
      </c>
      <c r="Z674">
        <f t="shared" si="384"/>
        <v>3</v>
      </c>
      <c r="AA674">
        <f t="shared" si="385"/>
        <v>3</v>
      </c>
      <c r="AB674">
        <f t="shared" si="386"/>
        <v>1</v>
      </c>
      <c r="AC674">
        <f t="shared" si="387"/>
        <v>31</v>
      </c>
      <c r="AD674">
        <f t="shared" si="388"/>
        <v>0</v>
      </c>
      <c r="AF674">
        <f t="shared" si="389"/>
        <v>0</v>
      </c>
      <c r="AG674">
        <f t="shared" si="390"/>
        <v>0</v>
      </c>
      <c r="AH674">
        <f t="shared" si="391"/>
        <v>0</v>
      </c>
      <c r="AI674">
        <f t="shared" si="392"/>
        <v>0</v>
      </c>
      <c r="AJ674">
        <f t="shared" si="393"/>
        <v>0</v>
      </c>
      <c r="AK674">
        <f t="shared" si="394"/>
        <v>0</v>
      </c>
      <c r="AL674">
        <f t="shared" si="395"/>
        <v>0</v>
      </c>
      <c r="AM674">
        <f t="shared" si="396"/>
        <v>0</v>
      </c>
      <c r="AN674">
        <f t="shared" si="397"/>
        <v>0</v>
      </c>
      <c r="AO674">
        <f t="shared" si="398"/>
        <v>0</v>
      </c>
      <c r="AP674">
        <f t="shared" si="399"/>
        <v>0</v>
      </c>
      <c r="AQ674">
        <f t="shared" si="400"/>
        <v>0</v>
      </c>
    </row>
    <row r="675" spans="1:43" ht="15.5" x14ac:dyDescent="0.35">
      <c r="A675" s="51">
        <v>27</v>
      </c>
      <c r="B675" s="13" t="s">
        <v>450</v>
      </c>
      <c r="C675" s="1" t="s">
        <v>87</v>
      </c>
      <c r="D675" s="1" t="s">
        <v>54</v>
      </c>
      <c r="E675" s="19">
        <v>3431.2524575550174</v>
      </c>
      <c r="F675">
        <f t="shared" si="365"/>
        <v>0</v>
      </c>
      <c r="G675">
        <f t="shared" si="366"/>
        <v>0</v>
      </c>
      <c r="H675">
        <f t="shared" si="367"/>
        <v>0</v>
      </c>
      <c r="I675">
        <f t="shared" si="368"/>
        <v>0</v>
      </c>
      <c r="J675">
        <f t="shared" si="369"/>
        <v>0</v>
      </c>
      <c r="K675">
        <f t="shared" si="370"/>
        <v>3431.2524575550174</v>
      </c>
      <c r="L675">
        <f t="shared" si="371"/>
        <v>0</v>
      </c>
      <c r="M675">
        <f t="shared" si="372"/>
        <v>0</v>
      </c>
      <c r="N675">
        <f t="shared" si="373"/>
        <v>0</v>
      </c>
      <c r="O675">
        <f t="shared" si="374"/>
        <v>0</v>
      </c>
      <c r="P675">
        <f t="shared" si="375"/>
        <v>0</v>
      </c>
      <c r="Q675">
        <f t="shared" si="376"/>
        <v>0</v>
      </c>
      <c r="S675">
        <f t="shared" si="377"/>
        <v>18</v>
      </c>
      <c r="T675">
        <f t="shared" si="378"/>
        <v>16</v>
      </c>
      <c r="U675">
        <f t="shared" si="379"/>
        <v>1</v>
      </c>
      <c r="V675">
        <f t="shared" si="380"/>
        <v>3</v>
      </c>
      <c r="W675">
        <f t="shared" si="381"/>
        <v>24</v>
      </c>
      <c r="X675">
        <f t="shared" si="382"/>
        <v>20</v>
      </c>
      <c r="Y675">
        <f t="shared" si="383"/>
        <v>1</v>
      </c>
      <c r="Z675">
        <f t="shared" si="384"/>
        <v>3</v>
      </c>
      <c r="AA675">
        <f t="shared" si="385"/>
        <v>3</v>
      </c>
      <c r="AB675">
        <f t="shared" si="386"/>
        <v>1</v>
      </c>
      <c r="AC675">
        <f t="shared" si="387"/>
        <v>30</v>
      </c>
      <c r="AD675">
        <f t="shared" si="388"/>
        <v>0</v>
      </c>
      <c r="AF675">
        <f t="shared" si="389"/>
        <v>0</v>
      </c>
      <c r="AG675">
        <f t="shared" si="390"/>
        <v>0</v>
      </c>
      <c r="AH675">
        <f t="shared" si="391"/>
        <v>0</v>
      </c>
      <c r="AI675">
        <f t="shared" si="392"/>
        <v>0</v>
      </c>
      <c r="AJ675">
        <f t="shared" si="393"/>
        <v>0</v>
      </c>
      <c r="AK675">
        <f t="shared" si="394"/>
        <v>0</v>
      </c>
      <c r="AL675">
        <f t="shared" si="395"/>
        <v>0</v>
      </c>
      <c r="AM675">
        <f t="shared" si="396"/>
        <v>0</v>
      </c>
      <c r="AN675">
        <f t="shared" si="397"/>
        <v>0</v>
      </c>
      <c r="AO675">
        <f t="shared" si="398"/>
        <v>0</v>
      </c>
      <c r="AP675">
        <f t="shared" si="399"/>
        <v>0</v>
      </c>
      <c r="AQ675">
        <f t="shared" si="400"/>
        <v>0</v>
      </c>
    </row>
    <row r="676" spans="1:43" ht="15.5" x14ac:dyDescent="0.35">
      <c r="A676" s="51">
        <v>28</v>
      </c>
      <c r="B676" s="13" t="s">
        <v>450</v>
      </c>
      <c r="C676" s="1" t="s">
        <v>88</v>
      </c>
      <c r="D676" s="1" t="s">
        <v>228</v>
      </c>
      <c r="E676" s="19">
        <v>3077.9750536749266</v>
      </c>
      <c r="F676">
        <f t="shared" si="365"/>
        <v>0</v>
      </c>
      <c r="G676">
        <f t="shared" si="366"/>
        <v>0</v>
      </c>
      <c r="H676">
        <f t="shared" si="367"/>
        <v>0</v>
      </c>
      <c r="I676">
        <f t="shared" si="368"/>
        <v>0</v>
      </c>
      <c r="J676">
        <f t="shared" si="369"/>
        <v>0</v>
      </c>
      <c r="K676">
        <f t="shared" si="370"/>
        <v>0</v>
      </c>
      <c r="L676">
        <f t="shared" si="371"/>
        <v>0</v>
      </c>
      <c r="M676">
        <f t="shared" si="372"/>
        <v>0</v>
      </c>
      <c r="N676">
        <f t="shared" si="373"/>
        <v>0</v>
      </c>
      <c r="O676">
        <f t="shared" si="374"/>
        <v>0</v>
      </c>
      <c r="P676">
        <f t="shared" si="375"/>
        <v>3077.9750536749266</v>
      </c>
      <c r="Q676">
        <f t="shared" si="376"/>
        <v>0</v>
      </c>
      <c r="S676">
        <f t="shared" si="377"/>
        <v>18</v>
      </c>
      <c r="T676">
        <f t="shared" si="378"/>
        <v>16</v>
      </c>
      <c r="U676">
        <f t="shared" si="379"/>
        <v>1</v>
      </c>
      <c r="V676">
        <f t="shared" si="380"/>
        <v>3</v>
      </c>
      <c r="W676">
        <f t="shared" si="381"/>
        <v>24</v>
      </c>
      <c r="X676">
        <f t="shared" si="382"/>
        <v>19</v>
      </c>
      <c r="Y676">
        <f t="shared" si="383"/>
        <v>1</v>
      </c>
      <c r="Z676">
        <f t="shared" si="384"/>
        <v>3</v>
      </c>
      <c r="AA676">
        <f t="shared" si="385"/>
        <v>3</v>
      </c>
      <c r="AB676">
        <f t="shared" si="386"/>
        <v>1</v>
      </c>
      <c r="AC676">
        <f t="shared" si="387"/>
        <v>30</v>
      </c>
      <c r="AD676">
        <f t="shared" si="388"/>
        <v>0</v>
      </c>
      <c r="AF676">
        <f t="shared" si="389"/>
        <v>0</v>
      </c>
      <c r="AG676">
        <f t="shared" si="390"/>
        <v>0</v>
      </c>
      <c r="AH676">
        <f t="shared" si="391"/>
        <v>0</v>
      </c>
      <c r="AI676">
        <f t="shared" si="392"/>
        <v>0</v>
      </c>
      <c r="AJ676">
        <f t="shared" si="393"/>
        <v>0</v>
      </c>
      <c r="AK676">
        <f t="shared" si="394"/>
        <v>0</v>
      </c>
      <c r="AL676">
        <f t="shared" si="395"/>
        <v>0</v>
      </c>
      <c r="AM676">
        <f t="shared" si="396"/>
        <v>0</v>
      </c>
      <c r="AN676">
        <f t="shared" si="397"/>
        <v>0</v>
      </c>
      <c r="AO676">
        <f t="shared" si="398"/>
        <v>0</v>
      </c>
      <c r="AP676">
        <f t="shared" si="399"/>
        <v>0</v>
      </c>
      <c r="AQ676">
        <f t="shared" si="400"/>
        <v>0</v>
      </c>
    </row>
    <row r="677" spans="1:43" ht="15.5" x14ac:dyDescent="0.35">
      <c r="A677" s="51">
        <v>29</v>
      </c>
      <c r="B677" s="13" t="s">
        <v>451</v>
      </c>
      <c r="C677" s="1" t="s">
        <v>91</v>
      </c>
      <c r="D677" s="1" t="s">
        <v>228</v>
      </c>
      <c r="E677" s="19">
        <v>3078.2585738913695</v>
      </c>
      <c r="F677">
        <f t="shared" si="365"/>
        <v>0</v>
      </c>
      <c r="G677">
        <f t="shared" si="366"/>
        <v>0</v>
      </c>
      <c r="H677">
        <f t="shared" si="367"/>
        <v>0</v>
      </c>
      <c r="I677">
        <f t="shared" si="368"/>
        <v>0</v>
      </c>
      <c r="J677">
        <f t="shared" si="369"/>
        <v>0</v>
      </c>
      <c r="K677">
        <f t="shared" si="370"/>
        <v>0</v>
      </c>
      <c r="L677">
        <f t="shared" si="371"/>
        <v>0</v>
      </c>
      <c r="M677">
        <f t="shared" si="372"/>
        <v>0</v>
      </c>
      <c r="N677">
        <f t="shared" si="373"/>
        <v>0</v>
      </c>
      <c r="O677">
        <f t="shared" si="374"/>
        <v>0</v>
      </c>
      <c r="P677">
        <f t="shared" si="375"/>
        <v>3078.2585738913695</v>
      </c>
      <c r="Q677">
        <f t="shared" si="376"/>
        <v>0</v>
      </c>
      <c r="S677">
        <f t="shared" si="377"/>
        <v>18</v>
      </c>
      <c r="T677">
        <f t="shared" si="378"/>
        <v>16</v>
      </c>
      <c r="U677">
        <f t="shared" si="379"/>
        <v>1</v>
      </c>
      <c r="V677">
        <f t="shared" si="380"/>
        <v>3</v>
      </c>
      <c r="W677">
        <f t="shared" si="381"/>
        <v>24</v>
      </c>
      <c r="X677">
        <f t="shared" si="382"/>
        <v>19</v>
      </c>
      <c r="Y677">
        <f t="shared" si="383"/>
        <v>1</v>
      </c>
      <c r="Z677">
        <f t="shared" si="384"/>
        <v>3</v>
      </c>
      <c r="AA677">
        <f t="shared" si="385"/>
        <v>3</v>
      </c>
      <c r="AB677">
        <f t="shared" si="386"/>
        <v>1</v>
      </c>
      <c r="AC677">
        <f t="shared" si="387"/>
        <v>29</v>
      </c>
      <c r="AD677">
        <f t="shared" si="388"/>
        <v>0</v>
      </c>
      <c r="AF677">
        <f t="shared" si="389"/>
        <v>0</v>
      </c>
      <c r="AG677">
        <f t="shared" si="390"/>
        <v>0</v>
      </c>
      <c r="AH677">
        <f t="shared" si="391"/>
        <v>0</v>
      </c>
      <c r="AI677">
        <f t="shared" si="392"/>
        <v>0</v>
      </c>
      <c r="AJ677">
        <f t="shared" si="393"/>
        <v>0</v>
      </c>
      <c r="AK677">
        <f t="shared" si="394"/>
        <v>0</v>
      </c>
      <c r="AL677">
        <f t="shared" si="395"/>
        <v>0</v>
      </c>
      <c r="AM677">
        <f t="shared" si="396"/>
        <v>0</v>
      </c>
      <c r="AN677">
        <f t="shared" si="397"/>
        <v>0</v>
      </c>
      <c r="AO677">
        <f t="shared" si="398"/>
        <v>0</v>
      </c>
      <c r="AP677">
        <f t="shared" si="399"/>
        <v>0</v>
      </c>
      <c r="AQ677">
        <f t="shared" si="400"/>
        <v>0</v>
      </c>
    </row>
    <row r="678" spans="1:43" ht="15.5" x14ac:dyDescent="0.35">
      <c r="A678" s="51">
        <v>30</v>
      </c>
      <c r="B678" s="13" t="s">
        <v>452</v>
      </c>
      <c r="C678" s="17" t="s">
        <v>92</v>
      </c>
      <c r="D678" s="1" t="s">
        <v>227</v>
      </c>
      <c r="E678" s="19">
        <v>3360.5235304150387</v>
      </c>
      <c r="F678">
        <f t="shared" si="365"/>
        <v>0</v>
      </c>
      <c r="G678">
        <f t="shared" si="366"/>
        <v>3360.5235304150387</v>
      </c>
      <c r="H678">
        <f t="shared" si="367"/>
        <v>0</v>
      </c>
      <c r="I678">
        <f t="shared" si="368"/>
        <v>0</v>
      </c>
      <c r="J678">
        <f t="shared" si="369"/>
        <v>0</v>
      </c>
      <c r="K678">
        <f t="shared" si="370"/>
        <v>0</v>
      </c>
      <c r="L678">
        <f t="shared" si="371"/>
        <v>0</v>
      </c>
      <c r="M678">
        <f t="shared" si="372"/>
        <v>0</v>
      </c>
      <c r="N678">
        <f t="shared" si="373"/>
        <v>0</v>
      </c>
      <c r="O678">
        <f t="shared" si="374"/>
        <v>0</v>
      </c>
      <c r="P678">
        <f t="shared" si="375"/>
        <v>0</v>
      </c>
      <c r="Q678">
        <f t="shared" si="376"/>
        <v>0</v>
      </c>
      <c r="S678">
        <f t="shared" si="377"/>
        <v>18</v>
      </c>
      <c r="T678">
        <f t="shared" si="378"/>
        <v>16</v>
      </c>
      <c r="U678">
        <f t="shared" si="379"/>
        <v>1</v>
      </c>
      <c r="V678">
        <f t="shared" si="380"/>
        <v>3</v>
      </c>
      <c r="W678">
        <f t="shared" si="381"/>
        <v>24</v>
      </c>
      <c r="X678">
        <f t="shared" si="382"/>
        <v>19</v>
      </c>
      <c r="Y678">
        <f t="shared" si="383"/>
        <v>1</v>
      </c>
      <c r="Z678">
        <f t="shared" si="384"/>
        <v>3</v>
      </c>
      <c r="AA678">
        <f t="shared" si="385"/>
        <v>3</v>
      </c>
      <c r="AB678">
        <f t="shared" si="386"/>
        <v>1</v>
      </c>
      <c r="AC678">
        <f t="shared" si="387"/>
        <v>28</v>
      </c>
      <c r="AD678">
        <f t="shared" si="388"/>
        <v>0</v>
      </c>
      <c r="AF678">
        <f t="shared" si="389"/>
        <v>0</v>
      </c>
      <c r="AG678">
        <f t="shared" si="390"/>
        <v>0</v>
      </c>
      <c r="AH678">
        <f t="shared" si="391"/>
        <v>0</v>
      </c>
      <c r="AI678">
        <f t="shared" si="392"/>
        <v>0</v>
      </c>
      <c r="AJ678">
        <f t="shared" si="393"/>
        <v>0</v>
      </c>
      <c r="AK678">
        <f t="shared" si="394"/>
        <v>0</v>
      </c>
      <c r="AL678">
        <f t="shared" si="395"/>
        <v>0</v>
      </c>
      <c r="AM678">
        <f t="shared" si="396"/>
        <v>0</v>
      </c>
      <c r="AN678">
        <f t="shared" si="397"/>
        <v>0</v>
      </c>
      <c r="AO678">
        <f t="shared" si="398"/>
        <v>0</v>
      </c>
      <c r="AP678">
        <f t="shared" si="399"/>
        <v>0</v>
      </c>
      <c r="AQ678">
        <f t="shared" si="400"/>
        <v>0</v>
      </c>
    </row>
    <row r="679" spans="1:43" ht="15.5" x14ac:dyDescent="0.35">
      <c r="A679" s="51">
        <v>31</v>
      </c>
      <c r="B679" s="13" t="s">
        <v>453</v>
      </c>
      <c r="C679" s="17" t="s">
        <v>93</v>
      </c>
      <c r="D679" s="17" t="s">
        <v>227</v>
      </c>
      <c r="E679" s="19">
        <v>3303.8667933016877</v>
      </c>
      <c r="F679">
        <f t="shared" si="365"/>
        <v>0</v>
      </c>
      <c r="G679">
        <f t="shared" si="366"/>
        <v>3303.8667933016877</v>
      </c>
      <c r="H679">
        <f t="shared" si="367"/>
        <v>0</v>
      </c>
      <c r="I679">
        <f t="shared" si="368"/>
        <v>0</v>
      </c>
      <c r="J679">
        <f t="shared" si="369"/>
        <v>0</v>
      </c>
      <c r="K679">
        <f t="shared" si="370"/>
        <v>0</v>
      </c>
      <c r="L679">
        <f t="shared" si="371"/>
        <v>0</v>
      </c>
      <c r="M679">
        <f t="shared" si="372"/>
        <v>0</v>
      </c>
      <c r="N679">
        <f t="shared" si="373"/>
        <v>0</v>
      </c>
      <c r="O679">
        <f t="shared" si="374"/>
        <v>0</v>
      </c>
      <c r="P679">
        <f t="shared" si="375"/>
        <v>0</v>
      </c>
      <c r="Q679">
        <f t="shared" si="376"/>
        <v>0</v>
      </c>
      <c r="S679">
        <f t="shared" si="377"/>
        <v>18</v>
      </c>
      <c r="T679">
        <f t="shared" si="378"/>
        <v>15</v>
      </c>
      <c r="U679">
        <f t="shared" si="379"/>
        <v>1</v>
      </c>
      <c r="V679">
        <f t="shared" si="380"/>
        <v>3</v>
      </c>
      <c r="W679">
        <f t="shared" si="381"/>
        <v>24</v>
      </c>
      <c r="X679">
        <f t="shared" si="382"/>
        <v>19</v>
      </c>
      <c r="Y679">
        <f t="shared" si="383"/>
        <v>1</v>
      </c>
      <c r="Z679">
        <f t="shared" si="384"/>
        <v>3</v>
      </c>
      <c r="AA679">
        <f t="shared" si="385"/>
        <v>3</v>
      </c>
      <c r="AB679">
        <f t="shared" si="386"/>
        <v>1</v>
      </c>
      <c r="AC679">
        <f t="shared" si="387"/>
        <v>28</v>
      </c>
      <c r="AD679">
        <f t="shared" si="388"/>
        <v>0</v>
      </c>
      <c r="AF679">
        <f t="shared" si="389"/>
        <v>0</v>
      </c>
      <c r="AG679">
        <f t="shared" si="390"/>
        <v>0</v>
      </c>
      <c r="AH679">
        <f t="shared" si="391"/>
        <v>0</v>
      </c>
      <c r="AI679">
        <f t="shared" si="392"/>
        <v>0</v>
      </c>
      <c r="AJ679">
        <f t="shared" si="393"/>
        <v>0</v>
      </c>
      <c r="AK679">
        <f t="shared" si="394"/>
        <v>0</v>
      </c>
      <c r="AL679">
        <f t="shared" si="395"/>
        <v>0</v>
      </c>
      <c r="AM679">
        <f t="shared" si="396"/>
        <v>0</v>
      </c>
      <c r="AN679">
        <f t="shared" si="397"/>
        <v>0</v>
      </c>
      <c r="AO679">
        <f t="shared" si="398"/>
        <v>0</v>
      </c>
      <c r="AP679">
        <f t="shared" si="399"/>
        <v>0</v>
      </c>
      <c r="AQ679">
        <f t="shared" si="400"/>
        <v>0</v>
      </c>
    </row>
    <row r="680" spans="1:43" ht="15.5" x14ac:dyDescent="0.35">
      <c r="A680" s="51">
        <v>32</v>
      </c>
      <c r="B680" s="13" t="s">
        <v>453</v>
      </c>
      <c r="C680" s="1" t="s">
        <v>95</v>
      </c>
      <c r="D680" s="1" t="s">
        <v>60</v>
      </c>
      <c r="E680" s="19">
        <v>3044.2880299071271</v>
      </c>
      <c r="F680">
        <f t="shared" si="365"/>
        <v>0</v>
      </c>
      <c r="G680">
        <f t="shared" si="366"/>
        <v>0</v>
      </c>
      <c r="H680">
        <f t="shared" si="367"/>
        <v>0</v>
      </c>
      <c r="I680">
        <f t="shared" si="368"/>
        <v>0</v>
      </c>
      <c r="J680">
        <f t="shared" si="369"/>
        <v>3044.2880299071271</v>
      </c>
      <c r="K680">
        <f t="shared" si="370"/>
        <v>0</v>
      </c>
      <c r="L680">
        <f t="shared" si="371"/>
        <v>0</v>
      </c>
      <c r="M680">
        <f t="shared" si="372"/>
        <v>0</v>
      </c>
      <c r="N680">
        <f t="shared" si="373"/>
        <v>0</v>
      </c>
      <c r="O680">
        <f t="shared" si="374"/>
        <v>0</v>
      </c>
      <c r="P680">
        <f t="shared" si="375"/>
        <v>0</v>
      </c>
      <c r="Q680">
        <f t="shared" si="376"/>
        <v>0</v>
      </c>
      <c r="S680">
        <f t="shared" si="377"/>
        <v>18</v>
      </c>
      <c r="T680">
        <f t="shared" si="378"/>
        <v>14</v>
      </c>
      <c r="U680">
        <f t="shared" si="379"/>
        <v>1</v>
      </c>
      <c r="V680">
        <f t="shared" si="380"/>
        <v>3</v>
      </c>
      <c r="W680">
        <f t="shared" si="381"/>
        <v>24</v>
      </c>
      <c r="X680">
        <f t="shared" si="382"/>
        <v>19</v>
      </c>
      <c r="Y680">
        <f t="shared" si="383"/>
        <v>1</v>
      </c>
      <c r="Z680">
        <f t="shared" si="384"/>
        <v>3</v>
      </c>
      <c r="AA680">
        <f t="shared" si="385"/>
        <v>3</v>
      </c>
      <c r="AB680">
        <f t="shared" si="386"/>
        <v>1</v>
      </c>
      <c r="AC680">
        <f t="shared" si="387"/>
        <v>28</v>
      </c>
      <c r="AD680">
        <f t="shared" si="388"/>
        <v>0</v>
      </c>
      <c r="AF680">
        <f t="shared" si="389"/>
        <v>0</v>
      </c>
      <c r="AG680">
        <f t="shared" si="390"/>
        <v>0</v>
      </c>
      <c r="AH680">
        <f t="shared" si="391"/>
        <v>0</v>
      </c>
      <c r="AI680">
        <f t="shared" si="392"/>
        <v>0</v>
      </c>
      <c r="AJ680">
        <f t="shared" si="393"/>
        <v>0</v>
      </c>
      <c r="AK680">
        <f t="shared" si="394"/>
        <v>0</v>
      </c>
      <c r="AL680">
        <f t="shared" si="395"/>
        <v>0</v>
      </c>
      <c r="AM680">
        <f t="shared" si="396"/>
        <v>0</v>
      </c>
      <c r="AN680">
        <f t="shared" si="397"/>
        <v>0</v>
      </c>
      <c r="AO680">
        <f t="shared" si="398"/>
        <v>0</v>
      </c>
      <c r="AP680">
        <f t="shared" si="399"/>
        <v>0</v>
      </c>
      <c r="AQ680">
        <f t="shared" si="400"/>
        <v>0</v>
      </c>
    </row>
    <row r="681" spans="1:43" ht="15.5" x14ac:dyDescent="0.35">
      <c r="A681" s="51">
        <v>33</v>
      </c>
      <c r="B681" s="13" t="s">
        <v>454</v>
      </c>
      <c r="C681" s="1" t="s">
        <v>97</v>
      </c>
      <c r="D681" s="1" t="s">
        <v>227</v>
      </c>
      <c r="E681" s="19">
        <v>3243.8863184152606</v>
      </c>
      <c r="F681">
        <f t="shared" si="365"/>
        <v>0</v>
      </c>
      <c r="G681">
        <f t="shared" si="366"/>
        <v>3243.8863184152606</v>
      </c>
      <c r="H681">
        <f t="shared" si="367"/>
        <v>0</v>
      </c>
      <c r="I681">
        <f t="shared" si="368"/>
        <v>0</v>
      </c>
      <c r="J681">
        <f t="shared" si="369"/>
        <v>0</v>
      </c>
      <c r="K681">
        <f t="shared" si="370"/>
        <v>0</v>
      </c>
      <c r="L681">
        <f t="shared" si="371"/>
        <v>0</v>
      </c>
      <c r="M681">
        <f t="shared" si="372"/>
        <v>0</v>
      </c>
      <c r="N681">
        <f t="shared" si="373"/>
        <v>0</v>
      </c>
      <c r="O681">
        <f t="shared" si="374"/>
        <v>0</v>
      </c>
      <c r="P681">
        <f t="shared" si="375"/>
        <v>0</v>
      </c>
      <c r="Q681">
        <f t="shared" si="376"/>
        <v>0</v>
      </c>
      <c r="S681">
        <f t="shared" si="377"/>
        <v>18</v>
      </c>
      <c r="T681">
        <f t="shared" si="378"/>
        <v>14</v>
      </c>
      <c r="U681">
        <f t="shared" si="379"/>
        <v>1</v>
      </c>
      <c r="V681">
        <f t="shared" si="380"/>
        <v>3</v>
      </c>
      <c r="W681">
        <f t="shared" si="381"/>
        <v>23</v>
      </c>
      <c r="X681">
        <f t="shared" si="382"/>
        <v>19</v>
      </c>
      <c r="Y681">
        <f t="shared" si="383"/>
        <v>1</v>
      </c>
      <c r="Z681">
        <f t="shared" si="384"/>
        <v>3</v>
      </c>
      <c r="AA681">
        <f t="shared" si="385"/>
        <v>3</v>
      </c>
      <c r="AB681">
        <f t="shared" si="386"/>
        <v>1</v>
      </c>
      <c r="AC681">
        <f t="shared" si="387"/>
        <v>28</v>
      </c>
      <c r="AD681">
        <f t="shared" si="388"/>
        <v>0</v>
      </c>
      <c r="AF681">
        <f t="shared" si="389"/>
        <v>0</v>
      </c>
      <c r="AG681">
        <f t="shared" si="390"/>
        <v>0</v>
      </c>
      <c r="AH681">
        <f t="shared" si="391"/>
        <v>0</v>
      </c>
      <c r="AI681">
        <f t="shared" si="392"/>
        <v>0</v>
      </c>
      <c r="AJ681">
        <f t="shared" si="393"/>
        <v>0</v>
      </c>
      <c r="AK681">
        <f t="shared" si="394"/>
        <v>0</v>
      </c>
      <c r="AL681">
        <f t="shared" si="395"/>
        <v>0</v>
      </c>
      <c r="AM681">
        <f t="shared" si="396"/>
        <v>0</v>
      </c>
      <c r="AN681">
        <f t="shared" si="397"/>
        <v>0</v>
      </c>
      <c r="AO681">
        <f t="shared" si="398"/>
        <v>0</v>
      </c>
      <c r="AP681">
        <f t="shared" si="399"/>
        <v>0</v>
      </c>
      <c r="AQ681">
        <f t="shared" si="400"/>
        <v>0</v>
      </c>
    </row>
    <row r="682" spans="1:43" ht="15.5" x14ac:dyDescent="0.35">
      <c r="A682" s="51">
        <v>34</v>
      </c>
      <c r="B682" s="13" t="s">
        <v>454</v>
      </c>
      <c r="C682" s="1" t="s">
        <v>98</v>
      </c>
      <c r="D682" s="1" t="s">
        <v>228</v>
      </c>
      <c r="E682" s="19">
        <v>3444.1352225240284</v>
      </c>
      <c r="F682">
        <f t="shared" si="365"/>
        <v>0</v>
      </c>
      <c r="G682">
        <f t="shared" si="366"/>
        <v>0</v>
      </c>
      <c r="H682">
        <f t="shared" si="367"/>
        <v>0</v>
      </c>
      <c r="I682">
        <f t="shared" si="368"/>
        <v>0</v>
      </c>
      <c r="J682">
        <f t="shared" si="369"/>
        <v>0</v>
      </c>
      <c r="K682">
        <f t="shared" si="370"/>
        <v>0</v>
      </c>
      <c r="L682">
        <f t="shared" si="371"/>
        <v>0</v>
      </c>
      <c r="M682">
        <f t="shared" si="372"/>
        <v>0</v>
      </c>
      <c r="N682">
        <f t="shared" si="373"/>
        <v>0</v>
      </c>
      <c r="O682">
        <f t="shared" si="374"/>
        <v>0</v>
      </c>
      <c r="P682">
        <f t="shared" si="375"/>
        <v>3444.1352225240284</v>
      </c>
      <c r="Q682">
        <f t="shared" si="376"/>
        <v>0</v>
      </c>
      <c r="S682">
        <f t="shared" si="377"/>
        <v>18</v>
      </c>
      <c r="T682">
        <f t="shared" si="378"/>
        <v>13</v>
      </c>
      <c r="U682">
        <f t="shared" si="379"/>
        <v>1</v>
      </c>
      <c r="V682">
        <f t="shared" si="380"/>
        <v>3</v>
      </c>
      <c r="W682">
        <f t="shared" si="381"/>
        <v>23</v>
      </c>
      <c r="X682">
        <f t="shared" si="382"/>
        <v>19</v>
      </c>
      <c r="Y682">
        <f t="shared" si="383"/>
        <v>1</v>
      </c>
      <c r="Z682">
        <f t="shared" si="384"/>
        <v>3</v>
      </c>
      <c r="AA682">
        <f t="shared" si="385"/>
        <v>3</v>
      </c>
      <c r="AB682">
        <f t="shared" si="386"/>
        <v>1</v>
      </c>
      <c r="AC682">
        <f t="shared" si="387"/>
        <v>28</v>
      </c>
      <c r="AD682">
        <f t="shared" si="388"/>
        <v>0</v>
      </c>
      <c r="AF682">
        <f t="shared" si="389"/>
        <v>0</v>
      </c>
      <c r="AG682">
        <f t="shared" si="390"/>
        <v>0</v>
      </c>
      <c r="AH682">
        <f t="shared" si="391"/>
        <v>0</v>
      </c>
      <c r="AI682">
        <f t="shared" si="392"/>
        <v>0</v>
      </c>
      <c r="AJ682">
        <f t="shared" si="393"/>
        <v>0</v>
      </c>
      <c r="AK682">
        <f t="shared" si="394"/>
        <v>0</v>
      </c>
      <c r="AL682">
        <f t="shared" si="395"/>
        <v>0</v>
      </c>
      <c r="AM682">
        <f t="shared" si="396"/>
        <v>0</v>
      </c>
      <c r="AN682">
        <f t="shared" si="397"/>
        <v>0</v>
      </c>
      <c r="AO682">
        <f t="shared" si="398"/>
        <v>0</v>
      </c>
      <c r="AP682">
        <f t="shared" si="399"/>
        <v>0</v>
      </c>
      <c r="AQ682">
        <f t="shared" si="400"/>
        <v>0</v>
      </c>
    </row>
    <row r="683" spans="1:43" ht="15.5" x14ac:dyDescent="0.35">
      <c r="A683" s="51">
        <v>35</v>
      </c>
      <c r="B683" s="13" t="s">
        <v>456</v>
      </c>
      <c r="C683" s="17" t="s">
        <v>99</v>
      </c>
      <c r="D683" s="17" t="s">
        <v>76</v>
      </c>
      <c r="E683" s="19">
        <v>3508.7184876816168</v>
      </c>
      <c r="F683">
        <f t="shared" ref="F683:F715" si="401">IF(D683="SPUR-01",E683,0)</f>
        <v>3508.7184876816168</v>
      </c>
      <c r="G683">
        <f t="shared" ref="G683:G715" si="402">IF(D683="SPUR-02",E683,0)</f>
        <v>0</v>
      </c>
      <c r="H683">
        <f t="shared" ref="H683:H715" si="403">IF(D683="SPUR-03",E683,0)</f>
        <v>0</v>
      </c>
      <c r="I683">
        <f t="shared" ref="I683:I715" si="404">IF(D683="SPUR-04",E683,0)</f>
        <v>0</v>
      </c>
      <c r="J683">
        <f t="shared" ref="J683:J715" si="405">IF(D683="SPUR-05",E683,0)</f>
        <v>0</v>
      </c>
      <c r="K683">
        <f t="shared" ref="K683:K715" si="406">IF(D683="SPUR-06",E683,0)</f>
        <v>0</v>
      </c>
      <c r="L683">
        <f t="shared" ref="L683:L715" si="407">IF(D683="SPUR-07",E683,0)</f>
        <v>0</v>
      </c>
      <c r="M683">
        <f t="shared" ref="M683:M715" si="408">IF(D683="SPUR-08",E683,0)</f>
        <v>0</v>
      </c>
      <c r="N683">
        <f t="shared" ref="N683:N715" si="409">IF(D683="SPUR-09",E683,0)</f>
        <v>0</v>
      </c>
      <c r="O683">
        <f t="shared" ref="O683:O715" si="410">IF(D683="SPUR-10",E683,0)</f>
        <v>0</v>
      </c>
      <c r="P683">
        <f t="shared" ref="P683:P715" si="411">IF(D683="SPUR-SILO",E683,0)</f>
        <v>0</v>
      </c>
      <c r="Q683">
        <f t="shared" ref="Q683:Q715" si="412">IF(D683="SPUR-DB",E683,0)</f>
        <v>0</v>
      </c>
      <c r="S683">
        <f t="shared" ref="S683:S746" si="413">IF(F683&gt;0,1,0)+S684</f>
        <v>18</v>
      </c>
      <c r="T683">
        <f t="shared" ref="T683:T746" si="414">IF(G683&gt;0,1,0)+T684</f>
        <v>13</v>
      </c>
      <c r="U683">
        <f t="shared" ref="U683:U746" si="415">IF(H683&gt;0,1,0)+U684</f>
        <v>1</v>
      </c>
      <c r="V683">
        <f t="shared" ref="V683:V746" si="416">IF(I683&gt;0,1,0)+V684</f>
        <v>3</v>
      </c>
      <c r="W683">
        <f t="shared" ref="W683:W746" si="417">IF(J683&gt;0,1,0)+W684</f>
        <v>23</v>
      </c>
      <c r="X683">
        <f t="shared" ref="X683:X746" si="418">IF(K683&gt;0,1,0)+X684</f>
        <v>19</v>
      </c>
      <c r="Y683">
        <f t="shared" ref="Y683:Y746" si="419">IF(L683&gt;0,1,0)+Y684</f>
        <v>1</v>
      </c>
      <c r="Z683">
        <f t="shared" ref="Z683:Z746" si="420">IF(M683&gt;0,1,0)+Z684</f>
        <v>3</v>
      </c>
      <c r="AA683">
        <f t="shared" ref="AA683:AA746" si="421">IF(N683&gt;0,1,0)+AA684</f>
        <v>3</v>
      </c>
      <c r="AB683">
        <f t="shared" ref="AB683:AB746" si="422">IF(O683&gt;0,1,0)+AB684</f>
        <v>1</v>
      </c>
      <c r="AC683">
        <f t="shared" ref="AC683:AC746" si="423">IF(P683&gt;0,1,0)+AC684</f>
        <v>27</v>
      </c>
      <c r="AD683">
        <f t="shared" ref="AD683:AD746" si="424">IF(Q683&gt;0,1,0)+AD684</f>
        <v>0</v>
      </c>
      <c r="AF683">
        <f t="shared" ref="AF683:AF746" si="425">IF(S683&lt;=$AT$1,F683,0)</f>
        <v>0</v>
      </c>
      <c r="AG683">
        <f t="shared" ref="AG683:AG746" si="426">IF(T683&lt;=$AT$1,G683,0)</f>
        <v>0</v>
      </c>
      <c r="AH683">
        <f t="shared" ref="AH683:AH746" si="427">IF(U683&lt;=$AT$1,H683,0)</f>
        <v>0</v>
      </c>
      <c r="AI683">
        <f t="shared" ref="AI683:AI746" si="428">IF(V683&lt;=$AT$1,I683,0)</f>
        <v>0</v>
      </c>
      <c r="AJ683">
        <f t="shared" ref="AJ683:AJ746" si="429">IF(W683&lt;=$AT$1,J683,0)</f>
        <v>0</v>
      </c>
      <c r="AK683">
        <f t="shared" ref="AK683:AK746" si="430">IF(X683&lt;=$AT$1,K683,0)</f>
        <v>0</v>
      </c>
      <c r="AL683">
        <f t="shared" ref="AL683:AL746" si="431">IF(Y683&lt;=$AT$1,L683,0)</f>
        <v>0</v>
      </c>
      <c r="AM683">
        <f t="shared" ref="AM683:AM746" si="432">IF(Z683&lt;=$AT$1,M683,0)</f>
        <v>0</v>
      </c>
      <c r="AN683">
        <f t="shared" ref="AN683:AN746" si="433">IF(AA683&lt;=$AT$1,N683,0)</f>
        <v>0</v>
      </c>
      <c r="AO683">
        <f t="shared" ref="AO683:AO746" si="434">IF(AB683&lt;=$AT$1,O683,0)</f>
        <v>0</v>
      </c>
      <c r="AP683">
        <f t="shared" ref="AP683:AP746" si="435">IF(AC683&lt;=$AT$1,P683,0)</f>
        <v>0</v>
      </c>
      <c r="AQ683">
        <f t="shared" ref="AQ683:AQ746" si="436">IF(AD683&lt;=$AT$1,Q683,0)</f>
        <v>0</v>
      </c>
    </row>
    <row r="684" spans="1:43" ht="15.5" x14ac:dyDescent="0.35">
      <c r="A684" s="51">
        <v>36</v>
      </c>
      <c r="B684" s="13" t="s">
        <v>456</v>
      </c>
      <c r="C684" s="1" t="s">
        <v>101</v>
      </c>
      <c r="D684" s="1" t="s">
        <v>76</v>
      </c>
      <c r="E684" s="19">
        <v>3345.2340485243153</v>
      </c>
      <c r="F684">
        <f t="shared" si="401"/>
        <v>3345.2340485243153</v>
      </c>
      <c r="G684">
        <f t="shared" si="402"/>
        <v>0</v>
      </c>
      <c r="H684">
        <f t="shared" si="403"/>
        <v>0</v>
      </c>
      <c r="I684">
        <f t="shared" si="404"/>
        <v>0</v>
      </c>
      <c r="J684">
        <f t="shared" si="405"/>
        <v>0</v>
      </c>
      <c r="K684">
        <f t="shared" si="406"/>
        <v>0</v>
      </c>
      <c r="L684">
        <f t="shared" si="407"/>
        <v>0</v>
      </c>
      <c r="M684">
        <f t="shared" si="408"/>
        <v>0</v>
      </c>
      <c r="N684">
        <f t="shared" si="409"/>
        <v>0</v>
      </c>
      <c r="O684">
        <f t="shared" si="410"/>
        <v>0</v>
      </c>
      <c r="P684">
        <f t="shared" si="411"/>
        <v>0</v>
      </c>
      <c r="Q684">
        <f t="shared" si="412"/>
        <v>0</v>
      </c>
      <c r="S684">
        <f t="shared" si="413"/>
        <v>17</v>
      </c>
      <c r="T684">
        <f t="shared" si="414"/>
        <v>13</v>
      </c>
      <c r="U684">
        <f t="shared" si="415"/>
        <v>1</v>
      </c>
      <c r="V684">
        <f t="shared" si="416"/>
        <v>3</v>
      </c>
      <c r="W684">
        <f t="shared" si="417"/>
        <v>23</v>
      </c>
      <c r="X684">
        <f t="shared" si="418"/>
        <v>19</v>
      </c>
      <c r="Y684">
        <f t="shared" si="419"/>
        <v>1</v>
      </c>
      <c r="Z684">
        <f t="shared" si="420"/>
        <v>3</v>
      </c>
      <c r="AA684">
        <f t="shared" si="421"/>
        <v>3</v>
      </c>
      <c r="AB684">
        <f t="shared" si="422"/>
        <v>1</v>
      </c>
      <c r="AC684">
        <f t="shared" si="423"/>
        <v>27</v>
      </c>
      <c r="AD684">
        <f t="shared" si="424"/>
        <v>0</v>
      </c>
      <c r="AF684">
        <f t="shared" si="425"/>
        <v>0</v>
      </c>
      <c r="AG684">
        <f t="shared" si="426"/>
        <v>0</v>
      </c>
      <c r="AH684">
        <f t="shared" si="427"/>
        <v>0</v>
      </c>
      <c r="AI684">
        <f t="shared" si="428"/>
        <v>0</v>
      </c>
      <c r="AJ684">
        <f t="shared" si="429"/>
        <v>0</v>
      </c>
      <c r="AK684">
        <f t="shared" si="430"/>
        <v>0</v>
      </c>
      <c r="AL684">
        <f t="shared" si="431"/>
        <v>0</v>
      </c>
      <c r="AM684">
        <f t="shared" si="432"/>
        <v>0</v>
      </c>
      <c r="AN684">
        <f t="shared" si="433"/>
        <v>0</v>
      </c>
      <c r="AO684">
        <f t="shared" si="434"/>
        <v>0</v>
      </c>
      <c r="AP684">
        <f t="shared" si="435"/>
        <v>0</v>
      </c>
      <c r="AQ684">
        <f t="shared" si="436"/>
        <v>0</v>
      </c>
    </row>
    <row r="685" spans="1:43" ht="15.5" x14ac:dyDescent="0.35">
      <c r="A685" s="51">
        <v>37</v>
      </c>
      <c r="B685" s="13" t="s">
        <v>457</v>
      </c>
      <c r="C685" s="1" t="s">
        <v>105</v>
      </c>
      <c r="D685" s="1" t="s">
        <v>60</v>
      </c>
      <c r="E685" s="19">
        <v>3165.6686972820994</v>
      </c>
      <c r="F685">
        <f t="shared" si="401"/>
        <v>0</v>
      </c>
      <c r="G685">
        <f t="shared" si="402"/>
        <v>0</v>
      </c>
      <c r="H685">
        <f t="shared" si="403"/>
        <v>0</v>
      </c>
      <c r="I685">
        <f t="shared" si="404"/>
        <v>0</v>
      </c>
      <c r="J685">
        <f t="shared" si="405"/>
        <v>3165.6686972820994</v>
      </c>
      <c r="K685">
        <f t="shared" si="406"/>
        <v>0</v>
      </c>
      <c r="L685">
        <f t="shared" si="407"/>
        <v>0</v>
      </c>
      <c r="M685">
        <f t="shared" si="408"/>
        <v>0</v>
      </c>
      <c r="N685">
        <f t="shared" si="409"/>
        <v>0</v>
      </c>
      <c r="O685">
        <f t="shared" si="410"/>
        <v>0</v>
      </c>
      <c r="P685">
        <f t="shared" si="411"/>
        <v>0</v>
      </c>
      <c r="Q685">
        <f t="shared" si="412"/>
        <v>0</v>
      </c>
      <c r="S685">
        <f t="shared" si="413"/>
        <v>16</v>
      </c>
      <c r="T685">
        <f t="shared" si="414"/>
        <v>13</v>
      </c>
      <c r="U685">
        <f t="shared" si="415"/>
        <v>1</v>
      </c>
      <c r="V685">
        <f t="shared" si="416"/>
        <v>3</v>
      </c>
      <c r="W685">
        <f t="shared" si="417"/>
        <v>23</v>
      </c>
      <c r="X685">
        <f t="shared" si="418"/>
        <v>19</v>
      </c>
      <c r="Y685">
        <f t="shared" si="419"/>
        <v>1</v>
      </c>
      <c r="Z685">
        <f t="shared" si="420"/>
        <v>3</v>
      </c>
      <c r="AA685">
        <f t="shared" si="421"/>
        <v>3</v>
      </c>
      <c r="AB685">
        <f t="shared" si="422"/>
        <v>1</v>
      </c>
      <c r="AC685">
        <f t="shared" si="423"/>
        <v>27</v>
      </c>
      <c r="AD685">
        <f t="shared" si="424"/>
        <v>0</v>
      </c>
      <c r="AF685">
        <f t="shared" si="425"/>
        <v>0</v>
      </c>
      <c r="AG685">
        <f t="shared" si="426"/>
        <v>0</v>
      </c>
      <c r="AH685">
        <f t="shared" si="427"/>
        <v>0</v>
      </c>
      <c r="AI685">
        <f t="shared" si="428"/>
        <v>0</v>
      </c>
      <c r="AJ685">
        <f t="shared" si="429"/>
        <v>0</v>
      </c>
      <c r="AK685">
        <f t="shared" si="430"/>
        <v>0</v>
      </c>
      <c r="AL685">
        <f t="shared" si="431"/>
        <v>0</v>
      </c>
      <c r="AM685">
        <f t="shared" si="432"/>
        <v>0</v>
      </c>
      <c r="AN685">
        <f t="shared" si="433"/>
        <v>0</v>
      </c>
      <c r="AO685">
        <f t="shared" si="434"/>
        <v>0</v>
      </c>
      <c r="AP685">
        <f t="shared" si="435"/>
        <v>0</v>
      </c>
      <c r="AQ685">
        <f t="shared" si="436"/>
        <v>0</v>
      </c>
    </row>
    <row r="686" spans="1:43" ht="15.5" x14ac:dyDescent="0.35">
      <c r="A686" s="51">
        <v>38</v>
      </c>
      <c r="B686" s="13" t="s">
        <v>457</v>
      </c>
      <c r="C686" s="1" t="s">
        <v>103</v>
      </c>
      <c r="D686" s="1" t="s">
        <v>228</v>
      </c>
      <c r="E686" s="19">
        <v>3676.1302223163248</v>
      </c>
      <c r="F686">
        <f t="shared" si="401"/>
        <v>0</v>
      </c>
      <c r="G686">
        <f t="shared" si="402"/>
        <v>0</v>
      </c>
      <c r="H686">
        <f t="shared" si="403"/>
        <v>0</v>
      </c>
      <c r="I686">
        <f t="shared" si="404"/>
        <v>0</v>
      </c>
      <c r="J686">
        <f t="shared" si="405"/>
        <v>0</v>
      </c>
      <c r="K686">
        <f t="shared" si="406"/>
        <v>0</v>
      </c>
      <c r="L686">
        <f t="shared" si="407"/>
        <v>0</v>
      </c>
      <c r="M686">
        <f t="shared" si="408"/>
        <v>0</v>
      </c>
      <c r="N686">
        <f t="shared" si="409"/>
        <v>0</v>
      </c>
      <c r="O686">
        <f t="shared" si="410"/>
        <v>0</v>
      </c>
      <c r="P686">
        <f t="shared" si="411"/>
        <v>3676.1302223163248</v>
      </c>
      <c r="Q686">
        <f t="shared" si="412"/>
        <v>0</v>
      </c>
      <c r="S686">
        <f t="shared" si="413"/>
        <v>16</v>
      </c>
      <c r="T686">
        <f t="shared" si="414"/>
        <v>13</v>
      </c>
      <c r="U686">
        <f t="shared" si="415"/>
        <v>1</v>
      </c>
      <c r="V686">
        <f t="shared" si="416"/>
        <v>3</v>
      </c>
      <c r="W686">
        <f t="shared" si="417"/>
        <v>22</v>
      </c>
      <c r="X686">
        <f t="shared" si="418"/>
        <v>19</v>
      </c>
      <c r="Y686">
        <f t="shared" si="419"/>
        <v>1</v>
      </c>
      <c r="Z686">
        <f t="shared" si="420"/>
        <v>3</v>
      </c>
      <c r="AA686">
        <f t="shared" si="421"/>
        <v>3</v>
      </c>
      <c r="AB686">
        <f t="shared" si="422"/>
        <v>1</v>
      </c>
      <c r="AC686">
        <f t="shared" si="423"/>
        <v>27</v>
      </c>
      <c r="AD686">
        <f t="shared" si="424"/>
        <v>0</v>
      </c>
      <c r="AF686">
        <f t="shared" si="425"/>
        <v>0</v>
      </c>
      <c r="AG686">
        <f t="shared" si="426"/>
        <v>0</v>
      </c>
      <c r="AH686">
        <f t="shared" si="427"/>
        <v>0</v>
      </c>
      <c r="AI686">
        <f t="shared" si="428"/>
        <v>0</v>
      </c>
      <c r="AJ686">
        <f t="shared" si="429"/>
        <v>0</v>
      </c>
      <c r="AK686">
        <f t="shared" si="430"/>
        <v>0</v>
      </c>
      <c r="AL686">
        <f t="shared" si="431"/>
        <v>0</v>
      </c>
      <c r="AM686">
        <f t="shared" si="432"/>
        <v>0</v>
      </c>
      <c r="AN686">
        <f t="shared" si="433"/>
        <v>0</v>
      </c>
      <c r="AO686">
        <f t="shared" si="434"/>
        <v>0</v>
      </c>
      <c r="AP686">
        <f t="shared" si="435"/>
        <v>0</v>
      </c>
      <c r="AQ686">
        <f t="shared" si="436"/>
        <v>0</v>
      </c>
    </row>
    <row r="687" spans="1:43" ht="15.5" x14ac:dyDescent="0.35">
      <c r="A687" s="51">
        <v>39</v>
      </c>
      <c r="B687" s="13" t="s">
        <v>458</v>
      </c>
      <c r="C687" s="17" t="s">
        <v>104</v>
      </c>
      <c r="D687" s="17" t="s">
        <v>228</v>
      </c>
      <c r="E687" s="19">
        <v>3522.565082551042</v>
      </c>
      <c r="F687">
        <f t="shared" si="401"/>
        <v>0</v>
      </c>
      <c r="G687">
        <f t="shared" si="402"/>
        <v>0</v>
      </c>
      <c r="H687">
        <f t="shared" si="403"/>
        <v>0</v>
      </c>
      <c r="I687">
        <f t="shared" si="404"/>
        <v>0</v>
      </c>
      <c r="J687">
        <f t="shared" si="405"/>
        <v>0</v>
      </c>
      <c r="K687">
        <f t="shared" si="406"/>
        <v>0</v>
      </c>
      <c r="L687">
        <f t="shared" si="407"/>
        <v>0</v>
      </c>
      <c r="M687">
        <f t="shared" si="408"/>
        <v>0</v>
      </c>
      <c r="N687">
        <f t="shared" si="409"/>
        <v>0</v>
      </c>
      <c r="O687">
        <f t="shared" si="410"/>
        <v>0</v>
      </c>
      <c r="P687">
        <f t="shared" si="411"/>
        <v>3522.565082551042</v>
      </c>
      <c r="Q687">
        <f t="shared" si="412"/>
        <v>0</v>
      </c>
      <c r="S687">
        <f t="shared" si="413"/>
        <v>16</v>
      </c>
      <c r="T687">
        <f t="shared" si="414"/>
        <v>13</v>
      </c>
      <c r="U687">
        <f t="shared" si="415"/>
        <v>1</v>
      </c>
      <c r="V687">
        <f t="shared" si="416"/>
        <v>3</v>
      </c>
      <c r="W687">
        <f t="shared" si="417"/>
        <v>22</v>
      </c>
      <c r="X687">
        <f t="shared" si="418"/>
        <v>19</v>
      </c>
      <c r="Y687">
        <f t="shared" si="419"/>
        <v>1</v>
      </c>
      <c r="Z687">
        <f t="shared" si="420"/>
        <v>3</v>
      </c>
      <c r="AA687">
        <f t="shared" si="421"/>
        <v>3</v>
      </c>
      <c r="AB687">
        <f t="shared" si="422"/>
        <v>1</v>
      </c>
      <c r="AC687">
        <f t="shared" si="423"/>
        <v>26</v>
      </c>
      <c r="AD687">
        <f t="shared" si="424"/>
        <v>0</v>
      </c>
      <c r="AF687">
        <f t="shared" si="425"/>
        <v>0</v>
      </c>
      <c r="AG687">
        <f t="shared" si="426"/>
        <v>0</v>
      </c>
      <c r="AH687">
        <f t="shared" si="427"/>
        <v>0</v>
      </c>
      <c r="AI687">
        <f t="shared" si="428"/>
        <v>0</v>
      </c>
      <c r="AJ687">
        <f t="shared" si="429"/>
        <v>0</v>
      </c>
      <c r="AK687">
        <f t="shared" si="430"/>
        <v>0</v>
      </c>
      <c r="AL687">
        <f t="shared" si="431"/>
        <v>0</v>
      </c>
      <c r="AM687">
        <f t="shared" si="432"/>
        <v>0</v>
      </c>
      <c r="AN687">
        <f t="shared" si="433"/>
        <v>0</v>
      </c>
      <c r="AO687">
        <f t="shared" si="434"/>
        <v>0</v>
      </c>
      <c r="AP687">
        <f t="shared" si="435"/>
        <v>0</v>
      </c>
      <c r="AQ687">
        <f t="shared" si="436"/>
        <v>0</v>
      </c>
    </row>
    <row r="688" spans="1:43" ht="15.5" x14ac:dyDescent="0.35">
      <c r="A688" s="51">
        <v>40</v>
      </c>
      <c r="B688" s="13" t="s">
        <v>459</v>
      </c>
      <c r="C688" s="1" t="s">
        <v>107</v>
      </c>
      <c r="D688" s="1" t="s">
        <v>76</v>
      </c>
      <c r="E688" s="19">
        <v>2670.3451357674953</v>
      </c>
      <c r="F688">
        <f t="shared" si="401"/>
        <v>2670.3451357674953</v>
      </c>
      <c r="G688">
        <f t="shared" si="402"/>
        <v>0</v>
      </c>
      <c r="H688">
        <f t="shared" si="403"/>
        <v>0</v>
      </c>
      <c r="I688">
        <f t="shared" si="404"/>
        <v>0</v>
      </c>
      <c r="J688">
        <f t="shared" si="405"/>
        <v>0</v>
      </c>
      <c r="K688">
        <f t="shared" si="406"/>
        <v>0</v>
      </c>
      <c r="L688">
        <f t="shared" si="407"/>
        <v>0</v>
      </c>
      <c r="M688">
        <f t="shared" si="408"/>
        <v>0</v>
      </c>
      <c r="N688">
        <f t="shared" si="409"/>
        <v>0</v>
      </c>
      <c r="O688">
        <f t="shared" si="410"/>
        <v>0</v>
      </c>
      <c r="P688">
        <f t="shared" si="411"/>
        <v>0</v>
      </c>
      <c r="Q688">
        <f t="shared" si="412"/>
        <v>0</v>
      </c>
      <c r="S688">
        <f t="shared" si="413"/>
        <v>16</v>
      </c>
      <c r="T688">
        <f t="shared" si="414"/>
        <v>13</v>
      </c>
      <c r="U688">
        <f t="shared" si="415"/>
        <v>1</v>
      </c>
      <c r="V688">
        <f t="shared" si="416"/>
        <v>3</v>
      </c>
      <c r="W688">
        <f t="shared" si="417"/>
        <v>22</v>
      </c>
      <c r="X688">
        <f t="shared" si="418"/>
        <v>19</v>
      </c>
      <c r="Y688">
        <f t="shared" si="419"/>
        <v>1</v>
      </c>
      <c r="Z688">
        <f t="shared" si="420"/>
        <v>3</v>
      </c>
      <c r="AA688">
        <f t="shared" si="421"/>
        <v>3</v>
      </c>
      <c r="AB688">
        <f t="shared" si="422"/>
        <v>1</v>
      </c>
      <c r="AC688">
        <f t="shared" si="423"/>
        <v>25</v>
      </c>
      <c r="AD688">
        <f t="shared" si="424"/>
        <v>0</v>
      </c>
      <c r="AF688">
        <f t="shared" si="425"/>
        <v>0</v>
      </c>
      <c r="AG688">
        <f t="shared" si="426"/>
        <v>0</v>
      </c>
      <c r="AH688">
        <f t="shared" si="427"/>
        <v>0</v>
      </c>
      <c r="AI688">
        <f t="shared" si="428"/>
        <v>0</v>
      </c>
      <c r="AJ688">
        <f t="shared" si="429"/>
        <v>0</v>
      </c>
      <c r="AK688">
        <f t="shared" si="430"/>
        <v>0</v>
      </c>
      <c r="AL688">
        <f t="shared" si="431"/>
        <v>0</v>
      </c>
      <c r="AM688">
        <f t="shared" si="432"/>
        <v>0</v>
      </c>
      <c r="AN688">
        <f t="shared" si="433"/>
        <v>0</v>
      </c>
      <c r="AO688">
        <f t="shared" si="434"/>
        <v>0</v>
      </c>
      <c r="AP688">
        <f t="shared" si="435"/>
        <v>0</v>
      </c>
      <c r="AQ688">
        <f t="shared" si="436"/>
        <v>0</v>
      </c>
    </row>
    <row r="689" spans="1:43" ht="15.5" x14ac:dyDescent="0.35">
      <c r="A689" s="51">
        <v>41</v>
      </c>
      <c r="B689" s="13" t="s">
        <v>459</v>
      </c>
      <c r="C689" s="1" t="s">
        <v>108</v>
      </c>
      <c r="D689" s="1" t="s">
        <v>228</v>
      </c>
      <c r="E689" s="19">
        <v>3573.8583492999264</v>
      </c>
      <c r="F689">
        <f t="shared" si="401"/>
        <v>0</v>
      </c>
      <c r="G689">
        <f t="shared" si="402"/>
        <v>0</v>
      </c>
      <c r="H689">
        <f t="shared" si="403"/>
        <v>0</v>
      </c>
      <c r="I689">
        <f t="shared" si="404"/>
        <v>0</v>
      </c>
      <c r="J689">
        <f t="shared" si="405"/>
        <v>0</v>
      </c>
      <c r="K689">
        <f t="shared" si="406"/>
        <v>0</v>
      </c>
      <c r="L689">
        <f t="shared" si="407"/>
        <v>0</v>
      </c>
      <c r="M689">
        <f t="shared" si="408"/>
        <v>0</v>
      </c>
      <c r="N689">
        <f t="shared" si="409"/>
        <v>0</v>
      </c>
      <c r="O689">
        <f t="shared" si="410"/>
        <v>0</v>
      </c>
      <c r="P689">
        <f t="shared" si="411"/>
        <v>3573.8583492999264</v>
      </c>
      <c r="Q689">
        <f t="shared" si="412"/>
        <v>0</v>
      </c>
      <c r="S689">
        <f t="shared" si="413"/>
        <v>15</v>
      </c>
      <c r="T689">
        <f t="shared" si="414"/>
        <v>13</v>
      </c>
      <c r="U689">
        <f t="shared" si="415"/>
        <v>1</v>
      </c>
      <c r="V689">
        <f t="shared" si="416"/>
        <v>3</v>
      </c>
      <c r="W689">
        <f t="shared" si="417"/>
        <v>22</v>
      </c>
      <c r="X689">
        <f t="shared" si="418"/>
        <v>19</v>
      </c>
      <c r="Y689">
        <f t="shared" si="419"/>
        <v>1</v>
      </c>
      <c r="Z689">
        <f t="shared" si="420"/>
        <v>3</v>
      </c>
      <c r="AA689">
        <f t="shared" si="421"/>
        <v>3</v>
      </c>
      <c r="AB689">
        <f t="shared" si="422"/>
        <v>1</v>
      </c>
      <c r="AC689">
        <f t="shared" si="423"/>
        <v>25</v>
      </c>
      <c r="AD689">
        <f t="shared" si="424"/>
        <v>0</v>
      </c>
      <c r="AF689">
        <f t="shared" si="425"/>
        <v>0</v>
      </c>
      <c r="AG689">
        <f t="shared" si="426"/>
        <v>0</v>
      </c>
      <c r="AH689">
        <f t="shared" si="427"/>
        <v>0</v>
      </c>
      <c r="AI689">
        <f t="shared" si="428"/>
        <v>0</v>
      </c>
      <c r="AJ689">
        <f t="shared" si="429"/>
        <v>0</v>
      </c>
      <c r="AK689">
        <f t="shared" si="430"/>
        <v>0</v>
      </c>
      <c r="AL689">
        <f t="shared" si="431"/>
        <v>0</v>
      </c>
      <c r="AM689">
        <f t="shared" si="432"/>
        <v>0</v>
      </c>
      <c r="AN689">
        <f t="shared" si="433"/>
        <v>0</v>
      </c>
      <c r="AO689">
        <f t="shared" si="434"/>
        <v>0</v>
      </c>
      <c r="AP689">
        <f t="shared" si="435"/>
        <v>0</v>
      </c>
      <c r="AQ689">
        <f t="shared" si="436"/>
        <v>0</v>
      </c>
    </row>
    <row r="690" spans="1:43" ht="15.5" x14ac:dyDescent="0.35">
      <c r="A690" s="51">
        <v>42</v>
      </c>
      <c r="B690" s="13" t="s">
        <v>459</v>
      </c>
      <c r="C690" s="1" t="s">
        <v>109</v>
      </c>
      <c r="D690" s="1" t="s">
        <v>54</v>
      </c>
      <c r="E690" s="19">
        <v>3203.1307370777026</v>
      </c>
      <c r="F690">
        <f t="shared" si="401"/>
        <v>0</v>
      </c>
      <c r="G690">
        <f t="shared" si="402"/>
        <v>0</v>
      </c>
      <c r="H690">
        <f t="shared" si="403"/>
        <v>0</v>
      </c>
      <c r="I690">
        <f t="shared" si="404"/>
        <v>0</v>
      </c>
      <c r="J690">
        <f t="shared" si="405"/>
        <v>0</v>
      </c>
      <c r="K690">
        <f t="shared" si="406"/>
        <v>3203.1307370777026</v>
      </c>
      <c r="L690">
        <f t="shared" si="407"/>
        <v>0</v>
      </c>
      <c r="M690">
        <f t="shared" si="408"/>
        <v>0</v>
      </c>
      <c r="N690">
        <f t="shared" si="409"/>
        <v>0</v>
      </c>
      <c r="O690">
        <f t="shared" si="410"/>
        <v>0</v>
      </c>
      <c r="P690">
        <f t="shared" si="411"/>
        <v>0</v>
      </c>
      <c r="Q690">
        <f t="shared" si="412"/>
        <v>0</v>
      </c>
      <c r="S690">
        <f t="shared" si="413"/>
        <v>15</v>
      </c>
      <c r="T690">
        <f t="shared" si="414"/>
        <v>13</v>
      </c>
      <c r="U690">
        <f t="shared" si="415"/>
        <v>1</v>
      </c>
      <c r="V690">
        <f t="shared" si="416"/>
        <v>3</v>
      </c>
      <c r="W690">
        <f t="shared" si="417"/>
        <v>22</v>
      </c>
      <c r="X690">
        <f t="shared" si="418"/>
        <v>19</v>
      </c>
      <c r="Y690">
        <f t="shared" si="419"/>
        <v>1</v>
      </c>
      <c r="Z690">
        <f t="shared" si="420"/>
        <v>3</v>
      </c>
      <c r="AA690">
        <f t="shared" si="421"/>
        <v>3</v>
      </c>
      <c r="AB690">
        <f t="shared" si="422"/>
        <v>1</v>
      </c>
      <c r="AC690">
        <f t="shared" si="423"/>
        <v>24</v>
      </c>
      <c r="AD690">
        <f t="shared" si="424"/>
        <v>0</v>
      </c>
      <c r="AF690">
        <f t="shared" si="425"/>
        <v>0</v>
      </c>
      <c r="AG690">
        <f t="shared" si="426"/>
        <v>0</v>
      </c>
      <c r="AH690">
        <f t="shared" si="427"/>
        <v>0</v>
      </c>
      <c r="AI690">
        <f t="shared" si="428"/>
        <v>0</v>
      </c>
      <c r="AJ690">
        <f t="shared" si="429"/>
        <v>0</v>
      </c>
      <c r="AK690">
        <f t="shared" si="430"/>
        <v>0</v>
      </c>
      <c r="AL690">
        <f t="shared" si="431"/>
        <v>0</v>
      </c>
      <c r="AM690">
        <f t="shared" si="432"/>
        <v>0</v>
      </c>
      <c r="AN690">
        <f t="shared" si="433"/>
        <v>0</v>
      </c>
      <c r="AO690">
        <f t="shared" si="434"/>
        <v>0</v>
      </c>
      <c r="AP690">
        <f t="shared" si="435"/>
        <v>0</v>
      </c>
      <c r="AQ690">
        <f t="shared" si="436"/>
        <v>0</v>
      </c>
    </row>
    <row r="691" spans="1:43" ht="15.5" x14ac:dyDescent="0.35">
      <c r="A691" s="51">
        <v>43</v>
      </c>
      <c r="B691" s="13" t="s">
        <v>460</v>
      </c>
      <c r="C691" s="17" t="s">
        <v>462</v>
      </c>
      <c r="D691" s="17" t="s">
        <v>60</v>
      </c>
      <c r="E691" s="19">
        <v>3667.0388797657647</v>
      </c>
      <c r="F691">
        <f t="shared" si="401"/>
        <v>0</v>
      </c>
      <c r="G691">
        <f t="shared" si="402"/>
        <v>0</v>
      </c>
      <c r="H691">
        <f t="shared" si="403"/>
        <v>0</v>
      </c>
      <c r="I691">
        <f t="shared" si="404"/>
        <v>0</v>
      </c>
      <c r="J691">
        <f t="shared" si="405"/>
        <v>3667.0388797657647</v>
      </c>
      <c r="K691">
        <f t="shared" si="406"/>
        <v>0</v>
      </c>
      <c r="L691">
        <f t="shared" si="407"/>
        <v>0</v>
      </c>
      <c r="M691">
        <f t="shared" si="408"/>
        <v>0</v>
      </c>
      <c r="N691">
        <f t="shared" si="409"/>
        <v>0</v>
      </c>
      <c r="O691">
        <f t="shared" si="410"/>
        <v>0</v>
      </c>
      <c r="P691">
        <f t="shared" si="411"/>
        <v>0</v>
      </c>
      <c r="Q691">
        <f t="shared" si="412"/>
        <v>0</v>
      </c>
      <c r="S691">
        <f t="shared" si="413"/>
        <v>15</v>
      </c>
      <c r="T691">
        <f t="shared" si="414"/>
        <v>13</v>
      </c>
      <c r="U691">
        <f t="shared" si="415"/>
        <v>1</v>
      </c>
      <c r="V691">
        <f t="shared" si="416"/>
        <v>3</v>
      </c>
      <c r="W691">
        <f t="shared" si="417"/>
        <v>22</v>
      </c>
      <c r="X691">
        <f t="shared" si="418"/>
        <v>18</v>
      </c>
      <c r="Y691">
        <f t="shared" si="419"/>
        <v>1</v>
      </c>
      <c r="Z691">
        <f t="shared" si="420"/>
        <v>3</v>
      </c>
      <c r="AA691">
        <f t="shared" si="421"/>
        <v>3</v>
      </c>
      <c r="AB691">
        <f t="shared" si="422"/>
        <v>1</v>
      </c>
      <c r="AC691">
        <f t="shared" si="423"/>
        <v>24</v>
      </c>
      <c r="AD691">
        <f t="shared" si="424"/>
        <v>0</v>
      </c>
      <c r="AF691">
        <f t="shared" si="425"/>
        <v>0</v>
      </c>
      <c r="AG691">
        <f t="shared" si="426"/>
        <v>0</v>
      </c>
      <c r="AH691">
        <f t="shared" si="427"/>
        <v>0</v>
      </c>
      <c r="AI691">
        <f t="shared" si="428"/>
        <v>0</v>
      </c>
      <c r="AJ691">
        <f t="shared" si="429"/>
        <v>0</v>
      </c>
      <c r="AK691">
        <f t="shared" si="430"/>
        <v>0</v>
      </c>
      <c r="AL691">
        <f t="shared" si="431"/>
        <v>0</v>
      </c>
      <c r="AM691">
        <f t="shared" si="432"/>
        <v>0</v>
      </c>
      <c r="AN691">
        <f t="shared" si="433"/>
        <v>0</v>
      </c>
      <c r="AO691">
        <f t="shared" si="434"/>
        <v>0</v>
      </c>
      <c r="AP691">
        <f t="shared" si="435"/>
        <v>0</v>
      </c>
      <c r="AQ691">
        <f t="shared" si="436"/>
        <v>0</v>
      </c>
    </row>
    <row r="692" spans="1:43" ht="15.5" x14ac:dyDescent="0.35">
      <c r="A692" s="51">
        <v>44</v>
      </c>
      <c r="B692" s="13" t="s">
        <v>460</v>
      </c>
      <c r="C692" s="1" t="s">
        <v>113</v>
      </c>
      <c r="D692" s="1" t="s">
        <v>76</v>
      </c>
      <c r="E692" s="19">
        <v>3214.6489577915922</v>
      </c>
      <c r="F692">
        <f t="shared" si="401"/>
        <v>3214.6489577915922</v>
      </c>
      <c r="G692">
        <f t="shared" si="402"/>
        <v>0</v>
      </c>
      <c r="H692">
        <f t="shared" si="403"/>
        <v>0</v>
      </c>
      <c r="I692">
        <f t="shared" si="404"/>
        <v>0</v>
      </c>
      <c r="J692">
        <f t="shared" si="405"/>
        <v>0</v>
      </c>
      <c r="K692">
        <f t="shared" si="406"/>
        <v>0</v>
      </c>
      <c r="L692">
        <f t="shared" si="407"/>
        <v>0</v>
      </c>
      <c r="M692">
        <f t="shared" si="408"/>
        <v>0</v>
      </c>
      <c r="N692">
        <f t="shared" si="409"/>
        <v>0</v>
      </c>
      <c r="O692">
        <f t="shared" si="410"/>
        <v>0</v>
      </c>
      <c r="P692">
        <f t="shared" si="411"/>
        <v>0</v>
      </c>
      <c r="Q692">
        <f t="shared" si="412"/>
        <v>0</v>
      </c>
      <c r="S692">
        <f t="shared" si="413"/>
        <v>15</v>
      </c>
      <c r="T692">
        <f t="shared" si="414"/>
        <v>13</v>
      </c>
      <c r="U692">
        <f t="shared" si="415"/>
        <v>1</v>
      </c>
      <c r="V692">
        <f t="shared" si="416"/>
        <v>3</v>
      </c>
      <c r="W692">
        <f t="shared" si="417"/>
        <v>21</v>
      </c>
      <c r="X692">
        <f t="shared" si="418"/>
        <v>18</v>
      </c>
      <c r="Y692">
        <f t="shared" si="419"/>
        <v>1</v>
      </c>
      <c r="Z692">
        <f t="shared" si="420"/>
        <v>3</v>
      </c>
      <c r="AA692">
        <f t="shared" si="421"/>
        <v>3</v>
      </c>
      <c r="AB692">
        <f t="shared" si="422"/>
        <v>1</v>
      </c>
      <c r="AC692">
        <f t="shared" si="423"/>
        <v>24</v>
      </c>
      <c r="AD692">
        <f t="shared" si="424"/>
        <v>0</v>
      </c>
      <c r="AF692">
        <f t="shared" si="425"/>
        <v>0</v>
      </c>
      <c r="AG692">
        <f t="shared" si="426"/>
        <v>0</v>
      </c>
      <c r="AH692">
        <f t="shared" si="427"/>
        <v>0</v>
      </c>
      <c r="AI692">
        <f t="shared" si="428"/>
        <v>0</v>
      </c>
      <c r="AJ692">
        <f t="shared" si="429"/>
        <v>0</v>
      </c>
      <c r="AK692">
        <f t="shared" si="430"/>
        <v>0</v>
      </c>
      <c r="AL692">
        <f t="shared" si="431"/>
        <v>0</v>
      </c>
      <c r="AM692">
        <f t="shared" si="432"/>
        <v>0</v>
      </c>
      <c r="AN692">
        <f t="shared" si="433"/>
        <v>0</v>
      </c>
      <c r="AO692">
        <f t="shared" si="434"/>
        <v>0</v>
      </c>
      <c r="AP692">
        <f t="shared" si="435"/>
        <v>0</v>
      </c>
      <c r="AQ692">
        <f t="shared" si="436"/>
        <v>0</v>
      </c>
    </row>
    <row r="693" spans="1:43" ht="15.5" x14ac:dyDescent="0.35">
      <c r="A693" s="51">
        <v>45</v>
      </c>
      <c r="B693" s="13" t="s">
        <v>460</v>
      </c>
      <c r="C693" s="1" t="s">
        <v>112</v>
      </c>
      <c r="D693" s="1" t="s">
        <v>76</v>
      </c>
      <c r="E693" s="19">
        <v>3686.8854027818752</v>
      </c>
      <c r="F693">
        <f t="shared" si="401"/>
        <v>3686.8854027818752</v>
      </c>
      <c r="G693">
        <f t="shared" si="402"/>
        <v>0</v>
      </c>
      <c r="H693">
        <f t="shared" si="403"/>
        <v>0</v>
      </c>
      <c r="I693">
        <f t="shared" si="404"/>
        <v>0</v>
      </c>
      <c r="J693">
        <f t="shared" si="405"/>
        <v>0</v>
      </c>
      <c r="K693">
        <f t="shared" si="406"/>
        <v>0</v>
      </c>
      <c r="L693">
        <f t="shared" si="407"/>
        <v>0</v>
      </c>
      <c r="M693">
        <f t="shared" si="408"/>
        <v>0</v>
      </c>
      <c r="N693">
        <f t="shared" si="409"/>
        <v>0</v>
      </c>
      <c r="O693">
        <f t="shared" si="410"/>
        <v>0</v>
      </c>
      <c r="P693">
        <f t="shared" si="411"/>
        <v>0</v>
      </c>
      <c r="Q693">
        <f t="shared" si="412"/>
        <v>0</v>
      </c>
      <c r="S693">
        <f t="shared" si="413"/>
        <v>14</v>
      </c>
      <c r="T693">
        <f t="shared" si="414"/>
        <v>13</v>
      </c>
      <c r="U693">
        <f t="shared" si="415"/>
        <v>1</v>
      </c>
      <c r="V693">
        <f t="shared" si="416"/>
        <v>3</v>
      </c>
      <c r="W693">
        <f t="shared" si="417"/>
        <v>21</v>
      </c>
      <c r="X693">
        <f t="shared" si="418"/>
        <v>18</v>
      </c>
      <c r="Y693">
        <f t="shared" si="419"/>
        <v>1</v>
      </c>
      <c r="Z693">
        <f t="shared" si="420"/>
        <v>3</v>
      </c>
      <c r="AA693">
        <f t="shared" si="421"/>
        <v>3</v>
      </c>
      <c r="AB693">
        <f t="shared" si="422"/>
        <v>1</v>
      </c>
      <c r="AC693">
        <f t="shared" si="423"/>
        <v>24</v>
      </c>
      <c r="AD693">
        <f t="shared" si="424"/>
        <v>0</v>
      </c>
      <c r="AF693">
        <f t="shared" si="425"/>
        <v>0</v>
      </c>
      <c r="AG693">
        <f t="shared" si="426"/>
        <v>0</v>
      </c>
      <c r="AH693">
        <f t="shared" si="427"/>
        <v>0</v>
      </c>
      <c r="AI693">
        <f t="shared" si="428"/>
        <v>0</v>
      </c>
      <c r="AJ693">
        <f t="shared" si="429"/>
        <v>0</v>
      </c>
      <c r="AK693">
        <f t="shared" si="430"/>
        <v>0</v>
      </c>
      <c r="AL693">
        <f t="shared" si="431"/>
        <v>0</v>
      </c>
      <c r="AM693">
        <f t="shared" si="432"/>
        <v>0</v>
      </c>
      <c r="AN693">
        <f t="shared" si="433"/>
        <v>0</v>
      </c>
      <c r="AO693">
        <f t="shared" si="434"/>
        <v>0</v>
      </c>
      <c r="AP693">
        <f t="shared" si="435"/>
        <v>0</v>
      </c>
      <c r="AQ693">
        <f t="shared" si="436"/>
        <v>0</v>
      </c>
    </row>
    <row r="694" spans="1:43" ht="15.5" x14ac:dyDescent="0.35">
      <c r="A694" s="51">
        <v>46</v>
      </c>
      <c r="B694" s="13" t="s">
        <v>460</v>
      </c>
      <c r="C694" s="1" t="s">
        <v>115</v>
      </c>
      <c r="D694" s="1" t="s">
        <v>54</v>
      </c>
      <c r="E694" s="19">
        <v>3834.6922618041017</v>
      </c>
      <c r="F694">
        <f t="shared" si="401"/>
        <v>0</v>
      </c>
      <c r="G694">
        <f t="shared" si="402"/>
        <v>0</v>
      </c>
      <c r="H694">
        <f t="shared" si="403"/>
        <v>0</v>
      </c>
      <c r="I694">
        <f t="shared" si="404"/>
        <v>0</v>
      </c>
      <c r="J694">
        <f t="shared" si="405"/>
        <v>0</v>
      </c>
      <c r="K694">
        <f t="shared" si="406"/>
        <v>3834.6922618041017</v>
      </c>
      <c r="L694">
        <f t="shared" si="407"/>
        <v>0</v>
      </c>
      <c r="M694">
        <f t="shared" si="408"/>
        <v>0</v>
      </c>
      <c r="N694">
        <f t="shared" si="409"/>
        <v>0</v>
      </c>
      <c r="O694">
        <f t="shared" si="410"/>
        <v>0</v>
      </c>
      <c r="P694">
        <f t="shared" si="411"/>
        <v>0</v>
      </c>
      <c r="Q694">
        <f t="shared" si="412"/>
        <v>0</v>
      </c>
      <c r="S694">
        <f t="shared" si="413"/>
        <v>13</v>
      </c>
      <c r="T694">
        <f t="shared" si="414"/>
        <v>13</v>
      </c>
      <c r="U694">
        <f t="shared" si="415"/>
        <v>1</v>
      </c>
      <c r="V694">
        <f t="shared" si="416"/>
        <v>3</v>
      </c>
      <c r="W694">
        <f t="shared" si="417"/>
        <v>21</v>
      </c>
      <c r="X694">
        <f t="shared" si="418"/>
        <v>18</v>
      </c>
      <c r="Y694">
        <f t="shared" si="419"/>
        <v>1</v>
      </c>
      <c r="Z694">
        <f t="shared" si="420"/>
        <v>3</v>
      </c>
      <c r="AA694">
        <f t="shared" si="421"/>
        <v>3</v>
      </c>
      <c r="AB694">
        <f t="shared" si="422"/>
        <v>1</v>
      </c>
      <c r="AC694">
        <f t="shared" si="423"/>
        <v>24</v>
      </c>
      <c r="AD694">
        <f t="shared" si="424"/>
        <v>0</v>
      </c>
      <c r="AF694">
        <f t="shared" si="425"/>
        <v>0</v>
      </c>
      <c r="AG694">
        <f t="shared" si="426"/>
        <v>0</v>
      </c>
      <c r="AH694">
        <f t="shared" si="427"/>
        <v>0</v>
      </c>
      <c r="AI694">
        <f t="shared" si="428"/>
        <v>0</v>
      </c>
      <c r="AJ694">
        <f t="shared" si="429"/>
        <v>0</v>
      </c>
      <c r="AK694">
        <f t="shared" si="430"/>
        <v>0</v>
      </c>
      <c r="AL694">
        <f t="shared" si="431"/>
        <v>0</v>
      </c>
      <c r="AM694">
        <f t="shared" si="432"/>
        <v>0</v>
      </c>
      <c r="AN694">
        <f t="shared" si="433"/>
        <v>0</v>
      </c>
      <c r="AO694">
        <f t="shared" si="434"/>
        <v>0</v>
      </c>
      <c r="AP694">
        <f t="shared" si="435"/>
        <v>0</v>
      </c>
      <c r="AQ694">
        <f t="shared" si="436"/>
        <v>0</v>
      </c>
    </row>
    <row r="695" spans="1:43" ht="15.5" x14ac:dyDescent="0.35">
      <c r="A695" s="51">
        <v>47</v>
      </c>
      <c r="B695" s="13" t="s">
        <v>461</v>
      </c>
      <c r="C695" s="1" t="s">
        <v>463</v>
      </c>
      <c r="D695" s="1" t="s">
        <v>227</v>
      </c>
      <c r="E695" s="19">
        <v>3427.3189265586038</v>
      </c>
      <c r="F695">
        <f t="shared" si="401"/>
        <v>0</v>
      </c>
      <c r="G695">
        <f t="shared" si="402"/>
        <v>3427.3189265586038</v>
      </c>
      <c r="H695">
        <f t="shared" si="403"/>
        <v>0</v>
      </c>
      <c r="I695">
        <f t="shared" si="404"/>
        <v>0</v>
      </c>
      <c r="J695">
        <f t="shared" si="405"/>
        <v>0</v>
      </c>
      <c r="K695">
        <f t="shared" si="406"/>
        <v>0</v>
      </c>
      <c r="L695">
        <f t="shared" si="407"/>
        <v>0</v>
      </c>
      <c r="M695">
        <f t="shared" si="408"/>
        <v>0</v>
      </c>
      <c r="N695">
        <f t="shared" si="409"/>
        <v>0</v>
      </c>
      <c r="O695">
        <f t="shared" si="410"/>
        <v>0</v>
      </c>
      <c r="P695">
        <f t="shared" si="411"/>
        <v>0</v>
      </c>
      <c r="Q695">
        <f t="shared" si="412"/>
        <v>0</v>
      </c>
      <c r="S695">
        <f t="shared" si="413"/>
        <v>13</v>
      </c>
      <c r="T695">
        <f t="shared" si="414"/>
        <v>13</v>
      </c>
      <c r="U695">
        <f t="shared" si="415"/>
        <v>1</v>
      </c>
      <c r="V695">
        <f t="shared" si="416"/>
        <v>3</v>
      </c>
      <c r="W695">
        <f t="shared" si="417"/>
        <v>21</v>
      </c>
      <c r="X695">
        <f t="shared" si="418"/>
        <v>17</v>
      </c>
      <c r="Y695">
        <f t="shared" si="419"/>
        <v>1</v>
      </c>
      <c r="Z695">
        <f t="shared" si="420"/>
        <v>3</v>
      </c>
      <c r="AA695">
        <f t="shared" si="421"/>
        <v>3</v>
      </c>
      <c r="AB695">
        <f t="shared" si="422"/>
        <v>1</v>
      </c>
      <c r="AC695">
        <f t="shared" si="423"/>
        <v>24</v>
      </c>
      <c r="AD695">
        <f t="shared" si="424"/>
        <v>0</v>
      </c>
      <c r="AF695">
        <f t="shared" si="425"/>
        <v>0</v>
      </c>
      <c r="AG695">
        <f t="shared" si="426"/>
        <v>0</v>
      </c>
      <c r="AH695">
        <f t="shared" si="427"/>
        <v>0</v>
      </c>
      <c r="AI695">
        <f t="shared" si="428"/>
        <v>0</v>
      </c>
      <c r="AJ695">
        <f t="shared" si="429"/>
        <v>0</v>
      </c>
      <c r="AK695">
        <f t="shared" si="430"/>
        <v>0</v>
      </c>
      <c r="AL695">
        <f t="shared" si="431"/>
        <v>0</v>
      </c>
      <c r="AM695">
        <f t="shared" si="432"/>
        <v>0</v>
      </c>
      <c r="AN695">
        <f t="shared" si="433"/>
        <v>0</v>
      </c>
      <c r="AO695">
        <f t="shared" si="434"/>
        <v>0</v>
      </c>
      <c r="AP695">
        <f t="shared" si="435"/>
        <v>0</v>
      </c>
      <c r="AQ695">
        <f t="shared" si="436"/>
        <v>0</v>
      </c>
    </row>
    <row r="696" spans="1:43" ht="15.5" x14ac:dyDescent="0.35">
      <c r="A696" s="51">
        <v>48</v>
      </c>
      <c r="B696" s="13" t="s">
        <v>461</v>
      </c>
      <c r="C696" s="17" t="s">
        <v>116</v>
      </c>
      <c r="D696" s="17" t="s">
        <v>227</v>
      </c>
      <c r="E696" s="19">
        <v>3751.7913361289648</v>
      </c>
      <c r="F696">
        <f t="shared" si="401"/>
        <v>0</v>
      </c>
      <c r="G696">
        <f t="shared" si="402"/>
        <v>3751.7913361289648</v>
      </c>
      <c r="H696">
        <f t="shared" si="403"/>
        <v>0</v>
      </c>
      <c r="I696">
        <f t="shared" si="404"/>
        <v>0</v>
      </c>
      <c r="J696">
        <f t="shared" si="405"/>
        <v>0</v>
      </c>
      <c r="K696">
        <f t="shared" si="406"/>
        <v>0</v>
      </c>
      <c r="L696">
        <f t="shared" si="407"/>
        <v>0</v>
      </c>
      <c r="M696">
        <f t="shared" si="408"/>
        <v>0</v>
      </c>
      <c r="N696">
        <f t="shared" si="409"/>
        <v>0</v>
      </c>
      <c r="O696">
        <f t="shared" si="410"/>
        <v>0</v>
      </c>
      <c r="P696">
        <f t="shared" si="411"/>
        <v>0</v>
      </c>
      <c r="Q696">
        <f t="shared" si="412"/>
        <v>0</v>
      </c>
      <c r="S696">
        <f t="shared" si="413"/>
        <v>13</v>
      </c>
      <c r="T696">
        <f t="shared" si="414"/>
        <v>12</v>
      </c>
      <c r="U696">
        <f t="shared" si="415"/>
        <v>1</v>
      </c>
      <c r="V696">
        <f t="shared" si="416"/>
        <v>3</v>
      </c>
      <c r="W696">
        <f t="shared" si="417"/>
        <v>21</v>
      </c>
      <c r="X696">
        <f t="shared" si="418"/>
        <v>17</v>
      </c>
      <c r="Y696">
        <f t="shared" si="419"/>
        <v>1</v>
      </c>
      <c r="Z696">
        <f t="shared" si="420"/>
        <v>3</v>
      </c>
      <c r="AA696">
        <f t="shared" si="421"/>
        <v>3</v>
      </c>
      <c r="AB696">
        <f t="shared" si="422"/>
        <v>1</v>
      </c>
      <c r="AC696">
        <f t="shared" si="423"/>
        <v>24</v>
      </c>
      <c r="AD696">
        <f t="shared" si="424"/>
        <v>0</v>
      </c>
      <c r="AF696">
        <f t="shared" si="425"/>
        <v>0</v>
      </c>
      <c r="AG696">
        <f t="shared" si="426"/>
        <v>0</v>
      </c>
      <c r="AH696">
        <f t="shared" si="427"/>
        <v>0</v>
      </c>
      <c r="AI696">
        <f t="shared" si="428"/>
        <v>0</v>
      </c>
      <c r="AJ696">
        <f t="shared" si="429"/>
        <v>0</v>
      </c>
      <c r="AK696">
        <f t="shared" si="430"/>
        <v>0</v>
      </c>
      <c r="AL696">
        <f t="shared" si="431"/>
        <v>0</v>
      </c>
      <c r="AM696">
        <f t="shared" si="432"/>
        <v>0</v>
      </c>
      <c r="AN696">
        <f t="shared" si="433"/>
        <v>0</v>
      </c>
      <c r="AO696">
        <f t="shared" si="434"/>
        <v>0</v>
      </c>
      <c r="AP696">
        <f t="shared" si="435"/>
        <v>0</v>
      </c>
      <c r="AQ696">
        <f t="shared" si="436"/>
        <v>0</v>
      </c>
    </row>
    <row r="697" spans="1:43" ht="15.5" x14ac:dyDescent="0.35">
      <c r="A697" s="51">
        <v>49</v>
      </c>
      <c r="B697" s="13" t="s">
        <v>461</v>
      </c>
      <c r="C697" s="1" t="s">
        <v>118</v>
      </c>
      <c r="D697" s="1" t="s">
        <v>60</v>
      </c>
      <c r="E697" s="19">
        <v>3355.5565059267014</v>
      </c>
      <c r="F697">
        <f t="shared" si="401"/>
        <v>0</v>
      </c>
      <c r="G697">
        <f t="shared" si="402"/>
        <v>0</v>
      </c>
      <c r="H697">
        <f t="shared" si="403"/>
        <v>0</v>
      </c>
      <c r="I697">
        <f t="shared" si="404"/>
        <v>0</v>
      </c>
      <c r="J697">
        <f t="shared" si="405"/>
        <v>3355.5565059267014</v>
      </c>
      <c r="K697">
        <f t="shared" si="406"/>
        <v>0</v>
      </c>
      <c r="L697">
        <f t="shared" si="407"/>
        <v>0</v>
      </c>
      <c r="M697">
        <f t="shared" si="408"/>
        <v>0</v>
      </c>
      <c r="N697">
        <f t="shared" si="409"/>
        <v>0</v>
      </c>
      <c r="O697">
        <f t="shared" si="410"/>
        <v>0</v>
      </c>
      <c r="P697">
        <f t="shared" si="411"/>
        <v>0</v>
      </c>
      <c r="Q697">
        <f t="shared" si="412"/>
        <v>0</v>
      </c>
      <c r="S697">
        <f t="shared" si="413"/>
        <v>13</v>
      </c>
      <c r="T697">
        <f t="shared" si="414"/>
        <v>11</v>
      </c>
      <c r="U697">
        <f t="shared" si="415"/>
        <v>1</v>
      </c>
      <c r="V697">
        <f t="shared" si="416"/>
        <v>3</v>
      </c>
      <c r="W697">
        <f t="shared" si="417"/>
        <v>21</v>
      </c>
      <c r="X697">
        <f t="shared" si="418"/>
        <v>17</v>
      </c>
      <c r="Y697">
        <f t="shared" si="419"/>
        <v>1</v>
      </c>
      <c r="Z697">
        <f t="shared" si="420"/>
        <v>3</v>
      </c>
      <c r="AA697">
        <f t="shared" si="421"/>
        <v>3</v>
      </c>
      <c r="AB697">
        <f t="shared" si="422"/>
        <v>1</v>
      </c>
      <c r="AC697">
        <f t="shared" si="423"/>
        <v>24</v>
      </c>
      <c r="AD697">
        <f t="shared" si="424"/>
        <v>0</v>
      </c>
      <c r="AF697">
        <f t="shared" si="425"/>
        <v>0</v>
      </c>
      <c r="AG697">
        <f t="shared" si="426"/>
        <v>0</v>
      </c>
      <c r="AH697">
        <f t="shared" si="427"/>
        <v>0</v>
      </c>
      <c r="AI697">
        <f t="shared" si="428"/>
        <v>0</v>
      </c>
      <c r="AJ697">
        <f t="shared" si="429"/>
        <v>0</v>
      </c>
      <c r="AK697">
        <f t="shared" si="430"/>
        <v>0</v>
      </c>
      <c r="AL697">
        <f t="shared" si="431"/>
        <v>0</v>
      </c>
      <c r="AM697">
        <f t="shared" si="432"/>
        <v>0</v>
      </c>
      <c r="AN697">
        <f t="shared" si="433"/>
        <v>0</v>
      </c>
      <c r="AO697">
        <f t="shared" si="434"/>
        <v>0</v>
      </c>
      <c r="AP697">
        <f t="shared" si="435"/>
        <v>0</v>
      </c>
      <c r="AQ697">
        <f t="shared" si="436"/>
        <v>0</v>
      </c>
    </row>
    <row r="698" spans="1:43" ht="15.5" x14ac:dyDescent="0.35">
      <c r="A698" s="51">
        <v>50</v>
      </c>
      <c r="B698" s="13" t="s">
        <v>464</v>
      </c>
      <c r="C698" s="1" t="s">
        <v>121</v>
      </c>
      <c r="D698" s="1" t="s">
        <v>60</v>
      </c>
      <c r="E698" s="19">
        <v>3618.1337222233806</v>
      </c>
      <c r="F698">
        <f t="shared" si="401"/>
        <v>0</v>
      </c>
      <c r="G698">
        <f t="shared" si="402"/>
        <v>0</v>
      </c>
      <c r="H698">
        <f t="shared" si="403"/>
        <v>0</v>
      </c>
      <c r="I698">
        <f t="shared" si="404"/>
        <v>0</v>
      </c>
      <c r="J698">
        <f t="shared" si="405"/>
        <v>3618.1337222233806</v>
      </c>
      <c r="K698">
        <f t="shared" si="406"/>
        <v>0</v>
      </c>
      <c r="L698">
        <f t="shared" si="407"/>
        <v>0</v>
      </c>
      <c r="M698">
        <f t="shared" si="408"/>
        <v>0</v>
      </c>
      <c r="N698">
        <f t="shared" si="409"/>
        <v>0</v>
      </c>
      <c r="O698">
        <f t="shared" si="410"/>
        <v>0</v>
      </c>
      <c r="P698">
        <f t="shared" si="411"/>
        <v>0</v>
      </c>
      <c r="Q698">
        <f t="shared" si="412"/>
        <v>0</v>
      </c>
      <c r="S698">
        <f t="shared" si="413"/>
        <v>13</v>
      </c>
      <c r="T698">
        <f t="shared" si="414"/>
        <v>11</v>
      </c>
      <c r="U698">
        <f t="shared" si="415"/>
        <v>1</v>
      </c>
      <c r="V698">
        <f t="shared" si="416"/>
        <v>3</v>
      </c>
      <c r="W698">
        <f t="shared" si="417"/>
        <v>20</v>
      </c>
      <c r="X698">
        <f t="shared" si="418"/>
        <v>17</v>
      </c>
      <c r="Y698">
        <f t="shared" si="419"/>
        <v>1</v>
      </c>
      <c r="Z698">
        <f t="shared" si="420"/>
        <v>3</v>
      </c>
      <c r="AA698">
        <f t="shared" si="421"/>
        <v>3</v>
      </c>
      <c r="AB698">
        <f t="shared" si="422"/>
        <v>1</v>
      </c>
      <c r="AC698">
        <f t="shared" si="423"/>
        <v>24</v>
      </c>
      <c r="AD698">
        <f t="shared" si="424"/>
        <v>0</v>
      </c>
      <c r="AF698">
        <f t="shared" si="425"/>
        <v>0</v>
      </c>
      <c r="AG698">
        <f t="shared" si="426"/>
        <v>0</v>
      </c>
      <c r="AH698">
        <f t="shared" si="427"/>
        <v>0</v>
      </c>
      <c r="AI698">
        <f t="shared" si="428"/>
        <v>0</v>
      </c>
      <c r="AJ698">
        <f t="shared" si="429"/>
        <v>0</v>
      </c>
      <c r="AK698">
        <f t="shared" si="430"/>
        <v>0</v>
      </c>
      <c r="AL698">
        <f t="shared" si="431"/>
        <v>0</v>
      </c>
      <c r="AM698">
        <f t="shared" si="432"/>
        <v>0</v>
      </c>
      <c r="AN698">
        <f t="shared" si="433"/>
        <v>0</v>
      </c>
      <c r="AO698">
        <f t="shared" si="434"/>
        <v>0</v>
      </c>
      <c r="AP698">
        <f t="shared" si="435"/>
        <v>0</v>
      </c>
      <c r="AQ698">
        <f t="shared" si="436"/>
        <v>0</v>
      </c>
    </row>
    <row r="699" spans="1:43" ht="15.5" x14ac:dyDescent="0.35">
      <c r="A699" s="51">
        <v>51</v>
      </c>
      <c r="B699" s="13" t="s">
        <v>464</v>
      </c>
      <c r="C699" s="17" t="s">
        <v>120</v>
      </c>
      <c r="D699" s="17" t="s">
        <v>76</v>
      </c>
      <c r="E699" s="19">
        <v>2972.0094097846541</v>
      </c>
      <c r="F699">
        <f t="shared" si="401"/>
        <v>2972.0094097846541</v>
      </c>
      <c r="G699">
        <f t="shared" si="402"/>
        <v>0</v>
      </c>
      <c r="H699">
        <f t="shared" si="403"/>
        <v>0</v>
      </c>
      <c r="I699">
        <f t="shared" si="404"/>
        <v>0</v>
      </c>
      <c r="J699">
        <f t="shared" si="405"/>
        <v>0</v>
      </c>
      <c r="K699">
        <f t="shared" si="406"/>
        <v>0</v>
      </c>
      <c r="L699">
        <f t="shared" si="407"/>
        <v>0</v>
      </c>
      <c r="M699">
        <f t="shared" si="408"/>
        <v>0</v>
      </c>
      <c r="N699">
        <f t="shared" si="409"/>
        <v>0</v>
      </c>
      <c r="O699">
        <f t="shared" si="410"/>
        <v>0</v>
      </c>
      <c r="P699">
        <f t="shared" si="411"/>
        <v>0</v>
      </c>
      <c r="Q699">
        <f t="shared" si="412"/>
        <v>0</v>
      </c>
      <c r="S699">
        <f t="shared" si="413"/>
        <v>13</v>
      </c>
      <c r="T699">
        <f t="shared" si="414"/>
        <v>11</v>
      </c>
      <c r="U699">
        <f t="shared" si="415"/>
        <v>1</v>
      </c>
      <c r="V699">
        <f t="shared" si="416"/>
        <v>3</v>
      </c>
      <c r="W699">
        <f t="shared" si="417"/>
        <v>19</v>
      </c>
      <c r="X699">
        <f t="shared" si="418"/>
        <v>17</v>
      </c>
      <c r="Y699">
        <f t="shared" si="419"/>
        <v>1</v>
      </c>
      <c r="Z699">
        <f t="shared" si="420"/>
        <v>3</v>
      </c>
      <c r="AA699">
        <f t="shared" si="421"/>
        <v>3</v>
      </c>
      <c r="AB699">
        <f t="shared" si="422"/>
        <v>1</v>
      </c>
      <c r="AC699">
        <f t="shared" si="423"/>
        <v>24</v>
      </c>
      <c r="AD699">
        <f t="shared" si="424"/>
        <v>0</v>
      </c>
      <c r="AF699">
        <f t="shared" si="425"/>
        <v>0</v>
      </c>
      <c r="AG699">
        <f t="shared" si="426"/>
        <v>0</v>
      </c>
      <c r="AH699">
        <f t="shared" si="427"/>
        <v>0</v>
      </c>
      <c r="AI699">
        <f t="shared" si="428"/>
        <v>0</v>
      </c>
      <c r="AJ699">
        <f t="shared" si="429"/>
        <v>0</v>
      </c>
      <c r="AK699">
        <f t="shared" si="430"/>
        <v>0</v>
      </c>
      <c r="AL699">
        <f t="shared" si="431"/>
        <v>0</v>
      </c>
      <c r="AM699">
        <f t="shared" si="432"/>
        <v>0</v>
      </c>
      <c r="AN699">
        <f t="shared" si="433"/>
        <v>0</v>
      </c>
      <c r="AO699">
        <f t="shared" si="434"/>
        <v>0</v>
      </c>
      <c r="AP699">
        <f t="shared" si="435"/>
        <v>0</v>
      </c>
      <c r="AQ699">
        <f t="shared" si="436"/>
        <v>0</v>
      </c>
    </row>
    <row r="700" spans="1:43" ht="15.5" x14ac:dyDescent="0.35">
      <c r="A700" s="51">
        <v>52</v>
      </c>
      <c r="B700" s="13" t="s">
        <v>464</v>
      </c>
      <c r="C700" s="1" t="s">
        <v>124</v>
      </c>
      <c r="D700" s="1" t="s">
        <v>76</v>
      </c>
      <c r="E700" s="19">
        <v>3140.7777521333473</v>
      </c>
      <c r="F700">
        <f t="shared" si="401"/>
        <v>3140.7777521333473</v>
      </c>
      <c r="G700">
        <f t="shared" si="402"/>
        <v>0</v>
      </c>
      <c r="H700">
        <f t="shared" si="403"/>
        <v>0</v>
      </c>
      <c r="I700">
        <f t="shared" si="404"/>
        <v>0</v>
      </c>
      <c r="J700">
        <f t="shared" si="405"/>
        <v>0</v>
      </c>
      <c r="K700">
        <f t="shared" si="406"/>
        <v>0</v>
      </c>
      <c r="L700">
        <f t="shared" si="407"/>
        <v>0</v>
      </c>
      <c r="M700">
        <f t="shared" si="408"/>
        <v>0</v>
      </c>
      <c r="N700">
        <f t="shared" si="409"/>
        <v>0</v>
      </c>
      <c r="O700">
        <f t="shared" si="410"/>
        <v>0</v>
      </c>
      <c r="P700">
        <f t="shared" si="411"/>
        <v>0</v>
      </c>
      <c r="Q700">
        <f t="shared" si="412"/>
        <v>0</v>
      </c>
      <c r="S700">
        <f t="shared" si="413"/>
        <v>12</v>
      </c>
      <c r="T700">
        <f t="shared" si="414"/>
        <v>11</v>
      </c>
      <c r="U700">
        <f t="shared" si="415"/>
        <v>1</v>
      </c>
      <c r="V700">
        <f t="shared" si="416"/>
        <v>3</v>
      </c>
      <c r="W700">
        <f t="shared" si="417"/>
        <v>19</v>
      </c>
      <c r="X700">
        <f t="shared" si="418"/>
        <v>17</v>
      </c>
      <c r="Y700">
        <f t="shared" si="419"/>
        <v>1</v>
      </c>
      <c r="Z700">
        <f t="shared" si="420"/>
        <v>3</v>
      </c>
      <c r="AA700">
        <f t="shared" si="421"/>
        <v>3</v>
      </c>
      <c r="AB700">
        <f t="shared" si="422"/>
        <v>1</v>
      </c>
      <c r="AC700">
        <f t="shared" si="423"/>
        <v>24</v>
      </c>
      <c r="AD700">
        <f t="shared" si="424"/>
        <v>0</v>
      </c>
      <c r="AF700">
        <f t="shared" si="425"/>
        <v>0</v>
      </c>
      <c r="AG700">
        <f t="shared" si="426"/>
        <v>0</v>
      </c>
      <c r="AH700">
        <f t="shared" si="427"/>
        <v>0</v>
      </c>
      <c r="AI700">
        <f t="shared" si="428"/>
        <v>0</v>
      </c>
      <c r="AJ700">
        <f t="shared" si="429"/>
        <v>0</v>
      </c>
      <c r="AK700">
        <f t="shared" si="430"/>
        <v>0</v>
      </c>
      <c r="AL700">
        <f t="shared" si="431"/>
        <v>0</v>
      </c>
      <c r="AM700">
        <f t="shared" si="432"/>
        <v>0</v>
      </c>
      <c r="AN700">
        <f t="shared" si="433"/>
        <v>0</v>
      </c>
      <c r="AO700">
        <f t="shared" si="434"/>
        <v>0</v>
      </c>
      <c r="AP700">
        <f t="shared" si="435"/>
        <v>0</v>
      </c>
      <c r="AQ700">
        <f t="shared" si="436"/>
        <v>0</v>
      </c>
    </row>
    <row r="701" spans="1:43" ht="15.5" x14ac:dyDescent="0.35">
      <c r="A701" s="51">
        <v>53</v>
      </c>
      <c r="B701" s="13" t="s">
        <v>464</v>
      </c>
      <c r="C701" s="1" t="s">
        <v>465</v>
      </c>
      <c r="D701" s="1" t="s">
        <v>60</v>
      </c>
      <c r="E701" s="19">
        <v>3596.8152861172048</v>
      </c>
      <c r="F701">
        <f t="shared" si="401"/>
        <v>0</v>
      </c>
      <c r="G701">
        <f t="shared" si="402"/>
        <v>0</v>
      </c>
      <c r="H701">
        <f t="shared" si="403"/>
        <v>0</v>
      </c>
      <c r="I701">
        <f t="shared" si="404"/>
        <v>0</v>
      </c>
      <c r="J701">
        <f t="shared" si="405"/>
        <v>3596.8152861172048</v>
      </c>
      <c r="K701">
        <f t="shared" si="406"/>
        <v>0</v>
      </c>
      <c r="L701">
        <f t="shared" si="407"/>
        <v>0</v>
      </c>
      <c r="M701">
        <f t="shared" si="408"/>
        <v>0</v>
      </c>
      <c r="N701">
        <f t="shared" si="409"/>
        <v>0</v>
      </c>
      <c r="O701">
        <f t="shared" si="410"/>
        <v>0</v>
      </c>
      <c r="P701">
        <f t="shared" si="411"/>
        <v>0</v>
      </c>
      <c r="Q701">
        <f t="shared" si="412"/>
        <v>0</v>
      </c>
      <c r="S701">
        <f t="shared" si="413"/>
        <v>11</v>
      </c>
      <c r="T701">
        <f t="shared" si="414"/>
        <v>11</v>
      </c>
      <c r="U701">
        <f t="shared" si="415"/>
        <v>1</v>
      </c>
      <c r="V701">
        <f t="shared" si="416"/>
        <v>3</v>
      </c>
      <c r="W701">
        <f t="shared" si="417"/>
        <v>19</v>
      </c>
      <c r="X701">
        <f t="shared" si="418"/>
        <v>17</v>
      </c>
      <c r="Y701">
        <f t="shared" si="419"/>
        <v>1</v>
      </c>
      <c r="Z701">
        <f t="shared" si="420"/>
        <v>3</v>
      </c>
      <c r="AA701">
        <f t="shared" si="421"/>
        <v>3</v>
      </c>
      <c r="AB701">
        <f t="shared" si="422"/>
        <v>1</v>
      </c>
      <c r="AC701">
        <f t="shared" si="423"/>
        <v>24</v>
      </c>
      <c r="AD701">
        <f t="shared" si="424"/>
        <v>0</v>
      </c>
      <c r="AF701">
        <f t="shared" si="425"/>
        <v>0</v>
      </c>
      <c r="AG701">
        <f t="shared" si="426"/>
        <v>0</v>
      </c>
      <c r="AH701">
        <f t="shared" si="427"/>
        <v>0</v>
      </c>
      <c r="AI701">
        <f t="shared" si="428"/>
        <v>0</v>
      </c>
      <c r="AJ701">
        <f t="shared" si="429"/>
        <v>0</v>
      </c>
      <c r="AK701">
        <f t="shared" si="430"/>
        <v>0</v>
      </c>
      <c r="AL701">
        <f t="shared" si="431"/>
        <v>0</v>
      </c>
      <c r="AM701">
        <f t="shared" si="432"/>
        <v>0</v>
      </c>
      <c r="AN701">
        <f t="shared" si="433"/>
        <v>0</v>
      </c>
      <c r="AO701">
        <f t="shared" si="434"/>
        <v>0</v>
      </c>
      <c r="AP701">
        <f t="shared" si="435"/>
        <v>0</v>
      </c>
      <c r="AQ701">
        <f t="shared" si="436"/>
        <v>0</v>
      </c>
    </row>
    <row r="702" spans="1:43" ht="15.5" x14ac:dyDescent="0.35">
      <c r="A702" s="51">
        <v>54</v>
      </c>
      <c r="B702" s="13" t="s">
        <v>464</v>
      </c>
      <c r="C702" s="1" t="s">
        <v>125</v>
      </c>
      <c r="D702" s="1" t="s">
        <v>54</v>
      </c>
      <c r="E702" s="19">
        <v>3677.0468019646778</v>
      </c>
      <c r="F702">
        <f t="shared" si="401"/>
        <v>0</v>
      </c>
      <c r="G702">
        <f t="shared" si="402"/>
        <v>0</v>
      </c>
      <c r="H702">
        <f t="shared" si="403"/>
        <v>0</v>
      </c>
      <c r="I702">
        <f t="shared" si="404"/>
        <v>0</v>
      </c>
      <c r="J702">
        <f t="shared" si="405"/>
        <v>0</v>
      </c>
      <c r="K702">
        <f t="shared" si="406"/>
        <v>3677.0468019646778</v>
      </c>
      <c r="L702">
        <f t="shared" si="407"/>
        <v>0</v>
      </c>
      <c r="M702">
        <f t="shared" si="408"/>
        <v>0</v>
      </c>
      <c r="N702">
        <f t="shared" si="409"/>
        <v>0</v>
      </c>
      <c r="O702">
        <f t="shared" si="410"/>
        <v>0</v>
      </c>
      <c r="P702">
        <f t="shared" si="411"/>
        <v>0</v>
      </c>
      <c r="Q702">
        <f t="shared" si="412"/>
        <v>0</v>
      </c>
      <c r="S702">
        <f t="shared" si="413"/>
        <v>11</v>
      </c>
      <c r="T702">
        <f t="shared" si="414"/>
        <v>11</v>
      </c>
      <c r="U702">
        <f t="shared" si="415"/>
        <v>1</v>
      </c>
      <c r="V702">
        <f t="shared" si="416"/>
        <v>3</v>
      </c>
      <c r="W702">
        <f t="shared" si="417"/>
        <v>18</v>
      </c>
      <c r="X702">
        <f t="shared" si="418"/>
        <v>17</v>
      </c>
      <c r="Y702">
        <f t="shared" si="419"/>
        <v>1</v>
      </c>
      <c r="Z702">
        <f t="shared" si="420"/>
        <v>3</v>
      </c>
      <c r="AA702">
        <f t="shared" si="421"/>
        <v>3</v>
      </c>
      <c r="AB702">
        <f t="shared" si="422"/>
        <v>1</v>
      </c>
      <c r="AC702">
        <f t="shared" si="423"/>
        <v>24</v>
      </c>
      <c r="AD702">
        <f t="shared" si="424"/>
        <v>0</v>
      </c>
      <c r="AF702">
        <f t="shared" si="425"/>
        <v>0</v>
      </c>
      <c r="AG702">
        <f t="shared" si="426"/>
        <v>0</v>
      </c>
      <c r="AH702">
        <f t="shared" si="427"/>
        <v>0</v>
      </c>
      <c r="AI702">
        <f t="shared" si="428"/>
        <v>0</v>
      </c>
      <c r="AJ702">
        <f t="shared" si="429"/>
        <v>0</v>
      </c>
      <c r="AK702">
        <f t="shared" si="430"/>
        <v>0</v>
      </c>
      <c r="AL702">
        <f t="shared" si="431"/>
        <v>0</v>
      </c>
      <c r="AM702">
        <f t="shared" si="432"/>
        <v>0</v>
      </c>
      <c r="AN702">
        <f t="shared" si="433"/>
        <v>0</v>
      </c>
      <c r="AO702">
        <f t="shared" si="434"/>
        <v>0</v>
      </c>
      <c r="AP702">
        <f t="shared" si="435"/>
        <v>0</v>
      </c>
      <c r="AQ702">
        <f t="shared" si="436"/>
        <v>0</v>
      </c>
    </row>
    <row r="703" spans="1:43" ht="15.5" x14ac:dyDescent="0.35">
      <c r="A703" s="51">
        <v>55</v>
      </c>
      <c r="B703" s="13" t="s">
        <v>466</v>
      </c>
      <c r="C703" s="17" t="s">
        <v>126</v>
      </c>
      <c r="D703" s="17" t="s">
        <v>60</v>
      </c>
      <c r="E703" s="19">
        <v>3129.6454727719156</v>
      </c>
      <c r="F703">
        <f t="shared" si="401"/>
        <v>0</v>
      </c>
      <c r="G703">
        <f t="shared" si="402"/>
        <v>0</v>
      </c>
      <c r="H703">
        <f t="shared" si="403"/>
        <v>0</v>
      </c>
      <c r="I703">
        <f t="shared" si="404"/>
        <v>0</v>
      </c>
      <c r="J703">
        <f t="shared" si="405"/>
        <v>3129.6454727719156</v>
      </c>
      <c r="K703">
        <f t="shared" si="406"/>
        <v>0</v>
      </c>
      <c r="L703">
        <f t="shared" si="407"/>
        <v>0</v>
      </c>
      <c r="M703">
        <f t="shared" si="408"/>
        <v>0</v>
      </c>
      <c r="N703">
        <f t="shared" si="409"/>
        <v>0</v>
      </c>
      <c r="O703">
        <f t="shared" si="410"/>
        <v>0</v>
      </c>
      <c r="P703">
        <f t="shared" si="411"/>
        <v>0</v>
      </c>
      <c r="Q703">
        <f t="shared" si="412"/>
        <v>0</v>
      </c>
      <c r="S703">
        <f t="shared" si="413"/>
        <v>11</v>
      </c>
      <c r="T703">
        <f t="shared" si="414"/>
        <v>11</v>
      </c>
      <c r="U703">
        <f t="shared" si="415"/>
        <v>1</v>
      </c>
      <c r="V703">
        <f t="shared" si="416"/>
        <v>3</v>
      </c>
      <c r="W703">
        <f t="shared" si="417"/>
        <v>18</v>
      </c>
      <c r="X703">
        <f t="shared" si="418"/>
        <v>16</v>
      </c>
      <c r="Y703">
        <f t="shared" si="419"/>
        <v>1</v>
      </c>
      <c r="Z703">
        <f t="shared" si="420"/>
        <v>3</v>
      </c>
      <c r="AA703">
        <f t="shared" si="421"/>
        <v>3</v>
      </c>
      <c r="AB703">
        <f t="shared" si="422"/>
        <v>1</v>
      </c>
      <c r="AC703">
        <f t="shared" si="423"/>
        <v>24</v>
      </c>
      <c r="AD703">
        <f t="shared" si="424"/>
        <v>0</v>
      </c>
      <c r="AF703">
        <f t="shared" si="425"/>
        <v>0</v>
      </c>
      <c r="AG703">
        <f t="shared" si="426"/>
        <v>0</v>
      </c>
      <c r="AH703">
        <f t="shared" si="427"/>
        <v>0</v>
      </c>
      <c r="AI703">
        <f t="shared" si="428"/>
        <v>0</v>
      </c>
      <c r="AJ703">
        <f t="shared" si="429"/>
        <v>0</v>
      </c>
      <c r="AK703">
        <f t="shared" si="430"/>
        <v>0</v>
      </c>
      <c r="AL703">
        <f t="shared" si="431"/>
        <v>0</v>
      </c>
      <c r="AM703">
        <f t="shared" si="432"/>
        <v>0</v>
      </c>
      <c r="AN703">
        <f t="shared" si="433"/>
        <v>0</v>
      </c>
      <c r="AO703">
        <f t="shared" si="434"/>
        <v>0</v>
      </c>
      <c r="AP703">
        <f t="shared" si="435"/>
        <v>0</v>
      </c>
      <c r="AQ703">
        <f t="shared" si="436"/>
        <v>0</v>
      </c>
    </row>
    <row r="704" spans="1:43" ht="15.5" x14ac:dyDescent="0.35">
      <c r="A704" s="51">
        <v>56</v>
      </c>
      <c r="B704" s="13" t="s">
        <v>466</v>
      </c>
      <c r="C704" s="1" t="s">
        <v>128</v>
      </c>
      <c r="D704" s="1" t="s">
        <v>228</v>
      </c>
      <c r="E704" s="19">
        <v>3574.0336261020148</v>
      </c>
      <c r="F704">
        <f t="shared" si="401"/>
        <v>0</v>
      </c>
      <c r="G704">
        <f t="shared" si="402"/>
        <v>0</v>
      </c>
      <c r="H704">
        <f t="shared" si="403"/>
        <v>0</v>
      </c>
      <c r="I704">
        <f t="shared" si="404"/>
        <v>0</v>
      </c>
      <c r="J704">
        <f t="shared" si="405"/>
        <v>0</v>
      </c>
      <c r="K704">
        <f t="shared" si="406"/>
        <v>0</v>
      </c>
      <c r="L704">
        <f t="shared" si="407"/>
        <v>0</v>
      </c>
      <c r="M704">
        <f t="shared" si="408"/>
        <v>0</v>
      </c>
      <c r="N704">
        <f t="shared" si="409"/>
        <v>0</v>
      </c>
      <c r="O704">
        <f t="shared" si="410"/>
        <v>0</v>
      </c>
      <c r="P704">
        <f t="shared" si="411"/>
        <v>3574.0336261020148</v>
      </c>
      <c r="Q704">
        <f t="shared" si="412"/>
        <v>0</v>
      </c>
      <c r="S704">
        <f t="shared" si="413"/>
        <v>11</v>
      </c>
      <c r="T704">
        <f t="shared" si="414"/>
        <v>11</v>
      </c>
      <c r="U704">
        <f t="shared" si="415"/>
        <v>1</v>
      </c>
      <c r="V704">
        <f t="shared" si="416"/>
        <v>3</v>
      </c>
      <c r="W704">
        <f t="shared" si="417"/>
        <v>17</v>
      </c>
      <c r="X704">
        <f t="shared" si="418"/>
        <v>16</v>
      </c>
      <c r="Y704">
        <f t="shared" si="419"/>
        <v>1</v>
      </c>
      <c r="Z704">
        <f t="shared" si="420"/>
        <v>3</v>
      </c>
      <c r="AA704">
        <f t="shared" si="421"/>
        <v>3</v>
      </c>
      <c r="AB704">
        <f t="shared" si="422"/>
        <v>1</v>
      </c>
      <c r="AC704">
        <f t="shared" si="423"/>
        <v>24</v>
      </c>
      <c r="AD704">
        <f t="shared" si="424"/>
        <v>0</v>
      </c>
      <c r="AF704">
        <f t="shared" si="425"/>
        <v>0</v>
      </c>
      <c r="AG704">
        <f t="shared" si="426"/>
        <v>0</v>
      </c>
      <c r="AH704">
        <f t="shared" si="427"/>
        <v>0</v>
      </c>
      <c r="AI704">
        <f t="shared" si="428"/>
        <v>0</v>
      </c>
      <c r="AJ704">
        <f t="shared" si="429"/>
        <v>0</v>
      </c>
      <c r="AK704">
        <f t="shared" si="430"/>
        <v>0</v>
      </c>
      <c r="AL704">
        <f t="shared" si="431"/>
        <v>0</v>
      </c>
      <c r="AM704">
        <f t="shared" si="432"/>
        <v>0</v>
      </c>
      <c r="AN704">
        <f t="shared" si="433"/>
        <v>0</v>
      </c>
      <c r="AO704">
        <f t="shared" si="434"/>
        <v>0</v>
      </c>
      <c r="AP704">
        <f t="shared" si="435"/>
        <v>0</v>
      </c>
      <c r="AQ704">
        <f t="shared" si="436"/>
        <v>0</v>
      </c>
    </row>
    <row r="705" spans="1:43" ht="15.5" x14ac:dyDescent="0.35">
      <c r="A705" s="51">
        <v>57</v>
      </c>
      <c r="B705" s="13" t="s">
        <v>466</v>
      </c>
      <c r="C705" s="1" t="s">
        <v>130</v>
      </c>
      <c r="D705" s="1" t="s">
        <v>227</v>
      </c>
      <c r="E705" s="19">
        <v>3306.0821465634285</v>
      </c>
      <c r="F705">
        <f t="shared" si="401"/>
        <v>0</v>
      </c>
      <c r="G705">
        <f t="shared" si="402"/>
        <v>3306.0821465634285</v>
      </c>
      <c r="H705">
        <f t="shared" si="403"/>
        <v>0</v>
      </c>
      <c r="I705">
        <f t="shared" si="404"/>
        <v>0</v>
      </c>
      <c r="J705">
        <f t="shared" si="405"/>
        <v>0</v>
      </c>
      <c r="K705">
        <f t="shared" si="406"/>
        <v>0</v>
      </c>
      <c r="L705">
        <f t="shared" si="407"/>
        <v>0</v>
      </c>
      <c r="M705">
        <f t="shared" si="408"/>
        <v>0</v>
      </c>
      <c r="N705">
        <f t="shared" si="409"/>
        <v>0</v>
      </c>
      <c r="O705">
        <f t="shared" si="410"/>
        <v>0</v>
      </c>
      <c r="P705">
        <f t="shared" si="411"/>
        <v>0</v>
      </c>
      <c r="Q705">
        <f t="shared" si="412"/>
        <v>0</v>
      </c>
      <c r="S705">
        <f t="shared" si="413"/>
        <v>11</v>
      </c>
      <c r="T705">
        <f t="shared" si="414"/>
        <v>11</v>
      </c>
      <c r="U705">
        <f t="shared" si="415"/>
        <v>1</v>
      </c>
      <c r="V705">
        <f t="shared" si="416"/>
        <v>3</v>
      </c>
      <c r="W705">
        <f t="shared" si="417"/>
        <v>17</v>
      </c>
      <c r="X705">
        <f t="shared" si="418"/>
        <v>16</v>
      </c>
      <c r="Y705">
        <f t="shared" si="419"/>
        <v>1</v>
      </c>
      <c r="Z705">
        <f t="shared" si="420"/>
        <v>3</v>
      </c>
      <c r="AA705">
        <f t="shared" si="421"/>
        <v>3</v>
      </c>
      <c r="AB705">
        <f t="shared" si="422"/>
        <v>1</v>
      </c>
      <c r="AC705">
        <f t="shared" si="423"/>
        <v>23</v>
      </c>
      <c r="AD705">
        <f t="shared" si="424"/>
        <v>0</v>
      </c>
      <c r="AF705">
        <f t="shared" si="425"/>
        <v>0</v>
      </c>
      <c r="AG705">
        <f t="shared" si="426"/>
        <v>0</v>
      </c>
      <c r="AH705">
        <f t="shared" si="427"/>
        <v>0</v>
      </c>
      <c r="AI705">
        <f t="shared" si="428"/>
        <v>0</v>
      </c>
      <c r="AJ705">
        <f t="shared" si="429"/>
        <v>0</v>
      </c>
      <c r="AK705">
        <f t="shared" si="430"/>
        <v>0</v>
      </c>
      <c r="AL705">
        <f t="shared" si="431"/>
        <v>0</v>
      </c>
      <c r="AM705">
        <f t="shared" si="432"/>
        <v>0</v>
      </c>
      <c r="AN705">
        <f t="shared" si="433"/>
        <v>0</v>
      </c>
      <c r="AO705">
        <f t="shared" si="434"/>
        <v>0</v>
      </c>
      <c r="AP705">
        <f t="shared" si="435"/>
        <v>0</v>
      </c>
      <c r="AQ705">
        <f t="shared" si="436"/>
        <v>0</v>
      </c>
    </row>
    <row r="706" spans="1:43" ht="15.5" x14ac:dyDescent="0.35">
      <c r="A706" s="51">
        <v>58</v>
      </c>
      <c r="B706" s="13" t="s">
        <v>467</v>
      </c>
      <c r="C706" s="1" t="s">
        <v>468</v>
      </c>
      <c r="D706" s="1" t="s">
        <v>57</v>
      </c>
      <c r="E706" s="19">
        <v>3512.1774200335294</v>
      </c>
      <c r="F706">
        <f t="shared" si="401"/>
        <v>0</v>
      </c>
      <c r="G706">
        <f t="shared" si="402"/>
        <v>0</v>
      </c>
      <c r="H706">
        <f t="shared" si="403"/>
        <v>0</v>
      </c>
      <c r="I706">
        <f t="shared" si="404"/>
        <v>0</v>
      </c>
      <c r="J706">
        <f t="shared" si="405"/>
        <v>0</v>
      </c>
      <c r="K706">
        <f t="shared" si="406"/>
        <v>0</v>
      </c>
      <c r="L706">
        <f t="shared" si="407"/>
        <v>0</v>
      </c>
      <c r="M706">
        <f t="shared" si="408"/>
        <v>3512.1774200335294</v>
      </c>
      <c r="N706">
        <f t="shared" si="409"/>
        <v>0</v>
      </c>
      <c r="O706">
        <f t="shared" si="410"/>
        <v>0</v>
      </c>
      <c r="P706">
        <f t="shared" si="411"/>
        <v>0</v>
      </c>
      <c r="Q706">
        <f t="shared" si="412"/>
        <v>0</v>
      </c>
      <c r="S706">
        <f t="shared" si="413"/>
        <v>11</v>
      </c>
      <c r="T706">
        <f t="shared" si="414"/>
        <v>10</v>
      </c>
      <c r="U706">
        <f t="shared" si="415"/>
        <v>1</v>
      </c>
      <c r="V706">
        <f t="shared" si="416"/>
        <v>3</v>
      </c>
      <c r="W706">
        <f t="shared" si="417"/>
        <v>17</v>
      </c>
      <c r="X706">
        <f t="shared" si="418"/>
        <v>16</v>
      </c>
      <c r="Y706">
        <f t="shared" si="419"/>
        <v>1</v>
      </c>
      <c r="Z706">
        <f t="shared" si="420"/>
        <v>3</v>
      </c>
      <c r="AA706">
        <f t="shared" si="421"/>
        <v>3</v>
      </c>
      <c r="AB706">
        <f t="shared" si="422"/>
        <v>1</v>
      </c>
      <c r="AC706">
        <f t="shared" si="423"/>
        <v>23</v>
      </c>
      <c r="AD706">
        <f t="shared" si="424"/>
        <v>0</v>
      </c>
      <c r="AF706">
        <f t="shared" si="425"/>
        <v>0</v>
      </c>
      <c r="AG706">
        <f t="shared" si="426"/>
        <v>0</v>
      </c>
      <c r="AH706">
        <f t="shared" si="427"/>
        <v>0</v>
      </c>
      <c r="AI706">
        <f t="shared" si="428"/>
        <v>0</v>
      </c>
      <c r="AJ706">
        <f t="shared" si="429"/>
        <v>0</v>
      </c>
      <c r="AK706">
        <f t="shared" si="430"/>
        <v>0</v>
      </c>
      <c r="AL706">
        <f t="shared" si="431"/>
        <v>0</v>
      </c>
      <c r="AM706">
        <f t="shared" si="432"/>
        <v>3512.1774200335294</v>
      </c>
      <c r="AN706">
        <f t="shared" si="433"/>
        <v>0</v>
      </c>
      <c r="AO706">
        <f t="shared" si="434"/>
        <v>0</v>
      </c>
      <c r="AP706">
        <f t="shared" si="435"/>
        <v>0</v>
      </c>
      <c r="AQ706">
        <f t="shared" si="436"/>
        <v>0</v>
      </c>
    </row>
    <row r="707" spans="1:43" ht="15.5" x14ac:dyDescent="0.35">
      <c r="A707" s="51">
        <v>59</v>
      </c>
      <c r="B707" s="13" t="s">
        <v>467</v>
      </c>
      <c r="C707" s="1" t="s">
        <v>131</v>
      </c>
      <c r="D707" s="1" t="s">
        <v>60</v>
      </c>
      <c r="E707" s="19">
        <v>3527.8672867469872</v>
      </c>
      <c r="F707">
        <f t="shared" si="401"/>
        <v>0</v>
      </c>
      <c r="G707">
        <f t="shared" si="402"/>
        <v>0</v>
      </c>
      <c r="H707">
        <f t="shared" si="403"/>
        <v>0</v>
      </c>
      <c r="I707">
        <f t="shared" si="404"/>
        <v>0</v>
      </c>
      <c r="J707">
        <f t="shared" si="405"/>
        <v>3527.8672867469872</v>
      </c>
      <c r="K707">
        <f t="shared" si="406"/>
        <v>0</v>
      </c>
      <c r="L707">
        <f t="shared" si="407"/>
        <v>0</v>
      </c>
      <c r="M707">
        <f t="shared" si="408"/>
        <v>0</v>
      </c>
      <c r="N707">
        <f t="shared" si="409"/>
        <v>0</v>
      </c>
      <c r="O707">
        <f t="shared" si="410"/>
        <v>0</v>
      </c>
      <c r="P707">
        <f t="shared" si="411"/>
        <v>0</v>
      </c>
      <c r="Q707">
        <f t="shared" si="412"/>
        <v>0</v>
      </c>
      <c r="S707">
        <f t="shared" si="413"/>
        <v>11</v>
      </c>
      <c r="T707">
        <f t="shared" si="414"/>
        <v>10</v>
      </c>
      <c r="U707">
        <f t="shared" si="415"/>
        <v>1</v>
      </c>
      <c r="V707">
        <f t="shared" si="416"/>
        <v>3</v>
      </c>
      <c r="W707">
        <f t="shared" si="417"/>
        <v>17</v>
      </c>
      <c r="X707">
        <f t="shared" si="418"/>
        <v>16</v>
      </c>
      <c r="Y707">
        <f t="shared" si="419"/>
        <v>1</v>
      </c>
      <c r="Z707">
        <f t="shared" si="420"/>
        <v>2</v>
      </c>
      <c r="AA707">
        <f t="shared" si="421"/>
        <v>3</v>
      </c>
      <c r="AB707">
        <f t="shared" si="422"/>
        <v>1</v>
      </c>
      <c r="AC707">
        <f t="shared" si="423"/>
        <v>23</v>
      </c>
      <c r="AD707">
        <f t="shared" si="424"/>
        <v>0</v>
      </c>
      <c r="AF707">
        <f t="shared" si="425"/>
        <v>0</v>
      </c>
      <c r="AG707">
        <f t="shared" si="426"/>
        <v>0</v>
      </c>
      <c r="AH707">
        <f t="shared" si="427"/>
        <v>0</v>
      </c>
      <c r="AI707">
        <f t="shared" si="428"/>
        <v>0</v>
      </c>
      <c r="AJ707">
        <f t="shared" si="429"/>
        <v>0</v>
      </c>
      <c r="AK707">
        <f t="shared" si="430"/>
        <v>0</v>
      </c>
      <c r="AL707">
        <f t="shared" si="431"/>
        <v>0</v>
      </c>
      <c r="AM707">
        <f t="shared" si="432"/>
        <v>0</v>
      </c>
      <c r="AN707">
        <f t="shared" si="433"/>
        <v>0</v>
      </c>
      <c r="AO707">
        <f t="shared" si="434"/>
        <v>0</v>
      </c>
      <c r="AP707">
        <f t="shared" si="435"/>
        <v>0</v>
      </c>
      <c r="AQ707">
        <f t="shared" si="436"/>
        <v>0</v>
      </c>
    </row>
    <row r="708" spans="1:43" ht="15.5" x14ac:dyDescent="0.35">
      <c r="A708" s="51">
        <v>60</v>
      </c>
      <c r="B708" s="13" t="s">
        <v>467</v>
      </c>
      <c r="C708" s="17" t="s">
        <v>133</v>
      </c>
      <c r="D708" s="17" t="s">
        <v>54</v>
      </c>
      <c r="E708" s="19">
        <v>3153.5432010875247</v>
      </c>
      <c r="F708">
        <f t="shared" si="401"/>
        <v>0</v>
      </c>
      <c r="G708">
        <f t="shared" si="402"/>
        <v>0</v>
      </c>
      <c r="H708">
        <f t="shared" si="403"/>
        <v>0</v>
      </c>
      <c r="I708">
        <f t="shared" si="404"/>
        <v>0</v>
      </c>
      <c r="J708">
        <f t="shared" si="405"/>
        <v>0</v>
      </c>
      <c r="K708">
        <f t="shared" si="406"/>
        <v>3153.5432010875247</v>
      </c>
      <c r="L708">
        <f t="shared" si="407"/>
        <v>0</v>
      </c>
      <c r="M708">
        <f t="shared" si="408"/>
        <v>0</v>
      </c>
      <c r="N708">
        <f t="shared" si="409"/>
        <v>0</v>
      </c>
      <c r="O708">
        <f t="shared" si="410"/>
        <v>0</v>
      </c>
      <c r="P708">
        <f t="shared" si="411"/>
        <v>0</v>
      </c>
      <c r="Q708">
        <f t="shared" si="412"/>
        <v>0</v>
      </c>
      <c r="S708">
        <f t="shared" si="413"/>
        <v>11</v>
      </c>
      <c r="T708">
        <f t="shared" si="414"/>
        <v>10</v>
      </c>
      <c r="U708">
        <f t="shared" si="415"/>
        <v>1</v>
      </c>
      <c r="V708">
        <f t="shared" si="416"/>
        <v>3</v>
      </c>
      <c r="W708">
        <f t="shared" si="417"/>
        <v>16</v>
      </c>
      <c r="X708">
        <f t="shared" si="418"/>
        <v>16</v>
      </c>
      <c r="Y708">
        <f t="shared" si="419"/>
        <v>1</v>
      </c>
      <c r="Z708">
        <f t="shared" si="420"/>
        <v>2</v>
      </c>
      <c r="AA708">
        <f t="shared" si="421"/>
        <v>3</v>
      </c>
      <c r="AB708">
        <f t="shared" si="422"/>
        <v>1</v>
      </c>
      <c r="AC708">
        <f t="shared" si="423"/>
        <v>23</v>
      </c>
      <c r="AD708">
        <f t="shared" si="424"/>
        <v>0</v>
      </c>
      <c r="AF708">
        <f t="shared" si="425"/>
        <v>0</v>
      </c>
      <c r="AG708">
        <f t="shared" si="426"/>
        <v>0</v>
      </c>
      <c r="AH708">
        <f t="shared" si="427"/>
        <v>0</v>
      </c>
      <c r="AI708">
        <f t="shared" si="428"/>
        <v>0</v>
      </c>
      <c r="AJ708">
        <f t="shared" si="429"/>
        <v>0</v>
      </c>
      <c r="AK708">
        <f t="shared" si="430"/>
        <v>0</v>
      </c>
      <c r="AL708">
        <f t="shared" si="431"/>
        <v>0</v>
      </c>
      <c r="AM708">
        <f t="shared" si="432"/>
        <v>0</v>
      </c>
      <c r="AN708">
        <f t="shared" si="433"/>
        <v>0</v>
      </c>
      <c r="AO708">
        <f t="shared" si="434"/>
        <v>0</v>
      </c>
      <c r="AP708">
        <f t="shared" si="435"/>
        <v>0</v>
      </c>
      <c r="AQ708">
        <f t="shared" si="436"/>
        <v>0</v>
      </c>
    </row>
    <row r="709" spans="1:43" ht="15.5" x14ac:dyDescent="0.35">
      <c r="A709" s="51">
        <v>61</v>
      </c>
      <c r="B709" s="13" t="s">
        <v>467</v>
      </c>
      <c r="C709" s="1" t="s">
        <v>134</v>
      </c>
      <c r="D709" s="1" t="s">
        <v>228</v>
      </c>
      <c r="E709" s="19">
        <v>3652.8524690518411</v>
      </c>
      <c r="F709">
        <f t="shared" si="401"/>
        <v>0</v>
      </c>
      <c r="G709">
        <f t="shared" si="402"/>
        <v>0</v>
      </c>
      <c r="H709">
        <f t="shared" si="403"/>
        <v>0</v>
      </c>
      <c r="I709">
        <f t="shared" si="404"/>
        <v>0</v>
      </c>
      <c r="J709">
        <f t="shared" si="405"/>
        <v>0</v>
      </c>
      <c r="K709">
        <f t="shared" si="406"/>
        <v>0</v>
      </c>
      <c r="L709">
        <f t="shared" si="407"/>
        <v>0</v>
      </c>
      <c r="M709">
        <f t="shared" si="408"/>
        <v>0</v>
      </c>
      <c r="N709">
        <f t="shared" si="409"/>
        <v>0</v>
      </c>
      <c r="O709">
        <f t="shared" si="410"/>
        <v>0</v>
      </c>
      <c r="P709">
        <f t="shared" si="411"/>
        <v>3652.8524690518411</v>
      </c>
      <c r="Q709">
        <f t="shared" si="412"/>
        <v>0</v>
      </c>
      <c r="S709">
        <f t="shared" si="413"/>
        <v>11</v>
      </c>
      <c r="T709">
        <f t="shared" si="414"/>
        <v>10</v>
      </c>
      <c r="U709">
        <f t="shared" si="415"/>
        <v>1</v>
      </c>
      <c r="V709">
        <f t="shared" si="416"/>
        <v>3</v>
      </c>
      <c r="W709">
        <f t="shared" si="417"/>
        <v>16</v>
      </c>
      <c r="X709">
        <f t="shared" si="418"/>
        <v>15</v>
      </c>
      <c r="Y709">
        <f t="shared" si="419"/>
        <v>1</v>
      </c>
      <c r="Z709">
        <f t="shared" si="420"/>
        <v>2</v>
      </c>
      <c r="AA709">
        <f t="shared" si="421"/>
        <v>3</v>
      </c>
      <c r="AB709">
        <f t="shared" si="422"/>
        <v>1</v>
      </c>
      <c r="AC709">
        <f t="shared" si="423"/>
        <v>23</v>
      </c>
      <c r="AD709">
        <f t="shared" si="424"/>
        <v>0</v>
      </c>
      <c r="AF709">
        <f t="shared" si="425"/>
        <v>0</v>
      </c>
      <c r="AG709">
        <f t="shared" si="426"/>
        <v>0</v>
      </c>
      <c r="AH709">
        <f t="shared" si="427"/>
        <v>0</v>
      </c>
      <c r="AI709">
        <f t="shared" si="428"/>
        <v>0</v>
      </c>
      <c r="AJ709">
        <f t="shared" si="429"/>
        <v>0</v>
      </c>
      <c r="AK709">
        <f t="shared" si="430"/>
        <v>0</v>
      </c>
      <c r="AL709">
        <f t="shared" si="431"/>
        <v>0</v>
      </c>
      <c r="AM709">
        <f t="shared" si="432"/>
        <v>0</v>
      </c>
      <c r="AN709">
        <f t="shared" si="433"/>
        <v>0</v>
      </c>
      <c r="AO709">
        <f t="shared" si="434"/>
        <v>0</v>
      </c>
      <c r="AP709">
        <f t="shared" si="435"/>
        <v>0</v>
      </c>
      <c r="AQ709">
        <f t="shared" si="436"/>
        <v>0</v>
      </c>
    </row>
    <row r="710" spans="1:43" ht="15.5" x14ac:dyDescent="0.35">
      <c r="A710" s="51">
        <v>62</v>
      </c>
      <c r="B710" s="13" t="s">
        <v>469</v>
      </c>
      <c r="C710" s="1" t="s">
        <v>137</v>
      </c>
      <c r="D710" s="1" t="s">
        <v>227</v>
      </c>
      <c r="E710" s="80">
        <v>2352.1993642426755</v>
      </c>
      <c r="F710">
        <f t="shared" si="401"/>
        <v>0</v>
      </c>
      <c r="G710">
        <f t="shared" si="402"/>
        <v>2352.1993642426755</v>
      </c>
      <c r="H710">
        <f t="shared" si="403"/>
        <v>0</v>
      </c>
      <c r="I710">
        <f t="shared" si="404"/>
        <v>0</v>
      </c>
      <c r="J710">
        <f t="shared" si="405"/>
        <v>0</v>
      </c>
      <c r="K710">
        <f t="shared" si="406"/>
        <v>0</v>
      </c>
      <c r="L710">
        <f t="shared" si="407"/>
        <v>0</v>
      </c>
      <c r="M710">
        <f t="shared" si="408"/>
        <v>0</v>
      </c>
      <c r="N710">
        <f t="shared" si="409"/>
        <v>0</v>
      </c>
      <c r="O710">
        <f t="shared" si="410"/>
        <v>0</v>
      </c>
      <c r="P710">
        <f t="shared" si="411"/>
        <v>0</v>
      </c>
      <c r="Q710">
        <f t="shared" si="412"/>
        <v>0</v>
      </c>
      <c r="S710">
        <f t="shared" si="413"/>
        <v>11</v>
      </c>
      <c r="T710">
        <f t="shared" si="414"/>
        <v>10</v>
      </c>
      <c r="U710">
        <f t="shared" si="415"/>
        <v>1</v>
      </c>
      <c r="V710">
        <f t="shared" si="416"/>
        <v>3</v>
      </c>
      <c r="W710">
        <f t="shared" si="417"/>
        <v>16</v>
      </c>
      <c r="X710">
        <f t="shared" si="418"/>
        <v>15</v>
      </c>
      <c r="Y710">
        <f t="shared" si="419"/>
        <v>1</v>
      </c>
      <c r="Z710">
        <f t="shared" si="420"/>
        <v>2</v>
      </c>
      <c r="AA710">
        <f t="shared" si="421"/>
        <v>3</v>
      </c>
      <c r="AB710">
        <f t="shared" si="422"/>
        <v>1</v>
      </c>
      <c r="AC710">
        <f t="shared" si="423"/>
        <v>22</v>
      </c>
      <c r="AD710">
        <f t="shared" si="424"/>
        <v>0</v>
      </c>
      <c r="AF710">
        <f t="shared" si="425"/>
        <v>0</v>
      </c>
      <c r="AG710">
        <f t="shared" si="426"/>
        <v>2352.1993642426755</v>
      </c>
      <c r="AH710">
        <f t="shared" si="427"/>
        <v>0</v>
      </c>
      <c r="AI710">
        <f t="shared" si="428"/>
        <v>0</v>
      </c>
      <c r="AJ710">
        <f t="shared" si="429"/>
        <v>0</v>
      </c>
      <c r="AK710">
        <f t="shared" si="430"/>
        <v>0</v>
      </c>
      <c r="AL710">
        <f t="shared" si="431"/>
        <v>0</v>
      </c>
      <c r="AM710">
        <f t="shared" si="432"/>
        <v>0</v>
      </c>
      <c r="AN710">
        <f t="shared" si="433"/>
        <v>0</v>
      </c>
      <c r="AO710">
        <f t="shared" si="434"/>
        <v>0</v>
      </c>
      <c r="AP710">
        <f t="shared" si="435"/>
        <v>0</v>
      </c>
      <c r="AQ710">
        <f t="shared" si="436"/>
        <v>0</v>
      </c>
    </row>
    <row r="711" spans="1:43" ht="15.5" x14ac:dyDescent="0.35">
      <c r="A711" s="51">
        <v>63</v>
      </c>
      <c r="B711" s="13" t="s">
        <v>469</v>
      </c>
      <c r="C711" s="1" t="s">
        <v>135</v>
      </c>
      <c r="D711" s="1" t="s">
        <v>228</v>
      </c>
      <c r="E711" s="19">
        <v>2971.3291587460817</v>
      </c>
      <c r="F711">
        <f t="shared" si="401"/>
        <v>0</v>
      </c>
      <c r="G711">
        <f t="shared" si="402"/>
        <v>0</v>
      </c>
      <c r="H711">
        <f t="shared" si="403"/>
        <v>0</v>
      </c>
      <c r="I711">
        <f t="shared" si="404"/>
        <v>0</v>
      </c>
      <c r="J711">
        <f t="shared" si="405"/>
        <v>0</v>
      </c>
      <c r="K711">
        <f t="shared" si="406"/>
        <v>0</v>
      </c>
      <c r="L711">
        <f t="shared" si="407"/>
        <v>0</v>
      </c>
      <c r="M711">
        <f t="shared" si="408"/>
        <v>0</v>
      </c>
      <c r="N711">
        <f t="shared" si="409"/>
        <v>0</v>
      </c>
      <c r="O711">
        <f t="shared" si="410"/>
        <v>0</v>
      </c>
      <c r="P711">
        <f t="shared" si="411"/>
        <v>2971.3291587460817</v>
      </c>
      <c r="Q711">
        <f t="shared" si="412"/>
        <v>0</v>
      </c>
      <c r="S711">
        <f t="shared" si="413"/>
        <v>11</v>
      </c>
      <c r="T711">
        <f t="shared" si="414"/>
        <v>9</v>
      </c>
      <c r="U711">
        <f t="shared" si="415"/>
        <v>1</v>
      </c>
      <c r="V711">
        <f t="shared" si="416"/>
        <v>3</v>
      </c>
      <c r="W711">
        <f t="shared" si="417"/>
        <v>16</v>
      </c>
      <c r="X711">
        <f t="shared" si="418"/>
        <v>15</v>
      </c>
      <c r="Y711">
        <f t="shared" si="419"/>
        <v>1</v>
      </c>
      <c r="Z711">
        <f t="shared" si="420"/>
        <v>2</v>
      </c>
      <c r="AA711">
        <f t="shared" si="421"/>
        <v>3</v>
      </c>
      <c r="AB711">
        <f t="shared" si="422"/>
        <v>1</v>
      </c>
      <c r="AC711">
        <f t="shared" si="423"/>
        <v>22</v>
      </c>
      <c r="AD711">
        <f t="shared" si="424"/>
        <v>0</v>
      </c>
      <c r="AF711">
        <f t="shared" si="425"/>
        <v>0</v>
      </c>
      <c r="AG711">
        <f t="shared" si="426"/>
        <v>0</v>
      </c>
      <c r="AH711">
        <f t="shared" si="427"/>
        <v>0</v>
      </c>
      <c r="AI711">
        <f t="shared" si="428"/>
        <v>0</v>
      </c>
      <c r="AJ711">
        <f t="shared" si="429"/>
        <v>0</v>
      </c>
      <c r="AK711">
        <f t="shared" si="430"/>
        <v>0</v>
      </c>
      <c r="AL711">
        <f t="shared" si="431"/>
        <v>0</v>
      </c>
      <c r="AM711">
        <f t="shared" si="432"/>
        <v>0</v>
      </c>
      <c r="AN711">
        <f t="shared" si="433"/>
        <v>0</v>
      </c>
      <c r="AO711">
        <f t="shared" si="434"/>
        <v>0</v>
      </c>
      <c r="AP711">
        <f t="shared" si="435"/>
        <v>0</v>
      </c>
      <c r="AQ711">
        <f t="shared" si="436"/>
        <v>0</v>
      </c>
    </row>
    <row r="712" spans="1:43" ht="15.5" x14ac:dyDescent="0.35">
      <c r="A712" s="51">
        <v>64</v>
      </c>
      <c r="B712" s="13" t="s">
        <v>469</v>
      </c>
      <c r="C712" s="17" t="s">
        <v>138</v>
      </c>
      <c r="D712" s="17" t="s">
        <v>60</v>
      </c>
      <c r="E712" s="19">
        <v>3503.8969249061329</v>
      </c>
      <c r="F712">
        <f t="shared" si="401"/>
        <v>0</v>
      </c>
      <c r="G712">
        <f t="shared" si="402"/>
        <v>0</v>
      </c>
      <c r="H712">
        <f t="shared" si="403"/>
        <v>0</v>
      </c>
      <c r="I712">
        <f t="shared" si="404"/>
        <v>0</v>
      </c>
      <c r="J712">
        <f t="shared" si="405"/>
        <v>3503.8969249061329</v>
      </c>
      <c r="K712">
        <f t="shared" si="406"/>
        <v>0</v>
      </c>
      <c r="L712">
        <f t="shared" si="407"/>
        <v>0</v>
      </c>
      <c r="M712">
        <f t="shared" si="408"/>
        <v>0</v>
      </c>
      <c r="N712">
        <f t="shared" si="409"/>
        <v>0</v>
      </c>
      <c r="O712">
        <f t="shared" si="410"/>
        <v>0</v>
      </c>
      <c r="P712">
        <f t="shared" si="411"/>
        <v>0</v>
      </c>
      <c r="Q712">
        <f t="shared" si="412"/>
        <v>0</v>
      </c>
      <c r="S712">
        <f t="shared" si="413"/>
        <v>11</v>
      </c>
      <c r="T712">
        <f t="shared" si="414"/>
        <v>9</v>
      </c>
      <c r="U712">
        <f t="shared" si="415"/>
        <v>1</v>
      </c>
      <c r="V712">
        <f t="shared" si="416"/>
        <v>3</v>
      </c>
      <c r="W712">
        <f t="shared" si="417"/>
        <v>16</v>
      </c>
      <c r="X712">
        <f t="shared" si="418"/>
        <v>15</v>
      </c>
      <c r="Y712">
        <f t="shared" si="419"/>
        <v>1</v>
      </c>
      <c r="Z712">
        <f t="shared" si="420"/>
        <v>2</v>
      </c>
      <c r="AA712">
        <f t="shared" si="421"/>
        <v>3</v>
      </c>
      <c r="AB712">
        <f t="shared" si="422"/>
        <v>1</v>
      </c>
      <c r="AC712">
        <f t="shared" si="423"/>
        <v>21</v>
      </c>
      <c r="AD712">
        <f t="shared" si="424"/>
        <v>0</v>
      </c>
      <c r="AF712">
        <f t="shared" si="425"/>
        <v>0</v>
      </c>
      <c r="AG712">
        <f t="shared" si="426"/>
        <v>0</v>
      </c>
      <c r="AH712">
        <f t="shared" si="427"/>
        <v>0</v>
      </c>
      <c r="AI712">
        <f t="shared" si="428"/>
        <v>0</v>
      </c>
      <c r="AJ712">
        <f t="shared" si="429"/>
        <v>0</v>
      </c>
      <c r="AK712">
        <f t="shared" si="430"/>
        <v>0</v>
      </c>
      <c r="AL712">
        <f t="shared" si="431"/>
        <v>0</v>
      </c>
      <c r="AM712">
        <f t="shared" si="432"/>
        <v>0</v>
      </c>
      <c r="AN712">
        <f t="shared" si="433"/>
        <v>0</v>
      </c>
      <c r="AO712">
        <f t="shared" si="434"/>
        <v>0</v>
      </c>
      <c r="AP712">
        <f t="shared" si="435"/>
        <v>0</v>
      </c>
      <c r="AQ712">
        <f t="shared" si="436"/>
        <v>0</v>
      </c>
    </row>
    <row r="713" spans="1:43" ht="15.5" x14ac:dyDescent="0.35">
      <c r="A713" s="51">
        <v>65</v>
      </c>
      <c r="B713" s="13" t="s">
        <v>469</v>
      </c>
      <c r="C713" s="1" t="s">
        <v>140</v>
      </c>
      <c r="D713" s="1" t="s">
        <v>227</v>
      </c>
      <c r="E713" s="19">
        <v>2825.9679698172322</v>
      </c>
      <c r="F713">
        <f t="shared" si="401"/>
        <v>0</v>
      </c>
      <c r="G713">
        <f t="shared" si="402"/>
        <v>2825.9679698172322</v>
      </c>
      <c r="H713">
        <f t="shared" si="403"/>
        <v>0</v>
      </c>
      <c r="I713">
        <f t="shared" si="404"/>
        <v>0</v>
      </c>
      <c r="J713">
        <f t="shared" si="405"/>
        <v>0</v>
      </c>
      <c r="K713">
        <f t="shared" si="406"/>
        <v>0</v>
      </c>
      <c r="L713">
        <f t="shared" si="407"/>
        <v>0</v>
      </c>
      <c r="M713">
        <f t="shared" si="408"/>
        <v>0</v>
      </c>
      <c r="N713">
        <f t="shared" si="409"/>
        <v>0</v>
      </c>
      <c r="O713">
        <f t="shared" si="410"/>
        <v>0</v>
      </c>
      <c r="P713">
        <f t="shared" si="411"/>
        <v>0</v>
      </c>
      <c r="Q713">
        <f t="shared" si="412"/>
        <v>0</v>
      </c>
      <c r="S713">
        <f t="shared" si="413"/>
        <v>11</v>
      </c>
      <c r="T713">
        <f t="shared" si="414"/>
        <v>9</v>
      </c>
      <c r="U713">
        <f t="shared" si="415"/>
        <v>1</v>
      </c>
      <c r="V713">
        <f t="shared" si="416"/>
        <v>3</v>
      </c>
      <c r="W713">
        <f t="shared" si="417"/>
        <v>15</v>
      </c>
      <c r="X713">
        <f t="shared" si="418"/>
        <v>15</v>
      </c>
      <c r="Y713">
        <f t="shared" si="419"/>
        <v>1</v>
      </c>
      <c r="Z713">
        <f t="shared" si="420"/>
        <v>2</v>
      </c>
      <c r="AA713">
        <f t="shared" si="421"/>
        <v>3</v>
      </c>
      <c r="AB713">
        <f t="shared" si="422"/>
        <v>1</v>
      </c>
      <c r="AC713">
        <f t="shared" si="423"/>
        <v>21</v>
      </c>
      <c r="AD713">
        <f t="shared" si="424"/>
        <v>0</v>
      </c>
      <c r="AF713">
        <f t="shared" si="425"/>
        <v>0</v>
      </c>
      <c r="AG713">
        <f t="shared" si="426"/>
        <v>2825.9679698172322</v>
      </c>
      <c r="AH713">
        <f t="shared" si="427"/>
        <v>0</v>
      </c>
      <c r="AI713">
        <f t="shared" si="428"/>
        <v>0</v>
      </c>
      <c r="AJ713">
        <f t="shared" si="429"/>
        <v>0</v>
      </c>
      <c r="AK713">
        <f t="shared" si="430"/>
        <v>0</v>
      </c>
      <c r="AL713">
        <f t="shared" si="431"/>
        <v>0</v>
      </c>
      <c r="AM713">
        <f t="shared" si="432"/>
        <v>0</v>
      </c>
      <c r="AN713">
        <f t="shared" si="433"/>
        <v>0</v>
      </c>
      <c r="AO713">
        <f t="shared" si="434"/>
        <v>0</v>
      </c>
      <c r="AP713">
        <f t="shared" si="435"/>
        <v>0</v>
      </c>
      <c r="AQ713">
        <f t="shared" si="436"/>
        <v>0</v>
      </c>
    </row>
    <row r="714" spans="1:43" ht="15.5" x14ac:dyDescent="0.35">
      <c r="A714" s="51">
        <v>66</v>
      </c>
      <c r="B714" s="13" t="s">
        <v>469</v>
      </c>
      <c r="C714" s="1" t="s">
        <v>141</v>
      </c>
      <c r="D714" s="1" t="s">
        <v>228</v>
      </c>
      <c r="E714" s="19">
        <v>3274.9979466583259</v>
      </c>
      <c r="F714">
        <f t="shared" si="401"/>
        <v>0</v>
      </c>
      <c r="G714">
        <f t="shared" si="402"/>
        <v>0</v>
      </c>
      <c r="H714">
        <f t="shared" si="403"/>
        <v>0</v>
      </c>
      <c r="I714">
        <f t="shared" si="404"/>
        <v>0</v>
      </c>
      <c r="J714">
        <f t="shared" si="405"/>
        <v>0</v>
      </c>
      <c r="K714">
        <f t="shared" si="406"/>
        <v>0</v>
      </c>
      <c r="L714">
        <f t="shared" si="407"/>
        <v>0</v>
      </c>
      <c r="M714">
        <f t="shared" si="408"/>
        <v>0</v>
      </c>
      <c r="N714">
        <f t="shared" si="409"/>
        <v>0</v>
      </c>
      <c r="O714">
        <f t="shared" si="410"/>
        <v>0</v>
      </c>
      <c r="P714">
        <f t="shared" si="411"/>
        <v>3274.9979466583259</v>
      </c>
      <c r="Q714">
        <f t="shared" si="412"/>
        <v>0</v>
      </c>
      <c r="S714">
        <f t="shared" si="413"/>
        <v>11</v>
      </c>
      <c r="T714">
        <f t="shared" si="414"/>
        <v>8</v>
      </c>
      <c r="U714">
        <f t="shared" si="415"/>
        <v>1</v>
      </c>
      <c r="V714">
        <f t="shared" si="416"/>
        <v>3</v>
      </c>
      <c r="W714">
        <f t="shared" si="417"/>
        <v>15</v>
      </c>
      <c r="X714">
        <f t="shared" si="418"/>
        <v>15</v>
      </c>
      <c r="Y714">
        <f t="shared" si="419"/>
        <v>1</v>
      </c>
      <c r="Z714">
        <f t="shared" si="420"/>
        <v>2</v>
      </c>
      <c r="AA714">
        <f t="shared" si="421"/>
        <v>3</v>
      </c>
      <c r="AB714">
        <f t="shared" si="422"/>
        <v>1</v>
      </c>
      <c r="AC714">
        <f t="shared" si="423"/>
        <v>21</v>
      </c>
      <c r="AD714">
        <f t="shared" si="424"/>
        <v>0</v>
      </c>
      <c r="AF714">
        <f t="shared" si="425"/>
        <v>0</v>
      </c>
      <c r="AG714">
        <f t="shared" si="426"/>
        <v>0</v>
      </c>
      <c r="AH714">
        <f t="shared" si="427"/>
        <v>0</v>
      </c>
      <c r="AI714">
        <f t="shared" si="428"/>
        <v>0</v>
      </c>
      <c r="AJ714">
        <f t="shared" si="429"/>
        <v>0</v>
      </c>
      <c r="AK714">
        <f t="shared" si="430"/>
        <v>0</v>
      </c>
      <c r="AL714">
        <f t="shared" si="431"/>
        <v>0</v>
      </c>
      <c r="AM714">
        <f t="shared" si="432"/>
        <v>0</v>
      </c>
      <c r="AN714">
        <f t="shared" si="433"/>
        <v>0</v>
      </c>
      <c r="AO714">
        <f t="shared" si="434"/>
        <v>0</v>
      </c>
      <c r="AP714">
        <f t="shared" si="435"/>
        <v>0</v>
      </c>
      <c r="AQ714">
        <f t="shared" si="436"/>
        <v>0</v>
      </c>
    </row>
    <row r="715" spans="1:43" ht="15.5" x14ac:dyDescent="0.35">
      <c r="A715" s="51">
        <v>67</v>
      </c>
      <c r="B715" s="13" t="s">
        <v>469</v>
      </c>
      <c r="C715" s="1" t="s">
        <v>142</v>
      </c>
      <c r="D715" s="1" t="s">
        <v>228</v>
      </c>
      <c r="E715" s="19">
        <v>3585.3348026321291</v>
      </c>
      <c r="F715">
        <f t="shared" si="401"/>
        <v>0</v>
      </c>
      <c r="G715">
        <f t="shared" si="402"/>
        <v>0</v>
      </c>
      <c r="H715">
        <f t="shared" si="403"/>
        <v>0</v>
      </c>
      <c r="I715">
        <f t="shared" si="404"/>
        <v>0</v>
      </c>
      <c r="J715">
        <f t="shared" si="405"/>
        <v>0</v>
      </c>
      <c r="K715">
        <f t="shared" si="406"/>
        <v>0</v>
      </c>
      <c r="L715">
        <f t="shared" si="407"/>
        <v>0</v>
      </c>
      <c r="M715">
        <f t="shared" si="408"/>
        <v>0</v>
      </c>
      <c r="N715">
        <f t="shared" si="409"/>
        <v>0</v>
      </c>
      <c r="O715">
        <f t="shared" si="410"/>
        <v>0</v>
      </c>
      <c r="P715">
        <f t="shared" si="411"/>
        <v>3585.3348026321291</v>
      </c>
      <c r="Q715">
        <f t="shared" si="412"/>
        <v>0</v>
      </c>
      <c r="S715">
        <f t="shared" si="413"/>
        <v>11</v>
      </c>
      <c r="T715">
        <f t="shared" si="414"/>
        <v>8</v>
      </c>
      <c r="U715">
        <f t="shared" si="415"/>
        <v>1</v>
      </c>
      <c r="V715">
        <f t="shared" si="416"/>
        <v>3</v>
      </c>
      <c r="W715">
        <f t="shared" si="417"/>
        <v>15</v>
      </c>
      <c r="X715">
        <f t="shared" si="418"/>
        <v>15</v>
      </c>
      <c r="Y715">
        <f t="shared" si="419"/>
        <v>1</v>
      </c>
      <c r="Z715">
        <f t="shared" si="420"/>
        <v>2</v>
      </c>
      <c r="AA715">
        <f t="shared" si="421"/>
        <v>3</v>
      </c>
      <c r="AB715">
        <f t="shared" si="422"/>
        <v>1</v>
      </c>
      <c r="AC715">
        <f t="shared" si="423"/>
        <v>20</v>
      </c>
      <c r="AD715">
        <f t="shared" si="424"/>
        <v>0</v>
      </c>
      <c r="AF715">
        <f t="shared" si="425"/>
        <v>0</v>
      </c>
      <c r="AG715">
        <f t="shared" si="426"/>
        <v>0</v>
      </c>
      <c r="AH715">
        <f t="shared" si="427"/>
        <v>0</v>
      </c>
      <c r="AI715">
        <f t="shared" si="428"/>
        <v>0</v>
      </c>
      <c r="AJ715">
        <f t="shared" si="429"/>
        <v>0</v>
      </c>
      <c r="AK715">
        <f t="shared" si="430"/>
        <v>0</v>
      </c>
      <c r="AL715">
        <f t="shared" si="431"/>
        <v>0</v>
      </c>
      <c r="AM715">
        <f t="shared" si="432"/>
        <v>0</v>
      </c>
      <c r="AN715">
        <f t="shared" si="433"/>
        <v>0</v>
      </c>
      <c r="AO715">
        <f t="shared" si="434"/>
        <v>0</v>
      </c>
      <c r="AP715">
        <f t="shared" si="435"/>
        <v>0</v>
      </c>
      <c r="AQ715">
        <f t="shared" si="436"/>
        <v>0</v>
      </c>
    </row>
    <row r="716" spans="1:43" ht="15.5" x14ac:dyDescent="0.35">
      <c r="A716" s="51">
        <v>68</v>
      </c>
      <c r="B716" s="13" t="s">
        <v>470</v>
      </c>
      <c r="C716" s="17" t="s">
        <v>145</v>
      </c>
      <c r="D716" s="17" t="s">
        <v>228</v>
      </c>
      <c r="E716" s="19">
        <v>3585.2328619452314</v>
      </c>
      <c r="F716">
        <f t="shared" ref="F716:F779" si="437">IF(D716="SPUR-01",E716,0)</f>
        <v>0</v>
      </c>
      <c r="G716">
        <f t="shared" ref="G716:G779" si="438">IF(D716="SPUR-02",E716,0)</f>
        <v>0</v>
      </c>
      <c r="H716">
        <f t="shared" ref="H716:H779" si="439">IF(D716="SPUR-03",E716,0)</f>
        <v>0</v>
      </c>
      <c r="I716">
        <f t="shared" ref="I716:I779" si="440">IF(D716="SPUR-04",E716,0)</f>
        <v>0</v>
      </c>
      <c r="J716">
        <f t="shared" ref="J716:J779" si="441">IF(D716="SPUR-05",E716,0)</f>
        <v>0</v>
      </c>
      <c r="K716">
        <f t="shared" ref="K716:K779" si="442">IF(D716="SPUR-06",E716,0)</f>
        <v>0</v>
      </c>
      <c r="L716">
        <f t="shared" ref="L716:L779" si="443">IF(D716="SPUR-07",E716,0)</f>
        <v>0</v>
      </c>
      <c r="M716">
        <f t="shared" ref="M716:M779" si="444">IF(D716="SPUR-08",E716,0)</f>
        <v>0</v>
      </c>
      <c r="N716">
        <f t="shared" ref="N716:N779" si="445">IF(D716="SPUR-09",E716,0)</f>
        <v>0</v>
      </c>
      <c r="O716">
        <f t="shared" ref="O716:O779" si="446">IF(D716="SPUR-10",E716,0)</f>
        <v>0</v>
      </c>
      <c r="P716">
        <f t="shared" ref="P716:P779" si="447">IF(D716="SPUR-SILO",E716,0)</f>
        <v>3585.2328619452314</v>
      </c>
      <c r="Q716">
        <f t="shared" ref="Q716:Q779" si="448">IF(D716="SPUR-DB",E716,0)</f>
        <v>0</v>
      </c>
      <c r="S716">
        <f t="shared" si="413"/>
        <v>11</v>
      </c>
      <c r="T716">
        <f t="shared" si="414"/>
        <v>8</v>
      </c>
      <c r="U716">
        <f t="shared" si="415"/>
        <v>1</v>
      </c>
      <c r="V716">
        <f t="shared" si="416"/>
        <v>3</v>
      </c>
      <c r="W716">
        <f t="shared" si="417"/>
        <v>15</v>
      </c>
      <c r="X716">
        <f t="shared" si="418"/>
        <v>15</v>
      </c>
      <c r="Y716">
        <f t="shared" si="419"/>
        <v>1</v>
      </c>
      <c r="Z716">
        <f t="shared" si="420"/>
        <v>2</v>
      </c>
      <c r="AA716">
        <f t="shared" si="421"/>
        <v>3</v>
      </c>
      <c r="AB716">
        <f t="shared" si="422"/>
        <v>1</v>
      </c>
      <c r="AC716">
        <f t="shared" si="423"/>
        <v>19</v>
      </c>
      <c r="AD716">
        <f t="shared" si="424"/>
        <v>0</v>
      </c>
      <c r="AF716">
        <f t="shared" si="425"/>
        <v>0</v>
      </c>
      <c r="AG716">
        <f t="shared" si="426"/>
        <v>0</v>
      </c>
      <c r="AH716">
        <f t="shared" si="427"/>
        <v>0</v>
      </c>
      <c r="AI716">
        <f t="shared" si="428"/>
        <v>0</v>
      </c>
      <c r="AJ716">
        <f t="shared" si="429"/>
        <v>0</v>
      </c>
      <c r="AK716">
        <f t="shared" si="430"/>
        <v>0</v>
      </c>
      <c r="AL716">
        <f t="shared" si="431"/>
        <v>0</v>
      </c>
      <c r="AM716">
        <f t="shared" si="432"/>
        <v>0</v>
      </c>
      <c r="AN716">
        <f t="shared" si="433"/>
        <v>0</v>
      </c>
      <c r="AO716">
        <f t="shared" si="434"/>
        <v>0</v>
      </c>
      <c r="AP716">
        <f t="shared" si="435"/>
        <v>0</v>
      </c>
      <c r="AQ716">
        <f t="shared" si="436"/>
        <v>0</v>
      </c>
    </row>
    <row r="717" spans="1:43" ht="15.5" x14ac:dyDescent="0.35">
      <c r="A717" s="51">
        <v>69</v>
      </c>
      <c r="B717" s="13" t="s">
        <v>470</v>
      </c>
      <c r="C717" s="1" t="s">
        <v>147</v>
      </c>
      <c r="D717" s="1" t="s">
        <v>54</v>
      </c>
      <c r="E717" s="19">
        <v>3212.0010368486874</v>
      </c>
      <c r="F717">
        <f t="shared" si="437"/>
        <v>0</v>
      </c>
      <c r="G717">
        <f t="shared" si="438"/>
        <v>0</v>
      </c>
      <c r="H717">
        <f t="shared" si="439"/>
        <v>0</v>
      </c>
      <c r="I717">
        <f t="shared" si="440"/>
        <v>0</v>
      </c>
      <c r="J717">
        <f t="shared" si="441"/>
        <v>0</v>
      </c>
      <c r="K717">
        <f t="shared" si="442"/>
        <v>3212.0010368486874</v>
      </c>
      <c r="L717">
        <f t="shared" si="443"/>
        <v>0</v>
      </c>
      <c r="M717">
        <f t="shared" si="444"/>
        <v>0</v>
      </c>
      <c r="N717">
        <f t="shared" si="445"/>
        <v>0</v>
      </c>
      <c r="O717">
        <f t="shared" si="446"/>
        <v>0</v>
      </c>
      <c r="P717">
        <f t="shared" si="447"/>
        <v>0</v>
      </c>
      <c r="Q717">
        <f t="shared" si="448"/>
        <v>0</v>
      </c>
      <c r="S717">
        <f t="shared" si="413"/>
        <v>11</v>
      </c>
      <c r="T717">
        <f t="shared" si="414"/>
        <v>8</v>
      </c>
      <c r="U717">
        <f t="shared" si="415"/>
        <v>1</v>
      </c>
      <c r="V717">
        <f t="shared" si="416"/>
        <v>3</v>
      </c>
      <c r="W717">
        <f t="shared" si="417"/>
        <v>15</v>
      </c>
      <c r="X717">
        <f t="shared" si="418"/>
        <v>15</v>
      </c>
      <c r="Y717">
        <f t="shared" si="419"/>
        <v>1</v>
      </c>
      <c r="Z717">
        <f t="shared" si="420"/>
        <v>2</v>
      </c>
      <c r="AA717">
        <f t="shared" si="421"/>
        <v>3</v>
      </c>
      <c r="AB717">
        <f t="shared" si="422"/>
        <v>1</v>
      </c>
      <c r="AC717">
        <f t="shared" si="423"/>
        <v>18</v>
      </c>
      <c r="AD717">
        <f t="shared" si="424"/>
        <v>0</v>
      </c>
      <c r="AF717">
        <f t="shared" si="425"/>
        <v>0</v>
      </c>
      <c r="AG717">
        <f t="shared" si="426"/>
        <v>0</v>
      </c>
      <c r="AH717">
        <f t="shared" si="427"/>
        <v>0</v>
      </c>
      <c r="AI717">
        <f t="shared" si="428"/>
        <v>0</v>
      </c>
      <c r="AJ717">
        <f t="shared" si="429"/>
        <v>0</v>
      </c>
      <c r="AK717">
        <f t="shared" si="430"/>
        <v>0</v>
      </c>
      <c r="AL717">
        <f t="shared" si="431"/>
        <v>0</v>
      </c>
      <c r="AM717">
        <f t="shared" si="432"/>
        <v>0</v>
      </c>
      <c r="AN717">
        <f t="shared" si="433"/>
        <v>0</v>
      </c>
      <c r="AO717">
        <f t="shared" si="434"/>
        <v>0</v>
      </c>
      <c r="AP717">
        <f t="shared" si="435"/>
        <v>0</v>
      </c>
      <c r="AQ717">
        <f t="shared" si="436"/>
        <v>0</v>
      </c>
    </row>
    <row r="718" spans="1:43" ht="15.5" x14ac:dyDescent="0.35">
      <c r="A718" s="51">
        <v>70</v>
      </c>
      <c r="B718" s="13" t="s">
        <v>470</v>
      </c>
      <c r="C718" s="1" t="s">
        <v>148</v>
      </c>
      <c r="D718" s="1" t="s">
        <v>228</v>
      </c>
      <c r="E718" s="19">
        <v>3752.8976487087966</v>
      </c>
      <c r="F718">
        <f t="shared" si="437"/>
        <v>0</v>
      </c>
      <c r="G718">
        <f t="shared" si="438"/>
        <v>0</v>
      </c>
      <c r="H718">
        <f t="shared" si="439"/>
        <v>0</v>
      </c>
      <c r="I718">
        <f t="shared" si="440"/>
        <v>0</v>
      </c>
      <c r="J718">
        <f t="shared" si="441"/>
        <v>0</v>
      </c>
      <c r="K718">
        <f t="shared" si="442"/>
        <v>0</v>
      </c>
      <c r="L718">
        <f t="shared" si="443"/>
        <v>0</v>
      </c>
      <c r="M718">
        <f t="shared" si="444"/>
        <v>0</v>
      </c>
      <c r="N718">
        <f t="shared" si="445"/>
        <v>0</v>
      </c>
      <c r="O718">
        <f t="shared" si="446"/>
        <v>0</v>
      </c>
      <c r="P718">
        <f t="shared" si="447"/>
        <v>3752.8976487087966</v>
      </c>
      <c r="Q718">
        <f t="shared" si="448"/>
        <v>0</v>
      </c>
      <c r="S718">
        <f t="shared" si="413"/>
        <v>11</v>
      </c>
      <c r="T718">
        <f t="shared" si="414"/>
        <v>8</v>
      </c>
      <c r="U718">
        <f t="shared" si="415"/>
        <v>1</v>
      </c>
      <c r="V718">
        <f t="shared" si="416"/>
        <v>3</v>
      </c>
      <c r="W718">
        <f t="shared" si="417"/>
        <v>15</v>
      </c>
      <c r="X718">
        <f t="shared" si="418"/>
        <v>14</v>
      </c>
      <c r="Y718">
        <f t="shared" si="419"/>
        <v>1</v>
      </c>
      <c r="Z718">
        <f t="shared" si="420"/>
        <v>2</v>
      </c>
      <c r="AA718">
        <f t="shared" si="421"/>
        <v>3</v>
      </c>
      <c r="AB718">
        <f t="shared" si="422"/>
        <v>1</v>
      </c>
      <c r="AC718">
        <f t="shared" si="423"/>
        <v>18</v>
      </c>
      <c r="AD718">
        <f t="shared" si="424"/>
        <v>0</v>
      </c>
      <c r="AF718">
        <f t="shared" si="425"/>
        <v>0</v>
      </c>
      <c r="AG718">
        <f t="shared" si="426"/>
        <v>0</v>
      </c>
      <c r="AH718">
        <f t="shared" si="427"/>
        <v>0</v>
      </c>
      <c r="AI718">
        <f t="shared" si="428"/>
        <v>0</v>
      </c>
      <c r="AJ718">
        <f t="shared" si="429"/>
        <v>0</v>
      </c>
      <c r="AK718">
        <f t="shared" si="430"/>
        <v>0</v>
      </c>
      <c r="AL718">
        <f t="shared" si="431"/>
        <v>0</v>
      </c>
      <c r="AM718">
        <f t="shared" si="432"/>
        <v>0</v>
      </c>
      <c r="AN718">
        <f t="shared" si="433"/>
        <v>0</v>
      </c>
      <c r="AO718">
        <f t="shared" si="434"/>
        <v>0</v>
      </c>
      <c r="AP718">
        <f t="shared" si="435"/>
        <v>0</v>
      </c>
      <c r="AQ718">
        <f t="shared" si="436"/>
        <v>0</v>
      </c>
    </row>
    <row r="719" spans="1:43" ht="15.5" x14ac:dyDescent="0.35">
      <c r="A719" s="51">
        <v>71</v>
      </c>
      <c r="B719" s="13" t="s">
        <v>470</v>
      </c>
      <c r="C719" s="1" t="s">
        <v>143</v>
      </c>
      <c r="D719" s="1" t="s">
        <v>67</v>
      </c>
      <c r="E719" s="19">
        <v>2731.0676631800484</v>
      </c>
      <c r="F719">
        <f t="shared" si="437"/>
        <v>0</v>
      </c>
      <c r="G719">
        <f t="shared" si="438"/>
        <v>0</v>
      </c>
      <c r="H719">
        <f t="shared" si="439"/>
        <v>0</v>
      </c>
      <c r="I719">
        <f t="shared" si="440"/>
        <v>2731.0676631800484</v>
      </c>
      <c r="J719">
        <f t="shared" si="441"/>
        <v>0</v>
      </c>
      <c r="K719">
        <f t="shared" si="442"/>
        <v>0</v>
      </c>
      <c r="L719">
        <f t="shared" si="443"/>
        <v>0</v>
      </c>
      <c r="M719">
        <f t="shared" si="444"/>
        <v>0</v>
      </c>
      <c r="N719">
        <f t="shared" si="445"/>
        <v>0</v>
      </c>
      <c r="O719">
        <f t="shared" si="446"/>
        <v>0</v>
      </c>
      <c r="P719">
        <f t="shared" si="447"/>
        <v>0</v>
      </c>
      <c r="Q719">
        <f t="shared" si="448"/>
        <v>0</v>
      </c>
      <c r="S719">
        <f t="shared" si="413"/>
        <v>11</v>
      </c>
      <c r="T719">
        <f t="shared" si="414"/>
        <v>8</v>
      </c>
      <c r="U719">
        <f t="shared" si="415"/>
        <v>1</v>
      </c>
      <c r="V719">
        <f t="shared" si="416"/>
        <v>3</v>
      </c>
      <c r="W719">
        <f t="shared" si="417"/>
        <v>15</v>
      </c>
      <c r="X719">
        <f t="shared" si="418"/>
        <v>14</v>
      </c>
      <c r="Y719">
        <f t="shared" si="419"/>
        <v>1</v>
      </c>
      <c r="Z719">
        <f t="shared" si="420"/>
        <v>2</v>
      </c>
      <c r="AA719">
        <f t="shared" si="421"/>
        <v>3</v>
      </c>
      <c r="AB719">
        <f t="shared" si="422"/>
        <v>1</v>
      </c>
      <c r="AC719">
        <f t="shared" si="423"/>
        <v>17</v>
      </c>
      <c r="AD719">
        <f t="shared" si="424"/>
        <v>0</v>
      </c>
      <c r="AF719">
        <f t="shared" si="425"/>
        <v>0</v>
      </c>
      <c r="AG719">
        <f t="shared" si="426"/>
        <v>0</v>
      </c>
      <c r="AH719">
        <f t="shared" si="427"/>
        <v>0</v>
      </c>
      <c r="AI719">
        <f t="shared" si="428"/>
        <v>2731.0676631800484</v>
      </c>
      <c r="AJ719">
        <f t="shared" si="429"/>
        <v>0</v>
      </c>
      <c r="AK719">
        <f t="shared" si="430"/>
        <v>0</v>
      </c>
      <c r="AL719">
        <f t="shared" si="431"/>
        <v>0</v>
      </c>
      <c r="AM719">
        <f t="shared" si="432"/>
        <v>0</v>
      </c>
      <c r="AN719">
        <f t="shared" si="433"/>
        <v>0</v>
      </c>
      <c r="AO719">
        <f t="shared" si="434"/>
        <v>0</v>
      </c>
      <c r="AP719">
        <f t="shared" si="435"/>
        <v>0</v>
      </c>
      <c r="AQ719">
        <f t="shared" si="436"/>
        <v>0</v>
      </c>
    </row>
    <row r="720" spans="1:43" ht="15.5" x14ac:dyDescent="0.35">
      <c r="A720" s="51">
        <v>72</v>
      </c>
      <c r="B720" s="13" t="s">
        <v>471</v>
      </c>
      <c r="C720" s="1" t="s">
        <v>146</v>
      </c>
      <c r="D720" s="1" t="s">
        <v>227</v>
      </c>
      <c r="E720" s="19">
        <v>2866.3594237433376</v>
      </c>
      <c r="F720">
        <f t="shared" si="437"/>
        <v>0</v>
      </c>
      <c r="G720">
        <f t="shared" si="438"/>
        <v>2866.3594237433376</v>
      </c>
      <c r="H720">
        <f t="shared" si="439"/>
        <v>0</v>
      </c>
      <c r="I720">
        <f t="shared" si="440"/>
        <v>0</v>
      </c>
      <c r="J720">
        <f t="shared" si="441"/>
        <v>0</v>
      </c>
      <c r="K720">
        <f t="shared" si="442"/>
        <v>0</v>
      </c>
      <c r="L720">
        <f t="shared" si="443"/>
        <v>0</v>
      </c>
      <c r="M720">
        <f t="shared" si="444"/>
        <v>0</v>
      </c>
      <c r="N720">
        <f t="shared" si="445"/>
        <v>0</v>
      </c>
      <c r="O720">
        <f t="shared" si="446"/>
        <v>0</v>
      </c>
      <c r="P720">
        <f t="shared" si="447"/>
        <v>0</v>
      </c>
      <c r="Q720">
        <f t="shared" si="448"/>
        <v>0</v>
      </c>
      <c r="S720">
        <f t="shared" si="413"/>
        <v>11</v>
      </c>
      <c r="T720">
        <f t="shared" si="414"/>
        <v>8</v>
      </c>
      <c r="U720">
        <f t="shared" si="415"/>
        <v>1</v>
      </c>
      <c r="V720">
        <f t="shared" si="416"/>
        <v>2</v>
      </c>
      <c r="W720">
        <f t="shared" si="417"/>
        <v>15</v>
      </c>
      <c r="X720">
        <f t="shared" si="418"/>
        <v>14</v>
      </c>
      <c r="Y720">
        <f t="shared" si="419"/>
        <v>1</v>
      </c>
      <c r="Z720">
        <f t="shared" si="420"/>
        <v>2</v>
      </c>
      <c r="AA720">
        <f t="shared" si="421"/>
        <v>3</v>
      </c>
      <c r="AB720">
        <f t="shared" si="422"/>
        <v>1</v>
      </c>
      <c r="AC720">
        <f t="shared" si="423"/>
        <v>17</v>
      </c>
      <c r="AD720">
        <f t="shared" si="424"/>
        <v>0</v>
      </c>
      <c r="AF720">
        <f t="shared" si="425"/>
        <v>0</v>
      </c>
      <c r="AG720">
        <f t="shared" si="426"/>
        <v>2866.3594237433376</v>
      </c>
      <c r="AH720">
        <f t="shared" si="427"/>
        <v>0</v>
      </c>
      <c r="AI720">
        <f t="shared" si="428"/>
        <v>0</v>
      </c>
      <c r="AJ720">
        <f t="shared" si="429"/>
        <v>0</v>
      </c>
      <c r="AK720">
        <f t="shared" si="430"/>
        <v>0</v>
      </c>
      <c r="AL720">
        <f t="shared" si="431"/>
        <v>0</v>
      </c>
      <c r="AM720">
        <f t="shared" si="432"/>
        <v>0</v>
      </c>
      <c r="AN720">
        <f t="shared" si="433"/>
        <v>0</v>
      </c>
      <c r="AO720">
        <f t="shared" si="434"/>
        <v>0</v>
      </c>
      <c r="AP720">
        <f t="shared" si="435"/>
        <v>0</v>
      </c>
      <c r="AQ720">
        <f t="shared" si="436"/>
        <v>0</v>
      </c>
    </row>
    <row r="721" spans="1:43" ht="15.5" x14ac:dyDescent="0.35">
      <c r="A721" s="51">
        <v>73</v>
      </c>
      <c r="B721" s="13" t="s">
        <v>471</v>
      </c>
      <c r="C721" s="17" t="s">
        <v>150</v>
      </c>
      <c r="D721" s="1" t="s">
        <v>76</v>
      </c>
      <c r="E721" s="19">
        <v>3009.9007773309718</v>
      </c>
      <c r="F721">
        <f t="shared" si="437"/>
        <v>3009.9007773309718</v>
      </c>
      <c r="G721">
        <f t="shared" si="438"/>
        <v>0</v>
      </c>
      <c r="H721">
        <f t="shared" si="439"/>
        <v>0</v>
      </c>
      <c r="I721">
        <f t="shared" si="440"/>
        <v>0</v>
      </c>
      <c r="J721">
        <f t="shared" si="441"/>
        <v>0</v>
      </c>
      <c r="K721">
        <f t="shared" si="442"/>
        <v>0</v>
      </c>
      <c r="L721">
        <f t="shared" si="443"/>
        <v>0</v>
      </c>
      <c r="M721">
        <f t="shared" si="444"/>
        <v>0</v>
      </c>
      <c r="N721">
        <f t="shared" si="445"/>
        <v>0</v>
      </c>
      <c r="O721">
        <f t="shared" si="446"/>
        <v>0</v>
      </c>
      <c r="P721">
        <f t="shared" si="447"/>
        <v>0</v>
      </c>
      <c r="Q721">
        <f t="shared" si="448"/>
        <v>0</v>
      </c>
      <c r="S721">
        <f t="shared" si="413"/>
        <v>11</v>
      </c>
      <c r="T721">
        <f t="shared" si="414"/>
        <v>7</v>
      </c>
      <c r="U721">
        <f t="shared" si="415"/>
        <v>1</v>
      </c>
      <c r="V721">
        <f t="shared" si="416"/>
        <v>2</v>
      </c>
      <c r="W721">
        <f t="shared" si="417"/>
        <v>15</v>
      </c>
      <c r="X721">
        <f t="shared" si="418"/>
        <v>14</v>
      </c>
      <c r="Y721">
        <f t="shared" si="419"/>
        <v>1</v>
      </c>
      <c r="Z721">
        <f t="shared" si="420"/>
        <v>2</v>
      </c>
      <c r="AA721">
        <f t="shared" si="421"/>
        <v>3</v>
      </c>
      <c r="AB721">
        <f t="shared" si="422"/>
        <v>1</v>
      </c>
      <c r="AC721">
        <f t="shared" si="423"/>
        <v>17</v>
      </c>
      <c r="AD721">
        <f t="shared" si="424"/>
        <v>0</v>
      </c>
      <c r="AF721">
        <f t="shared" si="425"/>
        <v>0</v>
      </c>
      <c r="AG721">
        <f t="shared" si="426"/>
        <v>0</v>
      </c>
      <c r="AH721">
        <f t="shared" si="427"/>
        <v>0</v>
      </c>
      <c r="AI721">
        <f t="shared" si="428"/>
        <v>0</v>
      </c>
      <c r="AJ721">
        <f t="shared" si="429"/>
        <v>0</v>
      </c>
      <c r="AK721">
        <f t="shared" si="430"/>
        <v>0</v>
      </c>
      <c r="AL721">
        <f t="shared" si="431"/>
        <v>0</v>
      </c>
      <c r="AM721">
        <f t="shared" si="432"/>
        <v>0</v>
      </c>
      <c r="AN721">
        <f t="shared" si="433"/>
        <v>0</v>
      </c>
      <c r="AO721">
        <f t="shared" si="434"/>
        <v>0</v>
      </c>
      <c r="AP721">
        <f t="shared" si="435"/>
        <v>0</v>
      </c>
      <c r="AQ721">
        <f t="shared" si="436"/>
        <v>0</v>
      </c>
    </row>
    <row r="722" spans="1:43" ht="15.5" x14ac:dyDescent="0.35">
      <c r="A722" s="51">
        <v>74</v>
      </c>
      <c r="B722" s="13" t="s">
        <v>471</v>
      </c>
      <c r="C722" s="17" t="s">
        <v>151</v>
      </c>
      <c r="D722" s="1" t="s">
        <v>60</v>
      </c>
      <c r="E722" s="19">
        <v>3035.6591886195993</v>
      </c>
      <c r="F722">
        <f t="shared" si="437"/>
        <v>0</v>
      </c>
      <c r="G722">
        <f t="shared" si="438"/>
        <v>0</v>
      </c>
      <c r="H722">
        <f t="shared" si="439"/>
        <v>0</v>
      </c>
      <c r="I722">
        <f t="shared" si="440"/>
        <v>0</v>
      </c>
      <c r="J722">
        <f t="shared" si="441"/>
        <v>3035.6591886195993</v>
      </c>
      <c r="K722">
        <f t="shared" si="442"/>
        <v>0</v>
      </c>
      <c r="L722">
        <f t="shared" si="443"/>
        <v>0</v>
      </c>
      <c r="M722">
        <f t="shared" si="444"/>
        <v>0</v>
      </c>
      <c r="N722">
        <f t="shared" si="445"/>
        <v>0</v>
      </c>
      <c r="O722">
        <f t="shared" si="446"/>
        <v>0</v>
      </c>
      <c r="P722">
        <f t="shared" si="447"/>
        <v>0</v>
      </c>
      <c r="Q722">
        <f t="shared" si="448"/>
        <v>0</v>
      </c>
      <c r="S722">
        <f t="shared" si="413"/>
        <v>10</v>
      </c>
      <c r="T722">
        <f t="shared" si="414"/>
        <v>7</v>
      </c>
      <c r="U722">
        <f t="shared" si="415"/>
        <v>1</v>
      </c>
      <c r="V722">
        <f t="shared" si="416"/>
        <v>2</v>
      </c>
      <c r="W722">
        <f t="shared" si="417"/>
        <v>15</v>
      </c>
      <c r="X722">
        <f t="shared" si="418"/>
        <v>14</v>
      </c>
      <c r="Y722">
        <f t="shared" si="419"/>
        <v>1</v>
      </c>
      <c r="Z722">
        <f t="shared" si="420"/>
        <v>2</v>
      </c>
      <c r="AA722">
        <f t="shared" si="421"/>
        <v>3</v>
      </c>
      <c r="AB722">
        <f t="shared" si="422"/>
        <v>1</v>
      </c>
      <c r="AC722">
        <f t="shared" si="423"/>
        <v>17</v>
      </c>
      <c r="AD722">
        <f t="shared" si="424"/>
        <v>0</v>
      </c>
      <c r="AF722">
        <f t="shared" si="425"/>
        <v>0</v>
      </c>
      <c r="AG722">
        <f t="shared" si="426"/>
        <v>0</v>
      </c>
      <c r="AH722">
        <f t="shared" si="427"/>
        <v>0</v>
      </c>
      <c r="AI722">
        <f t="shared" si="428"/>
        <v>0</v>
      </c>
      <c r="AJ722">
        <f t="shared" si="429"/>
        <v>0</v>
      </c>
      <c r="AK722">
        <f t="shared" si="430"/>
        <v>0</v>
      </c>
      <c r="AL722">
        <f t="shared" si="431"/>
        <v>0</v>
      </c>
      <c r="AM722">
        <f t="shared" si="432"/>
        <v>0</v>
      </c>
      <c r="AN722">
        <f t="shared" si="433"/>
        <v>0</v>
      </c>
      <c r="AO722">
        <f t="shared" si="434"/>
        <v>0</v>
      </c>
      <c r="AP722">
        <f t="shared" si="435"/>
        <v>0</v>
      </c>
      <c r="AQ722">
        <f t="shared" si="436"/>
        <v>0</v>
      </c>
    </row>
    <row r="723" spans="1:43" ht="15.5" x14ac:dyDescent="0.35">
      <c r="A723" s="51">
        <v>75</v>
      </c>
      <c r="B723" s="13" t="s">
        <v>472</v>
      </c>
      <c r="C723" s="17" t="s">
        <v>152</v>
      </c>
      <c r="D723" s="1" t="s">
        <v>76</v>
      </c>
      <c r="E723" s="19">
        <v>2891.255141148074</v>
      </c>
      <c r="F723">
        <f t="shared" si="437"/>
        <v>2891.255141148074</v>
      </c>
      <c r="G723">
        <f t="shared" si="438"/>
        <v>0</v>
      </c>
      <c r="H723">
        <f t="shared" si="439"/>
        <v>0</v>
      </c>
      <c r="I723">
        <f t="shared" si="440"/>
        <v>0</v>
      </c>
      <c r="J723">
        <f t="shared" si="441"/>
        <v>0</v>
      </c>
      <c r="K723">
        <f t="shared" si="442"/>
        <v>0</v>
      </c>
      <c r="L723">
        <f t="shared" si="443"/>
        <v>0</v>
      </c>
      <c r="M723">
        <f t="shared" si="444"/>
        <v>0</v>
      </c>
      <c r="N723">
        <f t="shared" si="445"/>
        <v>0</v>
      </c>
      <c r="O723">
        <f t="shared" si="446"/>
        <v>0</v>
      </c>
      <c r="P723">
        <f t="shared" si="447"/>
        <v>0</v>
      </c>
      <c r="Q723">
        <f t="shared" si="448"/>
        <v>0</v>
      </c>
      <c r="S723">
        <f t="shared" si="413"/>
        <v>10</v>
      </c>
      <c r="T723">
        <f t="shared" si="414"/>
        <v>7</v>
      </c>
      <c r="U723">
        <f t="shared" si="415"/>
        <v>1</v>
      </c>
      <c r="V723">
        <f t="shared" si="416"/>
        <v>2</v>
      </c>
      <c r="W723">
        <f t="shared" si="417"/>
        <v>14</v>
      </c>
      <c r="X723">
        <f t="shared" si="418"/>
        <v>14</v>
      </c>
      <c r="Y723">
        <f t="shared" si="419"/>
        <v>1</v>
      </c>
      <c r="Z723">
        <f t="shared" si="420"/>
        <v>2</v>
      </c>
      <c r="AA723">
        <f t="shared" si="421"/>
        <v>3</v>
      </c>
      <c r="AB723">
        <f t="shared" si="422"/>
        <v>1</v>
      </c>
      <c r="AC723">
        <f t="shared" si="423"/>
        <v>17</v>
      </c>
      <c r="AD723">
        <f t="shared" si="424"/>
        <v>0</v>
      </c>
      <c r="AF723">
        <f t="shared" si="425"/>
        <v>2891.255141148074</v>
      </c>
      <c r="AG723">
        <f t="shared" si="426"/>
        <v>0</v>
      </c>
      <c r="AH723">
        <f t="shared" si="427"/>
        <v>0</v>
      </c>
      <c r="AI723">
        <f t="shared" si="428"/>
        <v>0</v>
      </c>
      <c r="AJ723">
        <f t="shared" si="429"/>
        <v>0</v>
      </c>
      <c r="AK723">
        <f t="shared" si="430"/>
        <v>0</v>
      </c>
      <c r="AL723">
        <f t="shared" si="431"/>
        <v>0</v>
      </c>
      <c r="AM723">
        <f t="shared" si="432"/>
        <v>0</v>
      </c>
      <c r="AN723">
        <f t="shared" si="433"/>
        <v>0</v>
      </c>
      <c r="AO723">
        <f t="shared" si="434"/>
        <v>0</v>
      </c>
      <c r="AP723">
        <f t="shared" si="435"/>
        <v>0</v>
      </c>
      <c r="AQ723">
        <f t="shared" si="436"/>
        <v>0</v>
      </c>
    </row>
    <row r="724" spans="1:43" ht="15.5" x14ac:dyDescent="0.35">
      <c r="A724" s="51">
        <v>76</v>
      </c>
      <c r="B724" s="13" t="s">
        <v>472</v>
      </c>
      <c r="C724" s="17" t="s">
        <v>154</v>
      </c>
      <c r="D724" s="1" t="s">
        <v>228</v>
      </c>
      <c r="E724" s="19">
        <v>3130.8515709609742</v>
      </c>
      <c r="F724">
        <f t="shared" si="437"/>
        <v>0</v>
      </c>
      <c r="G724">
        <f t="shared" si="438"/>
        <v>0</v>
      </c>
      <c r="H724">
        <f t="shared" si="439"/>
        <v>0</v>
      </c>
      <c r="I724">
        <f t="shared" si="440"/>
        <v>0</v>
      </c>
      <c r="J724">
        <f t="shared" si="441"/>
        <v>0</v>
      </c>
      <c r="K724">
        <f t="shared" si="442"/>
        <v>0</v>
      </c>
      <c r="L724">
        <f t="shared" si="443"/>
        <v>0</v>
      </c>
      <c r="M724">
        <f t="shared" si="444"/>
        <v>0</v>
      </c>
      <c r="N724">
        <f t="shared" si="445"/>
        <v>0</v>
      </c>
      <c r="O724">
        <f t="shared" si="446"/>
        <v>0</v>
      </c>
      <c r="P724">
        <f t="shared" si="447"/>
        <v>3130.8515709609742</v>
      </c>
      <c r="Q724">
        <f t="shared" si="448"/>
        <v>0</v>
      </c>
      <c r="S724">
        <f t="shared" si="413"/>
        <v>9</v>
      </c>
      <c r="T724">
        <f t="shared" si="414"/>
        <v>7</v>
      </c>
      <c r="U724">
        <f t="shared" si="415"/>
        <v>1</v>
      </c>
      <c r="V724">
        <f t="shared" si="416"/>
        <v>2</v>
      </c>
      <c r="W724">
        <f t="shared" si="417"/>
        <v>14</v>
      </c>
      <c r="X724">
        <f t="shared" si="418"/>
        <v>14</v>
      </c>
      <c r="Y724">
        <f t="shared" si="419"/>
        <v>1</v>
      </c>
      <c r="Z724">
        <f t="shared" si="420"/>
        <v>2</v>
      </c>
      <c r="AA724">
        <f t="shared" si="421"/>
        <v>3</v>
      </c>
      <c r="AB724">
        <f t="shared" si="422"/>
        <v>1</v>
      </c>
      <c r="AC724">
        <f t="shared" si="423"/>
        <v>17</v>
      </c>
      <c r="AD724">
        <f t="shared" si="424"/>
        <v>0</v>
      </c>
      <c r="AF724">
        <f t="shared" si="425"/>
        <v>0</v>
      </c>
      <c r="AG724">
        <f t="shared" si="426"/>
        <v>0</v>
      </c>
      <c r="AH724">
        <f t="shared" si="427"/>
        <v>0</v>
      </c>
      <c r="AI724">
        <f t="shared" si="428"/>
        <v>0</v>
      </c>
      <c r="AJ724">
        <f t="shared" si="429"/>
        <v>0</v>
      </c>
      <c r="AK724">
        <f t="shared" si="430"/>
        <v>0</v>
      </c>
      <c r="AL724">
        <f t="shared" si="431"/>
        <v>0</v>
      </c>
      <c r="AM724">
        <f t="shared" si="432"/>
        <v>0</v>
      </c>
      <c r="AN724">
        <f t="shared" si="433"/>
        <v>0</v>
      </c>
      <c r="AO724">
        <f t="shared" si="434"/>
        <v>0</v>
      </c>
      <c r="AP724">
        <f t="shared" si="435"/>
        <v>0</v>
      </c>
      <c r="AQ724">
        <f t="shared" si="436"/>
        <v>0</v>
      </c>
    </row>
    <row r="725" spans="1:43" ht="15.5" x14ac:dyDescent="0.35">
      <c r="A725" s="51">
        <v>77</v>
      </c>
      <c r="B725" s="13" t="s">
        <v>473</v>
      </c>
      <c r="C725" s="17" t="s">
        <v>156</v>
      </c>
      <c r="D725" s="1" t="s">
        <v>228</v>
      </c>
      <c r="E725" s="19">
        <v>3305.1553624605017</v>
      </c>
      <c r="F725">
        <f t="shared" si="437"/>
        <v>0</v>
      </c>
      <c r="G725">
        <f t="shared" si="438"/>
        <v>0</v>
      </c>
      <c r="H725">
        <f t="shared" si="439"/>
        <v>0</v>
      </c>
      <c r="I725">
        <f t="shared" si="440"/>
        <v>0</v>
      </c>
      <c r="J725">
        <f t="shared" si="441"/>
        <v>0</v>
      </c>
      <c r="K725">
        <f t="shared" si="442"/>
        <v>0</v>
      </c>
      <c r="L725">
        <f t="shared" si="443"/>
        <v>0</v>
      </c>
      <c r="M725">
        <f t="shared" si="444"/>
        <v>0</v>
      </c>
      <c r="N725">
        <f t="shared" si="445"/>
        <v>0</v>
      </c>
      <c r="O725">
        <f t="shared" si="446"/>
        <v>0</v>
      </c>
      <c r="P725">
        <f t="shared" si="447"/>
        <v>3305.1553624605017</v>
      </c>
      <c r="Q725">
        <f t="shared" si="448"/>
        <v>0</v>
      </c>
      <c r="S725">
        <f t="shared" si="413"/>
        <v>9</v>
      </c>
      <c r="T725">
        <f t="shared" si="414"/>
        <v>7</v>
      </c>
      <c r="U725">
        <f t="shared" si="415"/>
        <v>1</v>
      </c>
      <c r="V725">
        <f t="shared" si="416"/>
        <v>2</v>
      </c>
      <c r="W725">
        <f t="shared" si="417"/>
        <v>14</v>
      </c>
      <c r="X725">
        <f t="shared" si="418"/>
        <v>14</v>
      </c>
      <c r="Y725">
        <f t="shared" si="419"/>
        <v>1</v>
      </c>
      <c r="Z725">
        <f t="shared" si="420"/>
        <v>2</v>
      </c>
      <c r="AA725">
        <f t="shared" si="421"/>
        <v>3</v>
      </c>
      <c r="AB725">
        <f t="shared" si="422"/>
        <v>1</v>
      </c>
      <c r="AC725">
        <f t="shared" si="423"/>
        <v>16</v>
      </c>
      <c r="AD725">
        <f t="shared" si="424"/>
        <v>0</v>
      </c>
      <c r="AF725">
        <f t="shared" si="425"/>
        <v>0</v>
      </c>
      <c r="AG725">
        <f t="shared" si="426"/>
        <v>0</v>
      </c>
      <c r="AH725">
        <f t="shared" si="427"/>
        <v>0</v>
      </c>
      <c r="AI725">
        <f t="shared" si="428"/>
        <v>0</v>
      </c>
      <c r="AJ725">
        <f t="shared" si="429"/>
        <v>0</v>
      </c>
      <c r="AK725">
        <f t="shared" si="430"/>
        <v>0</v>
      </c>
      <c r="AL725">
        <f t="shared" si="431"/>
        <v>0</v>
      </c>
      <c r="AM725">
        <f t="shared" si="432"/>
        <v>0</v>
      </c>
      <c r="AN725">
        <f t="shared" si="433"/>
        <v>0</v>
      </c>
      <c r="AO725">
        <f t="shared" si="434"/>
        <v>0</v>
      </c>
      <c r="AP725">
        <f t="shared" si="435"/>
        <v>0</v>
      </c>
      <c r="AQ725">
        <f t="shared" si="436"/>
        <v>0</v>
      </c>
    </row>
    <row r="726" spans="1:43" ht="15.5" x14ac:dyDescent="0.35">
      <c r="A726" s="51">
        <v>78</v>
      </c>
      <c r="B726" s="13" t="s">
        <v>473</v>
      </c>
      <c r="C726" s="1" t="s">
        <v>153</v>
      </c>
      <c r="D726" s="1" t="s">
        <v>227</v>
      </c>
      <c r="E726" s="19">
        <v>2903.097206096279</v>
      </c>
      <c r="F726">
        <f t="shared" si="437"/>
        <v>0</v>
      </c>
      <c r="G726">
        <f t="shared" si="438"/>
        <v>2903.097206096279</v>
      </c>
      <c r="H726">
        <f t="shared" si="439"/>
        <v>0</v>
      </c>
      <c r="I726">
        <f t="shared" si="440"/>
        <v>0</v>
      </c>
      <c r="J726">
        <f t="shared" si="441"/>
        <v>0</v>
      </c>
      <c r="K726">
        <f t="shared" si="442"/>
        <v>0</v>
      </c>
      <c r="L726">
        <f t="shared" si="443"/>
        <v>0</v>
      </c>
      <c r="M726">
        <f t="shared" si="444"/>
        <v>0</v>
      </c>
      <c r="N726">
        <f t="shared" si="445"/>
        <v>0</v>
      </c>
      <c r="O726">
        <f t="shared" si="446"/>
        <v>0</v>
      </c>
      <c r="P726">
        <f t="shared" si="447"/>
        <v>0</v>
      </c>
      <c r="Q726">
        <f t="shared" si="448"/>
        <v>0</v>
      </c>
      <c r="S726">
        <f t="shared" si="413"/>
        <v>9</v>
      </c>
      <c r="T726">
        <f t="shared" si="414"/>
        <v>7</v>
      </c>
      <c r="U726">
        <f t="shared" si="415"/>
        <v>1</v>
      </c>
      <c r="V726">
        <f t="shared" si="416"/>
        <v>2</v>
      </c>
      <c r="W726">
        <f t="shared" si="417"/>
        <v>14</v>
      </c>
      <c r="X726">
        <f t="shared" si="418"/>
        <v>14</v>
      </c>
      <c r="Y726">
        <f t="shared" si="419"/>
        <v>1</v>
      </c>
      <c r="Z726">
        <f t="shared" si="420"/>
        <v>2</v>
      </c>
      <c r="AA726">
        <f t="shared" si="421"/>
        <v>3</v>
      </c>
      <c r="AB726">
        <f t="shared" si="422"/>
        <v>1</v>
      </c>
      <c r="AC726">
        <f t="shared" si="423"/>
        <v>15</v>
      </c>
      <c r="AD726">
        <f t="shared" si="424"/>
        <v>0</v>
      </c>
      <c r="AF726">
        <f t="shared" si="425"/>
        <v>0</v>
      </c>
      <c r="AG726">
        <f t="shared" si="426"/>
        <v>2903.097206096279</v>
      </c>
      <c r="AH726">
        <f t="shared" si="427"/>
        <v>0</v>
      </c>
      <c r="AI726">
        <f t="shared" si="428"/>
        <v>0</v>
      </c>
      <c r="AJ726">
        <f t="shared" si="429"/>
        <v>0</v>
      </c>
      <c r="AK726">
        <f t="shared" si="430"/>
        <v>0</v>
      </c>
      <c r="AL726">
        <f t="shared" si="431"/>
        <v>0</v>
      </c>
      <c r="AM726">
        <f t="shared" si="432"/>
        <v>0</v>
      </c>
      <c r="AN726">
        <f t="shared" si="433"/>
        <v>0</v>
      </c>
      <c r="AO726">
        <f t="shared" si="434"/>
        <v>0</v>
      </c>
      <c r="AP726">
        <f t="shared" si="435"/>
        <v>0</v>
      </c>
      <c r="AQ726">
        <f t="shared" si="436"/>
        <v>0</v>
      </c>
    </row>
    <row r="727" spans="1:43" ht="15.5" x14ac:dyDescent="0.35">
      <c r="A727" s="51">
        <v>79</v>
      </c>
      <c r="B727" s="13" t="s">
        <v>474</v>
      </c>
      <c r="C727" s="1" t="s">
        <v>157</v>
      </c>
      <c r="D727" s="1" t="s">
        <v>60</v>
      </c>
      <c r="E727" s="19">
        <v>3247.5736546330227</v>
      </c>
      <c r="F727">
        <f t="shared" si="437"/>
        <v>0</v>
      </c>
      <c r="G727">
        <f t="shared" si="438"/>
        <v>0</v>
      </c>
      <c r="H727">
        <f t="shared" si="439"/>
        <v>0</v>
      </c>
      <c r="I727">
        <f t="shared" si="440"/>
        <v>0</v>
      </c>
      <c r="J727">
        <f t="shared" si="441"/>
        <v>3247.5736546330227</v>
      </c>
      <c r="K727">
        <f t="shared" si="442"/>
        <v>0</v>
      </c>
      <c r="L727">
        <f t="shared" si="443"/>
        <v>0</v>
      </c>
      <c r="M727">
        <f t="shared" si="444"/>
        <v>0</v>
      </c>
      <c r="N727">
        <f t="shared" si="445"/>
        <v>0</v>
      </c>
      <c r="O727">
        <f t="shared" si="446"/>
        <v>0</v>
      </c>
      <c r="P727">
        <f t="shared" si="447"/>
        <v>0</v>
      </c>
      <c r="Q727">
        <f t="shared" si="448"/>
        <v>0</v>
      </c>
      <c r="S727">
        <f t="shared" si="413"/>
        <v>9</v>
      </c>
      <c r="T727">
        <f t="shared" si="414"/>
        <v>6</v>
      </c>
      <c r="U727">
        <f t="shared" si="415"/>
        <v>1</v>
      </c>
      <c r="V727">
        <f t="shared" si="416"/>
        <v>2</v>
      </c>
      <c r="W727">
        <f t="shared" si="417"/>
        <v>14</v>
      </c>
      <c r="X727">
        <f t="shared" si="418"/>
        <v>14</v>
      </c>
      <c r="Y727">
        <f t="shared" si="419"/>
        <v>1</v>
      </c>
      <c r="Z727">
        <f t="shared" si="420"/>
        <v>2</v>
      </c>
      <c r="AA727">
        <f t="shared" si="421"/>
        <v>3</v>
      </c>
      <c r="AB727">
        <f t="shared" si="422"/>
        <v>1</v>
      </c>
      <c r="AC727">
        <f t="shared" si="423"/>
        <v>15</v>
      </c>
      <c r="AD727">
        <f t="shared" si="424"/>
        <v>0</v>
      </c>
      <c r="AF727">
        <f t="shared" si="425"/>
        <v>0</v>
      </c>
      <c r="AG727">
        <f t="shared" si="426"/>
        <v>0</v>
      </c>
      <c r="AH727">
        <f t="shared" si="427"/>
        <v>0</v>
      </c>
      <c r="AI727">
        <f t="shared" si="428"/>
        <v>0</v>
      </c>
      <c r="AJ727">
        <f t="shared" si="429"/>
        <v>0</v>
      </c>
      <c r="AK727">
        <f t="shared" si="430"/>
        <v>0</v>
      </c>
      <c r="AL727">
        <f t="shared" si="431"/>
        <v>0</v>
      </c>
      <c r="AM727">
        <f t="shared" si="432"/>
        <v>0</v>
      </c>
      <c r="AN727">
        <f t="shared" si="433"/>
        <v>0</v>
      </c>
      <c r="AO727">
        <f t="shared" si="434"/>
        <v>0</v>
      </c>
      <c r="AP727">
        <f t="shared" si="435"/>
        <v>0</v>
      </c>
      <c r="AQ727">
        <f t="shared" si="436"/>
        <v>0</v>
      </c>
    </row>
    <row r="728" spans="1:43" ht="15.5" x14ac:dyDescent="0.35">
      <c r="A728" s="51">
        <v>80</v>
      </c>
      <c r="B728" s="13" t="s">
        <v>474</v>
      </c>
      <c r="C728" s="1" t="s">
        <v>255</v>
      </c>
      <c r="D728" s="1" t="s">
        <v>228</v>
      </c>
      <c r="E728" s="19">
        <v>3381.5986892288352</v>
      </c>
      <c r="F728">
        <f t="shared" si="437"/>
        <v>0</v>
      </c>
      <c r="G728">
        <f t="shared" si="438"/>
        <v>0</v>
      </c>
      <c r="H728">
        <f t="shared" si="439"/>
        <v>0</v>
      </c>
      <c r="I728">
        <f t="shared" si="440"/>
        <v>0</v>
      </c>
      <c r="J728">
        <f t="shared" si="441"/>
        <v>0</v>
      </c>
      <c r="K728">
        <f t="shared" si="442"/>
        <v>0</v>
      </c>
      <c r="L728">
        <f t="shared" si="443"/>
        <v>0</v>
      </c>
      <c r="M728">
        <f t="shared" si="444"/>
        <v>0</v>
      </c>
      <c r="N728">
        <f t="shared" si="445"/>
        <v>0</v>
      </c>
      <c r="O728">
        <f t="shared" si="446"/>
        <v>0</v>
      </c>
      <c r="P728">
        <f t="shared" si="447"/>
        <v>3381.5986892288352</v>
      </c>
      <c r="Q728">
        <f t="shared" si="448"/>
        <v>0</v>
      </c>
      <c r="S728">
        <f t="shared" si="413"/>
        <v>9</v>
      </c>
      <c r="T728">
        <f t="shared" si="414"/>
        <v>6</v>
      </c>
      <c r="U728">
        <f t="shared" si="415"/>
        <v>1</v>
      </c>
      <c r="V728">
        <f t="shared" si="416"/>
        <v>2</v>
      </c>
      <c r="W728">
        <f t="shared" si="417"/>
        <v>13</v>
      </c>
      <c r="X728">
        <f t="shared" si="418"/>
        <v>14</v>
      </c>
      <c r="Y728">
        <f t="shared" si="419"/>
        <v>1</v>
      </c>
      <c r="Z728">
        <f t="shared" si="420"/>
        <v>2</v>
      </c>
      <c r="AA728">
        <f t="shared" si="421"/>
        <v>3</v>
      </c>
      <c r="AB728">
        <f t="shared" si="422"/>
        <v>1</v>
      </c>
      <c r="AC728">
        <f t="shared" si="423"/>
        <v>15</v>
      </c>
      <c r="AD728">
        <f t="shared" si="424"/>
        <v>0</v>
      </c>
      <c r="AF728">
        <f t="shared" si="425"/>
        <v>0</v>
      </c>
      <c r="AG728">
        <f t="shared" si="426"/>
        <v>0</v>
      </c>
      <c r="AH728">
        <f t="shared" si="427"/>
        <v>0</v>
      </c>
      <c r="AI728">
        <f t="shared" si="428"/>
        <v>0</v>
      </c>
      <c r="AJ728">
        <f t="shared" si="429"/>
        <v>0</v>
      </c>
      <c r="AK728">
        <f t="shared" si="430"/>
        <v>0</v>
      </c>
      <c r="AL728">
        <f t="shared" si="431"/>
        <v>0</v>
      </c>
      <c r="AM728">
        <f t="shared" si="432"/>
        <v>0</v>
      </c>
      <c r="AN728">
        <f t="shared" si="433"/>
        <v>0</v>
      </c>
      <c r="AO728">
        <f t="shared" si="434"/>
        <v>0</v>
      </c>
      <c r="AP728">
        <f t="shared" si="435"/>
        <v>0</v>
      </c>
      <c r="AQ728">
        <f t="shared" si="436"/>
        <v>0</v>
      </c>
    </row>
    <row r="729" spans="1:43" ht="15.5" x14ac:dyDescent="0.35">
      <c r="A729" s="51">
        <v>81</v>
      </c>
      <c r="B729" s="13" t="s">
        <v>474</v>
      </c>
      <c r="C729" s="17" t="s">
        <v>440</v>
      </c>
      <c r="D729" s="17" t="s">
        <v>176</v>
      </c>
      <c r="E729" s="19">
        <v>3031.390967550999</v>
      </c>
      <c r="F729">
        <f t="shared" si="437"/>
        <v>0</v>
      </c>
      <c r="G729">
        <f t="shared" si="438"/>
        <v>0</v>
      </c>
      <c r="H729">
        <f t="shared" si="439"/>
        <v>0</v>
      </c>
      <c r="I729">
        <f t="shared" si="440"/>
        <v>0</v>
      </c>
      <c r="J729">
        <f t="shared" si="441"/>
        <v>0</v>
      </c>
      <c r="K729">
        <f t="shared" si="442"/>
        <v>0</v>
      </c>
      <c r="L729">
        <f t="shared" si="443"/>
        <v>0</v>
      </c>
      <c r="M729">
        <f t="shared" si="444"/>
        <v>0</v>
      </c>
      <c r="N729">
        <f t="shared" si="445"/>
        <v>3031.390967550999</v>
      </c>
      <c r="O729">
        <f t="shared" si="446"/>
        <v>0</v>
      </c>
      <c r="P729">
        <f t="shared" si="447"/>
        <v>0</v>
      </c>
      <c r="Q729">
        <f t="shared" si="448"/>
        <v>0</v>
      </c>
      <c r="S729">
        <f t="shared" si="413"/>
        <v>9</v>
      </c>
      <c r="T729">
        <f t="shared" si="414"/>
        <v>6</v>
      </c>
      <c r="U729">
        <f t="shared" si="415"/>
        <v>1</v>
      </c>
      <c r="V729">
        <f t="shared" si="416"/>
        <v>2</v>
      </c>
      <c r="W729">
        <f t="shared" si="417"/>
        <v>13</v>
      </c>
      <c r="X729">
        <f t="shared" si="418"/>
        <v>14</v>
      </c>
      <c r="Y729">
        <f t="shared" si="419"/>
        <v>1</v>
      </c>
      <c r="Z729">
        <f t="shared" si="420"/>
        <v>2</v>
      </c>
      <c r="AA729">
        <f t="shared" si="421"/>
        <v>3</v>
      </c>
      <c r="AB729">
        <f t="shared" si="422"/>
        <v>1</v>
      </c>
      <c r="AC729">
        <f t="shared" si="423"/>
        <v>14</v>
      </c>
      <c r="AD729">
        <f t="shared" si="424"/>
        <v>0</v>
      </c>
      <c r="AF729">
        <f t="shared" si="425"/>
        <v>0</v>
      </c>
      <c r="AG729">
        <f t="shared" si="426"/>
        <v>0</v>
      </c>
      <c r="AH729">
        <f t="shared" si="427"/>
        <v>0</v>
      </c>
      <c r="AI729">
        <f t="shared" si="428"/>
        <v>0</v>
      </c>
      <c r="AJ729">
        <f t="shared" si="429"/>
        <v>0</v>
      </c>
      <c r="AK729">
        <f t="shared" si="430"/>
        <v>0</v>
      </c>
      <c r="AL729">
        <f t="shared" si="431"/>
        <v>0</v>
      </c>
      <c r="AM729">
        <f t="shared" si="432"/>
        <v>0</v>
      </c>
      <c r="AN729">
        <f t="shared" si="433"/>
        <v>3031.390967550999</v>
      </c>
      <c r="AO729">
        <f t="shared" si="434"/>
        <v>0</v>
      </c>
      <c r="AP729">
        <f t="shared" si="435"/>
        <v>0</v>
      </c>
      <c r="AQ729">
        <f t="shared" si="436"/>
        <v>0</v>
      </c>
    </row>
    <row r="730" spans="1:43" ht="15.5" x14ac:dyDescent="0.35">
      <c r="A730" s="51">
        <v>82</v>
      </c>
      <c r="B730" s="13" t="s">
        <v>474</v>
      </c>
      <c r="C730" s="1" t="s">
        <v>160</v>
      </c>
      <c r="D730" s="1" t="s">
        <v>76</v>
      </c>
      <c r="E730" s="19">
        <v>3592.1575635903923</v>
      </c>
      <c r="F730">
        <f t="shared" si="437"/>
        <v>3592.1575635903923</v>
      </c>
      <c r="G730">
        <f t="shared" si="438"/>
        <v>0</v>
      </c>
      <c r="H730">
        <f t="shared" si="439"/>
        <v>0</v>
      </c>
      <c r="I730">
        <f t="shared" si="440"/>
        <v>0</v>
      </c>
      <c r="J730">
        <f t="shared" si="441"/>
        <v>0</v>
      </c>
      <c r="K730">
        <f t="shared" si="442"/>
        <v>0</v>
      </c>
      <c r="L730">
        <f t="shared" si="443"/>
        <v>0</v>
      </c>
      <c r="M730">
        <f t="shared" si="444"/>
        <v>0</v>
      </c>
      <c r="N730">
        <f t="shared" si="445"/>
        <v>0</v>
      </c>
      <c r="O730">
        <f t="shared" si="446"/>
        <v>0</v>
      </c>
      <c r="P730">
        <f t="shared" si="447"/>
        <v>0</v>
      </c>
      <c r="Q730">
        <f t="shared" si="448"/>
        <v>0</v>
      </c>
      <c r="S730">
        <f t="shared" si="413"/>
        <v>9</v>
      </c>
      <c r="T730">
        <f t="shared" si="414"/>
        <v>6</v>
      </c>
      <c r="U730">
        <f t="shared" si="415"/>
        <v>1</v>
      </c>
      <c r="V730">
        <f t="shared" si="416"/>
        <v>2</v>
      </c>
      <c r="W730">
        <f t="shared" si="417"/>
        <v>13</v>
      </c>
      <c r="X730">
        <f t="shared" si="418"/>
        <v>14</v>
      </c>
      <c r="Y730">
        <f t="shared" si="419"/>
        <v>1</v>
      </c>
      <c r="Z730">
        <f t="shared" si="420"/>
        <v>2</v>
      </c>
      <c r="AA730">
        <f t="shared" si="421"/>
        <v>2</v>
      </c>
      <c r="AB730">
        <f t="shared" si="422"/>
        <v>1</v>
      </c>
      <c r="AC730">
        <f t="shared" si="423"/>
        <v>14</v>
      </c>
      <c r="AD730">
        <f t="shared" si="424"/>
        <v>0</v>
      </c>
      <c r="AF730">
        <f t="shared" si="425"/>
        <v>3592.1575635903923</v>
      </c>
      <c r="AG730">
        <f t="shared" si="426"/>
        <v>0</v>
      </c>
      <c r="AH730">
        <f t="shared" si="427"/>
        <v>0</v>
      </c>
      <c r="AI730">
        <f t="shared" si="428"/>
        <v>0</v>
      </c>
      <c r="AJ730">
        <f t="shared" si="429"/>
        <v>0</v>
      </c>
      <c r="AK730">
        <f t="shared" si="430"/>
        <v>0</v>
      </c>
      <c r="AL730">
        <f t="shared" si="431"/>
        <v>0</v>
      </c>
      <c r="AM730">
        <f t="shared" si="432"/>
        <v>0</v>
      </c>
      <c r="AN730">
        <f t="shared" si="433"/>
        <v>0</v>
      </c>
      <c r="AO730">
        <f t="shared" si="434"/>
        <v>0</v>
      </c>
      <c r="AP730">
        <f t="shared" si="435"/>
        <v>0</v>
      </c>
      <c r="AQ730">
        <f t="shared" si="436"/>
        <v>0</v>
      </c>
    </row>
    <row r="731" spans="1:43" ht="15.5" x14ac:dyDescent="0.35">
      <c r="A731" s="51">
        <v>83</v>
      </c>
      <c r="B731" s="13" t="s">
        <v>475</v>
      </c>
      <c r="C731" s="1" t="s">
        <v>161</v>
      </c>
      <c r="D731" s="1" t="s">
        <v>76</v>
      </c>
      <c r="E731" s="19">
        <v>3325.9651664904864</v>
      </c>
      <c r="F731">
        <f t="shared" si="437"/>
        <v>3325.9651664904864</v>
      </c>
      <c r="G731">
        <f t="shared" si="438"/>
        <v>0</v>
      </c>
      <c r="H731">
        <f t="shared" si="439"/>
        <v>0</v>
      </c>
      <c r="I731">
        <f t="shared" si="440"/>
        <v>0</v>
      </c>
      <c r="J731">
        <f t="shared" si="441"/>
        <v>0</v>
      </c>
      <c r="K731">
        <f t="shared" si="442"/>
        <v>0</v>
      </c>
      <c r="L731">
        <f t="shared" si="443"/>
        <v>0</v>
      </c>
      <c r="M731">
        <f t="shared" si="444"/>
        <v>0</v>
      </c>
      <c r="N731">
        <f t="shared" si="445"/>
        <v>0</v>
      </c>
      <c r="O731">
        <f t="shared" si="446"/>
        <v>0</v>
      </c>
      <c r="P731">
        <f t="shared" si="447"/>
        <v>0</v>
      </c>
      <c r="Q731">
        <f t="shared" si="448"/>
        <v>0</v>
      </c>
      <c r="S731">
        <f t="shared" si="413"/>
        <v>8</v>
      </c>
      <c r="T731">
        <f t="shared" si="414"/>
        <v>6</v>
      </c>
      <c r="U731">
        <f t="shared" si="415"/>
        <v>1</v>
      </c>
      <c r="V731">
        <f t="shared" si="416"/>
        <v>2</v>
      </c>
      <c r="W731">
        <f t="shared" si="417"/>
        <v>13</v>
      </c>
      <c r="X731">
        <f t="shared" si="418"/>
        <v>14</v>
      </c>
      <c r="Y731">
        <f t="shared" si="419"/>
        <v>1</v>
      </c>
      <c r="Z731">
        <f t="shared" si="420"/>
        <v>2</v>
      </c>
      <c r="AA731">
        <f t="shared" si="421"/>
        <v>2</v>
      </c>
      <c r="AB731">
        <f t="shared" si="422"/>
        <v>1</v>
      </c>
      <c r="AC731">
        <f t="shared" si="423"/>
        <v>14</v>
      </c>
      <c r="AD731">
        <f t="shared" si="424"/>
        <v>0</v>
      </c>
      <c r="AF731">
        <f t="shared" si="425"/>
        <v>3325.9651664904864</v>
      </c>
      <c r="AG731">
        <f t="shared" si="426"/>
        <v>0</v>
      </c>
      <c r="AH731">
        <f t="shared" si="427"/>
        <v>0</v>
      </c>
      <c r="AI731">
        <f t="shared" si="428"/>
        <v>0</v>
      </c>
      <c r="AJ731">
        <f t="shared" si="429"/>
        <v>0</v>
      </c>
      <c r="AK731">
        <f t="shared" si="430"/>
        <v>0</v>
      </c>
      <c r="AL731">
        <f t="shared" si="431"/>
        <v>0</v>
      </c>
      <c r="AM731">
        <f t="shared" si="432"/>
        <v>0</v>
      </c>
      <c r="AN731">
        <f t="shared" si="433"/>
        <v>0</v>
      </c>
      <c r="AO731">
        <f t="shared" si="434"/>
        <v>0</v>
      </c>
      <c r="AP731">
        <f t="shared" si="435"/>
        <v>0</v>
      </c>
      <c r="AQ731">
        <f t="shared" si="436"/>
        <v>0</v>
      </c>
    </row>
    <row r="732" spans="1:43" ht="15.5" x14ac:dyDescent="0.35">
      <c r="A732" s="51">
        <v>84</v>
      </c>
      <c r="B732" s="13" t="s">
        <v>475</v>
      </c>
      <c r="C732" s="17" t="s">
        <v>162</v>
      </c>
      <c r="D732" s="17" t="s">
        <v>60</v>
      </c>
      <c r="E732" s="19">
        <v>3375.0653226162913</v>
      </c>
      <c r="F732">
        <f t="shared" si="437"/>
        <v>0</v>
      </c>
      <c r="G732">
        <f t="shared" si="438"/>
        <v>0</v>
      </c>
      <c r="H732">
        <f t="shared" si="439"/>
        <v>0</v>
      </c>
      <c r="I732">
        <f t="shared" si="440"/>
        <v>0</v>
      </c>
      <c r="J732">
        <f t="shared" si="441"/>
        <v>3375.0653226162913</v>
      </c>
      <c r="K732">
        <f t="shared" si="442"/>
        <v>0</v>
      </c>
      <c r="L732">
        <f t="shared" si="443"/>
        <v>0</v>
      </c>
      <c r="M732">
        <f t="shared" si="444"/>
        <v>0</v>
      </c>
      <c r="N732">
        <f t="shared" si="445"/>
        <v>0</v>
      </c>
      <c r="O732">
        <f t="shared" si="446"/>
        <v>0</v>
      </c>
      <c r="P732">
        <f t="shared" si="447"/>
        <v>0</v>
      </c>
      <c r="Q732">
        <f t="shared" si="448"/>
        <v>0</v>
      </c>
      <c r="S732">
        <f t="shared" si="413"/>
        <v>7</v>
      </c>
      <c r="T732">
        <f t="shared" si="414"/>
        <v>6</v>
      </c>
      <c r="U732">
        <f t="shared" si="415"/>
        <v>1</v>
      </c>
      <c r="V732">
        <f t="shared" si="416"/>
        <v>2</v>
      </c>
      <c r="W732">
        <f t="shared" si="417"/>
        <v>13</v>
      </c>
      <c r="X732">
        <f t="shared" si="418"/>
        <v>14</v>
      </c>
      <c r="Y732">
        <f t="shared" si="419"/>
        <v>1</v>
      </c>
      <c r="Z732">
        <f t="shared" si="420"/>
        <v>2</v>
      </c>
      <c r="AA732">
        <f t="shared" si="421"/>
        <v>2</v>
      </c>
      <c r="AB732">
        <f t="shared" si="422"/>
        <v>1</v>
      </c>
      <c r="AC732">
        <f t="shared" si="423"/>
        <v>14</v>
      </c>
      <c r="AD732">
        <f t="shared" si="424"/>
        <v>0</v>
      </c>
      <c r="AF732">
        <f t="shared" si="425"/>
        <v>0</v>
      </c>
      <c r="AG732">
        <f t="shared" si="426"/>
        <v>0</v>
      </c>
      <c r="AH732">
        <f t="shared" si="427"/>
        <v>0</v>
      </c>
      <c r="AI732">
        <f t="shared" si="428"/>
        <v>0</v>
      </c>
      <c r="AJ732">
        <f t="shared" si="429"/>
        <v>0</v>
      </c>
      <c r="AK732">
        <f t="shared" si="430"/>
        <v>0</v>
      </c>
      <c r="AL732">
        <f t="shared" si="431"/>
        <v>0</v>
      </c>
      <c r="AM732">
        <f t="shared" si="432"/>
        <v>0</v>
      </c>
      <c r="AN732">
        <f t="shared" si="433"/>
        <v>0</v>
      </c>
      <c r="AO732">
        <f t="shared" si="434"/>
        <v>0</v>
      </c>
      <c r="AP732">
        <f t="shared" si="435"/>
        <v>0</v>
      </c>
      <c r="AQ732">
        <f t="shared" si="436"/>
        <v>0</v>
      </c>
    </row>
    <row r="733" spans="1:43" ht="15.5" x14ac:dyDescent="0.35">
      <c r="A733" s="51">
        <v>85</v>
      </c>
      <c r="B733" s="13" t="s">
        <v>475</v>
      </c>
      <c r="C733" s="1" t="s">
        <v>476</v>
      </c>
      <c r="D733" s="1" t="s">
        <v>227</v>
      </c>
      <c r="E733" s="19">
        <v>3398.1701404346913</v>
      </c>
      <c r="F733">
        <f t="shared" si="437"/>
        <v>0</v>
      </c>
      <c r="G733">
        <f t="shared" si="438"/>
        <v>3398.1701404346913</v>
      </c>
      <c r="H733">
        <f t="shared" si="439"/>
        <v>0</v>
      </c>
      <c r="I733">
        <f t="shared" si="440"/>
        <v>0</v>
      </c>
      <c r="J733">
        <f t="shared" si="441"/>
        <v>0</v>
      </c>
      <c r="K733">
        <f t="shared" si="442"/>
        <v>0</v>
      </c>
      <c r="L733">
        <f t="shared" si="443"/>
        <v>0</v>
      </c>
      <c r="M733">
        <f t="shared" si="444"/>
        <v>0</v>
      </c>
      <c r="N733">
        <f t="shared" si="445"/>
        <v>0</v>
      </c>
      <c r="O733">
        <f t="shared" si="446"/>
        <v>0</v>
      </c>
      <c r="P733">
        <f t="shared" si="447"/>
        <v>0</v>
      </c>
      <c r="Q733">
        <f t="shared" si="448"/>
        <v>0</v>
      </c>
      <c r="S733">
        <f t="shared" si="413"/>
        <v>7</v>
      </c>
      <c r="T733">
        <f t="shared" si="414"/>
        <v>6</v>
      </c>
      <c r="U733">
        <f t="shared" si="415"/>
        <v>1</v>
      </c>
      <c r="V733">
        <f t="shared" si="416"/>
        <v>2</v>
      </c>
      <c r="W733">
        <f t="shared" si="417"/>
        <v>12</v>
      </c>
      <c r="X733">
        <f t="shared" si="418"/>
        <v>14</v>
      </c>
      <c r="Y733">
        <f t="shared" si="419"/>
        <v>1</v>
      </c>
      <c r="Z733">
        <f t="shared" si="420"/>
        <v>2</v>
      </c>
      <c r="AA733">
        <f t="shared" si="421"/>
        <v>2</v>
      </c>
      <c r="AB733">
        <f t="shared" si="422"/>
        <v>1</v>
      </c>
      <c r="AC733">
        <f t="shared" si="423"/>
        <v>14</v>
      </c>
      <c r="AD733">
        <f t="shared" si="424"/>
        <v>0</v>
      </c>
      <c r="AF733">
        <f t="shared" si="425"/>
        <v>0</v>
      </c>
      <c r="AG733">
        <f t="shared" si="426"/>
        <v>3398.1701404346913</v>
      </c>
      <c r="AH733">
        <f t="shared" si="427"/>
        <v>0</v>
      </c>
      <c r="AI733">
        <f t="shared" si="428"/>
        <v>0</v>
      </c>
      <c r="AJ733">
        <f t="shared" si="429"/>
        <v>0</v>
      </c>
      <c r="AK733">
        <f t="shared" si="430"/>
        <v>0</v>
      </c>
      <c r="AL733">
        <f t="shared" si="431"/>
        <v>0</v>
      </c>
      <c r="AM733">
        <f t="shared" si="432"/>
        <v>0</v>
      </c>
      <c r="AN733">
        <f t="shared" si="433"/>
        <v>0</v>
      </c>
      <c r="AO733">
        <f t="shared" si="434"/>
        <v>0</v>
      </c>
      <c r="AP733">
        <f t="shared" si="435"/>
        <v>0</v>
      </c>
      <c r="AQ733">
        <f t="shared" si="436"/>
        <v>0</v>
      </c>
    </row>
    <row r="734" spans="1:43" ht="15.5" x14ac:dyDescent="0.35">
      <c r="A734" s="51">
        <v>1</v>
      </c>
      <c r="B734" s="13" t="s">
        <v>477</v>
      </c>
      <c r="C734" s="17" t="s">
        <v>165</v>
      </c>
      <c r="D734" s="17" t="s">
        <v>227</v>
      </c>
      <c r="E734" s="19">
        <v>3091.55153455459</v>
      </c>
      <c r="F734">
        <f t="shared" si="437"/>
        <v>0</v>
      </c>
      <c r="G734">
        <f t="shared" si="438"/>
        <v>3091.55153455459</v>
      </c>
      <c r="H734">
        <f t="shared" si="439"/>
        <v>0</v>
      </c>
      <c r="I734">
        <f t="shared" si="440"/>
        <v>0</v>
      </c>
      <c r="J734">
        <f t="shared" si="441"/>
        <v>0</v>
      </c>
      <c r="K734">
        <f t="shared" si="442"/>
        <v>0</v>
      </c>
      <c r="L734">
        <f t="shared" si="443"/>
        <v>0</v>
      </c>
      <c r="M734">
        <f t="shared" si="444"/>
        <v>0</v>
      </c>
      <c r="N734">
        <f t="shared" si="445"/>
        <v>0</v>
      </c>
      <c r="O734">
        <f t="shared" si="446"/>
        <v>0</v>
      </c>
      <c r="P734">
        <f t="shared" si="447"/>
        <v>0</v>
      </c>
      <c r="Q734">
        <f t="shared" si="448"/>
        <v>0</v>
      </c>
      <c r="S734">
        <f t="shared" si="413"/>
        <v>7</v>
      </c>
      <c r="T734">
        <f t="shared" si="414"/>
        <v>5</v>
      </c>
      <c r="U734">
        <f t="shared" si="415"/>
        <v>1</v>
      </c>
      <c r="V734">
        <f t="shared" si="416"/>
        <v>2</v>
      </c>
      <c r="W734">
        <f t="shared" si="417"/>
        <v>12</v>
      </c>
      <c r="X734">
        <f t="shared" si="418"/>
        <v>14</v>
      </c>
      <c r="Y734">
        <f t="shared" si="419"/>
        <v>1</v>
      </c>
      <c r="Z734">
        <f t="shared" si="420"/>
        <v>2</v>
      </c>
      <c r="AA734">
        <f t="shared" si="421"/>
        <v>2</v>
      </c>
      <c r="AB734">
        <f t="shared" si="422"/>
        <v>1</v>
      </c>
      <c r="AC734">
        <f t="shared" si="423"/>
        <v>14</v>
      </c>
      <c r="AD734">
        <f t="shared" si="424"/>
        <v>0</v>
      </c>
      <c r="AF734">
        <f t="shared" si="425"/>
        <v>0</v>
      </c>
      <c r="AG734">
        <f t="shared" si="426"/>
        <v>3091.55153455459</v>
      </c>
      <c r="AH734">
        <f t="shared" si="427"/>
        <v>0</v>
      </c>
      <c r="AI734">
        <f t="shared" si="428"/>
        <v>0</v>
      </c>
      <c r="AJ734">
        <f t="shared" si="429"/>
        <v>0</v>
      </c>
      <c r="AK734">
        <f t="shared" si="430"/>
        <v>0</v>
      </c>
      <c r="AL734">
        <f t="shared" si="431"/>
        <v>0</v>
      </c>
      <c r="AM734">
        <f t="shared" si="432"/>
        <v>0</v>
      </c>
      <c r="AN734">
        <f t="shared" si="433"/>
        <v>0</v>
      </c>
      <c r="AO734">
        <f t="shared" si="434"/>
        <v>0</v>
      </c>
      <c r="AP734">
        <f t="shared" si="435"/>
        <v>0</v>
      </c>
      <c r="AQ734">
        <f t="shared" si="436"/>
        <v>0</v>
      </c>
    </row>
    <row r="735" spans="1:43" ht="15.5" x14ac:dyDescent="0.35">
      <c r="A735" s="51">
        <v>2</v>
      </c>
      <c r="B735" s="13" t="s">
        <v>477</v>
      </c>
      <c r="C735" s="1" t="s">
        <v>167</v>
      </c>
      <c r="D735" s="1" t="s">
        <v>228</v>
      </c>
      <c r="E735" s="19">
        <v>3704.9317834390931</v>
      </c>
      <c r="F735">
        <f t="shared" si="437"/>
        <v>0</v>
      </c>
      <c r="G735">
        <f t="shared" si="438"/>
        <v>0</v>
      </c>
      <c r="H735">
        <f t="shared" si="439"/>
        <v>0</v>
      </c>
      <c r="I735">
        <f t="shared" si="440"/>
        <v>0</v>
      </c>
      <c r="J735">
        <f t="shared" si="441"/>
        <v>0</v>
      </c>
      <c r="K735">
        <f t="shared" si="442"/>
        <v>0</v>
      </c>
      <c r="L735">
        <f t="shared" si="443"/>
        <v>0</v>
      </c>
      <c r="M735">
        <f t="shared" si="444"/>
        <v>0</v>
      </c>
      <c r="N735">
        <f t="shared" si="445"/>
        <v>0</v>
      </c>
      <c r="O735">
        <f t="shared" si="446"/>
        <v>0</v>
      </c>
      <c r="P735">
        <f t="shared" si="447"/>
        <v>3704.9317834390931</v>
      </c>
      <c r="Q735">
        <f t="shared" si="448"/>
        <v>0</v>
      </c>
      <c r="S735">
        <f t="shared" si="413"/>
        <v>7</v>
      </c>
      <c r="T735">
        <f t="shared" si="414"/>
        <v>4</v>
      </c>
      <c r="U735">
        <f t="shared" si="415"/>
        <v>1</v>
      </c>
      <c r="V735">
        <f t="shared" si="416"/>
        <v>2</v>
      </c>
      <c r="W735">
        <f t="shared" si="417"/>
        <v>12</v>
      </c>
      <c r="X735">
        <f t="shared" si="418"/>
        <v>14</v>
      </c>
      <c r="Y735">
        <f t="shared" si="419"/>
        <v>1</v>
      </c>
      <c r="Z735">
        <f t="shared" si="420"/>
        <v>2</v>
      </c>
      <c r="AA735">
        <f t="shared" si="421"/>
        <v>2</v>
      </c>
      <c r="AB735">
        <f t="shared" si="422"/>
        <v>1</v>
      </c>
      <c r="AC735">
        <f t="shared" si="423"/>
        <v>14</v>
      </c>
      <c r="AD735">
        <f t="shared" si="424"/>
        <v>0</v>
      </c>
      <c r="AF735">
        <f t="shared" si="425"/>
        <v>0</v>
      </c>
      <c r="AG735">
        <f t="shared" si="426"/>
        <v>0</v>
      </c>
      <c r="AH735">
        <f t="shared" si="427"/>
        <v>0</v>
      </c>
      <c r="AI735">
        <f t="shared" si="428"/>
        <v>0</v>
      </c>
      <c r="AJ735">
        <f t="shared" si="429"/>
        <v>0</v>
      </c>
      <c r="AK735">
        <f t="shared" si="430"/>
        <v>0</v>
      </c>
      <c r="AL735">
        <f t="shared" si="431"/>
        <v>0</v>
      </c>
      <c r="AM735">
        <f t="shared" si="432"/>
        <v>0</v>
      </c>
      <c r="AN735">
        <f t="shared" si="433"/>
        <v>0</v>
      </c>
      <c r="AO735">
        <f t="shared" si="434"/>
        <v>0</v>
      </c>
      <c r="AP735">
        <f t="shared" si="435"/>
        <v>0</v>
      </c>
      <c r="AQ735">
        <f t="shared" si="436"/>
        <v>0</v>
      </c>
    </row>
    <row r="736" spans="1:43" ht="15.5" x14ac:dyDescent="0.35">
      <c r="A736" s="51">
        <v>3</v>
      </c>
      <c r="B736" s="13" t="s">
        <v>477</v>
      </c>
      <c r="C736" s="1" t="s">
        <v>166</v>
      </c>
      <c r="D736" s="1" t="s">
        <v>57</v>
      </c>
      <c r="E736" s="19">
        <v>3460.0912335104722</v>
      </c>
      <c r="F736">
        <f t="shared" si="437"/>
        <v>0</v>
      </c>
      <c r="G736">
        <f t="shared" si="438"/>
        <v>0</v>
      </c>
      <c r="H736">
        <f t="shared" si="439"/>
        <v>0</v>
      </c>
      <c r="I736">
        <f t="shared" si="440"/>
        <v>0</v>
      </c>
      <c r="J736">
        <f t="shared" si="441"/>
        <v>0</v>
      </c>
      <c r="K736">
        <f t="shared" si="442"/>
        <v>0</v>
      </c>
      <c r="L736">
        <f t="shared" si="443"/>
        <v>0</v>
      </c>
      <c r="M736">
        <f t="shared" si="444"/>
        <v>3460.0912335104722</v>
      </c>
      <c r="N736">
        <f t="shared" si="445"/>
        <v>0</v>
      </c>
      <c r="O736">
        <f t="shared" si="446"/>
        <v>0</v>
      </c>
      <c r="P736">
        <f t="shared" si="447"/>
        <v>0</v>
      </c>
      <c r="Q736">
        <f t="shared" si="448"/>
        <v>0</v>
      </c>
      <c r="S736">
        <f t="shared" si="413"/>
        <v>7</v>
      </c>
      <c r="T736">
        <f t="shared" si="414"/>
        <v>4</v>
      </c>
      <c r="U736">
        <f t="shared" si="415"/>
        <v>1</v>
      </c>
      <c r="V736">
        <f t="shared" si="416"/>
        <v>2</v>
      </c>
      <c r="W736">
        <f t="shared" si="417"/>
        <v>12</v>
      </c>
      <c r="X736">
        <f t="shared" si="418"/>
        <v>14</v>
      </c>
      <c r="Y736">
        <f t="shared" si="419"/>
        <v>1</v>
      </c>
      <c r="Z736">
        <f t="shared" si="420"/>
        <v>2</v>
      </c>
      <c r="AA736">
        <f t="shared" si="421"/>
        <v>2</v>
      </c>
      <c r="AB736">
        <f t="shared" si="422"/>
        <v>1</v>
      </c>
      <c r="AC736">
        <f t="shared" si="423"/>
        <v>13</v>
      </c>
      <c r="AD736">
        <f t="shared" si="424"/>
        <v>0</v>
      </c>
      <c r="AF736">
        <f t="shared" si="425"/>
        <v>0</v>
      </c>
      <c r="AG736">
        <f t="shared" si="426"/>
        <v>0</v>
      </c>
      <c r="AH736">
        <f t="shared" si="427"/>
        <v>0</v>
      </c>
      <c r="AI736">
        <f t="shared" si="428"/>
        <v>0</v>
      </c>
      <c r="AJ736">
        <f t="shared" si="429"/>
        <v>0</v>
      </c>
      <c r="AK736">
        <f t="shared" si="430"/>
        <v>0</v>
      </c>
      <c r="AL736">
        <f t="shared" si="431"/>
        <v>0</v>
      </c>
      <c r="AM736">
        <f t="shared" si="432"/>
        <v>3460.0912335104722</v>
      </c>
      <c r="AN736">
        <f t="shared" si="433"/>
        <v>0</v>
      </c>
      <c r="AO736">
        <f t="shared" si="434"/>
        <v>0</v>
      </c>
      <c r="AP736">
        <f t="shared" si="435"/>
        <v>0</v>
      </c>
      <c r="AQ736">
        <f t="shared" si="436"/>
        <v>0</v>
      </c>
    </row>
    <row r="737" spans="1:43" ht="15.5" x14ac:dyDescent="0.35">
      <c r="A737" s="51">
        <v>4</v>
      </c>
      <c r="B737" s="13" t="s">
        <v>478</v>
      </c>
      <c r="C737" s="17" t="s">
        <v>170</v>
      </c>
      <c r="D737" s="17" t="s">
        <v>60</v>
      </c>
      <c r="E737" s="19">
        <v>2960.4142894987813</v>
      </c>
      <c r="F737">
        <f t="shared" si="437"/>
        <v>0</v>
      </c>
      <c r="G737">
        <f t="shared" si="438"/>
        <v>0</v>
      </c>
      <c r="H737">
        <f t="shared" si="439"/>
        <v>0</v>
      </c>
      <c r="I737">
        <f t="shared" si="440"/>
        <v>0</v>
      </c>
      <c r="J737">
        <f t="shared" si="441"/>
        <v>2960.4142894987813</v>
      </c>
      <c r="K737">
        <f t="shared" si="442"/>
        <v>0</v>
      </c>
      <c r="L737">
        <f t="shared" si="443"/>
        <v>0</v>
      </c>
      <c r="M737">
        <f t="shared" si="444"/>
        <v>0</v>
      </c>
      <c r="N737">
        <f t="shared" si="445"/>
        <v>0</v>
      </c>
      <c r="O737">
        <f t="shared" si="446"/>
        <v>0</v>
      </c>
      <c r="P737">
        <f t="shared" si="447"/>
        <v>0</v>
      </c>
      <c r="Q737">
        <f t="shared" si="448"/>
        <v>0</v>
      </c>
      <c r="S737">
        <f t="shared" si="413"/>
        <v>7</v>
      </c>
      <c r="T737">
        <f t="shared" si="414"/>
        <v>4</v>
      </c>
      <c r="U737">
        <f t="shared" si="415"/>
        <v>1</v>
      </c>
      <c r="V737">
        <f t="shared" si="416"/>
        <v>2</v>
      </c>
      <c r="W737">
        <f t="shared" si="417"/>
        <v>12</v>
      </c>
      <c r="X737">
        <f t="shared" si="418"/>
        <v>14</v>
      </c>
      <c r="Y737">
        <f t="shared" si="419"/>
        <v>1</v>
      </c>
      <c r="Z737">
        <f t="shared" si="420"/>
        <v>1</v>
      </c>
      <c r="AA737">
        <f t="shared" si="421"/>
        <v>2</v>
      </c>
      <c r="AB737">
        <f t="shared" si="422"/>
        <v>1</v>
      </c>
      <c r="AC737">
        <f t="shared" si="423"/>
        <v>13</v>
      </c>
      <c r="AD737">
        <f t="shared" si="424"/>
        <v>0</v>
      </c>
      <c r="AF737">
        <f t="shared" si="425"/>
        <v>0</v>
      </c>
      <c r="AG737">
        <f t="shared" si="426"/>
        <v>0</v>
      </c>
      <c r="AH737">
        <f t="shared" si="427"/>
        <v>0</v>
      </c>
      <c r="AI737">
        <f t="shared" si="428"/>
        <v>0</v>
      </c>
      <c r="AJ737">
        <f t="shared" si="429"/>
        <v>0</v>
      </c>
      <c r="AK737">
        <f t="shared" si="430"/>
        <v>0</v>
      </c>
      <c r="AL737">
        <f t="shared" si="431"/>
        <v>0</v>
      </c>
      <c r="AM737">
        <f t="shared" si="432"/>
        <v>0</v>
      </c>
      <c r="AN737">
        <f t="shared" si="433"/>
        <v>0</v>
      </c>
      <c r="AO737">
        <f t="shared" si="434"/>
        <v>0</v>
      </c>
      <c r="AP737">
        <f t="shared" si="435"/>
        <v>0</v>
      </c>
      <c r="AQ737">
        <f t="shared" si="436"/>
        <v>0</v>
      </c>
    </row>
    <row r="738" spans="1:43" ht="15.5" x14ac:dyDescent="0.35">
      <c r="A738" s="51">
        <v>5</v>
      </c>
      <c r="B738" s="13" t="s">
        <v>478</v>
      </c>
      <c r="C738" s="1" t="s">
        <v>169</v>
      </c>
      <c r="D738" s="1" t="s">
        <v>228</v>
      </c>
      <c r="E738" s="19">
        <v>3236.5801740010547</v>
      </c>
      <c r="F738">
        <f t="shared" si="437"/>
        <v>0</v>
      </c>
      <c r="G738">
        <f t="shared" si="438"/>
        <v>0</v>
      </c>
      <c r="H738">
        <f t="shared" si="439"/>
        <v>0</v>
      </c>
      <c r="I738">
        <f t="shared" si="440"/>
        <v>0</v>
      </c>
      <c r="J738">
        <f t="shared" si="441"/>
        <v>0</v>
      </c>
      <c r="K738">
        <f t="shared" si="442"/>
        <v>0</v>
      </c>
      <c r="L738">
        <f t="shared" si="443"/>
        <v>0</v>
      </c>
      <c r="M738">
        <f t="shared" si="444"/>
        <v>0</v>
      </c>
      <c r="N738">
        <f t="shared" si="445"/>
        <v>0</v>
      </c>
      <c r="O738">
        <f t="shared" si="446"/>
        <v>0</v>
      </c>
      <c r="P738">
        <f t="shared" si="447"/>
        <v>3236.5801740010547</v>
      </c>
      <c r="Q738">
        <f t="shared" si="448"/>
        <v>0</v>
      </c>
      <c r="S738">
        <f t="shared" si="413"/>
        <v>7</v>
      </c>
      <c r="T738">
        <f t="shared" si="414"/>
        <v>4</v>
      </c>
      <c r="U738">
        <f t="shared" si="415"/>
        <v>1</v>
      </c>
      <c r="V738">
        <f t="shared" si="416"/>
        <v>2</v>
      </c>
      <c r="W738">
        <f t="shared" si="417"/>
        <v>11</v>
      </c>
      <c r="X738">
        <f t="shared" si="418"/>
        <v>14</v>
      </c>
      <c r="Y738">
        <f t="shared" si="419"/>
        <v>1</v>
      </c>
      <c r="Z738">
        <f t="shared" si="420"/>
        <v>1</v>
      </c>
      <c r="AA738">
        <f t="shared" si="421"/>
        <v>2</v>
      </c>
      <c r="AB738">
        <f t="shared" si="422"/>
        <v>1</v>
      </c>
      <c r="AC738">
        <f t="shared" si="423"/>
        <v>13</v>
      </c>
      <c r="AD738">
        <f t="shared" si="424"/>
        <v>0</v>
      </c>
      <c r="AF738">
        <f t="shared" si="425"/>
        <v>0</v>
      </c>
      <c r="AG738">
        <f t="shared" si="426"/>
        <v>0</v>
      </c>
      <c r="AH738">
        <f t="shared" si="427"/>
        <v>0</v>
      </c>
      <c r="AI738">
        <f t="shared" si="428"/>
        <v>0</v>
      </c>
      <c r="AJ738">
        <f t="shared" si="429"/>
        <v>0</v>
      </c>
      <c r="AK738">
        <f t="shared" si="430"/>
        <v>0</v>
      </c>
      <c r="AL738">
        <f t="shared" si="431"/>
        <v>0</v>
      </c>
      <c r="AM738">
        <f t="shared" si="432"/>
        <v>0</v>
      </c>
      <c r="AN738">
        <f t="shared" si="433"/>
        <v>0</v>
      </c>
      <c r="AO738">
        <f t="shared" si="434"/>
        <v>0</v>
      </c>
      <c r="AP738">
        <f t="shared" si="435"/>
        <v>0</v>
      </c>
      <c r="AQ738">
        <f t="shared" si="436"/>
        <v>0</v>
      </c>
    </row>
    <row r="739" spans="1:43" ht="15.5" x14ac:dyDescent="0.35">
      <c r="A739" s="51">
        <v>6</v>
      </c>
      <c r="B739" s="13" t="s">
        <v>478</v>
      </c>
      <c r="C739" s="1" t="s">
        <v>172</v>
      </c>
      <c r="D739" s="1" t="s">
        <v>54</v>
      </c>
      <c r="E739" s="19">
        <v>2958.684434486373</v>
      </c>
      <c r="F739">
        <f t="shared" si="437"/>
        <v>0</v>
      </c>
      <c r="G739">
        <f t="shared" si="438"/>
        <v>0</v>
      </c>
      <c r="H739">
        <f t="shared" si="439"/>
        <v>0</v>
      </c>
      <c r="I739">
        <f t="shared" si="440"/>
        <v>0</v>
      </c>
      <c r="J739">
        <f t="shared" si="441"/>
        <v>0</v>
      </c>
      <c r="K739">
        <f t="shared" si="442"/>
        <v>2958.684434486373</v>
      </c>
      <c r="L739">
        <f t="shared" si="443"/>
        <v>0</v>
      </c>
      <c r="M739">
        <f t="shared" si="444"/>
        <v>0</v>
      </c>
      <c r="N739">
        <f t="shared" si="445"/>
        <v>0</v>
      </c>
      <c r="O739">
        <f t="shared" si="446"/>
        <v>0</v>
      </c>
      <c r="P739">
        <f t="shared" si="447"/>
        <v>0</v>
      </c>
      <c r="Q739">
        <f t="shared" si="448"/>
        <v>0</v>
      </c>
      <c r="S739">
        <f t="shared" si="413"/>
        <v>7</v>
      </c>
      <c r="T739">
        <f t="shared" si="414"/>
        <v>4</v>
      </c>
      <c r="U739">
        <f t="shared" si="415"/>
        <v>1</v>
      </c>
      <c r="V739">
        <f t="shared" si="416"/>
        <v>2</v>
      </c>
      <c r="W739">
        <f t="shared" si="417"/>
        <v>11</v>
      </c>
      <c r="X739">
        <f t="shared" si="418"/>
        <v>14</v>
      </c>
      <c r="Y739">
        <f t="shared" si="419"/>
        <v>1</v>
      </c>
      <c r="Z739">
        <f t="shared" si="420"/>
        <v>1</v>
      </c>
      <c r="AA739">
        <f t="shared" si="421"/>
        <v>2</v>
      </c>
      <c r="AB739">
        <f t="shared" si="422"/>
        <v>1</v>
      </c>
      <c r="AC739">
        <f t="shared" si="423"/>
        <v>12</v>
      </c>
      <c r="AD739">
        <f t="shared" si="424"/>
        <v>0</v>
      </c>
      <c r="AF739">
        <f t="shared" si="425"/>
        <v>0</v>
      </c>
      <c r="AG739">
        <f t="shared" si="426"/>
        <v>0</v>
      </c>
      <c r="AH739">
        <f t="shared" si="427"/>
        <v>0</v>
      </c>
      <c r="AI739">
        <f t="shared" si="428"/>
        <v>0</v>
      </c>
      <c r="AJ739">
        <f t="shared" si="429"/>
        <v>0</v>
      </c>
      <c r="AK739">
        <f t="shared" si="430"/>
        <v>0</v>
      </c>
      <c r="AL739">
        <f t="shared" si="431"/>
        <v>0</v>
      </c>
      <c r="AM739">
        <f t="shared" si="432"/>
        <v>0</v>
      </c>
      <c r="AN739">
        <f t="shared" si="433"/>
        <v>0</v>
      </c>
      <c r="AO739">
        <f t="shared" si="434"/>
        <v>0</v>
      </c>
      <c r="AP739">
        <f t="shared" si="435"/>
        <v>0</v>
      </c>
      <c r="AQ739">
        <f t="shared" si="436"/>
        <v>0</v>
      </c>
    </row>
    <row r="740" spans="1:43" ht="15.5" x14ac:dyDescent="0.35">
      <c r="A740" s="51">
        <v>7</v>
      </c>
      <c r="B740" s="17" t="s">
        <v>479</v>
      </c>
      <c r="C740" s="17" t="s">
        <v>259</v>
      </c>
      <c r="D740" s="17" t="s">
        <v>60</v>
      </c>
      <c r="E740" s="19">
        <v>3395.5272252459704</v>
      </c>
      <c r="F740">
        <f t="shared" si="437"/>
        <v>0</v>
      </c>
      <c r="G740">
        <f t="shared" si="438"/>
        <v>0</v>
      </c>
      <c r="H740">
        <f t="shared" si="439"/>
        <v>0</v>
      </c>
      <c r="I740">
        <f t="shared" si="440"/>
        <v>0</v>
      </c>
      <c r="J740">
        <f t="shared" si="441"/>
        <v>3395.5272252459704</v>
      </c>
      <c r="K740">
        <f t="shared" si="442"/>
        <v>0</v>
      </c>
      <c r="L740">
        <f t="shared" si="443"/>
        <v>0</v>
      </c>
      <c r="M740">
        <f t="shared" si="444"/>
        <v>0</v>
      </c>
      <c r="N740">
        <f t="shared" si="445"/>
        <v>0</v>
      </c>
      <c r="O740">
        <f t="shared" si="446"/>
        <v>0</v>
      </c>
      <c r="P740">
        <f t="shared" si="447"/>
        <v>0</v>
      </c>
      <c r="Q740">
        <f t="shared" si="448"/>
        <v>0</v>
      </c>
      <c r="S740">
        <f t="shared" si="413"/>
        <v>7</v>
      </c>
      <c r="T740">
        <f t="shared" si="414"/>
        <v>4</v>
      </c>
      <c r="U740">
        <f t="shared" si="415"/>
        <v>1</v>
      </c>
      <c r="V740">
        <f t="shared" si="416"/>
        <v>2</v>
      </c>
      <c r="W740">
        <f t="shared" si="417"/>
        <v>11</v>
      </c>
      <c r="X740">
        <f t="shared" si="418"/>
        <v>13</v>
      </c>
      <c r="Y740">
        <f t="shared" si="419"/>
        <v>1</v>
      </c>
      <c r="Z740">
        <f t="shared" si="420"/>
        <v>1</v>
      </c>
      <c r="AA740">
        <f t="shared" si="421"/>
        <v>2</v>
      </c>
      <c r="AB740">
        <f t="shared" si="422"/>
        <v>1</v>
      </c>
      <c r="AC740">
        <f t="shared" si="423"/>
        <v>12</v>
      </c>
      <c r="AD740">
        <f t="shared" si="424"/>
        <v>0</v>
      </c>
      <c r="AF740">
        <f t="shared" si="425"/>
        <v>0</v>
      </c>
      <c r="AG740">
        <f t="shared" si="426"/>
        <v>0</v>
      </c>
      <c r="AH740">
        <f t="shared" si="427"/>
        <v>0</v>
      </c>
      <c r="AI740">
        <f t="shared" si="428"/>
        <v>0</v>
      </c>
      <c r="AJ740">
        <f t="shared" si="429"/>
        <v>0</v>
      </c>
      <c r="AK740">
        <f t="shared" si="430"/>
        <v>0</v>
      </c>
      <c r="AL740">
        <f t="shared" si="431"/>
        <v>0</v>
      </c>
      <c r="AM740">
        <f t="shared" si="432"/>
        <v>0</v>
      </c>
      <c r="AN740">
        <f t="shared" si="433"/>
        <v>0</v>
      </c>
      <c r="AO740">
        <f t="shared" si="434"/>
        <v>0</v>
      </c>
      <c r="AP740">
        <f t="shared" si="435"/>
        <v>0</v>
      </c>
      <c r="AQ740">
        <f t="shared" si="436"/>
        <v>0</v>
      </c>
    </row>
    <row r="741" spans="1:43" ht="15.5" x14ac:dyDescent="0.35">
      <c r="A741" s="51">
        <v>8</v>
      </c>
      <c r="B741" s="17" t="s">
        <v>479</v>
      </c>
      <c r="C741" s="1" t="s">
        <v>173</v>
      </c>
      <c r="D741" s="1" t="s">
        <v>228</v>
      </c>
      <c r="E741" s="19">
        <v>3245.6110594525776</v>
      </c>
      <c r="F741">
        <f t="shared" si="437"/>
        <v>0</v>
      </c>
      <c r="G741">
        <f t="shared" si="438"/>
        <v>0</v>
      </c>
      <c r="H741">
        <f t="shared" si="439"/>
        <v>0</v>
      </c>
      <c r="I741">
        <f t="shared" si="440"/>
        <v>0</v>
      </c>
      <c r="J741">
        <f t="shared" si="441"/>
        <v>0</v>
      </c>
      <c r="K741">
        <f t="shared" si="442"/>
        <v>0</v>
      </c>
      <c r="L741">
        <f t="shared" si="443"/>
        <v>0</v>
      </c>
      <c r="M741">
        <f t="shared" si="444"/>
        <v>0</v>
      </c>
      <c r="N741">
        <f t="shared" si="445"/>
        <v>0</v>
      </c>
      <c r="O741">
        <f t="shared" si="446"/>
        <v>0</v>
      </c>
      <c r="P741">
        <f t="shared" si="447"/>
        <v>3245.6110594525776</v>
      </c>
      <c r="Q741">
        <f t="shared" si="448"/>
        <v>0</v>
      </c>
      <c r="S741">
        <f t="shared" si="413"/>
        <v>7</v>
      </c>
      <c r="T741">
        <f t="shared" si="414"/>
        <v>4</v>
      </c>
      <c r="U741">
        <f t="shared" si="415"/>
        <v>1</v>
      </c>
      <c r="V741">
        <f t="shared" si="416"/>
        <v>2</v>
      </c>
      <c r="W741">
        <f t="shared" si="417"/>
        <v>10</v>
      </c>
      <c r="X741">
        <f t="shared" si="418"/>
        <v>13</v>
      </c>
      <c r="Y741">
        <f t="shared" si="419"/>
        <v>1</v>
      </c>
      <c r="Z741">
        <f t="shared" si="420"/>
        <v>1</v>
      </c>
      <c r="AA741">
        <f t="shared" si="421"/>
        <v>2</v>
      </c>
      <c r="AB741">
        <f t="shared" si="422"/>
        <v>1</v>
      </c>
      <c r="AC741">
        <f t="shared" si="423"/>
        <v>12</v>
      </c>
      <c r="AD741">
        <f t="shared" si="424"/>
        <v>0</v>
      </c>
      <c r="AF741">
        <f t="shared" si="425"/>
        <v>0</v>
      </c>
      <c r="AG741">
        <f t="shared" si="426"/>
        <v>0</v>
      </c>
      <c r="AH741">
        <f t="shared" si="427"/>
        <v>0</v>
      </c>
      <c r="AI741">
        <f t="shared" si="428"/>
        <v>0</v>
      </c>
      <c r="AJ741">
        <f t="shared" si="429"/>
        <v>0</v>
      </c>
      <c r="AK741">
        <f t="shared" si="430"/>
        <v>0</v>
      </c>
      <c r="AL741">
        <f t="shared" si="431"/>
        <v>0</v>
      </c>
      <c r="AM741">
        <f t="shared" si="432"/>
        <v>0</v>
      </c>
      <c r="AN741">
        <f t="shared" si="433"/>
        <v>0</v>
      </c>
      <c r="AO741">
        <f t="shared" si="434"/>
        <v>0</v>
      </c>
      <c r="AP741">
        <f t="shared" si="435"/>
        <v>0</v>
      </c>
      <c r="AQ741">
        <f t="shared" si="436"/>
        <v>0</v>
      </c>
    </row>
    <row r="742" spans="1:43" ht="15.5" x14ac:dyDescent="0.35">
      <c r="A742" s="51">
        <v>9</v>
      </c>
      <c r="B742" s="13" t="s">
        <v>480</v>
      </c>
      <c r="C742" s="1" t="s">
        <v>175</v>
      </c>
      <c r="D742" s="1" t="s">
        <v>76</v>
      </c>
      <c r="E742" s="19">
        <v>3183.2851315406515</v>
      </c>
      <c r="F742">
        <f t="shared" si="437"/>
        <v>3183.2851315406515</v>
      </c>
      <c r="G742">
        <f t="shared" si="438"/>
        <v>0</v>
      </c>
      <c r="H742">
        <f t="shared" si="439"/>
        <v>0</v>
      </c>
      <c r="I742">
        <f t="shared" si="440"/>
        <v>0</v>
      </c>
      <c r="J742">
        <f t="shared" si="441"/>
        <v>0</v>
      </c>
      <c r="K742">
        <f t="shared" si="442"/>
        <v>0</v>
      </c>
      <c r="L742">
        <f t="shared" si="443"/>
        <v>0</v>
      </c>
      <c r="M742">
        <f t="shared" si="444"/>
        <v>0</v>
      </c>
      <c r="N742">
        <f t="shared" si="445"/>
        <v>0</v>
      </c>
      <c r="O742">
        <f t="shared" si="446"/>
        <v>0</v>
      </c>
      <c r="P742">
        <f t="shared" si="447"/>
        <v>0</v>
      </c>
      <c r="Q742">
        <f t="shared" si="448"/>
        <v>0</v>
      </c>
      <c r="S742">
        <f t="shared" si="413"/>
        <v>7</v>
      </c>
      <c r="T742">
        <f t="shared" si="414"/>
        <v>4</v>
      </c>
      <c r="U742">
        <f t="shared" si="415"/>
        <v>1</v>
      </c>
      <c r="V742">
        <f t="shared" si="416"/>
        <v>2</v>
      </c>
      <c r="W742">
        <f t="shared" si="417"/>
        <v>10</v>
      </c>
      <c r="X742">
        <f t="shared" si="418"/>
        <v>13</v>
      </c>
      <c r="Y742">
        <f t="shared" si="419"/>
        <v>1</v>
      </c>
      <c r="Z742">
        <f t="shared" si="420"/>
        <v>1</v>
      </c>
      <c r="AA742">
        <f t="shared" si="421"/>
        <v>2</v>
      </c>
      <c r="AB742">
        <f t="shared" si="422"/>
        <v>1</v>
      </c>
      <c r="AC742">
        <f t="shared" si="423"/>
        <v>11</v>
      </c>
      <c r="AD742">
        <f t="shared" si="424"/>
        <v>0</v>
      </c>
      <c r="AF742">
        <f t="shared" si="425"/>
        <v>3183.2851315406515</v>
      </c>
      <c r="AG742">
        <f t="shared" si="426"/>
        <v>0</v>
      </c>
      <c r="AH742">
        <f t="shared" si="427"/>
        <v>0</v>
      </c>
      <c r="AI742">
        <f t="shared" si="428"/>
        <v>0</v>
      </c>
      <c r="AJ742">
        <f t="shared" si="429"/>
        <v>0</v>
      </c>
      <c r="AK742">
        <f t="shared" si="430"/>
        <v>0</v>
      </c>
      <c r="AL742">
        <f t="shared" si="431"/>
        <v>0</v>
      </c>
      <c r="AM742">
        <f t="shared" si="432"/>
        <v>0</v>
      </c>
      <c r="AN742">
        <f t="shared" si="433"/>
        <v>0</v>
      </c>
      <c r="AO742">
        <f t="shared" si="434"/>
        <v>0</v>
      </c>
      <c r="AP742">
        <f t="shared" si="435"/>
        <v>0</v>
      </c>
      <c r="AQ742">
        <f t="shared" si="436"/>
        <v>0</v>
      </c>
    </row>
    <row r="743" spans="1:43" ht="15.5" x14ac:dyDescent="0.35">
      <c r="A743" s="51">
        <v>10</v>
      </c>
      <c r="B743" s="13" t="s">
        <v>480</v>
      </c>
      <c r="C743" s="1" t="s">
        <v>53</v>
      </c>
      <c r="D743" s="1" t="s">
        <v>54</v>
      </c>
      <c r="E743" s="19">
        <v>3525.2998381823923</v>
      </c>
      <c r="F743">
        <f t="shared" si="437"/>
        <v>0</v>
      </c>
      <c r="G743">
        <f t="shared" si="438"/>
        <v>0</v>
      </c>
      <c r="H743">
        <f t="shared" si="439"/>
        <v>0</v>
      </c>
      <c r="I743">
        <f t="shared" si="440"/>
        <v>0</v>
      </c>
      <c r="J743">
        <f t="shared" si="441"/>
        <v>0</v>
      </c>
      <c r="K743">
        <f t="shared" si="442"/>
        <v>3525.2998381823923</v>
      </c>
      <c r="L743">
        <f t="shared" si="443"/>
        <v>0</v>
      </c>
      <c r="M743">
        <f t="shared" si="444"/>
        <v>0</v>
      </c>
      <c r="N743">
        <f t="shared" si="445"/>
        <v>0</v>
      </c>
      <c r="O743">
        <f t="shared" si="446"/>
        <v>0</v>
      </c>
      <c r="P743">
        <f t="shared" si="447"/>
        <v>0</v>
      </c>
      <c r="Q743">
        <f t="shared" si="448"/>
        <v>0</v>
      </c>
      <c r="S743">
        <f t="shared" si="413"/>
        <v>6</v>
      </c>
      <c r="T743">
        <f t="shared" si="414"/>
        <v>4</v>
      </c>
      <c r="U743">
        <f t="shared" si="415"/>
        <v>1</v>
      </c>
      <c r="V743">
        <f t="shared" si="416"/>
        <v>2</v>
      </c>
      <c r="W743">
        <f t="shared" si="417"/>
        <v>10</v>
      </c>
      <c r="X743">
        <f t="shared" si="418"/>
        <v>13</v>
      </c>
      <c r="Y743">
        <f t="shared" si="419"/>
        <v>1</v>
      </c>
      <c r="Z743">
        <f t="shared" si="420"/>
        <v>1</v>
      </c>
      <c r="AA743">
        <f t="shared" si="421"/>
        <v>2</v>
      </c>
      <c r="AB743">
        <f t="shared" si="422"/>
        <v>1</v>
      </c>
      <c r="AC743">
        <f t="shared" si="423"/>
        <v>11</v>
      </c>
      <c r="AD743">
        <f t="shared" si="424"/>
        <v>0</v>
      </c>
      <c r="AF743">
        <f t="shared" si="425"/>
        <v>0</v>
      </c>
      <c r="AG743">
        <f t="shared" si="426"/>
        <v>0</v>
      </c>
      <c r="AH743">
        <f t="shared" si="427"/>
        <v>0</v>
      </c>
      <c r="AI743">
        <f t="shared" si="428"/>
        <v>0</v>
      </c>
      <c r="AJ743">
        <f t="shared" si="429"/>
        <v>0</v>
      </c>
      <c r="AK743">
        <f t="shared" si="430"/>
        <v>0</v>
      </c>
      <c r="AL743">
        <f t="shared" si="431"/>
        <v>0</v>
      </c>
      <c r="AM743">
        <f t="shared" si="432"/>
        <v>0</v>
      </c>
      <c r="AN743">
        <f t="shared" si="433"/>
        <v>0</v>
      </c>
      <c r="AO743">
        <f t="shared" si="434"/>
        <v>0</v>
      </c>
      <c r="AP743">
        <f t="shared" si="435"/>
        <v>0</v>
      </c>
      <c r="AQ743">
        <f t="shared" si="436"/>
        <v>0</v>
      </c>
    </row>
    <row r="744" spans="1:43" ht="15.5" x14ac:dyDescent="0.35">
      <c r="A744" s="51">
        <v>11</v>
      </c>
      <c r="B744" s="13" t="s">
        <v>480</v>
      </c>
      <c r="C744" s="1" t="s">
        <v>56</v>
      </c>
      <c r="D744" s="1" t="s">
        <v>54</v>
      </c>
      <c r="E744" s="19">
        <v>3202.2713789616064</v>
      </c>
      <c r="F744">
        <f t="shared" si="437"/>
        <v>0</v>
      </c>
      <c r="G744">
        <f t="shared" si="438"/>
        <v>0</v>
      </c>
      <c r="H744">
        <f t="shared" si="439"/>
        <v>0</v>
      </c>
      <c r="I744">
        <f t="shared" si="440"/>
        <v>0</v>
      </c>
      <c r="J744">
        <f t="shared" si="441"/>
        <v>0</v>
      </c>
      <c r="K744">
        <f t="shared" si="442"/>
        <v>3202.2713789616064</v>
      </c>
      <c r="L744">
        <f t="shared" si="443"/>
        <v>0</v>
      </c>
      <c r="M744">
        <f t="shared" si="444"/>
        <v>0</v>
      </c>
      <c r="N744">
        <f t="shared" si="445"/>
        <v>0</v>
      </c>
      <c r="O744">
        <f t="shared" si="446"/>
        <v>0</v>
      </c>
      <c r="P744">
        <f t="shared" si="447"/>
        <v>0</v>
      </c>
      <c r="Q744">
        <f t="shared" si="448"/>
        <v>0</v>
      </c>
      <c r="S744">
        <f t="shared" si="413"/>
        <v>6</v>
      </c>
      <c r="T744">
        <f t="shared" si="414"/>
        <v>4</v>
      </c>
      <c r="U744">
        <f t="shared" si="415"/>
        <v>1</v>
      </c>
      <c r="V744">
        <f t="shared" si="416"/>
        <v>2</v>
      </c>
      <c r="W744">
        <f t="shared" si="417"/>
        <v>10</v>
      </c>
      <c r="X744">
        <f t="shared" si="418"/>
        <v>12</v>
      </c>
      <c r="Y744">
        <f t="shared" si="419"/>
        <v>1</v>
      </c>
      <c r="Z744">
        <f t="shared" si="420"/>
        <v>1</v>
      </c>
      <c r="AA744">
        <f t="shared" si="421"/>
        <v>2</v>
      </c>
      <c r="AB744">
        <f t="shared" si="422"/>
        <v>1</v>
      </c>
      <c r="AC744">
        <f t="shared" si="423"/>
        <v>11</v>
      </c>
      <c r="AD744">
        <f t="shared" si="424"/>
        <v>0</v>
      </c>
      <c r="AF744">
        <f t="shared" si="425"/>
        <v>0</v>
      </c>
      <c r="AG744">
        <f t="shared" si="426"/>
        <v>0</v>
      </c>
      <c r="AH744">
        <f t="shared" si="427"/>
        <v>0</v>
      </c>
      <c r="AI744">
        <f t="shared" si="428"/>
        <v>0</v>
      </c>
      <c r="AJ744">
        <f t="shared" si="429"/>
        <v>0</v>
      </c>
      <c r="AK744">
        <f t="shared" si="430"/>
        <v>0</v>
      </c>
      <c r="AL744">
        <f t="shared" si="431"/>
        <v>0</v>
      </c>
      <c r="AM744">
        <f t="shared" si="432"/>
        <v>0</v>
      </c>
      <c r="AN744">
        <f t="shared" si="433"/>
        <v>0</v>
      </c>
      <c r="AO744">
        <f t="shared" si="434"/>
        <v>0</v>
      </c>
      <c r="AP744">
        <f t="shared" si="435"/>
        <v>0</v>
      </c>
      <c r="AQ744">
        <f t="shared" si="436"/>
        <v>0</v>
      </c>
    </row>
    <row r="745" spans="1:43" ht="15.5" x14ac:dyDescent="0.35">
      <c r="A745" s="51">
        <v>12</v>
      </c>
      <c r="B745" s="13" t="s">
        <v>481</v>
      </c>
      <c r="C745" s="1" t="s">
        <v>61</v>
      </c>
      <c r="D745" s="1" t="s">
        <v>228</v>
      </c>
      <c r="E745" s="19">
        <v>3542.5155504499735</v>
      </c>
      <c r="F745">
        <f t="shared" si="437"/>
        <v>0</v>
      </c>
      <c r="G745">
        <f t="shared" si="438"/>
        <v>0</v>
      </c>
      <c r="H745">
        <f t="shared" si="439"/>
        <v>0</v>
      </c>
      <c r="I745">
        <f t="shared" si="440"/>
        <v>0</v>
      </c>
      <c r="J745">
        <f t="shared" si="441"/>
        <v>0</v>
      </c>
      <c r="K745">
        <f t="shared" si="442"/>
        <v>0</v>
      </c>
      <c r="L745">
        <f t="shared" si="443"/>
        <v>0</v>
      </c>
      <c r="M745">
        <f t="shared" si="444"/>
        <v>0</v>
      </c>
      <c r="N745">
        <f t="shared" si="445"/>
        <v>0</v>
      </c>
      <c r="O745">
        <f t="shared" si="446"/>
        <v>0</v>
      </c>
      <c r="P745">
        <f t="shared" si="447"/>
        <v>3542.5155504499735</v>
      </c>
      <c r="Q745">
        <f t="shared" si="448"/>
        <v>0</v>
      </c>
      <c r="S745">
        <f t="shared" si="413"/>
        <v>6</v>
      </c>
      <c r="T745">
        <f t="shared" si="414"/>
        <v>4</v>
      </c>
      <c r="U745">
        <f t="shared" si="415"/>
        <v>1</v>
      </c>
      <c r="V745">
        <f t="shared" si="416"/>
        <v>2</v>
      </c>
      <c r="W745">
        <f t="shared" si="417"/>
        <v>10</v>
      </c>
      <c r="X745">
        <f t="shared" si="418"/>
        <v>11</v>
      </c>
      <c r="Y745">
        <f t="shared" si="419"/>
        <v>1</v>
      </c>
      <c r="Z745">
        <f t="shared" si="420"/>
        <v>1</v>
      </c>
      <c r="AA745">
        <f t="shared" si="421"/>
        <v>2</v>
      </c>
      <c r="AB745">
        <f t="shared" si="422"/>
        <v>1</v>
      </c>
      <c r="AC745">
        <f t="shared" si="423"/>
        <v>11</v>
      </c>
      <c r="AD745">
        <f t="shared" si="424"/>
        <v>0</v>
      </c>
      <c r="AF745">
        <f t="shared" si="425"/>
        <v>0</v>
      </c>
      <c r="AG745">
        <f t="shared" si="426"/>
        <v>0</v>
      </c>
      <c r="AH745">
        <f t="shared" si="427"/>
        <v>0</v>
      </c>
      <c r="AI745">
        <f t="shared" si="428"/>
        <v>0</v>
      </c>
      <c r="AJ745">
        <f t="shared" si="429"/>
        <v>0</v>
      </c>
      <c r="AK745">
        <f t="shared" si="430"/>
        <v>0</v>
      </c>
      <c r="AL745">
        <f t="shared" si="431"/>
        <v>0</v>
      </c>
      <c r="AM745">
        <f t="shared" si="432"/>
        <v>0</v>
      </c>
      <c r="AN745">
        <f t="shared" si="433"/>
        <v>0</v>
      </c>
      <c r="AO745">
        <f t="shared" si="434"/>
        <v>0</v>
      </c>
      <c r="AP745">
        <f t="shared" si="435"/>
        <v>0</v>
      </c>
      <c r="AQ745">
        <f t="shared" si="436"/>
        <v>0</v>
      </c>
    </row>
    <row r="746" spans="1:43" ht="15.5" x14ac:dyDescent="0.35">
      <c r="A746" s="51">
        <v>13</v>
      </c>
      <c r="B746" s="13" t="s">
        <v>481</v>
      </c>
      <c r="C746" s="1" t="s">
        <v>59</v>
      </c>
      <c r="D746" s="1" t="s">
        <v>60</v>
      </c>
      <c r="E746" s="19">
        <v>3155.4853761894697</v>
      </c>
      <c r="F746">
        <f t="shared" si="437"/>
        <v>0</v>
      </c>
      <c r="G746">
        <f t="shared" si="438"/>
        <v>0</v>
      </c>
      <c r="H746">
        <f t="shared" si="439"/>
        <v>0</v>
      </c>
      <c r="I746">
        <f t="shared" si="440"/>
        <v>0</v>
      </c>
      <c r="J746">
        <f t="shared" si="441"/>
        <v>3155.4853761894697</v>
      </c>
      <c r="K746">
        <f t="shared" si="442"/>
        <v>0</v>
      </c>
      <c r="L746">
        <f t="shared" si="443"/>
        <v>0</v>
      </c>
      <c r="M746">
        <f t="shared" si="444"/>
        <v>0</v>
      </c>
      <c r="N746">
        <f t="shared" si="445"/>
        <v>0</v>
      </c>
      <c r="O746">
        <f t="shared" si="446"/>
        <v>0</v>
      </c>
      <c r="P746">
        <f t="shared" si="447"/>
        <v>0</v>
      </c>
      <c r="Q746">
        <f t="shared" si="448"/>
        <v>0</v>
      </c>
      <c r="S746">
        <f t="shared" si="413"/>
        <v>6</v>
      </c>
      <c r="T746">
        <f t="shared" si="414"/>
        <v>4</v>
      </c>
      <c r="U746">
        <f t="shared" si="415"/>
        <v>1</v>
      </c>
      <c r="V746">
        <f t="shared" si="416"/>
        <v>2</v>
      </c>
      <c r="W746">
        <f t="shared" si="417"/>
        <v>10</v>
      </c>
      <c r="X746">
        <f t="shared" si="418"/>
        <v>11</v>
      </c>
      <c r="Y746">
        <f t="shared" si="419"/>
        <v>1</v>
      </c>
      <c r="Z746">
        <f t="shared" si="420"/>
        <v>1</v>
      </c>
      <c r="AA746">
        <f t="shared" si="421"/>
        <v>2</v>
      </c>
      <c r="AB746">
        <f t="shared" si="422"/>
        <v>1</v>
      </c>
      <c r="AC746">
        <f t="shared" si="423"/>
        <v>10</v>
      </c>
      <c r="AD746">
        <f t="shared" si="424"/>
        <v>0</v>
      </c>
      <c r="AF746">
        <f t="shared" si="425"/>
        <v>0</v>
      </c>
      <c r="AG746">
        <f t="shared" si="426"/>
        <v>0</v>
      </c>
      <c r="AH746">
        <f t="shared" si="427"/>
        <v>0</v>
      </c>
      <c r="AI746">
        <f t="shared" si="428"/>
        <v>0</v>
      </c>
      <c r="AJ746">
        <f t="shared" si="429"/>
        <v>3155.4853761894697</v>
      </c>
      <c r="AK746">
        <f t="shared" si="430"/>
        <v>0</v>
      </c>
      <c r="AL746">
        <f t="shared" si="431"/>
        <v>0</v>
      </c>
      <c r="AM746">
        <f t="shared" si="432"/>
        <v>0</v>
      </c>
      <c r="AN746">
        <f t="shared" si="433"/>
        <v>0</v>
      </c>
      <c r="AO746">
        <f t="shared" si="434"/>
        <v>0</v>
      </c>
      <c r="AP746">
        <f t="shared" si="435"/>
        <v>0</v>
      </c>
      <c r="AQ746">
        <f t="shared" si="436"/>
        <v>0</v>
      </c>
    </row>
    <row r="747" spans="1:43" ht="15.5" x14ac:dyDescent="0.35">
      <c r="A747" s="51">
        <v>14</v>
      </c>
      <c r="B747" s="13" t="s">
        <v>482</v>
      </c>
      <c r="C747" s="1" t="s">
        <v>285</v>
      </c>
      <c r="D747" s="1" t="s">
        <v>102</v>
      </c>
      <c r="E747" s="70">
        <v>2780.8307486637796</v>
      </c>
      <c r="F747">
        <f t="shared" si="437"/>
        <v>0</v>
      </c>
      <c r="G747">
        <f t="shared" si="438"/>
        <v>0</v>
      </c>
      <c r="H747">
        <f t="shared" si="439"/>
        <v>0</v>
      </c>
      <c r="I747">
        <f t="shared" si="440"/>
        <v>0</v>
      </c>
      <c r="J747">
        <f t="shared" si="441"/>
        <v>0</v>
      </c>
      <c r="K747">
        <f t="shared" si="442"/>
        <v>0</v>
      </c>
      <c r="L747">
        <f t="shared" si="443"/>
        <v>0</v>
      </c>
      <c r="M747">
        <f t="shared" si="444"/>
        <v>0</v>
      </c>
      <c r="N747">
        <f t="shared" si="445"/>
        <v>0</v>
      </c>
      <c r="O747">
        <f t="shared" si="446"/>
        <v>2780.8307486637796</v>
      </c>
      <c r="P747">
        <f t="shared" si="447"/>
        <v>0</v>
      </c>
      <c r="Q747">
        <f t="shared" si="448"/>
        <v>0</v>
      </c>
      <c r="S747">
        <f t="shared" ref="S747:S810" si="449">IF(F747&gt;0,1,0)+S748</f>
        <v>6</v>
      </c>
      <c r="T747">
        <f t="shared" ref="T747:T810" si="450">IF(G747&gt;0,1,0)+T748</f>
        <v>4</v>
      </c>
      <c r="U747">
        <f t="shared" ref="U747:U810" si="451">IF(H747&gt;0,1,0)+U748</f>
        <v>1</v>
      </c>
      <c r="V747">
        <f t="shared" ref="V747:V810" si="452">IF(I747&gt;0,1,0)+V748</f>
        <v>2</v>
      </c>
      <c r="W747">
        <f t="shared" ref="W747:W810" si="453">IF(J747&gt;0,1,0)+W748</f>
        <v>9</v>
      </c>
      <c r="X747">
        <f t="shared" ref="X747:X810" si="454">IF(K747&gt;0,1,0)+X748</f>
        <v>11</v>
      </c>
      <c r="Y747">
        <f t="shared" ref="Y747:Y810" si="455">IF(L747&gt;0,1,0)+Y748</f>
        <v>1</v>
      </c>
      <c r="Z747">
        <f t="shared" ref="Z747:Z810" si="456">IF(M747&gt;0,1,0)+Z748</f>
        <v>1</v>
      </c>
      <c r="AA747">
        <f t="shared" ref="AA747:AA810" si="457">IF(N747&gt;0,1,0)+AA748</f>
        <v>2</v>
      </c>
      <c r="AB747">
        <f t="shared" ref="AB747:AB810" si="458">IF(O747&gt;0,1,0)+AB748</f>
        <v>1</v>
      </c>
      <c r="AC747">
        <f t="shared" ref="AC747:AC810" si="459">IF(P747&gt;0,1,0)+AC748</f>
        <v>10</v>
      </c>
      <c r="AD747">
        <f t="shared" ref="AD747:AD810" si="460">IF(Q747&gt;0,1,0)+AD748</f>
        <v>0</v>
      </c>
      <c r="AF747">
        <f t="shared" ref="AF747:AF810" si="461">IF(S747&lt;=$AT$1,F747,0)</f>
        <v>0</v>
      </c>
      <c r="AG747">
        <f t="shared" ref="AG747:AG810" si="462">IF(T747&lt;=$AT$1,G747,0)</f>
        <v>0</v>
      </c>
      <c r="AH747">
        <f t="shared" ref="AH747:AH810" si="463">IF(U747&lt;=$AT$1,H747,0)</f>
        <v>0</v>
      </c>
      <c r="AI747">
        <f t="shared" ref="AI747:AI810" si="464">IF(V747&lt;=$AT$1,I747,0)</f>
        <v>0</v>
      </c>
      <c r="AJ747">
        <f t="shared" ref="AJ747:AJ810" si="465">IF(W747&lt;=$AT$1,J747,0)</f>
        <v>0</v>
      </c>
      <c r="AK747">
        <f t="shared" ref="AK747:AK810" si="466">IF(X747&lt;=$AT$1,K747,0)</f>
        <v>0</v>
      </c>
      <c r="AL747">
        <f t="shared" ref="AL747:AL810" si="467">IF(Y747&lt;=$AT$1,L747,0)</f>
        <v>0</v>
      </c>
      <c r="AM747">
        <f t="shared" ref="AM747:AM810" si="468">IF(Z747&lt;=$AT$1,M747,0)</f>
        <v>0</v>
      </c>
      <c r="AN747">
        <f t="shared" ref="AN747:AN810" si="469">IF(AA747&lt;=$AT$1,N747,0)</f>
        <v>0</v>
      </c>
      <c r="AO747">
        <f t="shared" ref="AO747:AO810" si="470">IF(AB747&lt;=$AT$1,O747,0)</f>
        <v>2780.8307486637796</v>
      </c>
      <c r="AP747">
        <f t="shared" ref="AP747:AP810" si="471">IF(AC747&lt;=$AT$1,P747,0)</f>
        <v>0</v>
      </c>
      <c r="AQ747">
        <f t="shared" ref="AQ747:AQ810" si="472">IF(AD747&lt;=$AT$1,Q747,0)</f>
        <v>0</v>
      </c>
    </row>
    <row r="748" spans="1:43" ht="15.5" x14ac:dyDescent="0.35">
      <c r="A748" s="51">
        <v>15</v>
      </c>
      <c r="B748" s="13" t="s">
        <v>482</v>
      </c>
      <c r="C748" s="17" t="s">
        <v>270</v>
      </c>
      <c r="D748" s="17" t="s">
        <v>76</v>
      </c>
      <c r="E748" s="19">
        <v>2821.0719074074077</v>
      </c>
      <c r="F748">
        <f t="shared" si="437"/>
        <v>2821.0719074074077</v>
      </c>
      <c r="G748">
        <f t="shared" si="438"/>
        <v>0</v>
      </c>
      <c r="H748">
        <f t="shared" si="439"/>
        <v>0</v>
      </c>
      <c r="I748">
        <f t="shared" si="440"/>
        <v>0</v>
      </c>
      <c r="J748">
        <f t="shared" si="441"/>
        <v>0</v>
      </c>
      <c r="K748">
        <f t="shared" si="442"/>
        <v>0</v>
      </c>
      <c r="L748">
        <f t="shared" si="443"/>
        <v>0</v>
      </c>
      <c r="M748">
        <f t="shared" si="444"/>
        <v>0</v>
      </c>
      <c r="N748">
        <f t="shared" si="445"/>
        <v>0</v>
      </c>
      <c r="O748">
        <f t="shared" si="446"/>
        <v>0</v>
      </c>
      <c r="P748">
        <f t="shared" si="447"/>
        <v>0</v>
      </c>
      <c r="Q748">
        <f t="shared" si="448"/>
        <v>0</v>
      </c>
      <c r="S748">
        <f t="shared" si="449"/>
        <v>6</v>
      </c>
      <c r="T748">
        <f t="shared" si="450"/>
        <v>4</v>
      </c>
      <c r="U748">
        <f t="shared" si="451"/>
        <v>1</v>
      </c>
      <c r="V748">
        <f t="shared" si="452"/>
        <v>2</v>
      </c>
      <c r="W748">
        <f t="shared" si="453"/>
        <v>9</v>
      </c>
      <c r="X748">
        <f t="shared" si="454"/>
        <v>11</v>
      </c>
      <c r="Y748">
        <f t="shared" si="455"/>
        <v>1</v>
      </c>
      <c r="Z748">
        <f t="shared" si="456"/>
        <v>1</v>
      </c>
      <c r="AA748">
        <f t="shared" si="457"/>
        <v>2</v>
      </c>
      <c r="AB748">
        <f t="shared" si="458"/>
        <v>0</v>
      </c>
      <c r="AC748">
        <f t="shared" si="459"/>
        <v>10</v>
      </c>
      <c r="AD748">
        <f t="shared" si="460"/>
        <v>0</v>
      </c>
      <c r="AF748">
        <f t="shared" si="461"/>
        <v>2821.0719074074077</v>
      </c>
      <c r="AG748">
        <f t="shared" si="462"/>
        <v>0</v>
      </c>
      <c r="AH748">
        <f t="shared" si="463"/>
        <v>0</v>
      </c>
      <c r="AI748">
        <f t="shared" si="464"/>
        <v>0</v>
      </c>
      <c r="AJ748">
        <f t="shared" si="465"/>
        <v>0</v>
      </c>
      <c r="AK748">
        <f t="shared" si="466"/>
        <v>0</v>
      </c>
      <c r="AL748">
        <f t="shared" si="467"/>
        <v>0</v>
      </c>
      <c r="AM748">
        <f t="shared" si="468"/>
        <v>0</v>
      </c>
      <c r="AN748">
        <f t="shared" si="469"/>
        <v>0</v>
      </c>
      <c r="AO748">
        <f t="shared" si="470"/>
        <v>0</v>
      </c>
      <c r="AP748">
        <f t="shared" si="471"/>
        <v>0</v>
      </c>
      <c r="AQ748">
        <f t="shared" si="472"/>
        <v>0</v>
      </c>
    </row>
    <row r="749" spans="1:43" ht="15.5" x14ac:dyDescent="0.35">
      <c r="A749" s="51">
        <v>16</v>
      </c>
      <c r="B749" s="13" t="s">
        <v>482</v>
      </c>
      <c r="C749" s="17" t="s">
        <v>485</v>
      </c>
      <c r="D749" s="1" t="s">
        <v>228</v>
      </c>
      <c r="E749" s="19">
        <v>3692.8485104584834</v>
      </c>
      <c r="F749">
        <f t="shared" si="437"/>
        <v>0</v>
      </c>
      <c r="G749">
        <f t="shared" si="438"/>
        <v>0</v>
      </c>
      <c r="H749">
        <f t="shared" si="439"/>
        <v>0</v>
      </c>
      <c r="I749">
        <f t="shared" si="440"/>
        <v>0</v>
      </c>
      <c r="J749">
        <f t="shared" si="441"/>
        <v>0</v>
      </c>
      <c r="K749">
        <f t="shared" si="442"/>
        <v>0</v>
      </c>
      <c r="L749">
        <f t="shared" si="443"/>
        <v>0</v>
      </c>
      <c r="M749">
        <f t="shared" si="444"/>
        <v>0</v>
      </c>
      <c r="N749">
        <f t="shared" si="445"/>
        <v>0</v>
      </c>
      <c r="O749">
        <f t="shared" si="446"/>
        <v>0</v>
      </c>
      <c r="P749">
        <f t="shared" si="447"/>
        <v>3692.8485104584834</v>
      </c>
      <c r="Q749">
        <f t="shared" si="448"/>
        <v>0</v>
      </c>
      <c r="S749">
        <f t="shared" si="449"/>
        <v>5</v>
      </c>
      <c r="T749">
        <f t="shared" si="450"/>
        <v>4</v>
      </c>
      <c r="U749">
        <f t="shared" si="451"/>
        <v>1</v>
      </c>
      <c r="V749">
        <f t="shared" si="452"/>
        <v>2</v>
      </c>
      <c r="W749">
        <f t="shared" si="453"/>
        <v>9</v>
      </c>
      <c r="X749">
        <f t="shared" si="454"/>
        <v>11</v>
      </c>
      <c r="Y749">
        <f t="shared" si="455"/>
        <v>1</v>
      </c>
      <c r="Z749">
        <f t="shared" si="456"/>
        <v>1</v>
      </c>
      <c r="AA749">
        <f t="shared" si="457"/>
        <v>2</v>
      </c>
      <c r="AB749">
        <f t="shared" si="458"/>
        <v>0</v>
      </c>
      <c r="AC749">
        <f t="shared" si="459"/>
        <v>10</v>
      </c>
      <c r="AD749">
        <f t="shared" si="460"/>
        <v>0</v>
      </c>
      <c r="AF749">
        <f t="shared" si="461"/>
        <v>0</v>
      </c>
      <c r="AG749">
        <f t="shared" si="462"/>
        <v>0</v>
      </c>
      <c r="AH749">
        <f t="shared" si="463"/>
        <v>0</v>
      </c>
      <c r="AI749">
        <f t="shared" si="464"/>
        <v>0</v>
      </c>
      <c r="AJ749">
        <f t="shared" si="465"/>
        <v>0</v>
      </c>
      <c r="AK749">
        <f t="shared" si="466"/>
        <v>0</v>
      </c>
      <c r="AL749">
        <f t="shared" si="467"/>
        <v>0</v>
      </c>
      <c r="AM749">
        <f t="shared" si="468"/>
        <v>0</v>
      </c>
      <c r="AN749">
        <f t="shared" si="469"/>
        <v>0</v>
      </c>
      <c r="AO749">
        <f t="shared" si="470"/>
        <v>0</v>
      </c>
      <c r="AP749">
        <f t="shared" si="471"/>
        <v>3692.8485104584834</v>
      </c>
      <c r="AQ749">
        <f t="shared" si="472"/>
        <v>0</v>
      </c>
    </row>
    <row r="750" spans="1:43" ht="15.5" x14ac:dyDescent="0.35">
      <c r="A750" s="51">
        <v>17</v>
      </c>
      <c r="B750" s="13" t="s">
        <v>482</v>
      </c>
      <c r="C750" s="1" t="s">
        <v>303</v>
      </c>
      <c r="D750" s="1" t="s">
        <v>60</v>
      </c>
      <c r="E750" s="19">
        <v>3859.058699905333</v>
      </c>
      <c r="F750">
        <f t="shared" si="437"/>
        <v>0</v>
      </c>
      <c r="G750">
        <f t="shared" si="438"/>
        <v>0</v>
      </c>
      <c r="H750">
        <f t="shared" si="439"/>
        <v>0</v>
      </c>
      <c r="I750">
        <f t="shared" si="440"/>
        <v>0</v>
      </c>
      <c r="J750">
        <f t="shared" si="441"/>
        <v>3859.058699905333</v>
      </c>
      <c r="K750">
        <f t="shared" si="442"/>
        <v>0</v>
      </c>
      <c r="L750">
        <f t="shared" si="443"/>
        <v>0</v>
      </c>
      <c r="M750">
        <f t="shared" si="444"/>
        <v>0</v>
      </c>
      <c r="N750">
        <f t="shared" si="445"/>
        <v>0</v>
      </c>
      <c r="O750">
        <f t="shared" si="446"/>
        <v>0</v>
      </c>
      <c r="P750">
        <f t="shared" si="447"/>
        <v>0</v>
      </c>
      <c r="Q750">
        <f t="shared" si="448"/>
        <v>0</v>
      </c>
      <c r="S750">
        <f t="shared" si="449"/>
        <v>5</v>
      </c>
      <c r="T750">
        <f t="shared" si="450"/>
        <v>4</v>
      </c>
      <c r="U750">
        <f t="shared" si="451"/>
        <v>1</v>
      </c>
      <c r="V750">
        <f t="shared" si="452"/>
        <v>2</v>
      </c>
      <c r="W750">
        <f t="shared" si="453"/>
        <v>9</v>
      </c>
      <c r="X750">
        <f t="shared" si="454"/>
        <v>11</v>
      </c>
      <c r="Y750">
        <f t="shared" si="455"/>
        <v>1</v>
      </c>
      <c r="Z750">
        <f t="shared" si="456"/>
        <v>1</v>
      </c>
      <c r="AA750">
        <f t="shared" si="457"/>
        <v>2</v>
      </c>
      <c r="AB750">
        <f t="shared" si="458"/>
        <v>0</v>
      </c>
      <c r="AC750">
        <f t="shared" si="459"/>
        <v>9</v>
      </c>
      <c r="AD750">
        <f t="shared" si="460"/>
        <v>0</v>
      </c>
      <c r="AF750">
        <f t="shared" si="461"/>
        <v>0</v>
      </c>
      <c r="AG750">
        <f t="shared" si="462"/>
        <v>0</v>
      </c>
      <c r="AH750">
        <f t="shared" si="463"/>
        <v>0</v>
      </c>
      <c r="AI750">
        <f t="shared" si="464"/>
        <v>0</v>
      </c>
      <c r="AJ750">
        <f t="shared" si="465"/>
        <v>3859.058699905333</v>
      </c>
      <c r="AK750">
        <f t="shared" si="466"/>
        <v>0</v>
      </c>
      <c r="AL750">
        <f t="shared" si="467"/>
        <v>0</v>
      </c>
      <c r="AM750">
        <f t="shared" si="468"/>
        <v>0</v>
      </c>
      <c r="AN750">
        <f t="shared" si="469"/>
        <v>0</v>
      </c>
      <c r="AO750">
        <f t="shared" si="470"/>
        <v>0</v>
      </c>
      <c r="AP750">
        <f t="shared" si="471"/>
        <v>0</v>
      </c>
      <c r="AQ750">
        <f t="shared" si="472"/>
        <v>0</v>
      </c>
    </row>
    <row r="751" spans="1:43" ht="15.5" x14ac:dyDescent="0.35">
      <c r="A751" s="51">
        <v>18</v>
      </c>
      <c r="B751" s="13" t="s">
        <v>483</v>
      </c>
      <c r="C751" s="1" t="s">
        <v>486</v>
      </c>
      <c r="D751" s="1" t="s">
        <v>60</v>
      </c>
      <c r="E751" s="19">
        <v>3548.0808100393074</v>
      </c>
      <c r="F751">
        <f t="shared" si="437"/>
        <v>0</v>
      </c>
      <c r="G751">
        <f t="shared" si="438"/>
        <v>0</v>
      </c>
      <c r="H751">
        <f t="shared" si="439"/>
        <v>0</v>
      </c>
      <c r="I751">
        <f t="shared" si="440"/>
        <v>0</v>
      </c>
      <c r="J751">
        <f t="shared" si="441"/>
        <v>3548.0808100393074</v>
      </c>
      <c r="K751">
        <f t="shared" si="442"/>
        <v>0</v>
      </c>
      <c r="L751">
        <f t="shared" si="443"/>
        <v>0</v>
      </c>
      <c r="M751">
        <f t="shared" si="444"/>
        <v>0</v>
      </c>
      <c r="N751">
        <f t="shared" si="445"/>
        <v>0</v>
      </c>
      <c r="O751">
        <f t="shared" si="446"/>
        <v>0</v>
      </c>
      <c r="P751">
        <f t="shared" si="447"/>
        <v>0</v>
      </c>
      <c r="Q751">
        <f t="shared" si="448"/>
        <v>0</v>
      </c>
      <c r="S751">
        <f t="shared" si="449"/>
        <v>5</v>
      </c>
      <c r="T751">
        <f t="shared" si="450"/>
        <v>4</v>
      </c>
      <c r="U751">
        <f t="shared" si="451"/>
        <v>1</v>
      </c>
      <c r="V751">
        <f t="shared" si="452"/>
        <v>2</v>
      </c>
      <c r="W751">
        <f t="shared" si="453"/>
        <v>8</v>
      </c>
      <c r="X751">
        <f t="shared" si="454"/>
        <v>11</v>
      </c>
      <c r="Y751">
        <f t="shared" si="455"/>
        <v>1</v>
      </c>
      <c r="Z751">
        <f t="shared" si="456"/>
        <v>1</v>
      </c>
      <c r="AA751">
        <f t="shared" si="457"/>
        <v>2</v>
      </c>
      <c r="AB751">
        <f t="shared" si="458"/>
        <v>0</v>
      </c>
      <c r="AC751">
        <f t="shared" si="459"/>
        <v>9</v>
      </c>
      <c r="AD751">
        <f t="shared" si="460"/>
        <v>0</v>
      </c>
      <c r="AF751">
        <f t="shared" si="461"/>
        <v>0</v>
      </c>
      <c r="AG751">
        <f t="shared" si="462"/>
        <v>0</v>
      </c>
      <c r="AH751">
        <f t="shared" si="463"/>
        <v>0</v>
      </c>
      <c r="AI751">
        <f t="shared" si="464"/>
        <v>0</v>
      </c>
      <c r="AJ751">
        <f t="shared" si="465"/>
        <v>3548.0808100393074</v>
      </c>
      <c r="AK751">
        <f t="shared" si="466"/>
        <v>0</v>
      </c>
      <c r="AL751">
        <f t="shared" si="467"/>
        <v>0</v>
      </c>
      <c r="AM751">
        <f t="shared" si="468"/>
        <v>0</v>
      </c>
      <c r="AN751">
        <f t="shared" si="469"/>
        <v>0</v>
      </c>
      <c r="AO751">
        <f t="shared" si="470"/>
        <v>0</v>
      </c>
      <c r="AP751">
        <f t="shared" si="471"/>
        <v>0</v>
      </c>
      <c r="AQ751">
        <f t="shared" si="472"/>
        <v>0</v>
      </c>
    </row>
    <row r="752" spans="1:43" ht="15.5" x14ac:dyDescent="0.35">
      <c r="A752" s="51">
        <v>19</v>
      </c>
      <c r="B752" s="13" t="s">
        <v>483</v>
      </c>
      <c r="C752" s="1" t="s">
        <v>211</v>
      </c>
      <c r="D752" s="1" t="s">
        <v>54</v>
      </c>
      <c r="E752" s="19">
        <v>3631.4693911971081</v>
      </c>
      <c r="F752">
        <f t="shared" si="437"/>
        <v>0</v>
      </c>
      <c r="G752">
        <f t="shared" si="438"/>
        <v>0</v>
      </c>
      <c r="H752">
        <f t="shared" si="439"/>
        <v>0</v>
      </c>
      <c r="I752">
        <f t="shared" si="440"/>
        <v>0</v>
      </c>
      <c r="J752">
        <f t="shared" si="441"/>
        <v>0</v>
      </c>
      <c r="K752">
        <f t="shared" si="442"/>
        <v>3631.4693911971081</v>
      </c>
      <c r="L752">
        <f t="shared" si="443"/>
        <v>0</v>
      </c>
      <c r="M752">
        <f t="shared" si="444"/>
        <v>0</v>
      </c>
      <c r="N752">
        <f t="shared" si="445"/>
        <v>0</v>
      </c>
      <c r="O752">
        <f t="shared" si="446"/>
        <v>0</v>
      </c>
      <c r="P752">
        <f t="shared" si="447"/>
        <v>0</v>
      </c>
      <c r="Q752">
        <f t="shared" si="448"/>
        <v>0</v>
      </c>
      <c r="S752">
        <f t="shared" si="449"/>
        <v>5</v>
      </c>
      <c r="T752">
        <f t="shared" si="450"/>
        <v>4</v>
      </c>
      <c r="U752">
        <f t="shared" si="451"/>
        <v>1</v>
      </c>
      <c r="V752">
        <f t="shared" si="452"/>
        <v>2</v>
      </c>
      <c r="W752">
        <f t="shared" si="453"/>
        <v>7</v>
      </c>
      <c r="X752">
        <f t="shared" si="454"/>
        <v>11</v>
      </c>
      <c r="Y752">
        <f t="shared" si="455"/>
        <v>1</v>
      </c>
      <c r="Z752">
        <f t="shared" si="456"/>
        <v>1</v>
      </c>
      <c r="AA752">
        <f t="shared" si="457"/>
        <v>2</v>
      </c>
      <c r="AB752">
        <f t="shared" si="458"/>
        <v>0</v>
      </c>
      <c r="AC752">
        <f t="shared" si="459"/>
        <v>9</v>
      </c>
      <c r="AD752">
        <f t="shared" si="460"/>
        <v>0</v>
      </c>
      <c r="AF752">
        <f t="shared" si="461"/>
        <v>0</v>
      </c>
      <c r="AG752">
        <f t="shared" si="462"/>
        <v>0</v>
      </c>
      <c r="AH752">
        <f t="shared" si="463"/>
        <v>0</v>
      </c>
      <c r="AI752">
        <f t="shared" si="464"/>
        <v>0</v>
      </c>
      <c r="AJ752">
        <f t="shared" si="465"/>
        <v>0</v>
      </c>
      <c r="AK752">
        <f t="shared" si="466"/>
        <v>0</v>
      </c>
      <c r="AL752">
        <f t="shared" si="467"/>
        <v>0</v>
      </c>
      <c r="AM752">
        <f t="shared" si="468"/>
        <v>0</v>
      </c>
      <c r="AN752">
        <f t="shared" si="469"/>
        <v>0</v>
      </c>
      <c r="AO752">
        <f t="shared" si="470"/>
        <v>0</v>
      </c>
      <c r="AP752">
        <f t="shared" si="471"/>
        <v>0</v>
      </c>
      <c r="AQ752">
        <f t="shared" si="472"/>
        <v>0</v>
      </c>
    </row>
    <row r="753" spans="1:43" ht="15.5" x14ac:dyDescent="0.35">
      <c r="A753" s="51">
        <v>20</v>
      </c>
      <c r="B753" s="13" t="s">
        <v>484</v>
      </c>
      <c r="C753" s="1" t="s">
        <v>69</v>
      </c>
      <c r="D753" s="1" t="s">
        <v>54</v>
      </c>
      <c r="E753" s="19">
        <v>3550.3862308031034</v>
      </c>
      <c r="F753">
        <f t="shared" si="437"/>
        <v>0</v>
      </c>
      <c r="G753">
        <f t="shared" si="438"/>
        <v>0</v>
      </c>
      <c r="H753">
        <f t="shared" si="439"/>
        <v>0</v>
      </c>
      <c r="I753">
        <f t="shared" si="440"/>
        <v>0</v>
      </c>
      <c r="J753">
        <f t="shared" si="441"/>
        <v>0</v>
      </c>
      <c r="K753">
        <f t="shared" si="442"/>
        <v>3550.3862308031034</v>
      </c>
      <c r="L753">
        <f t="shared" si="443"/>
        <v>0</v>
      </c>
      <c r="M753">
        <f t="shared" si="444"/>
        <v>0</v>
      </c>
      <c r="N753">
        <f t="shared" si="445"/>
        <v>0</v>
      </c>
      <c r="O753">
        <f t="shared" si="446"/>
        <v>0</v>
      </c>
      <c r="P753">
        <f t="shared" si="447"/>
        <v>0</v>
      </c>
      <c r="Q753">
        <f t="shared" si="448"/>
        <v>0</v>
      </c>
      <c r="S753">
        <f t="shared" si="449"/>
        <v>5</v>
      </c>
      <c r="T753">
        <f t="shared" si="450"/>
        <v>4</v>
      </c>
      <c r="U753">
        <f t="shared" si="451"/>
        <v>1</v>
      </c>
      <c r="V753">
        <f t="shared" si="452"/>
        <v>2</v>
      </c>
      <c r="W753">
        <f t="shared" si="453"/>
        <v>7</v>
      </c>
      <c r="X753">
        <f t="shared" si="454"/>
        <v>10</v>
      </c>
      <c r="Y753">
        <f t="shared" si="455"/>
        <v>1</v>
      </c>
      <c r="Z753">
        <f t="shared" si="456"/>
        <v>1</v>
      </c>
      <c r="AA753">
        <f t="shared" si="457"/>
        <v>2</v>
      </c>
      <c r="AB753">
        <f t="shared" si="458"/>
        <v>0</v>
      </c>
      <c r="AC753">
        <f t="shared" si="459"/>
        <v>9</v>
      </c>
      <c r="AD753">
        <f t="shared" si="460"/>
        <v>0</v>
      </c>
      <c r="AF753">
        <f t="shared" si="461"/>
        <v>0</v>
      </c>
      <c r="AG753">
        <f t="shared" si="462"/>
        <v>0</v>
      </c>
      <c r="AH753">
        <f t="shared" si="463"/>
        <v>0</v>
      </c>
      <c r="AI753">
        <f t="shared" si="464"/>
        <v>0</v>
      </c>
      <c r="AJ753">
        <f t="shared" si="465"/>
        <v>0</v>
      </c>
      <c r="AK753">
        <f t="shared" si="466"/>
        <v>3550.3862308031034</v>
      </c>
      <c r="AL753">
        <f t="shared" si="467"/>
        <v>0</v>
      </c>
      <c r="AM753">
        <f t="shared" si="468"/>
        <v>0</v>
      </c>
      <c r="AN753">
        <f t="shared" si="469"/>
        <v>0</v>
      </c>
      <c r="AO753">
        <f t="shared" si="470"/>
        <v>0</v>
      </c>
      <c r="AP753">
        <f t="shared" si="471"/>
        <v>0</v>
      </c>
      <c r="AQ753">
        <f t="shared" si="472"/>
        <v>0</v>
      </c>
    </row>
    <row r="754" spans="1:43" ht="15.5" x14ac:dyDescent="0.35">
      <c r="A754" s="51">
        <v>21</v>
      </c>
      <c r="B754" s="13" t="s">
        <v>484</v>
      </c>
      <c r="C754" s="1" t="s">
        <v>73</v>
      </c>
      <c r="D754" s="1" t="s">
        <v>60</v>
      </c>
      <c r="E754" s="19">
        <v>3397.1326937171671</v>
      </c>
      <c r="F754">
        <f t="shared" si="437"/>
        <v>0</v>
      </c>
      <c r="G754">
        <f t="shared" si="438"/>
        <v>0</v>
      </c>
      <c r="H754">
        <f t="shared" si="439"/>
        <v>0</v>
      </c>
      <c r="I754">
        <f t="shared" si="440"/>
        <v>0</v>
      </c>
      <c r="J754">
        <f t="shared" si="441"/>
        <v>3397.1326937171671</v>
      </c>
      <c r="K754">
        <f t="shared" si="442"/>
        <v>0</v>
      </c>
      <c r="L754">
        <f t="shared" si="443"/>
        <v>0</v>
      </c>
      <c r="M754">
        <f t="shared" si="444"/>
        <v>0</v>
      </c>
      <c r="N754">
        <f t="shared" si="445"/>
        <v>0</v>
      </c>
      <c r="O754">
        <f t="shared" si="446"/>
        <v>0</v>
      </c>
      <c r="P754">
        <f t="shared" si="447"/>
        <v>0</v>
      </c>
      <c r="Q754">
        <f t="shared" si="448"/>
        <v>0</v>
      </c>
      <c r="S754">
        <f t="shared" si="449"/>
        <v>5</v>
      </c>
      <c r="T754">
        <f t="shared" si="450"/>
        <v>4</v>
      </c>
      <c r="U754">
        <f t="shared" si="451"/>
        <v>1</v>
      </c>
      <c r="V754">
        <f t="shared" si="452"/>
        <v>2</v>
      </c>
      <c r="W754">
        <f t="shared" si="453"/>
        <v>7</v>
      </c>
      <c r="X754">
        <f t="shared" si="454"/>
        <v>9</v>
      </c>
      <c r="Y754">
        <f t="shared" si="455"/>
        <v>1</v>
      </c>
      <c r="Z754">
        <f t="shared" si="456"/>
        <v>1</v>
      </c>
      <c r="AA754">
        <f t="shared" si="457"/>
        <v>2</v>
      </c>
      <c r="AB754">
        <f t="shared" si="458"/>
        <v>0</v>
      </c>
      <c r="AC754">
        <f t="shared" si="459"/>
        <v>9</v>
      </c>
      <c r="AD754">
        <f t="shared" si="460"/>
        <v>0</v>
      </c>
      <c r="AF754">
        <f t="shared" si="461"/>
        <v>0</v>
      </c>
      <c r="AG754">
        <f t="shared" si="462"/>
        <v>0</v>
      </c>
      <c r="AH754">
        <f t="shared" si="463"/>
        <v>0</v>
      </c>
      <c r="AI754">
        <f t="shared" si="464"/>
        <v>0</v>
      </c>
      <c r="AJ754">
        <f t="shared" si="465"/>
        <v>3397.1326937171671</v>
      </c>
      <c r="AK754">
        <f t="shared" si="466"/>
        <v>0</v>
      </c>
      <c r="AL754">
        <f t="shared" si="467"/>
        <v>0</v>
      </c>
      <c r="AM754">
        <f t="shared" si="468"/>
        <v>0</v>
      </c>
      <c r="AN754">
        <f t="shared" si="469"/>
        <v>0</v>
      </c>
      <c r="AO754">
        <f t="shared" si="470"/>
        <v>0</v>
      </c>
      <c r="AP754">
        <f t="shared" si="471"/>
        <v>0</v>
      </c>
      <c r="AQ754">
        <f t="shared" si="472"/>
        <v>0</v>
      </c>
    </row>
    <row r="755" spans="1:43" ht="15.5" x14ac:dyDescent="0.35">
      <c r="A755" s="51">
        <v>22</v>
      </c>
      <c r="B755" s="13" t="s">
        <v>487</v>
      </c>
      <c r="C755" s="17" t="s">
        <v>488</v>
      </c>
      <c r="D755" s="1" t="s">
        <v>60</v>
      </c>
      <c r="E755" s="19">
        <v>3882.4927220467471</v>
      </c>
      <c r="F755">
        <f t="shared" si="437"/>
        <v>0</v>
      </c>
      <c r="G755">
        <f t="shared" si="438"/>
        <v>0</v>
      </c>
      <c r="H755">
        <f t="shared" si="439"/>
        <v>0</v>
      </c>
      <c r="I755">
        <f t="shared" si="440"/>
        <v>0</v>
      </c>
      <c r="J755">
        <f t="shared" si="441"/>
        <v>3882.4927220467471</v>
      </c>
      <c r="K755">
        <f t="shared" si="442"/>
        <v>0</v>
      </c>
      <c r="L755">
        <f t="shared" si="443"/>
        <v>0</v>
      </c>
      <c r="M755">
        <f t="shared" si="444"/>
        <v>0</v>
      </c>
      <c r="N755">
        <f t="shared" si="445"/>
        <v>0</v>
      </c>
      <c r="O755">
        <f t="shared" si="446"/>
        <v>0</v>
      </c>
      <c r="P755">
        <f t="shared" si="447"/>
        <v>0</v>
      </c>
      <c r="Q755">
        <f t="shared" si="448"/>
        <v>0</v>
      </c>
      <c r="S755">
        <f t="shared" si="449"/>
        <v>5</v>
      </c>
      <c r="T755">
        <f t="shared" si="450"/>
        <v>4</v>
      </c>
      <c r="U755">
        <f t="shared" si="451"/>
        <v>1</v>
      </c>
      <c r="V755">
        <f t="shared" si="452"/>
        <v>2</v>
      </c>
      <c r="W755">
        <f t="shared" si="453"/>
        <v>6</v>
      </c>
      <c r="X755">
        <f t="shared" si="454"/>
        <v>9</v>
      </c>
      <c r="Y755">
        <f t="shared" si="455"/>
        <v>1</v>
      </c>
      <c r="Z755">
        <f t="shared" si="456"/>
        <v>1</v>
      </c>
      <c r="AA755">
        <f t="shared" si="457"/>
        <v>2</v>
      </c>
      <c r="AB755">
        <f t="shared" si="458"/>
        <v>0</v>
      </c>
      <c r="AC755">
        <f t="shared" si="459"/>
        <v>9</v>
      </c>
      <c r="AD755">
        <f t="shared" si="460"/>
        <v>0</v>
      </c>
      <c r="AF755">
        <f t="shared" si="461"/>
        <v>0</v>
      </c>
      <c r="AG755">
        <f t="shared" si="462"/>
        <v>0</v>
      </c>
      <c r="AH755">
        <f t="shared" si="463"/>
        <v>0</v>
      </c>
      <c r="AI755">
        <f t="shared" si="464"/>
        <v>0</v>
      </c>
      <c r="AJ755">
        <f t="shared" si="465"/>
        <v>3882.4927220467471</v>
      </c>
      <c r="AK755">
        <f t="shared" si="466"/>
        <v>0</v>
      </c>
      <c r="AL755">
        <f t="shared" si="467"/>
        <v>0</v>
      </c>
      <c r="AM755">
        <f t="shared" si="468"/>
        <v>0</v>
      </c>
      <c r="AN755">
        <f t="shared" si="469"/>
        <v>0</v>
      </c>
      <c r="AO755">
        <f t="shared" si="470"/>
        <v>0</v>
      </c>
      <c r="AP755">
        <f t="shared" si="471"/>
        <v>0</v>
      </c>
      <c r="AQ755">
        <f t="shared" si="472"/>
        <v>0</v>
      </c>
    </row>
    <row r="756" spans="1:43" ht="15.5" x14ac:dyDescent="0.35">
      <c r="A756" s="51">
        <v>23</v>
      </c>
      <c r="B756" s="13" t="s">
        <v>487</v>
      </c>
      <c r="C756" s="1" t="s">
        <v>75</v>
      </c>
      <c r="D756" s="1" t="s">
        <v>228</v>
      </c>
      <c r="E756" s="44">
        <v>3603.6667932783766</v>
      </c>
      <c r="F756">
        <f t="shared" si="437"/>
        <v>0</v>
      </c>
      <c r="G756">
        <f t="shared" si="438"/>
        <v>0</v>
      </c>
      <c r="H756">
        <f t="shared" si="439"/>
        <v>0</v>
      </c>
      <c r="I756">
        <f t="shared" si="440"/>
        <v>0</v>
      </c>
      <c r="J756">
        <f t="shared" si="441"/>
        <v>0</v>
      </c>
      <c r="K756">
        <f t="shared" si="442"/>
        <v>0</v>
      </c>
      <c r="L756">
        <f t="shared" si="443"/>
        <v>0</v>
      </c>
      <c r="M756">
        <f t="shared" si="444"/>
        <v>0</v>
      </c>
      <c r="N756">
        <f t="shared" si="445"/>
        <v>0</v>
      </c>
      <c r="O756">
        <f t="shared" si="446"/>
        <v>0</v>
      </c>
      <c r="P756">
        <f t="shared" si="447"/>
        <v>3603.6667932783766</v>
      </c>
      <c r="Q756">
        <f t="shared" si="448"/>
        <v>0</v>
      </c>
      <c r="S756">
        <f t="shared" si="449"/>
        <v>5</v>
      </c>
      <c r="T756">
        <f t="shared" si="450"/>
        <v>4</v>
      </c>
      <c r="U756">
        <f t="shared" si="451"/>
        <v>1</v>
      </c>
      <c r="V756">
        <f t="shared" si="452"/>
        <v>2</v>
      </c>
      <c r="W756">
        <f t="shared" si="453"/>
        <v>5</v>
      </c>
      <c r="X756">
        <f t="shared" si="454"/>
        <v>9</v>
      </c>
      <c r="Y756">
        <f t="shared" si="455"/>
        <v>1</v>
      </c>
      <c r="Z756">
        <f t="shared" si="456"/>
        <v>1</v>
      </c>
      <c r="AA756">
        <f t="shared" si="457"/>
        <v>2</v>
      </c>
      <c r="AB756">
        <f t="shared" si="458"/>
        <v>0</v>
      </c>
      <c r="AC756">
        <f t="shared" si="459"/>
        <v>9</v>
      </c>
      <c r="AD756">
        <f t="shared" si="460"/>
        <v>0</v>
      </c>
      <c r="AF756">
        <f t="shared" si="461"/>
        <v>0</v>
      </c>
      <c r="AG756">
        <f t="shared" si="462"/>
        <v>0</v>
      </c>
      <c r="AH756">
        <f t="shared" si="463"/>
        <v>0</v>
      </c>
      <c r="AI756">
        <f t="shared" si="464"/>
        <v>0</v>
      </c>
      <c r="AJ756">
        <f t="shared" si="465"/>
        <v>0</v>
      </c>
      <c r="AK756">
        <f t="shared" si="466"/>
        <v>0</v>
      </c>
      <c r="AL756">
        <f t="shared" si="467"/>
        <v>0</v>
      </c>
      <c r="AM756">
        <f t="shared" si="468"/>
        <v>0</v>
      </c>
      <c r="AN756">
        <f t="shared" si="469"/>
        <v>0</v>
      </c>
      <c r="AO756">
        <f t="shared" si="470"/>
        <v>0</v>
      </c>
      <c r="AP756">
        <f t="shared" si="471"/>
        <v>3603.6667932783766</v>
      </c>
      <c r="AQ756">
        <f t="shared" si="472"/>
        <v>0</v>
      </c>
    </row>
    <row r="757" spans="1:43" ht="15.5" x14ac:dyDescent="0.35">
      <c r="A757" s="51">
        <v>24</v>
      </c>
      <c r="B757" s="13" t="s">
        <v>487</v>
      </c>
      <c r="C757" s="1" t="s">
        <v>79</v>
      </c>
      <c r="D757" s="17" t="s">
        <v>227</v>
      </c>
      <c r="E757" s="19">
        <v>3479.9467510022268</v>
      </c>
      <c r="F757">
        <f t="shared" si="437"/>
        <v>0</v>
      </c>
      <c r="G757">
        <f t="shared" si="438"/>
        <v>3479.9467510022268</v>
      </c>
      <c r="H757">
        <f t="shared" si="439"/>
        <v>0</v>
      </c>
      <c r="I757">
        <f t="shared" si="440"/>
        <v>0</v>
      </c>
      <c r="J757">
        <f t="shared" si="441"/>
        <v>0</v>
      </c>
      <c r="K757">
        <f t="shared" si="442"/>
        <v>0</v>
      </c>
      <c r="L757">
        <f t="shared" si="443"/>
        <v>0</v>
      </c>
      <c r="M757">
        <f t="shared" si="444"/>
        <v>0</v>
      </c>
      <c r="N757">
        <f t="shared" si="445"/>
        <v>0</v>
      </c>
      <c r="O757">
        <f t="shared" si="446"/>
        <v>0</v>
      </c>
      <c r="P757">
        <f t="shared" si="447"/>
        <v>0</v>
      </c>
      <c r="Q757">
        <f t="shared" si="448"/>
        <v>0</v>
      </c>
      <c r="S757">
        <f t="shared" si="449"/>
        <v>5</v>
      </c>
      <c r="T757">
        <f t="shared" si="450"/>
        <v>4</v>
      </c>
      <c r="U757">
        <f t="shared" si="451"/>
        <v>1</v>
      </c>
      <c r="V757">
        <f t="shared" si="452"/>
        <v>2</v>
      </c>
      <c r="W757">
        <f t="shared" si="453"/>
        <v>5</v>
      </c>
      <c r="X757">
        <f t="shared" si="454"/>
        <v>9</v>
      </c>
      <c r="Y757">
        <f t="shared" si="455"/>
        <v>1</v>
      </c>
      <c r="Z757">
        <f t="shared" si="456"/>
        <v>1</v>
      </c>
      <c r="AA757">
        <f t="shared" si="457"/>
        <v>2</v>
      </c>
      <c r="AB757">
        <f t="shared" si="458"/>
        <v>0</v>
      </c>
      <c r="AC757">
        <f t="shared" si="459"/>
        <v>8</v>
      </c>
      <c r="AD757">
        <f t="shared" si="460"/>
        <v>0</v>
      </c>
      <c r="AF757">
        <f t="shared" si="461"/>
        <v>0</v>
      </c>
      <c r="AG757">
        <f t="shared" si="462"/>
        <v>3479.9467510022268</v>
      </c>
      <c r="AH757">
        <f t="shared" si="463"/>
        <v>0</v>
      </c>
      <c r="AI757">
        <f t="shared" si="464"/>
        <v>0</v>
      </c>
      <c r="AJ757">
        <f t="shared" si="465"/>
        <v>0</v>
      </c>
      <c r="AK757">
        <f t="shared" si="466"/>
        <v>0</v>
      </c>
      <c r="AL757">
        <f t="shared" si="467"/>
        <v>0</v>
      </c>
      <c r="AM757">
        <f t="shared" si="468"/>
        <v>0</v>
      </c>
      <c r="AN757">
        <f t="shared" si="469"/>
        <v>0</v>
      </c>
      <c r="AO757">
        <f t="shared" si="470"/>
        <v>0</v>
      </c>
      <c r="AP757">
        <f t="shared" si="471"/>
        <v>0</v>
      </c>
      <c r="AQ757">
        <f t="shared" si="472"/>
        <v>0</v>
      </c>
    </row>
    <row r="758" spans="1:43" ht="15.5" x14ac:dyDescent="0.35">
      <c r="A758" s="51">
        <v>25</v>
      </c>
      <c r="B758" s="13" t="s">
        <v>489</v>
      </c>
      <c r="C758" s="17" t="s">
        <v>77</v>
      </c>
      <c r="D758" s="17" t="s">
        <v>76</v>
      </c>
      <c r="E758" s="44">
        <v>3371.4394857623201</v>
      </c>
      <c r="F758">
        <f t="shared" si="437"/>
        <v>3371.4394857623201</v>
      </c>
      <c r="G758">
        <f t="shared" si="438"/>
        <v>0</v>
      </c>
      <c r="H758">
        <f t="shared" si="439"/>
        <v>0</v>
      </c>
      <c r="I758">
        <f t="shared" si="440"/>
        <v>0</v>
      </c>
      <c r="J758">
        <f t="shared" si="441"/>
        <v>0</v>
      </c>
      <c r="K758">
        <f t="shared" si="442"/>
        <v>0</v>
      </c>
      <c r="L758">
        <f t="shared" si="443"/>
        <v>0</v>
      </c>
      <c r="M758">
        <f t="shared" si="444"/>
        <v>0</v>
      </c>
      <c r="N758">
        <f t="shared" si="445"/>
        <v>0</v>
      </c>
      <c r="O758">
        <f t="shared" si="446"/>
        <v>0</v>
      </c>
      <c r="P758">
        <f t="shared" si="447"/>
        <v>0</v>
      </c>
      <c r="Q758">
        <f t="shared" si="448"/>
        <v>0</v>
      </c>
      <c r="S758">
        <f t="shared" si="449"/>
        <v>5</v>
      </c>
      <c r="T758">
        <f t="shared" si="450"/>
        <v>3</v>
      </c>
      <c r="U758">
        <f t="shared" si="451"/>
        <v>1</v>
      </c>
      <c r="V758">
        <f t="shared" si="452"/>
        <v>2</v>
      </c>
      <c r="W758">
        <f t="shared" si="453"/>
        <v>5</v>
      </c>
      <c r="X758">
        <f t="shared" si="454"/>
        <v>9</v>
      </c>
      <c r="Y758">
        <f t="shared" si="455"/>
        <v>1</v>
      </c>
      <c r="Z758">
        <f t="shared" si="456"/>
        <v>1</v>
      </c>
      <c r="AA758">
        <f t="shared" si="457"/>
        <v>2</v>
      </c>
      <c r="AB758">
        <f t="shared" si="458"/>
        <v>0</v>
      </c>
      <c r="AC758">
        <f t="shared" si="459"/>
        <v>8</v>
      </c>
      <c r="AD758">
        <f t="shared" si="460"/>
        <v>0</v>
      </c>
      <c r="AF758">
        <f t="shared" si="461"/>
        <v>3371.4394857623201</v>
      </c>
      <c r="AG758">
        <f t="shared" si="462"/>
        <v>0</v>
      </c>
      <c r="AH758">
        <f t="shared" si="463"/>
        <v>0</v>
      </c>
      <c r="AI758">
        <f t="shared" si="464"/>
        <v>0</v>
      </c>
      <c r="AJ758">
        <f t="shared" si="465"/>
        <v>0</v>
      </c>
      <c r="AK758">
        <f t="shared" si="466"/>
        <v>0</v>
      </c>
      <c r="AL758">
        <f t="shared" si="467"/>
        <v>0</v>
      </c>
      <c r="AM758">
        <f t="shared" si="468"/>
        <v>0</v>
      </c>
      <c r="AN758">
        <f t="shared" si="469"/>
        <v>0</v>
      </c>
      <c r="AO758">
        <f t="shared" si="470"/>
        <v>0</v>
      </c>
      <c r="AP758">
        <f t="shared" si="471"/>
        <v>0</v>
      </c>
      <c r="AQ758">
        <f t="shared" si="472"/>
        <v>0</v>
      </c>
    </row>
    <row r="759" spans="1:43" ht="15.5" x14ac:dyDescent="0.35">
      <c r="A759" s="51">
        <v>26</v>
      </c>
      <c r="B759" s="13" t="s">
        <v>489</v>
      </c>
      <c r="C759" s="17" t="s">
        <v>82</v>
      </c>
      <c r="D759" s="1" t="s">
        <v>60</v>
      </c>
      <c r="E759" s="19">
        <v>3781.5616485153705</v>
      </c>
      <c r="F759">
        <f t="shared" si="437"/>
        <v>0</v>
      </c>
      <c r="G759">
        <f t="shared" si="438"/>
        <v>0</v>
      </c>
      <c r="H759">
        <f t="shared" si="439"/>
        <v>0</v>
      </c>
      <c r="I759">
        <f t="shared" si="440"/>
        <v>0</v>
      </c>
      <c r="J759">
        <f t="shared" si="441"/>
        <v>3781.5616485153705</v>
      </c>
      <c r="K759">
        <f t="shared" si="442"/>
        <v>0</v>
      </c>
      <c r="L759">
        <f t="shared" si="443"/>
        <v>0</v>
      </c>
      <c r="M759">
        <f t="shared" si="444"/>
        <v>0</v>
      </c>
      <c r="N759">
        <f t="shared" si="445"/>
        <v>0</v>
      </c>
      <c r="O759">
        <f t="shared" si="446"/>
        <v>0</v>
      </c>
      <c r="P759">
        <f t="shared" si="447"/>
        <v>0</v>
      </c>
      <c r="Q759">
        <f t="shared" si="448"/>
        <v>0</v>
      </c>
      <c r="S759">
        <f t="shared" si="449"/>
        <v>4</v>
      </c>
      <c r="T759">
        <f t="shared" si="450"/>
        <v>3</v>
      </c>
      <c r="U759">
        <f t="shared" si="451"/>
        <v>1</v>
      </c>
      <c r="V759">
        <f t="shared" si="452"/>
        <v>2</v>
      </c>
      <c r="W759">
        <f t="shared" si="453"/>
        <v>5</v>
      </c>
      <c r="X759">
        <f t="shared" si="454"/>
        <v>9</v>
      </c>
      <c r="Y759">
        <f t="shared" si="455"/>
        <v>1</v>
      </c>
      <c r="Z759">
        <f t="shared" si="456"/>
        <v>1</v>
      </c>
      <c r="AA759">
        <f t="shared" si="457"/>
        <v>2</v>
      </c>
      <c r="AB759">
        <f t="shared" si="458"/>
        <v>0</v>
      </c>
      <c r="AC759">
        <f t="shared" si="459"/>
        <v>8</v>
      </c>
      <c r="AD759">
        <f t="shared" si="460"/>
        <v>0</v>
      </c>
      <c r="AF759">
        <f t="shared" si="461"/>
        <v>0</v>
      </c>
      <c r="AG759">
        <f t="shared" si="462"/>
        <v>0</v>
      </c>
      <c r="AH759">
        <f t="shared" si="463"/>
        <v>0</v>
      </c>
      <c r="AI759">
        <f t="shared" si="464"/>
        <v>0</v>
      </c>
      <c r="AJ759">
        <f t="shared" si="465"/>
        <v>3781.5616485153705</v>
      </c>
      <c r="AK759">
        <f t="shared" si="466"/>
        <v>0</v>
      </c>
      <c r="AL759">
        <f t="shared" si="467"/>
        <v>0</v>
      </c>
      <c r="AM759">
        <f t="shared" si="468"/>
        <v>0</v>
      </c>
      <c r="AN759">
        <f t="shared" si="469"/>
        <v>0</v>
      </c>
      <c r="AO759">
        <f t="shared" si="470"/>
        <v>0</v>
      </c>
      <c r="AP759">
        <f t="shared" si="471"/>
        <v>0</v>
      </c>
      <c r="AQ759">
        <f t="shared" si="472"/>
        <v>0</v>
      </c>
    </row>
    <row r="760" spans="1:43" ht="15.5" x14ac:dyDescent="0.35">
      <c r="A760" s="51">
        <v>27</v>
      </c>
      <c r="B760" s="13" t="s">
        <v>489</v>
      </c>
      <c r="C760" s="17" t="s">
        <v>416</v>
      </c>
      <c r="D760" s="64" t="s">
        <v>94</v>
      </c>
      <c r="E760" s="19">
        <v>3538.6619117963887</v>
      </c>
      <c r="F760">
        <f t="shared" si="437"/>
        <v>0</v>
      </c>
      <c r="G760">
        <f t="shared" si="438"/>
        <v>0</v>
      </c>
      <c r="H760">
        <f t="shared" si="439"/>
        <v>0</v>
      </c>
      <c r="I760">
        <f t="shared" si="440"/>
        <v>0</v>
      </c>
      <c r="J760">
        <f t="shared" si="441"/>
        <v>0</v>
      </c>
      <c r="K760">
        <f t="shared" si="442"/>
        <v>0</v>
      </c>
      <c r="L760">
        <f t="shared" si="443"/>
        <v>3538.6619117963887</v>
      </c>
      <c r="M760">
        <f t="shared" si="444"/>
        <v>0</v>
      </c>
      <c r="N760">
        <f t="shared" si="445"/>
        <v>0</v>
      </c>
      <c r="O760">
        <f t="shared" si="446"/>
        <v>0</v>
      </c>
      <c r="P760">
        <f t="shared" si="447"/>
        <v>0</v>
      </c>
      <c r="Q760">
        <f t="shared" si="448"/>
        <v>0</v>
      </c>
      <c r="S760">
        <f t="shared" si="449"/>
        <v>4</v>
      </c>
      <c r="T760">
        <f t="shared" si="450"/>
        <v>3</v>
      </c>
      <c r="U760">
        <f t="shared" si="451"/>
        <v>1</v>
      </c>
      <c r="V760">
        <f t="shared" si="452"/>
        <v>2</v>
      </c>
      <c r="W760">
        <f t="shared" si="453"/>
        <v>4</v>
      </c>
      <c r="X760">
        <f t="shared" si="454"/>
        <v>9</v>
      </c>
      <c r="Y760">
        <f t="shared" si="455"/>
        <v>1</v>
      </c>
      <c r="Z760">
        <f t="shared" si="456"/>
        <v>1</v>
      </c>
      <c r="AA760">
        <f t="shared" si="457"/>
        <v>2</v>
      </c>
      <c r="AB760">
        <f t="shared" si="458"/>
        <v>0</v>
      </c>
      <c r="AC760">
        <f t="shared" si="459"/>
        <v>8</v>
      </c>
      <c r="AD760">
        <f t="shared" si="460"/>
        <v>0</v>
      </c>
      <c r="AF760">
        <f t="shared" si="461"/>
        <v>0</v>
      </c>
      <c r="AG760">
        <f t="shared" si="462"/>
        <v>0</v>
      </c>
      <c r="AH760">
        <f t="shared" si="463"/>
        <v>0</v>
      </c>
      <c r="AI760">
        <f t="shared" si="464"/>
        <v>0</v>
      </c>
      <c r="AJ760">
        <f t="shared" si="465"/>
        <v>0</v>
      </c>
      <c r="AK760">
        <f t="shared" si="466"/>
        <v>0</v>
      </c>
      <c r="AL760">
        <f t="shared" si="467"/>
        <v>3538.6619117963887</v>
      </c>
      <c r="AM760">
        <f t="shared" si="468"/>
        <v>0</v>
      </c>
      <c r="AN760">
        <f t="shared" si="469"/>
        <v>0</v>
      </c>
      <c r="AO760">
        <f t="shared" si="470"/>
        <v>0</v>
      </c>
      <c r="AP760">
        <f t="shared" si="471"/>
        <v>0</v>
      </c>
      <c r="AQ760">
        <f t="shared" si="472"/>
        <v>0</v>
      </c>
    </row>
    <row r="761" spans="1:43" ht="15.5" x14ac:dyDescent="0.35">
      <c r="A761" s="51">
        <v>28</v>
      </c>
      <c r="B761" s="13" t="s">
        <v>490</v>
      </c>
      <c r="C761" s="17" t="s">
        <v>83</v>
      </c>
      <c r="D761" s="1" t="s">
        <v>228</v>
      </c>
      <c r="E761" s="19">
        <v>3108.3059681441891</v>
      </c>
      <c r="F761">
        <f t="shared" si="437"/>
        <v>0</v>
      </c>
      <c r="G761">
        <f t="shared" si="438"/>
        <v>0</v>
      </c>
      <c r="H761">
        <f t="shared" si="439"/>
        <v>0</v>
      </c>
      <c r="I761">
        <f t="shared" si="440"/>
        <v>0</v>
      </c>
      <c r="J761">
        <f t="shared" si="441"/>
        <v>0</v>
      </c>
      <c r="K761">
        <f t="shared" si="442"/>
        <v>0</v>
      </c>
      <c r="L761">
        <f t="shared" si="443"/>
        <v>0</v>
      </c>
      <c r="M761">
        <f t="shared" si="444"/>
        <v>0</v>
      </c>
      <c r="N761">
        <f t="shared" si="445"/>
        <v>0</v>
      </c>
      <c r="O761">
        <f t="shared" si="446"/>
        <v>0</v>
      </c>
      <c r="P761">
        <f t="shared" si="447"/>
        <v>3108.3059681441891</v>
      </c>
      <c r="Q761">
        <f t="shared" si="448"/>
        <v>0</v>
      </c>
      <c r="S761">
        <f t="shared" si="449"/>
        <v>4</v>
      </c>
      <c r="T761">
        <f t="shared" si="450"/>
        <v>3</v>
      </c>
      <c r="U761">
        <f t="shared" si="451"/>
        <v>1</v>
      </c>
      <c r="V761">
        <f t="shared" si="452"/>
        <v>2</v>
      </c>
      <c r="W761">
        <f t="shared" si="453"/>
        <v>4</v>
      </c>
      <c r="X761">
        <f t="shared" si="454"/>
        <v>9</v>
      </c>
      <c r="Y761">
        <f t="shared" si="455"/>
        <v>0</v>
      </c>
      <c r="Z761">
        <f t="shared" si="456"/>
        <v>1</v>
      </c>
      <c r="AA761">
        <f t="shared" si="457"/>
        <v>2</v>
      </c>
      <c r="AB761">
        <f t="shared" si="458"/>
        <v>0</v>
      </c>
      <c r="AC761">
        <f t="shared" si="459"/>
        <v>8</v>
      </c>
      <c r="AD761">
        <f t="shared" si="460"/>
        <v>0</v>
      </c>
      <c r="AF761">
        <f t="shared" si="461"/>
        <v>0</v>
      </c>
      <c r="AG761">
        <f t="shared" si="462"/>
        <v>0</v>
      </c>
      <c r="AH761">
        <f t="shared" si="463"/>
        <v>0</v>
      </c>
      <c r="AI761">
        <f t="shared" si="464"/>
        <v>0</v>
      </c>
      <c r="AJ761">
        <f t="shared" si="465"/>
        <v>0</v>
      </c>
      <c r="AK761">
        <f t="shared" si="466"/>
        <v>0</v>
      </c>
      <c r="AL761">
        <f t="shared" si="467"/>
        <v>0</v>
      </c>
      <c r="AM761">
        <f t="shared" si="468"/>
        <v>0</v>
      </c>
      <c r="AN761">
        <f t="shared" si="469"/>
        <v>0</v>
      </c>
      <c r="AO761">
        <f t="shared" si="470"/>
        <v>0</v>
      </c>
      <c r="AP761">
        <f t="shared" si="471"/>
        <v>3108.3059681441891</v>
      </c>
      <c r="AQ761">
        <f t="shared" si="472"/>
        <v>0</v>
      </c>
    </row>
    <row r="762" spans="1:43" ht="15.5" x14ac:dyDescent="0.35">
      <c r="A762" s="51">
        <v>29</v>
      </c>
      <c r="B762" s="13" t="s">
        <v>490</v>
      </c>
      <c r="C762" s="17" t="s">
        <v>86</v>
      </c>
      <c r="D762" s="1" t="s">
        <v>60</v>
      </c>
      <c r="E762" s="19">
        <v>3916.6377629072676</v>
      </c>
      <c r="F762">
        <f t="shared" si="437"/>
        <v>0</v>
      </c>
      <c r="G762">
        <f t="shared" si="438"/>
        <v>0</v>
      </c>
      <c r="H762">
        <f t="shared" si="439"/>
        <v>0</v>
      </c>
      <c r="I762">
        <f t="shared" si="440"/>
        <v>0</v>
      </c>
      <c r="J762">
        <f t="shared" si="441"/>
        <v>3916.6377629072676</v>
      </c>
      <c r="K762">
        <f t="shared" si="442"/>
        <v>0</v>
      </c>
      <c r="L762">
        <f t="shared" si="443"/>
        <v>0</v>
      </c>
      <c r="M762">
        <f t="shared" si="444"/>
        <v>0</v>
      </c>
      <c r="N762">
        <f t="shared" si="445"/>
        <v>0</v>
      </c>
      <c r="O762">
        <f t="shared" si="446"/>
        <v>0</v>
      </c>
      <c r="P762">
        <f t="shared" si="447"/>
        <v>0</v>
      </c>
      <c r="Q762">
        <f t="shared" si="448"/>
        <v>0</v>
      </c>
      <c r="S762">
        <f t="shared" si="449"/>
        <v>4</v>
      </c>
      <c r="T762">
        <f t="shared" si="450"/>
        <v>3</v>
      </c>
      <c r="U762">
        <f t="shared" si="451"/>
        <v>1</v>
      </c>
      <c r="V762">
        <f t="shared" si="452"/>
        <v>2</v>
      </c>
      <c r="W762">
        <f t="shared" si="453"/>
        <v>4</v>
      </c>
      <c r="X762">
        <f t="shared" si="454"/>
        <v>9</v>
      </c>
      <c r="Y762">
        <f t="shared" si="455"/>
        <v>0</v>
      </c>
      <c r="Z762">
        <f t="shared" si="456"/>
        <v>1</v>
      </c>
      <c r="AA762">
        <f t="shared" si="457"/>
        <v>2</v>
      </c>
      <c r="AB762">
        <f t="shared" si="458"/>
        <v>0</v>
      </c>
      <c r="AC762">
        <f t="shared" si="459"/>
        <v>7</v>
      </c>
      <c r="AD762">
        <f t="shared" si="460"/>
        <v>0</v>
      </c>
      <c r="AF762">
        <f t="shared" si="461"/>
        <v>0</v>
      </c>
      <c r="AG762">
        <f t="shared" si="462"/>
        <v>0</v>
      </c>
      <c r="AH762">
        <f t="shared" si="463"/>
        <v>0</v>
      </c>
      <c r="AI762">
        <f t="shared" si="464"/>
        <v>0</v>
      </c>
      <c r="AJ762">
        <f t="shared" si="465"/>
        <v>3916.6377629072676</v>
      </c>
      <c r="AK762">
        <f t="shared" si="466"/>
        <v>0</v>
      </c>
      <c r="AL762">
        <f t="shared" si="467"/>
        <v>0</v>
      </c>
      <c r="AM762">
        <f t="shared" si="468"/>
        <v>0</v>
      </c>
      <c r="AN762">
        <f t="shared" si="469"/>
        <v>0</v>
      </c>
      <c r="AO762">
        <f t="shared" si="470"/>
        <v>0</v>
      </c>
      <c r="AP762">
        <f t="shared" si="471"/>
        <v>0</v>
      </c>
      <c r="AQ762">
        <f t="shared" si="472"/>
        <v>0</v>
      </c>
    </row>
    <row r="763" spans="1:43" ht="15.5" x14ac:dyDescent="0.35">
      <c r="A763" s="51">
        <v>30</v>
      </c>
      <c r="B763" s="13" t="s">
        <v>491</v>
      </c>
      <c r="C763" s="17" t="s">
        <v>89</v>
      </c>
      <c r="D763" s="1" t="s">
        <v>76</v>
      </c>
      <c r="E763" s="19">
        <v>2978.5033200753605</v>
      </c>
      <c r="F763">
        <f t="shared" si="437"/>
        <v>2978.5033200753605</v>
      </c>
      <c r="G763">
        <f t="shared" si="438"/>
        <v>0</v>
      </c>
      <c r="H763">
        <f t="shared" si="439"/>
        <v>0</v>
      </c>
      <c r="I763">
        <f t="shared" si="440"/>
        <v>0</v>
      </c>
      <c r="J763">
        <f t="shared" si="441"/>
        <v>0</v>
      </c>
      <c r="K763">
        <f t="shared" si="442"/>
        <v>0</v>
      </c>
      <c r="L763">
        <f t="shared" si="443"/>
        <v>0</v>
      </c>
      <c r="M763">
        <f t="shared" si="444"/>
        <v>0</v>
      </c>
      <c r="N763">
        <f t="shared" si="445"/>
        <v>0</v>
      </c>
      <c r="O763">
        <f t="shared" si="446"/>
        <v>0</v>
      </c>
      <c r="P763">
        <f t="shared" si="447"/>
        <v>0</v>
      </c>
      <c r="Q763">
        <f t="shared" si="448"/>
        <v>0</v>
      </c>
      <c r="S763">
        <f t="shared" si="449"/>
        <v>4</v>
      </c>
      <c r="T763">
        <f t="shared" si="450"/>
        <v>3</v>
      </c>
      <c r="U763">
        <f t="shared" si="451"/>
        <v>1</v>
      </c>
      <c r="V763">
        <f t="shared" si="452"/>
        <v>2</v>
      </c>
      <c r="W763">
        <f t="shared" si="453"/>
        <v>3</v>
      </c>
      <c r="X763">
        <f t="shared" si="454"/>
        <v>9</v>
      </c>
      <c r="Y763">
        <f t="shared" si="455"/>
        <v>0</v>
      </c>
      <c r="Z763">
        <f t="shared" si="456"/>
        <v>1</v>
      </c>
      <c r="AA763">
        <f t="shared" si="457"/>
        <v>2</v>
      </c>
      <c r="AB763">
        <f t="shared" si="458"/>
        <v>0</v>
      </c>
      <c r="AC763">
        <f t="shared" si="459"/>
        <v>7</v>
      </c>
      <c r="AD763">
        <f t="shared" si="460"/>
        <v>0</v>
      </c>
      <c r="AF763">
        <f t="shared" si="461"/>
        <v>2978.5033200753605</v>
      </c>
      <c r="AG763">
        <f t="shared" si="462"/>
        <v>0</v>
      </c>
      <c r="AH763">
        <f t="shared" si="463"/>
        <v>0</v>
      </c>
      <c r="AI763">
        <f t="shared" si="464"/>
        <v>0</v>
      </c>
      <c r="AJ763">
        <f t="shared" si="465"/>
        <v>0</v>
      </c>
      <c r="AK763">
        <f t="shared" si="466"/>
        <v>0</v>
      </c>
      <c r="AL763">
        <f t="shared" si="467"/>
        <v>0</v>
      </c>
      <c r="AM763">
        <f t="shared" si="468"/>
        <v>0</v>
      </c>
      <c r="AN763">
        <f t="shared" si="469"/>
        <v>0</v>
      </c>
      <c r="AO763">
        <f t="shared" si="470"/>
        <v>0</v>
      </c>
      <c r="AP763">
        <f t="shared" si="471"/>
        <v>0</v>
      </c>
      <c r="AQ763">
        <f t="shared" si="472"/>
        <v>0</v>
      </c>
    </row>
    <row r="764" spans="1:43" ht="15.5" x14ac:dyDescent="0.35">
      <c r="A764" s="51">
        <v>31</v>
      </c>
      <c r="B764" s="13" t="s">
        <v>491</v>
      </c>
      <c r="C764" s="17" t="s">
        <v>87</v>
      </c>
      <c r="D764" s="1" t="s">
        <v>228</v>
      </c>
      <c r="E764" s="19">
        <v>3188.7400586784702</v>
      </c>
      <c r="F764">
        <f t="shared" si="437"/>
        <v>0</v>
      </c>
      <c r="G764">
        <f t="shared" si="438"/>
        <v>0</v>
      </c>
      <c r="H764">
        <f t="shared" si="439"/>
        <v>0</v>
      </c>
      <c r="I764">
        <f t="shared" si="440"/>
        <v>0</v>
      </c>
      <c r="J764">
        <f t="shared" si="441"/>
        <v>0</v>
      </c>
      <c r="K764">
        <f t="shared" si="442"/>
        <v>0</v>
      </c>
      <c r="L764">
        <f t="shared" si="443"/>
        <v>0</v>
      </c>
      <c r="M764">
        <f t="shared" si="444"/>
        <v>0</v>
      </c>
      <c r="N764">
        <f t="shared" si="445"/>
        <v>0</v>
      </c>
      <c r="O764">
        <f t="shared" si="446"/>
        <v>0</v>
      </c>
      <c r="P764">
        <f t="shared" si="447"/>
        <v>3188.7400586784702</v>
      </c>
      <c r="Q764">
        <f t="shared" si="448"/>
        <v>0</v>
      </c>
      <c r="S764">
        <f t="shared" si="449"/>
        <v>3</v>
      </c>
      <c r="T764">
        <f t="shared" si="450"/>
        <v>3</v>
      </c>
      <c r="U764">
        <f t="shared" si="451"/>
        <v>1</v>
      </c>
      <c r="V764">
        <f t="shared" si="452"/>
        <v>2</v>
      </c>
      <c r="W764">
        <f t="shared" si="453"/>
        <v>3</v>
      </c>
      <c r="X764">
        <f t="shared" si="454"/>
        <v>9</v>
      </c>
      <c r="Y764">
        <f t="shared" si="455"/>
        <v>0</v>
      </c>
      <c r="Z764">
        <f t="shared" si="456"/>
        <v>1</v>
      </c>
      <c r="AA764">
        <f t="shared" si="457"/>
        <v>2</v>
      </c>
      <c r="AB764">
        <f t="shared" si="458"/>
        <v>0</v>
      </c>
      <c r="AC764">
        <f t="shared" si="459"/>
        <v>7</v>
      </c>
      <c r="AD764">
        <f t="shared" si="460"/>
        <v>0</v>
      </c>
      <c r="AF764">
        <f t="shared" si="461"/>
        <v>0</v>
      </c>
      <c r="AG764">
        <f t="shared" si="462"/>
        <v>0</v>
      </c>
      <c r="AH764">
        <f t="shared" si="463"/>
        <v>0</v>
      </c>
      <c r="AI764">
        <f t="shared" si="464"/>
        <v>0</v>
      </c>
      <c r="AJ764">
        <f t="shared" si="465"/>
        <v>0</v>
      </c>
      <c r="AK764">
        <f t="shared" si="466"/>
        <v>0</v>
      </c>
      <c r="AL764">
        <f t="shared" si="467"/>
        <v>0</v>
      </c>
      <c r="AM764">
        <f t="shared" si="468"/>
        <v>0</v>
      </c>
      <c r="AN764">
        <f t="shared" si="469"/>
        <v>0</v>
      </c>
      <c r="AO764">
        <f t="shared" si="470"/>
        <v>0</v>
      </c>
      <c r="AP764">
        <f t="shared" si="471"/>
        <v>3188.7400586784702</v>
      </c>
      <c r="AQ764">
        <f t="shared" si="472"/>
        <v>0</v>
      </c>
    </row>
    <row r="765" spans="1:43" ht="15.5" x14ac:dyDescent="0.35">
      <c r="A765" s="51">
        <v>32</v>
      </c>
      <c r="B765" s="13" t="s">
        <v>491</v>
      </c>
      <c r="C765" s="17" t="s">
        <v>88</v>
      </c>
      <c r="D765" s="17" t="s">
        <v>268</v>
      </c>
      <c r="E765" s="19">
        <v>3897.8550499416815</v>
      </c>
      <c r="F765">
        <f t="shared" si="437"/>
        <v>0</v>
      </c>
      <c r="G765">
        <f t="shared" si="438"/>
        <v>0</v>
      </c>
      <c r="H765">
        <f t="shared" si="439"/>
        <v>0</v>
      </c>
      <c r="I765">
        <f t="shared" si="440"/>
        <v>0</v>
      </c>
      <c r="J765">
        <f t="shared" si="441"/>
        <v>0</v>
      </c>
      <c r="K765">
        <f t="shared" si="442"/>
        <v>0</v>
      </c>
      <c r="L765">
        <f t="shared" si="443"/>
        <v>0</v>
      </c>
      <c r="M765">
        <f t="shared" si="444"/>
        <v>0</v>
      </c>
      <c r="N765">
        <f t="shared" si="445"/>
        <v>0</v>
      </c>
      <c r="O765">
        <f t="shared" si="446"/>
        <v>0</v>
      </c>
      <c r="P765">
        <f t="shared" si="447"/>
        <v>0</v>
      </c>
      <c r="Q765">
        <f t="shared" si="448"/>
        <v>0</v>
      </c>
      <c r="S765">
        <f t="shared" si="449"/>
        <v>3</v>
      </c>
      <c r="T765">
        <f t="shared" si="450"/>
        <v>3</v>
      </c>
      <c r="U765">
        <f t="shared" si="451"/>
        <v>1</v>
      </c>
      <c r="V765">
        <f t="shared" si="452"/>
        <v>2</v>
      </c>
      <c r="W765">
        <f t="shared" si="453"/>
        <v>3</v>
      </c>
      <c r="X765">
        <f t="shared" si="454"/>
        <v>9</v>
      </c>
      <c r="Y765">
        <f t="shared" si="455"/>
        <v>0</v>
      </c>
      <c r="Z765">
        <f t="shared" si="456"/>
        <v>1</v>
      </c>
      <c r="AA765">
        <f t="shared" si="457"/>
        <v>2</v>
      </c>
      <c r="AB765">
        <f t="shared" si="458"/>
        <v>0</v>
      </c>
      <c r="AC765">
        <f t="shared" si="459"/>
        <v>6</v>
      </c>
      <c r="AD765">
        <f t="shared" si="460"/>
        <v>0</v>
      </c>
      <c r="AF765">
        <f t="shared" si="461"/>
        <v>0</v>
      </c>
      <c r="AG765">
        <f t="shared" si="462"/>
        <v>0</v>
      </c>
      <c r="AH765">
        <f t="shared" si="463"/>
        <v>0</v>
      </c>
      <c r="AI765">
        <f t="shared" si="464"/>
        <v>0</v>
      </c>
      <c r="AJ765">
        <f t="shared" si="465"/>
        <v>0</v>
      </c>
      <c r="AK765">
        <f t="shared" si="466"/>
        <v>0</v>
      </c>
      <c r="AL765">
        <f t="shared" si="467"/>
        <v>0</v>
      </c>
      <c r="AM765">
        <f t="shared" si="468"/>
        <v>0</v>
      </c>
      <c r="AN765">
        <f t="shared" si="469"/>
        <v>0</v>
      </c>
      <c r="AO765">
        <f t="shared" si="470"/>
        <v>0</v>
      </c>
      <c r="AP765">
        <f t="shared" si="471"/>
        <v>0</v>
      </c>
      <c r="AQ765">
        <f t="shared" si="472"/>
        <v>0</v>
      </c>
    </row>
    <row r="766" spans="1:43" ht="15.5" x14ac:dyDescent="0.35">
      <c r="A766" s="51">
        <v>33</v>
      </c>
      <c r="B766" s="13" t="s">
        <v>491</v>
      </c>
      <c r="C766" s="1" t="s">
        <v>493</v>
      </c>
      <c r="D766" s="1" t="s">
        <v>494</v>
      </c>
      <c r="E766" s="19">
        <v>2890.4997535340726</v>
      </c>
      <c r="F766">
        <f t="shared" si="437"/>
        <v>0</v>
      </c>
      <c r="G766">
        <f t="shared" si="438"/>
        <v>0</v>
      </c>
      <c r="H766">
        <f t="shared" si="439"/>
        <v>0</v>
      </c>
      <c r="I766">
        <f t="shared" si="440"/>
        <v>0</v>
      </c>
      <c r="J766">
        <f t="shared" si="441"/>
        <v>0</v>
      </c>
      <c r="K766">
        <f t="shared" si="442"/>
        <v>0</v>
      </c>
      <c r="L766">
        <f t="shared" si="443"/>
        <v>0</v>
      </c>
      <c r="M766">
        <f t="shared" si="444"/>
        <v>0</v>
      </c>
      <c r="N766">
        <f t="shared" si="445"/>
        <v>0</v>
      </c>
      <c r="O766">
        <f t="shared" si="446"/>
        <v>0</v>
      </c>
      <c r="P766">
        <f t="shared" si="447"/>
        <v>0</v>
      </c>
      <c r="Q766">
        <f t="shared" si="448"/>
        <v>0</v>
      </c>
      <c r="S766">
        <f t="shared" si="449"/>
        <v>3</v>
      </c>
      <c r="T766">
        <f t="shared" si="450"/>
        <v>3</v>
      </c>
      <c r="U766">
        <f t="shared" si="451"/>
        <v>1</v>
      </c>
      <c r="V766">
        <f t="shared" si="452"/>
        <v>2</v>
      </c>
      <c r="W766">
        <f t="shared" si="453"/>
        <v>3</v>
      </c>
      <c r="X766">
        <f t="shared" si="454"/>
        <v>9</v>
      </c>
      <c r="Y766">
        <f t="shared" si="455"/>
        <v>0</v>
      </c>
      <c r="Z766">
        <f t="shared" si="456"/>
        <v>1</v>
      </c>
      <c r="AA766">
        <f t="shared" si="457"/>
        <v>2</v>
      </c>
      <c r="AB766">
        <f t="shared" si="458"/>
        <v>0</v>
      </c>
      <c r="AC766">
        <f t="shared" si="459"/>
        <v>6</v>
      </c>
      <c r="AD766">
        <f t="shared" si="460"/>
        <v>0</v>
      </c>
      <c r="AF766">
        <f t="shared" si="461"/>
        <v>0</v>
      </c>
      <c r="AG766">
        <f t="shared" si="462"/>
        <v>0</v>
      </c>
      <c r="AH766">
        <f t="shared" si="463"/>
        <v>0</v>
      </c>
      <c r="AI766">
        <f t="shared" si="464"/>
        <v>0</v>
      </c>
      <c r="AJ766">
        <f t="shared" si="465"/>
        <v>0</v>
      </c>
      <c r="AK766">
        <f t="shared" si="466"/>
        <v>0</v>
      </c>
      <c r="AL766">
        <f t="shared" si="467"/>
        <v>0</v>
      </c>
      <c r="AM766">
        <f t="shared" si="468"/>
        <v>0</v>
      </c>
      <c r="AN766">
        <f t="shared" si="469"/>
        <v>0</v>
      </c>
      <c r="AO766">
        <f t="shared" si="470"/>
        <v>0</v>
      </c>
      <c r="AP766">
        <f t="shared" si="471"/>
        <v>0</v>
      </c>
      <c r="AQ766">
        <f t="shared" si="472"/>
        <v>0</v>
      </c>
    </row>
    <row r="767" spans="1:43" ht="15.5" x14ac:dyDescent="0.35">
      <c r="A767" s="51">
        <v>34</v>
      </c>
      <c r="B767" s="13" t="s">
        <v>491</v>
      </c>
      <c r="C767" s="1" t="s">
        <v>91</v>
      </c>
      <c r="D767" s="1" t="s">
        <v>495</v>
      </c>
      <c r="E767" s="19">
        <v>2547.7797330521876</v>
      </c>
      <c r="F767">
        <f t="shared" si="437"/>
        <v>0</v>
      </c>
      <c r="G767">
        <f t="shared" si="438"/>
        <v>0</v>
      </c>
      <c r="H767">
        <f t="shared" si="439"/>
        <v>0</v>
      </c>
      <c r="I767">
        <f t="shared" si="440"/>
        <v>0</v>
      </c>
      <c r="J767">
        <f t="shared" si="441"/>
        <v>0</v>
      </c>
      <c r="K767">
        <f t="shared" si="442"/>
        <v>0</v>
      </c>
      <c r="L767">
        <f t="shared" si="443"/>
        <v>0</v>
      </c>
      <c r="M767">
        <f t="shared" si="444"/>
        <v>0</v>
      </c>
      <c r="N767">
        <f t="shared" si="445"/>
        <v>0</v>
      </c>
      <c r="O767">
        <f t="shared" si="446"/>
        <v>0</v>
      </c>
      <c r="P767">
        <f t="shared" si="447"/>
        <v>0</v>
      </c>
      <c r="Q767">
        <f t="shared" si="448"/>
        <v>0</v>
      </c>
      <c r="S767">
        <f t="shared" si="449"/>
        <v>3</v>
      </c>
      <c r="T767">
        <f t="shared" si="450"/>
        <v>3</v>
      </c>
      <c r="U767">
        <f t="shared" si="451"/>
        <v>1</v>
      </c>
      <c r="V767">
        <f t="shared" si="452"/>
        <v>2</v>
      </c>
      <c r="W767">
        <f t="shared" si="453"/>
        <v>3</v>
      </c>
      <c r="X767">
        <f t="shared" si="454"/>
        <v>9</v>
      </c>
      <c r="Y767">
        <f t="shared" si="455"/>
        <v>0</v>
      </c>
      <c r="Z767">
        <f t="shared" si="456"/>
        <v>1</v>
      </c>
      <c r="AA767">
        <f t="shared" si="457"/>
        <v>2</v>
      </c>
      <c r="AB767">
        <f t="shared" si="458"/>
        <v>0</v>
      </c>
      <c r="AC767">
        <f t="shared" si="459"/>
        <v>6</v>
      </c>
      <c r="AD767">
        <f t="shared" si="460"/>
        <v>0</v>
      </c>
      <c r="AF767">
        <f t="shared" si="461"/>
        <v>0</v>
      </c>
      <c r="AG767">
        <f t="shared" si="462"/>
        <v>0</v>
      </c>
      <c r="AH767">
        <f t="shared" si="463"/>
        <v>0</v>
      </c>
      <c r="AI767">
        <f t="shared" si="464"/>
        <v>0</v>
      </c>
      <c r="AJ767">
        <f t="shared" si="465"/>
        <v>0</v>
      </c>
      <c r="AK767">
        <f t="shared" si="466"/>
        <v>0</v>
      </c>
      <c r="AL767">
        <f t="shared" si="467"/>
        <v>0</v>
      </c>
      <c r="AM767">
        <f t="shared" si="468"/>
        <v>0</v>
      </c>
      <c r="AN767">
        <f t="shared" si="469"/>
        <v>0</v>
      </c>
      <c r="AO767">
        <f t="shared" si="470"/>
        <v>0</v>
      </c>
      <c r="AP767">
        <f t="shared" si="471"/>
        <v>0</v>
      </c>
      <c r="AQ767">
        <f t="shared" si="472"/>
        <v>0</v>
      </c>
    </row>
    <row r="768" spans="1:43" ht="15.5" x14ac:dyDescent="0.35">
      <c r="A768" s="51">
        <v>35</v>
      </c>
      <c r="B768" s="13" t="s">
        <v>492</v>
      </c>
      <c r="C768" s="1" t="s">
        <v>95</v>
      </c>
      <c r="D768" s="1" t="s">
        <v>495</v>
      </c>
      <c r="E768" s="19">
        <v>2995.4712422180219</v>
      </c>
      <c r="F768">
        <f t="shared" si="437"/>
        <v>0</v>
      </c>
      <c r="G768">
        <f t="shared" si="438"/>
        <v>0</v>
      </c>
      <c r="H768">
        <f t="shared" si="439"/>
        <v>0</v>
      </c>
      <c r="I768">
        <f t="shared" si="440"/>
        <v>0</v>
      </c>
      <c r="J768">
        <f t="shared" si="441"/>
        <v>0</v>
      </c>
      <c r="K768">
        <f t="shared" si="442"/>
        <v>0</v>
      </c>
      <c r="L768">
        <f t="shared" si="443"/>
        <v>0</v>
      </c>
      <c r="M768">
        <f t="shared" si="444"/>
        <v>0</v>
      </c>
      <c r="N768">
        <f t="shared" si="445"/>
        <v>0</v>
      </c>
      <c r="O768">
        <f t="shared" si="446"/>
        <v>0</v>
      </c>
      <c r="P768">
        <f t="shared" si="447"/>
        <v>0</v>
      </c>
      <c r="Q768">
        <f t="shared" si="448"/>
        <v>0</v>
      </c>
      <c r="S768">
        <f t="shared" si="449"/>
        <v>3</v>
      </c>
      <c r="T768">
        <f t="shared" si="450"/>
        <v>3</v>
      </c>
      <c r="U768">
        <f t="shared" si="451"/>
        <v>1</v>
      </c>
      <c r="V768">
        <f t="shared" si="452"/>
        <v>2</v>
      </c>
      <c r="W768">
        <f t="shared" si="453"/>
        <v>3</v>
      </c>
      <c r="X768">
        <f t="shared" si="454"/>
        <v>9</v>
      </c>
      <c r="Y768">
        <f t="shared" si="455"/>
        <v>0</v>
      </c>
      <c r="Z768">
        <f t="shared" si="456"/>
        <v>1</v>
      </c>
      <c r="AA768">
        <f t="shared" si="457"/>
        <v>2</v>
      </c>
      <c r="AB768">
        <f t="shared" si="458"/>
        <v>0</v>
      </c>
      <c r="AC768">
        <f t="shared" si="459"/>
        <v>6</v>
      </c>
      <c r="AD768">
        <f t="shared" si="460"/>
        <v>0</v>
      </c>
      <c r="AF768">
        <f t="shared" si="461"/>
        <v>0</v>
      </c>
      <c r="AG768">
        <f t="shared" si="462"/>
        <v>0</v>
      </c>
      <c r="AH768">
        <f t="shared" si="463"/>
        <v>0</v>
      </c>
      <c r="AI768">
        <f t="shared" si="464"/>
        <v>0</v>
      </c>
      <c r="AJ768">
        <f t="shared" si="465"/>
        <v>0</v>
      </c>
      <c r="AK768">
        <f t="shared" si="466"/>
        <v>0</v>
      </c>
      <c r="AL768">
        <f t="shared" si="467"/>
        <v>0</v>
      </c>
      <c r="AM768">
        <f t="shared" si="468"/>
        <v>0</v>
      </c>
      <c r="AN768">
        <f t="shared" si="469"/>
        <v>0</v>
      </c>
      <c r="AO768">
        <f t="shared" si="470"/>
        <v>0</v>
      </c>
      <c r="AP768">
        <f t="shared" si="471"/>
        <v>0</v>
      </c>
      <c r="AQ768">
        <f t="shared" si="472"/>
        <v>0</v>
      </c>
    </row>
    <row r="769" spans="1:43" ht="15.5" x14ac:dyDescent="0.35">
      <c r="A769" s="51">
        <v>36</v>
      </c>
      <c r="B769" s="13" t="s">
        <v>492</v>
      </c>
      <c r="C769" s="1" t="s">
        <v>93</v>
      </c>
      <c r="D769" s="1" t="s">
        <v>263</v>
      </c>
      <c r="E769" s="19">
        <v>3561.0245921069122</v>
      </c>
      <c r="F769">
        <f t="shared" si="437"/>
        <v>0</v>
      </c>
      <c r="G769">
        <f t="shared" si="438"/>
        <v>0</v>
      </c>
      <c r="H769">
        <f t="shared" si="439"/>
        <v>0</v>
      </c>
      <c r="I769">
        <f t="shared" si="440"/>
        <v>0</v>
      </c>
      <c r="J769">
        <f t="shared" si="441"/>
        <v>0</v>
      </c>
      <c r="K769">
        <f t="shared" si="442"/>
        <v>0</v>
      </c>
      <c r="L769">
        <f t="shared" si="443"/>
        <v>0</v>
      </c>
      <c r="M769">
        <f t="shared" si="444"/>
        <v>0</v>
      </c>
      <c r="N769">
        <f t="shared" si="445"/>
        <v>0</v>
      </c>
      <c r="O769">
        <f t="shared" si="446"/>
        <v>0</v>
      </c>
      <c r="P769">
        <f t="shared" si="447"/>
        <v>0</v>
      </c>
      <c r="Q769">
        <f t="shared" si="448"/>
        <v>0</v>
      </c>
      <c r="S769">
        <f t="shared" si="449"/>
        <v>3</v>
      </c>
      <c r="T769">
        <f t="shared" si="450"/>
        <v>3</v>
      </c>
      <c r="U769">
        <f t="shared" si="451"/>
        <v>1</v>
      </c>
      <c r="V769">
        <f t="shared" si="452"/>
        <v>2</v>
      </c>
      <c r="W769">
        <f t="shared" si="453"/>
        <v>3</v>
      </c>
      <c r="X769">
        <f t="shared" si="454"/>
        <v>9</v>
      </c>
      <c r="Y769">
        <f t="shared" si="455"/>
        <v>0</v>
      </c>
      <c r="Z769">
        <f t="shared" si="456"/>
        <v>1</v>
      </c>
      <c r="AA769">
        <f t="shared" si="457"/>
        <v>2</v>
      </c>
      <c r="AB769">
        <f t="shared" si="458"/>
        <v>0</v>
      </c>
      <c r="AC769">
        <f t="shared" si="459"/>
        <v>6</v>
      </c>
      <c r="AD769">
        <f t="shared" si="460"/>
        <v>0</v>
      </c>
      <c r="AF769">
        <f t="shared" si="461"/>
        <v>0</v>
      </c>
      <c r="AG769">
        <f t="shared" si="462"/>
        <v>0</v>
      </c>
      <c r="AH769">
        <f t="shared" si="463"/>
        <v>0</v>
      </c>
      <c r="AI769">
        <f t="shared" si="464"/>
        <v>0</v>
      </c>
      <c r="AJ769">
        <f t="shared" si="465"/>
        <v>0</v>
      </c>
      <c r="AK769">
        <f t="shared" si="466"/>
        <v>0</v>
      </c>
      <c r="AL769">
        <f t="shared" si="467"/>
        <v>0</v>
      </c>
      <c r="AM769">
        <f t="shared" si="468"/>
        <v>0</v>
      </c>
      <c r="AN769">
        <f t="shared" si="469"/>
        <v>0</v>
      </c>
      <c r="AO769">
        <f t="shared" si="470"/>
        <v>0</v>
      </c>
      <c r="AP769">
        <f t="shared" si="471"/>
        <v>0</v>
      </c>
      <c r="AQ769">
        <f t="shared" si="472"/>
        <v>0</v>
      </c>
    </row>
    <row r="770" spans="1:43" ht="15.5" x14ac:dyDescent="0.35">
      <c r="A770" s="51">
        <v>37</v>
      </c>
      <c r="B770" s="13" t="s">
        <v>492</v>
      </c>
      <c r="C770" s="1" t="s">
        <v>92</v>
      </c>
      <c r="D770" s="1" t="s">
        <v>265</v>
      </c>
      <c r="E770" s="19">
        <v>3614.2152803780755</v>
      </c>
      <c r="F770">
        <f t="shared" si="437"/>
        <v>0</v>
      </c>
      <c r="G770">
        <f t="shared" si="438"/>
        <v>0</v>
      </c>
      <c r="H770">
        <f t="shared" si="439"/>
        <v>0</v>
      </c>
      <c r="I770">
        <f t="shared" si="440"/>
        <v>0</v>
      </c>
      <c r="J770">
        <f t="shared" si="441"/>
        <v>0</v>
      </c>
      <c r="K770">
        <f t="shared" si="442"/>
        <v>0</v>
      </c>
      <c r="L770">
        <f t="shared" si="443"/>
        <v>0</v>
      </c>
      <c r="M770">
        <f t="shared" si="444"/>
        <v>0</v>
      </c>
      <c r="N770">
        <f t="shared" si="445"/>
        <v>0</v>
      </c>
      <c r="O770">
        <f t="shared" si="446"/>
        <v>0</v>
      </c>
      <c r="P770">
        <f t="shared" si="447"/>
        <v>0</v>
      </c>
      <c r="Q770">
        <f t="shared" si="448"/>
        <v>0</v>
      </c>
      <c r="S770">
        <f t="shared" si="449"/>
        <v>3</v>
      </c>
      <c r="T770">
        <f t="shared" si="450"/>
        <v>3</v>
      </c>
      <c r="U770">
        <f t="shared" si="451"/>
        <v>1</v>
      </c>
      <c r="V770">
        <f t="shared" si="452"/>
        <v>2</v>
      </c>
      <c r="W770">
        <f t="shared" si="453"/>
        <v>3</v>
      </c>
      <c r="X770">
        <f t="shared" si="454"/>
        <v>9</v>
      </c>
      <c r="Y770">
        <f t="shared" si="455"/>
        <v>0</v>
      </c>
      <c r="Z770">
        <f t="shared" si="456"/>
        <v>1</v>
      </c>
      <c r="AA770">
        <f t="shared" si="457"/>
        <v>2</v>
      </c>
      <c r="AB770">
        <f t="shared" si="458"/>
        <v>0</v>
      </c>
      <c r="AC770">
        <f t="shared" si="459"/>
        <v>6</v>
      </c>
      <c r="AD770">
        <f t="shared" si="460"/>
        <v>0</v>
      </c>
      <c r="AF770">
        <f t="shared" si="461"/>
        <v>0</v>
      </c>
      <c r="AG770">
        <f t="shared" si="462"/>
        <v>0</v>
      </c>
      <c r="AH770">
        <f t="shared" si="463"/>
        <v>0</v>
      </c>
      <c r="AI770">
        <f t="shared" si="464"/>
        <v>0</v>
      </c>
      <c r="AJ770">
        <f t="shared" si="465"/>
        <v>0</v>
      </c>
      <c r="AK770">
        <f t="shared" si="466"/>
        <v>0</v>
      </c>
      <c r="AL770">
        <f t="shared" si="467"/>
        <v>0</v>
      </c>
      <c r="AM770">
        <f t="shared" si="468"/>
        <v>0</v>
      </c>
      <c r="AN770">
        <f t="shared" si="469"/>
        <v>0</v>
      </c>
      <c r="AO770">
        <f t="shared" si="470"/>
        <v>0</v>
      </c>
      <c r="AP770">
        <f t="shared" si="471"/>
        <v>0</v>
      </c>
      <c r="AQ770">
        <f t="shared" si="472"/>
        <v>0</v>
      </c>
    </row>
    <row r="771" spans="1:43" ht="15.5" x14ac:dyDescent="0.35">
      <c r="A771" s="51">
        <v>38</v>
      </c>
      <c r="B771" s="13" t="s">
        <v>496</v>
      </c>
      <c r="C771" s="17" t="s">
        <v>314</v>
      </c>
      <c r="D771" s="17" t="s">
        <v>176</v>
      </c>
      <c r="E771" s="19">
        <v>3008.4189175615916</v>
      </c>
      <c r="F771">
        <f t="shared" si="437"/>
        <v>0</v>
      </c>
      <c r="G771">
        <f t="shared" si="438"/>
        <v>0</v>
      </c>
      <c r="H771">
        <f t="shared" si="439"/>
        <v>0</v>
      </c>
      <c r="I771">
        <f t="shared" si="440"/>
        <v>0</v>
      </c>
      <c r="J771">
        <f t="shared" si="441"/>
        <v>0</v>
      </c>
      <c r="K771">
        <f t="shared" si="442"/>
        <v>0</v>
      </c>
      <c r="L771">
        <f t="shared" si="443"/>
        <v>0</v>
      </c>
      <c r="M771">
        <f t="shared" si="444"/>
        <v>0</v>
      </c>
      <c r="N771">
        <f t="shared" si="445"/>
        <v>3008.4189175615916</v>
      </c>
      <c r="O771">
        <f t="shared" si="446"/>
        <v>0</v>
      </c>
      <c r="P771">
        <f t="shared" si="447"/>
        <v>0</v>
      </c>
      <c r="Q771">
        <f t="shared" si="448"/>
        <v>0</v>
      </c>
      <c r="S771">
        <f t="shared" si="449"/>
        <v>3</v>
      </c>
      <c r="T771">
        <f t="shared" si="450"/>
        <v>3</v>
      </c>
      <c r="U771">
        <f t="shared" si="451"/>
        <v>1</v>
      </c>
      <c r="V771">
        <f t="shared" si="452"/>
        <v>2</v>
      </c>
      <c r="W771">
        <f t="shared" si="453"/>
        <v>3</v>
      </c>
      <c r="X771">
        <f t="shared" si="454"/>
        <v>9</v>
      </c>
      <c r="Y771">
        <f t="shared" si="455"/>
        <v>0</v>
      </c>
      <c r="Z771">
        <f t="shared" si="456"/>
        <v>1</v>
      </c>
      <c r="AA771">
        <f t="shared" si="457"/>
        <v>2</v>
      </c>
      <c r="AB771">
        <f t="shared" si="458"/>
        <v>0</v>
      </c>
      <c r="AC771">
        <f t="shared" si="459"/>
        <v>6</v>
      </c>
      <c r="AD771">
        <f t="shared" si="460"/>
        <v>0</v>
      </c>
      <c r="AF771">
        <f t="shared" si="461"/>
        <v>0</v>
      </c>
      <c r="AG771">
        <f t="shared" si="462"/>
        <v>0</v>
      </c>
      <c r="AH771">
        <f t="shared" si="463"/>
        <v>0</v>
      </c>
      <c r="AI771">
        <f t="shared" si="464"/>
        <v>0</v>
      </c>
      <c r="AJ771">
        <f t="shared" si="465"/>
        <v>0</v>
      </c>
      <c r="AK771">
        <f t="shared" si="466"/>
        <v>0</v>
      </c>
      <c r="AL771">
        <f t="shared" si="467"/>
        <v>0</v>
      </c>
      <c r="AM771">
        <f t="shared" si="468"/>
        <v>0</v>
      </c>
      <c r="AN771">
        <f t="shared" si="469"/>
        <v>3008.4189175615916</v>
      </c>
      <c r="AO771">
        <f t="shared" si="470"/>
        <v>0</v>
      </c>
      <c r="AP771">
        <f t="shared" si="471"/>
        <v>0</v>
      </c>
      <c r="AQ771">
        <f t="shared" si="472"/>
        <v>0</v>
      </c>
    </row>
    <row r="772" spans="1:43" ht="15.5" x14ac:dyDescent="0.35">
      <c r="A772" s="51">
        <v>39</v>
      </c>
      <c r="B772" s="13" t="s">
        <v>497</v>
      </c>
      <c r="C772" s="1" t="s">
        <v>99</v>
      </c>
      <c r="D772" s="1" t="s">
        <v>176</v>
      </c>
      <c r="E772" s="19">
        <v>3073.3118645728646</v>
      </c>
      <c r="F772">
        <f t="shared" si="437"/>
        <v>0</v>
      </c>
      <c r="G772">
        <f t="shared" si="438"/>
        <v>0</v>
      </c>
      <c r="H772">
        <f t="shared" si="439"/>
        <v>0</v>
      </c>
      <c r="I772">
        <f t="shared" si="440"/>
        <v>0</v>
      </c>
      <c r="J772">
        <f t="shared" si="441"/>
        <v>0</v>
      </c>
      <c r="K772">
        <f t="shared" si="442"/>
        <v>0</v>
      </c>
      <c r="L772">
        <f t="shared" si="443"/>
        <v>0</v>
      </c>
      <c r="M772">
        <f t="shared" si="444"/>
        <v>0</v>
      </c>
      <c r="N772">
        <f t="shared" si="445"/>
        <v>3073.3118645728646</v>
      </c>
      <c r="O772">
        <f t="shared" si="446"/>
        <v>0</v>
      </c>
      <c r="P772">
        <f t="shared" si="447"/>
        <v>0</v>
      </c>
      <c r="Q772">
        <f t="shared" si="448"/>
        <v>0</v>
      </c>
      <c r="S772">
        <f t="shared" si="449"/>
        <v>3</v>
      </c>
      <c r="T772">
        <f t="shared" si="450"/>
        <v>3</v>
      </c>
      <c r="U772">
        <f t="shared" si="451"/>
        <v>1</v>
      </c>
      <c r="V772">
        <f t="shared" si="452"/>
        <v>2</v>
      </c>
      <c r="W772">
        <f t="shared" si="453"/>
        <v>3</v>
      </c>
      <c r="X772">
        <f t="shared" si="454"/>
        <v>9</v>
      </c>
      <c r="Y772">
        <f t="shared" si="455"/>
        <v>0</v>
      </c>
      <c r="Z772">
        <f t="shared" si="456"/>
        <v>1</v>
      </c>
      <c r="AA772">
        <f t="shared" si="457"/>
        <v>1</v>
      </c>
      <c r="AB772">
        <f t="shared" si="458"/>
        <v>0</v>
      </c>
      <c r="AC772">
        <f t="shared" si="459"/>
        <v>6</v>
      </c>
      <c r="AD772">
        <f t="shared" si="460"/>
        <v>0</v>
      </c>
      <c r="AF772">
        <f t="shared" si="461"/>
        <v>0</v>
      </c>
      <c r="AG772">
        <f t="shared" si="462"/>
        <v>0</v>
      </c>
      <c r="AH772">
        <f t="shared" si="463"/>
        <v>0</v>
      </c>
      <c r="AI772">
        <f t="shared" si="464"/>
        <v>0</v>
      </c>
      <c r="AJ772">
        <f t="shared" si="465"/>
        <v>0</v>
      </c>
      <c r="AK772">
        <f t="shared" si="466"/>
        <v>0</v>
      </c>
      <c r="AL772">
        <f t="shared" si="467"/>
        <v>0</v>
      </c>
      <c r="AM772">
        <f t="shared" si="468"/>
        <v>0</v>
      </c>
      <c r="AN772">
        <f t="shared" si="469"/>
        <v>3073.3118645728646</v>
      </c>
      <c r="AO772">
        <f t="shared" si="470"/>
        <v>0</v>
      </c>
      <c r="AP772">
        <f t="shared" si="471"/>
        <v>0</v>
      </c>
      <c r="AQ772">
        <f t="shared" si="472"/>
        <v>0</v>
      </c>
    </row>
    <row r="773" spans="1:43" ht="15.5" x14ac:dyDescent="0.35">
      <c r="A773" s="51">
        <v>40</v>
      </c>
      <c r="B773" s="13" t="s">
        <v>498</v>
      </c>
      <c r="C773" s="1" t="s">
        <v>98</v>
      </c>
      <c r="D773" s="1" t="s">
        <v>76</v>
      </c>
      <c r="E773" s="19">
        <v>2772.0432249606051</v>
      </c>
      <c r="F773">
        <f t="shared" si="437"/>
        <v>2772.0432249606051</v>
      </c>
      <c r="G773">
        <f t="shared" si="438"/>
        <v>0</v>
      </c>
      <c r="H773">
        <f t="shared" si="439"/>
        <v>0</v>
      </c>
      <c r="I773">
        <f t="shared" si="440"/>
        <v>0</v>
      </c>
      <c r="J773">
        <f t="shared" si="441"/>
        <v>0</v>
      </c>
      <c r="K773">
        <f t="shared" si="442"/>
        <v>0</v>
      </c>
      <c r="L773">
        <f t="shared" si="443"/>
        <v>0</v>
      </c>
      <c r="M773">
        <f t="shared" si="444"/>
        <v>0</v>
      </c>
      <c r="N773">
        <f t="shared" si="445"/>
        <v>0</v>
      </c>
      <c r="O773">
        <f t="shared" si="446"/>
        <v>0</v>
      </c>
      <c r="P773">
        <f t="shared" si="447"/>
        <v>0</v>
      </c>
      <c r="Q773">
        <f t="shared" si="448"/>
        <v>0</v>
      </c>
      <c r="S773">
        <f t="shared" si="449"/>
        <v>3</v>
      </c>
      <c r="T773">
        <f t="shared" si="450"/>
        <v>3</v>
      </c>
      <c r="U773">
        <f t="shared" si="451"/>
        <v>1</v>
      </c>
      <c r="V773">
        <f t="shared" si="452"/>
        <v>2</v>
      </c>
      <c r="W773">
        <f t="shared" si="453"/>
        <v>3</v>
      </c>
      <c r="X773">
        <f t="shared" si="454"/>
        <v>9</v>
      </c>
      <c r="Y773">
        <f t="shared" si="455"/>
        <v>0</v>
      </c>
      <c r="Z773">
        <f t="shared" si="456"/>
        <v>1</v>
      </c>
      <c r="AA773">
        <f t="shared" si="457"/>
        <v>0</v>
      </c>
      <c r="AB773">
        <f t="shared" si="458"/>
        <v>0</v>
      </c>
      <c r="AC773">
        <f t="shared" si="459"/>
        <v>6</v>
      </c>
      <c r="AD773">
        <f t="shared" si="460"/>
        <v>0</v>
      </c>
      <c r="AF773">
        <f t="shared" si="461"/>
        <v>2772.0432249606051</v>
      </c>
      <c r="AG773">
        <f t="shared" si="462"/>
        <v>0</v>
      </c>
      <c r="AH773">
        <f t="shared" si="463"/>
        <v>0</v>
      </c>
      <c r="AI773">
        <f t="shared" si="464"/>
        <v>0</v>
      </c>
      <c r="AJ773">
        <f t="shared" si="465"/>
        <v>0</v>
      </c>
      <c r="AK773">
        <f t="shared" si="466"/>
        <v>0</v>
      </c>
      <c r="AL773">
        <f t="shared" si="467"/>
        <v>0</v>
      </c>
      <c r="AM773">
        <f t="shared" si="468"/>
        <v>0</v>
      </c>
      <c r="AN773">
        <f t="shared" si="469"/>
        <v>0</v>
      </c>
      <c r="AO773">
        <f t="shared" si="470"/>
        <v>0</v>
      </c>
      <c r="AP773">
        <f t="shared" si="471"/>
        <v>0</v>
      </c>
      <c r="AQ773">
        <f t="shared" si="472"/>
        <v>0</v>
      </c>
    </row>
    <row r="774" spans="1:43" ht="15.5" x14ac:dyDescent="0.35">
      <c r="A774" s="51">
        <v>41</v>
      </c>
      <c r="B774" s="13" t="s">
        <v>499</v>
      </c>
      <c r="C774" s="1" t="s">
        <v>101</v>
      </c>
      <c r="D774" s="1" t="s">
        <v>76</v>
      </c>
      <c r="E774" s="19">
        <v>2711.6822973594285</v>
      </c>
      <c r="F774">
        <f t="shared" si="437"/>
        <v>2711.6822973594285</v>
      </c>
      <c r="G774">
        <f t="shared" si="438"/>
        <v>0</v>
      </c>
      <c r="H774">
        <f t="shared" si="439"/>
        <v>0</v>
      </c>
      <c r="I774">
        <f t="shared" si="440"/>
        <v>0</v>
      </c>
      <c r="J774">
        <f t="shared" si="441"/>
        <v>0</v>
      </c>
      <c r="K774">
        <f t="shared" si="442"/>
        <v>0</v>
      </c>
      <c r="L774">
        <f t="shared" si="443"/>
        <v>0</v>
      </c>
      <c r="M774">
        <f t="shared" si="444"/>
        <v>0</v>
      </c>
      <c r="N774">
        <f t="shared" si="445"/>
        <v>0</v>
      </c>
      <c r="O774">
        <f t="shared" si="446"/>
        <v>0</v>
      </c>
      <c r="P774">
        <f t="shared" si="447"/>
        <v>0</v>
      </c>
      <c r="Q774">
        <f t="shared" si="448"/>
        <v>0</v>
      </c>
      <c r="S774">
        <f t="shared" si="449"/>
        <v>2</v>
      </c>
      <c r="T774">
        <f t="shared" si="450"/>
        <v>3</v>
      </c>
      <c r="U774">
        <f t="shared" si="451"/>
        <v>1</v>
      </c>
      <c r="V774">
        <f t="shared" si="452"/>
        <v>2</v>
      </c>
      <c r="W774">
        <f t="shared" si="453"/>
        <v>3</v>
      </c>
      <c r="X774">
        <f t="shared" si="454"/>
        <v>9</v>
      </c>
      <c r="Y774">
        <f t="shared" si="455"/>
        <v>0</v>
      </c>
      <c r="Z774">
        <f t="shared" si="456"/>
        <v>1</v>
      </c>
      <c r="AA774">
        <f t="shared" si="457"/>
        <v>0</v>
      </c>
      <c r="AB774">
        <f t="shared" si="458"/>
        <v>0</v>
      </c>
      <c r="AC774">
        <f t="shared" si="459"/>
        <v>6</v>
      </c>
      <c r="AD774">
        <f t="shared" si="460"/>
        <v>0</v>
      </c>
      <c r="AF774">
        <f t="shared" si="461"/>
        <v>2711.6822973594285</v>
      </c>
      <c r="AG774">
        <f t="shared" si="462"/>
        <v>0</v>
      </c>
      <c r="AH774">
        <f t="shared" si="463"/>
        <v>0</v>
      </c>
      <c r="AI774">
        <f t="shared" si="464"/>
        <v>0</v>
      </c>
      <c r="AJ774">
        <f t="shared" si="465"/>
        <v>0</v>
      </c>
      <c r="AK774">
        <f t="shared" si="466"/>
        <v>0</v>
      </c>
      <c r="AL774">
        <f t="shared" si="467"/>
        <v>0</v>
      </c>
      <c r="AM774">
        <f t="shared" si="468"/>
        <v>0</v>
      </c>
      <c r="AN774">
        <f t="shared" si="469"/>
        <v>0</v>
      </c>
      <c r="AO774">
        <f t="shared" si="470"/>
        <v>0</v>
      </c>
      <c r="AP774">
        <f t="shared" si="471"/>
        <v>0</v>
      </c>
      <c r="AQ774">
        <f t="shared" si="472"/>
        <v>0</v>
      </c>
    </row>
    <row r="775" spans="1:43" ht="15.5" x14ac:dyDescent="0.35">
      <c r="A775" s="73">
        <v>42</v>
      </c>
      <c r="B775" s="13" t="s">
        <v>499</v>
      </c>
      <c r="C775" s="1" t="s">
        <v>105</v>
      </c>
      <c r="D775" s="1" t="s">
        <v>60</v>
      </c>
      <c r="E775" s="19">
        <v>3259.1126904212169</v>
      </c>
      <c r="F775">
        <f t="shared" si="437"/>
        <v>0</v>
      </c>
      <c r="G775">
        <f t="shared" si="438"/>
        <v>0</v>
      </c>
      <c r="H775">
        <f t="shared" si="439"/>
        <v>0</v>
      </c>
      <c r="I775">
        <f t="shared" si="440"/>
        <v>0</v>
      </c>
      <c r="J775">
        <f t="shared" si="441"/>
        <v>3259.1126904212169</v>
      </c>
      <c r="K775">
        <f t="shared" si="442"/>
        <v>0</v>
      </c>
      <c r="L775">
        <f t="shared" si="443"/>
        <v>0</v>
      </c>
      <c r="M775">
        <f t="shared" si="444"/>
        <v>0</v>
      </c>
      <c r="N775">
        <f t="shared" si="445"/>
        <v>0</v>
      </c>
      <c r="O775">
        <f t="shared" si="446"/>
        <v>0</v>
      </c>
      <c r="P775">
        <f t="shared" si="447"/>
        <v>0</v>
      </c>
      <c r="Q775">
        <f t="shared" si="448"/>
        <v>0</v>
      </c>
      <c r="S775">
        <f t="shared" si="449"/>
        <v>1</v>
      </c>
      <c r="T775">
        <f t="shared" si="450"/>
        <v>3</v>
      </c>
      <c r="U775">
        <f t="shared" si="451"/>
        <v>1</v>
      </c>
      <c r="V775">
        <f t="shared" si="452"/>
        <v>2</v>
      </c>
      <c r="W775">
        <f t="shared" si="453"/>
        <v>3</v>
      </c>
      <c r="X775">
        <f t="shared" si="454"/>
        <v>9</v>
      </c>
      <c r="Y775">
        <f t="shared" si="455"/>
        <v>0</v>
      </c>
      <c r="Z775">
        <f t="shared" si="456"/>
        <v>1</v>
      </c>
      <c r="AA775">
        <f t="shared" si="457"/>
        <v>0</v>
      </c>
      <c r="AB775">
        <f t="shared" si="458"/>
        <v>0</v>
      </c>
      <c r="AC775">
        <f t="shared" si="459"/>
        <v>6</v>
      </c>
      <c r="AD775">
        <f t="shared" si="460"/>
        <v>0</v>
      </c>
      <c r="AF775">
        <f t="shared" si="461"/>
        <v>0</v>
      </c>
      <c r="AG775">
        <f t="shared" si="462"/>
        <v>0</v>
      </c>
      <c r="AH775">
        <f t="shared" si="463"/>
        <v>0</v>
      </c>
      <c r="AI775">
        <f t="shared" si="464"/>
        <v>0</v>
      </c>
      <c r="AJ775">
        <f t="shared" si="465"/>
        <v>3259.1126904212169</v>
      </c>
      <c r="AK775">
        <f t="shared" si="466"/>
        <v>0</v>
      </c>
      <c r="AL775">
        <f t="shared" si="467"/>
        <v>0</v>
      </c>
      <c r="AM775">
        <f t="shared" si="468"/>
        <v>0</v>
      </c>
      <c r="AN775">
        <f t="shared" si="469"/>
        <v>0</v>
      </c>
      <c r="AO775">
        <f t="shared" si="470"/>
        <v>0</v>
      </c>
      <c r="AP775">
        <f t="shared" si="471"/>
        <v>0</v>
      </c>
      <c r="AQ775">
        <f t="shared" si="472"/>
        <v>0</v>
      </c>
    </row>
    <row r="776" spans="1:43" ht="15.5" x14ac:dyDescent="0.35">
      <c r="A776" s="51">
        <v>43</v>
      </c>
      <c r="B776" s="13" t="s">
        <v>500</v>
      </c>
      <c r="C776" s="1" t="s">
        <v>501</v>
      </c>
      <c r="D776" s="1" t="s">
        <v>54</v>
      </c>
      <c r="E776" s="19">
        <v>3355.3533826798071</v>
      </c>
      <c r="F776">
        <f t="shared" si="437"/>
        <v>0</v>
      </c>
      <c r="G776">
        <f t="shared" si="438"/>
        <v>0</v>
      </c>
      <c r="H776">
        <f t="shared" si="439"/>
        <v>0</v>
      </c>
      <c r="I776">
        <f t="shared" si="440"/>
        <v>0</v>
      </c>
      <c r="J776">
        <f t="shared" si="441"/>
        <v>0</v>
      </c>
      <c r="K776">
        <f t="shared" si="442"/>
        <v>3355.3533826798071</v>
      </c>
      <c r="L776">
        <f t="shared" si="443"/>
        <v>0</v>
      </c>
      <c r="M776">
        <f t="shared" si="444"/>
        <v>0</v>
      </c>
      <c r="N776">
        <f t="shared" si="445"/>
        <v>0</v>
      </c>
      <c r="O776">
        <f t="shared" si="446"/>
        <v>0</v>
      </c>
      <c r="P776">
        <f t="shared" si="447"/>
        <v>0</v>
      </c>
      <c r="Q776">
        <f t="shared" si="448"/>
        <v>0</v>
      </c>
      <c r="S776">
        <f t="shared" si="449"/>
        <v>1</v>
      </c>
      <c r="T776">
        <f t="shared" si="450"/>
        <v>3</v>
      </c>
      <c r="U776">
        <f t="shared" si="451"/>
        <v>1</v>
      </c>
      <c r="V776">
        <f t="shared" si="452"/>
        <v>2</v>
      </c>
      <c r="W776">
        <f t="shared" si="453"/>
        <v>2</v>
      </c>
      <c r="X776">
        <f t="shared" si="454"/>
        <v>9</v>
      </c>
      <c r="Y776">
        <f t="shared" si="455"/>
        <v>0</v>
      </c>
      <c r="Z776">
        <f t="shared" si="456"/>
        <v>1</v>
      </c>
      <c r="AA776">
        <f t="shared" si="457"/>
        <v>0</v>
      </c>
      <c r="AB776">
        <f t="shared" si="458"/>
        <v>0</v>
      </c>
      <c r="AC776">
        <f t="shared" si="459"/>
        <v>6</v>
      </c>
      <c r="AD776">
        <f t="shared" si="460"/>
        <v>0</v>
      </c>
      <c r="AF776">
        <f t="shared" si="461"/>
        <v>0</v>
      </c>
      <c r="AG776">
        <f t="shared" si="462"/>
        <v>0</v>
      </c>
      <c r="AH776">
        <f t="shared" si="463"/>
        <v>0</v>
      </c>
      <c r="AI776">
        <f t="shared" si="464"/>
        <v>0</v>
      </c>
      <c r="AJ776">
        <f t="shared" si="465"/>
        <v>0</v>
      </c>
      <c r="AK776">
        <f t="shared" si="466"/>
        <v>3355.3533826798071</v>
      </c>
      <c r="AL776">
        <f t="shared" si="467"/>
        <v>0</v>
      </c>
      <c r="AM776">
        <f t="shared" si="468"/>
        <v>0</v>
      </c>
      <c r="AN776">
        <f t="shared" si="469"/>
        <v>0</v>
      </c>
      <c r="AO776">
        <f t="shared" si="470"/>
        <v>0</v>
      </c>
      <c r="AP776">
        <f t="shared" si="471"/>
        <v>0</v>
      </c>
      <c r="AQ776">
        <f t="shared" si="472"/>
        <v>0</v>
      </c>
    </row>
    <row r="777" spans="1:43" ht="15.5" x14ac:dyDescent="0.35">
      <c r="A777" s="73">
        <v>44</v>
      </c>
      <c r="B777" s="13" t="s">
        <v>500</v>
      </c>
      <c r="C777" s="1" t="s">
        <v>107</v>
      </c>
      <c r="D777" s="1" t="s">
        <v>54</v>
      </c>
      <c r="E777" s="19">
        <v>3350.8700910536782</v>
      </c>
      <c r="F777">
        <f t="shared" si="437"/>
        <v>0</v>
      </c>
      <c r="G777">
        <f t="shared" si="438"/>
        <v>0</v>
      </c>
      <c r="H777">
        <f t="shared" si="439"/>
        <v>0</v>
      </c>
      <c r="I777">
        <f t="shared" si="440"/>
        <v>0</v>
      </c>
      <c r="J777">
        <f t="shared" si="441"/>
        <v>0</v>
      </c>
      <c r="K777">
        <f t="shared" si="442"/>
        <v>3350.8700910536782</v>
      </c>
      <c r="L777">
        <f t="shared" si="443"/>
        <v>0</v>
      </c>
      <c r="M777">
        <f t="shared" si="444"/>
        <v>0</v>
      </c>
      <c r="N777">
        <f t="shared" si="445"/>
        <v>0</v>
      </c>
      <c r="O777">
        <f t="shared" si="446"/>
        <v>0</v>
      </c>
      <c r="P777">
        <f t="shared" si="447"/>
        <v>0</v>
      </c>
      <c r="Q777">
        <f t="shared" si="448"/>
        <v>0</v>
      </c>
      <c r="S777">
        <f t="shared" si="449"/>
        <v>1</v>
      </c>
      <c r="T777">
        <f t="shared" si="450"/>
        <v>3</v>
      </c>
      <c r="U777">
        <f t="shared" si="451"/>
        <v>1</v>
      </c>
      <c r="V777">
        <f t="shared" si="452"/>
        <v>2</v>
      </c>
      <c r="W777">
        <f t="shared" si="453"/>
        <v>2</v>
      </c>
      <c r="X777">
        <f t="shared" si="454"/>
        <v>8</v>
      </c>
      <c r="Y777">
        <f t="shared" si="455"/>
        <v>0</v>
      </c>
      <c r="Z777">
        <f t="shared" si="456"/>
        <v>1</v>
      </c>
      <c r="AA777">
        <f t="shared" si="457"/>
        <v>0</v>
      </c>
      <c r="AB777">
        <f t="shared" si="458"/>
        <v>0</v>
      </c>
      <c r="AC777">
        <f t="shared" si="459"/>
        <v>6</v>
      </c>
      <c r="AD777">
        <f t="shared" si="460"/>
        <v>0</v>
      </c>
      <c r="AF777">
        <f t="shared" si="461"/>
        <v>0</v>
      </c>
      <c r="AG777">
        <f t="shared" si="462"/>
        <v>0</v>
      </c>
      <c r="AH777">
        <f t="shared" si="463"/>
        <v>0</v>
      </c>
      <c r="AI777">
        <f t="shared" si="464"/>
        <v>0</v>
      </c>
      <c r="AJ777">
        <f t="shared" si="465"/>
        <v>0</v>
      </c>
      <c r="AK777">
        <f t="shared" si="466"/>
        <v>3350.8700910536782</v>
      </c>
      <c r="AL777">
        <f t="shared" si="467"/>
        <v>0</v>
      </c>
      <c r="AM777">
        <f t="shared" si="468"/>
        <v>0</v>
      </c>
      <c r="AN777">
        <f t="shared" si="469"/>
        <v>0</v>
      </c>
      <c r="AO777">
        <f t="shared" si="470"/>
        <v>0</v>
      </c>
      <c r="AP777">
        <f t="shared" si="471"/>
        <v>0</v>
      </c>
      <c r="AQ777">
        <f t="shared" si="472"/>
        <v>0</v>
      </c>
    </row>
    <row r="778" spans="1:43" ht="15.5" x14ac:dyDescent="0.35">
      <c r="A778" s="51">
        <v>45</v>
      </c>
      <c r="B778" s="13" t="s">
        <v>500</v>
      </c>
      <c r="C778" s="1" t="s">
        <v>502</v>
      </c>
      <c r="D778" s="1" t="s">
        <v>60</v>
      </c>
      <c r="E778" s="19">
        <v>3466.9669018725804</v>
      </c>
      <c r="F778">
        <f t="shared" si="437"/>
        <v>0</v>
      </c>
      <c r="G778">
        <f t="shared" si="438"/>
        <v>0</v>
      </c>
      <c r="H778">
        <f t="shared" si="439"/>
        <v>0</v>
      </c>
      <c r="I778">
        <f t="shared" si="440"/>
        <v>0</v>
      </c>
      <c r="J778">
        <f t="shared" si="441"/>
        <v>3466.9669018725804</v>
      </c>
      <c r="K778">
        <f t="shared" si="442"/>
        <v>0</v>
      </c>
      <c r="L778">
        <f t="shared" si="443"/>
        <v>0</v>
      </c>
      <c r="M778">
        <f t="shared" si="444"/>
        <v>0</v>
      </c>
      <c r="N778">
        <f t="shared" si="445"/>
        <v>0</v>
      </c>
      <c r="O778">
        <f t="shared" si="446"/>
        <v>0</v>
      </c>
      <c r="P778">
        <f t="shared" si="447"/>
        <v>0</v>
      </c>
      <c r="Q778">
        <f t="shared" si="448"/>
        <v>0</v>
      </c>
      <c r="S778">
        <f t="shared" si="449"/>
        <v>1</v>
      </c>
      <c r="T778">
        <f t="shared" si="450"/>
        <v>3</v>
      </c>
      <c r="U778">
        <f t="shared" si="451"/>
        <v>1</v>
      </c>
      <c r="V778">
        <f t="shared" si="452"/>
        <v>2</v>
      </c>
      <c r="W778">
        <f t="shared" si="453"/>
        <v>2</v>
      </c>
      <c r="X778">
        <f t="shared" si="454"/>
        <v>7</v>
      </c>
      <c r="Y778">
        <f t="shared" si="455"/>
        <v>0</v>
      </c>
      <c r="Z778">
        <f t="shared" si="456"/>
        <v>1</v>
      </c>
      <c r="AA778">
        <f t="shared" si="457"/>
        <v>0</v>
      </c>
      <c r="AB778">
        <f t="shared" si="458"/>
        <v>0</v>
      </c>
      <c r="AC778">
        <f t="shared" si="459"/>
        <v>6</v>
      </c>
      <c r="AD778">
        <f t="shared" si="460"/>
        <v>0</v>
      </c>
      <c r="AF778">
        <f t="shared" si="461"/>
        <v>0</v>
      </c>
      <c r="AG778">
        <f t="shared" si="462"/>
        <v>0</v>
      </c>
      <c r="AH778">
        <f t="shared" si="463"/>
        <v>0</v>
      </c>
      <c r="AI778">
        <f t="shared" si="464"/>
        <v>0</v>
      </c>
      <c r="AJ778">
        <f t="shared" si="465"/>
        <v>3466.9669018725804</v>
      </c>
      <c r="AK778">
        <f t="shared" si="466"/>
        <v>0</v>
      </c>
      <c r="AL778">
        <f t="shared" si="467"/>
        <v>0</v>
      </c>
      <c r="AM778">
        <f t="shared" si="468"/>
        <v>0</v>
      </c>
      <c r="AN778">
        <f t="shared" si="469"/>
        <v>0</v>
      </c>
      <c r="AO778">
        <f t="shared" si="470"/>
        <v>0</v>
      </c>
      <c r="AP778">
        <f t="shared" si="471"/>
        <v>0</v>
      </c>
      <c r="AQ778">
        <f t="shared" si="472"/>
        <v>0</v>
      </c>
    </row>
    <row r="779" spans="1:43" ht="15.5" x14ac:dyDescent="0.35">
      <c r="A779" s="73">
        <v>46</v>
      </c>
      <c r="B779" s="13" t="s">
        <v>500</v>
      </c>
      <c r="C779" s="1" t="s">
        <v>108</v>
      </c>
      <c r="D779" s="1" t="s">
        <v>67</v>
      </c>
      <c r="E779" s="70">
        <v>2641.1595206722686</v>
      </c>
      <c r="F779">
        <f t="shared" si="437"/>
        <v>0</v>
      </c>
      <c r="G779">
        <f t="shared" si="438"/>
        <v>0</v>
      </c>
      <c r="H779">
        <f t="shared" si="439"/>
        <v>0</v>
      </c>
      <c r="I779">
        <f t="shared" si="440"/>
        <v>2641.1595206722686</v>
      </c>
      <c r="J779">
        <f t="shared" si="441"/>
        <v>0</v>
      </c>
      <c r="K779">
        <f t="shared" si="442"/>
        <v>0</v>
      </c>
      <c r="L779">
        <f t="shared" si="443"/>
        <v>0</v>
      </c>
      <c r="M779">
        <f t="shared" si="444"/>
        <v>0</v>
      </c>
      <c r="N779">
        <f t="shared" si="445"/>
        <v>0</v>
      </c>
      <c r="O779">
        <f t="shared" si="446"/>
        <v>0</v>
      </c>
      <c r="P779">
        <f t="shared" si="447"/>
        <v>0</v>
      </c>
      <c r="Q779">
        <f t="shared" si="448"/>
        <v>0</v>
      </c>
      <c r="S779">
        <f t="shared" si="449"/>
        <v>1</v>
      </c>
      <c r="T779">
        <f t="shared" si="450"/>
        <v>3</v>
      </c>
      <c r="U779">
        <f t="shared" si="451"/>
        <v>1</v>
      </c>
      <c r="V779">
        <f t="shared" si="452"/>
        <v>2</v>
      </c>
      <c r="W779">
        <f t="shared" si="453"/>
        <v>1</v>
      </c>
      <c r="X779">
        <f t="shared" si="454"/>
        <v>7</v>
      </c>
      <c r="Y779">
        <f t="shared" si="455"/>
        <v>0</v>
      </c>
      <c r="Z779">
        <f t="shared" si="456"/>
        <v>1</v>
      </c>
      <c r="AA779">
        <f t="shared" si="457"/>
        <v>0</v>
      </c>
      <c r="AB779">
        <f t="shared" si="458"/>
        <v>0</v>
      </c>
      <c r="AC779">
        <f t="shared" si="459"/>
        <v>6</v>
      </c>
      <c r="AD779">
        <f t="shared" si="460"/>
        <v>0</v>
      </c>
      <c r="AF779">
        <f t="shared" si="461"/>
        <v>0</v>
      </c>
      <c r="AG779">
        <f t="shared" si="462"/>
        <v>0</v>
      </c>
      <c r="AH779">
        <f t="shared" si="463"/>
        <v>0</v>
      </c>
      <c r="AI779">
        <f t="shared" si="464"/>
        <v>2641.1595206722686</v>
      </c>
      <c r="AJ779">
        <f t="shared" si="465"/>
        <v>0</v>
      </c>
      <c r="AK779">
        <f t="shared" si="466"/>
        <v>0</v>
      </c>
      <c r="AL779">
        <f t="shared" si="467"/>
        <v>0</v>
      </c>
      <c r="AM779">
        <f t="shared" si="468"/>
        <v>0</v>
      </c>
      <c r="AN779">
        <f t="shared" si="469"/>
        <v>0</v>
      </c>
      <c r="AO779">
        <f t="shared" si="470"/>
        <v>0</v>
      </c>
      <c r="AP779">
        <f t="shared" si="471"/>
        <v>0</v>
      </c>
      <c r="AQ779">
        <f t="shared" si="472"/>
        <v>0</v>
      </c>
    </row>
    <row r="780" spans="1:43" ht="15.5" x14ac:dyDescent="0.35">
      <c r="A780" s="51">
        <v>47</v>
      </c>
      <c r="B780" s="13" t="s">
        <v>503</v>
      </c>
      <c r="C780" s="1" t="s">
        <v>109</v>
      </c>
      <c r="D780" s="1" t="s">
        <v>54</v>
      </c>
      <c r="E780" s="19">
        <v>3631.1160661864492</v>
      </c>
      <c r="F780">
        <f t="shared" ref="F780:F843" si="473">IF(D780="SPUR-01",E780,0)</f>
        <v>0</v>
      </c>
      <c r="G780">
        <f t="shared" ref="G780:G843" si="474">IF(D780="SPUR-02",E780,0)</f>
        <v>0</v>
      </c>
      <c r="H780">
        <f t="shared" ref="H780:H843" si="475">IF(D780="SPUR-03",E780,0)</f>
        <v>0</v>
      </c>
      <c r="I780">
        <f t="shared" ref="I780:I843" si="476">IF(D780="SPUR-04",E780,0)</f>
        <v>0</v>
      </c>
      <c r="J780">
        <f t="shared" ref="J780:J843" si="477">IF(D780="SPUR-05",E780,0)</f>
        <v>0</v>
      </c>
      <c r="K780">
        <f t="shared" ref="K780:K843" si="478">IF(D780="SPUR-06",E780,0)</f>
        <v>3631.1160661864492</v>
      </c>
      <c r="L780">
        <f t="shared" ref="L780:L843" si="479">IF(D780="SPUR-07",E780,0)</f>
        <v>0</v>
      </c>
      <c r="M780">
        <f t="shared" ref="M780:M843" si="480">IF(D780="SPUR-08",E780,0)</f>
        <v>0</v>
      </c>
      <c r="N780">
        <f t="shared" ref="N780:N843" si="481">IF(D780="SPUR-09",E780,0)</f>
        <v>0</v>
      </c>
      <c r="O780">
        <f t="shared" ref="O780:O843" si="482">IF(D780="SPUR-10",E780,0)</f>
        <v>0</v>
      </c>
      <c r="P780">
        <f t="shared" ref="P780:P843" si="483">IF(D780="SPUR-SILO",E780,0)</f>
        <v>0</v>
      </c>
      <c r="Q780">
        <f t="shared" ref="Q780:Q843" si="484">IF(D780="SPUR-DB",E780,0)</f>
        <v>0</v>
      </c>
      <c r="S780">
        <f t="shared" si="449"/>
        <v>1</v>
      </c>
      <c r="T780">
        <f t="shared" si="450"/>
        <v>3</v>
      </c>
      <c r="U780">
        <f t="shared" si="451"/>
        <v>1</v>
      </c>
      <c r="V780">
        <f t="shared" si="452"/>
        <v>1</v>
      </c>
      <c r="W780">
        <f t="shared" si="453"/>
        <v>1</v>
      </c>
      <c r="X780">
        <f t="shared" si="454"/>
        <v>7</v>
      </c>
      <c r="Y780">
        <f t="shared" si="455"/>
        <v>0</v>
      </c>
      <c r="Z780">
        <f t="shared" si="456"/>
        <v>1</v>
      </c>
      <c r="AA780">
        <f t="shared" si="457"/>
        <v>0</v>
      </c>
      <c r="AB780">
        <f t="shared" si="458"/>
        <v>0</v>
      </c>
      <c r="AC780">
        <f t="shared" si="459"/>
        <v>6</v>
      </c>
      <c r="AD780">
        <f t="shared" si="460"/>
        <v>0</v>
      </c>
      <c r="AF780">
        <f t="shared" si="461"/>
        <v>0</v>
      </c>
      <c r="AG780">
        <f t="shared" si="462"/>
        <v>0</v>
      </c>
      <c r="AH780">
        <f t="shared" si="463"/>
        <v>0</v>
      </c>
      <c r="AI780">
        <f t="shared" si="464"/>
        <v>0</v>
      </c>
      <c r="AJ780">
        <f t="shared" si="465"/>
        <v>0</v>
      </c>
      <c r="AK780">
        <f t="shared" si="466"/>
        <v>3631.1160661864492</v>
      </c>
      <c r="AL780">
        <f t="shared" si="467"/>
        <v>0</v>
      </c>
      <c r="AM780">
        <f t="shared" si="468"/>
        <v>0</v>
      </c>
      <c r="AN780">
        <f t="shared" si="469"/>
        <v>0</v>
      </c>
      <c r="AO780">
        <f t="shared" si="470"/>
        <v>0</v>
      </c>
      <c r="AP780">
        <f t="shared" si="471"/>
        <v>0</v>
      </c>
      <c r="AQ780">
        <f t="shared" si="472"/>
        <v>0</v>
      </c>
    </row>
    <row r="781" spans="1:43" ht="15.5" x14ac:dyDescent="0.35">
      <c r="A781" s="73">
        <v>48</v>
      </c>
      <c r="B781" s="13" t="s">
        <v>503</v>
      </c>
      <c r="C781" s="1" t="s">
        <v>113</v>
      </c>
      <c r="D781" s="1" t="s">
        <v>228</v>
      </c>
      <c r="E781" s="19">
        <v>2709.6624985239851</v>
      </c>
      <c r="F781">
        <f t="shared" si="473"/>
        <v>0</v>
      </c>
      <c r="G781">
        <f t="shared" si="474"/>
        <v>0</v>
      </c>
      <c r="H781">
        <f t="shared" si="475"/>
        <v>0</v>
      </c>
      <c r="I781">
        <f t="shared" si="476"/>
        <v>0</v>
      </c>
      <c r="J781">
        <f t="shared" si="477"/>
        <v>0</v>
      </c>
      <c r="K781">
        <f t="shared" si="478"/>
        <v>0</v>
      </c>
      <c r="L781">
        <f t="shared" si="479"/>
        <v>0</v>
      </c>
      <c r="M781">
        <f t="shared" si="480"/>
        <v>0</v>
      </c>
      <c r="N781">
        <f t="shared" si="481"/>
        <v>0</v>
      </c>
      <c r="O781">
        <f t="shared" si="482"/>
        <v>0</v>
      </c>
      <c r="P781">
        <f t="shared" si="483"/>
        <v>2709.6624985239851</v>
      </c>
      <c r="Q781">
        <f t="shared" si="484"/>
        <v>0</v>
      </c>
      <c r="S781">
        <f t="shared" si="449"/>
        <v>1</v>
      </c>
      <c r="T781">
        <f t="shared" si="450"/>
        <v>3</v>
      </c>
      <c r="U781">
        <f t="shared" si="451"/>
        <v>1</v>
      </c>
      <c r="V781">
        <f t="shared" si="452"/>
        <v>1</v>
      </c>
      <c r="W781">
        <f t="shared" si="453"/>
        <v>1</v>
      </c>
      <c r="X781">
        <f t="shared" si="454"/>
        <v>6</v>
      </c>
      <c r="Y781">
        <f t="shared" si="455"/>
        <v>0</v>
      </c>
      <c r="Z781">
        <f t="shared" si="456"/>
        <v>1</v>
      </c>
      <c r="AA781">
        <f t="shared" si="457"/>
        <v>0</v>
      </c>
      <c r="AB781">
        <f t="shared" si="458"/>
        <v>0</v>
      </c>
      <c r="AC781">
        <f t="shared" si="459"/>
        <v>6</v>
      </c>
      <c r="AD781">
        <f t="shared" si="460"/>
        <v>0</v>
      </c>
      <c r="AF781">
        <f t="shared" si="461"/>
        <v>0</v>
      </c>
      <c r="AG781">
        <f t="shared" si="462"/>
        <v>0</v>
      </c>
      <c r="AH781">
        <f t="shared" si="463"/>
        <v>0</v>
      </c>
      <c r="AI781">
        <f t="shared" si="464"/>
        <v>0</v>
      </c>
      <c r="AJ781">
        <f t="shared" si="465"/>
        <v>0</v>
      </c>
      <c r="AK781">
        <f t="shared" si="466"/>
        <v>0</v>
      </c>
      <c r="AL781">
        <f t="shared" si="467"/>
        <v>0</v>
      </c>
      <c r="AM781">
        <f t="shared" si="468"/>
        <v>0</v>
      </c>
      <c r="AN781">
        <f t="shared" si="469"/>
        <v>0</v>
      </c>
      <c r="AO781">
        <f t="shared" si="470"/>
        <v>0</v>
      </c>
      <c r="AP781">
        <f t="shared" si="471"/>
        <v>2709.6624985239851</v>
      </c>
      <c r="AQ781">
        <f t="shared" si="472"/>
        <v>0</v>
      </c>
    </row>
    <row r="782" spans="1:43" ht="15.5" x14ac:dyDescent="0.35">
      <c r="A782" s="51">
        <v>49</v>
      </c>
      <c r="B782" s="13" t="s">
        <v>503</v>
      </c>
      <c r="C782" s="1" t="s">
        <v>111</v>
      </c>
      <c r="D782" s="1" t="s">
        <v>60</v>
      </c>
      <c r="E782" s="19">
        <v>3760.1881243739563</v>
      </c>
      <c r="F782">
        <f t="shared" si="473"/>
        <v>0</v>
      </c>
      <c r="G782">
        <f t="shared" si="474"/>
        <v>0</v>
      </c>
      <c r="H782">
        <f t="shared" si="475"/>
        <v>0</v>
      </c>
      <c r="I782">
        <f t="shared" si="476"/>
        <v>0</v>
      </c>
      <c r="J782">
        <f t="shared" si="477"/>
        <v>3760.1881243739563</v>
      </c>
      <c r="K782">
        <f t="shared" si="478"/>
        <v>0</v>
      </c>
      <c r="L782">
        <f t="shared" si="479"/>
        <v>0</v>
      </c>
      <c r="M782">
        <f t="shared" si="480"/>
        <v>0</v>
      </c>
      <c r="N782">
        <f t="shared" si="481"/>
        <v>0</v>
      </c>
      <c r="O782">
        <f t="shared" si="482"/>
        <v>0</v>
      </c>
      <c r="P782">
        <f t="shared" si="483"/>
        <v>0</v>
      </c>
      <c r="Q782">
        <f t="shared" si="484"/>
        <v>0</v>
      </c>
      <c r="S782">
        <f t="shared" si="449"/>
        <v>1</v>
      </c>
      <c r="T782">
        <f t="shared" si="450"/>
        <v>3</v>
      </c>
      <c r="U782">
        <f t="shared" si="451"/>
        <v>1</v>
      </c>
      <c r="V782">
        <f t="shared" si="452"/>
        <v>1</v>
      </c>
      <c r="W782">
        <f t="shared" si="453"/>
        <v>1</v>
      </c>
      <c r="X782">
        <f t="shared" si="454"/>
        <v>6</v>
      </c>
      <c r="Y782">
        <f t="shared" si="455"/>
        <v>0</v>
      </c>
      <c r="Z782">
        <f t="shared" si="456"/>
        <v>1</v>
      </c>
      <c r="AA782">
        <f t="shared" si="457"/>
        <v>0</v>
      </c>
      <c r="AB782">
        <f t="shared" si="458"/>
        <v>0</v>
      </c>
      <c r="AC782">
        <f t="shared" si="459"/>
        <v>5</v>
      </c>
      <c r="AD782">
        <f t="shared" si="460"/>
        <v>0</v>
      </c>
      <c r="AF782">
        <f t="shared" si="461"/>
        <v>0</v>
      </c>
      <c r="AG782">
        <f t="shared" si="462"/>
        <v>0</v>
      </c>
      <c r="AH782">
        <f t="shared" si="463"/>
        <v>0</v>
      </c>
      <c r="AI782">
        <f t="shared" si="464"/>
        <v>0</v>
      </c>
      <c r="AJ782">
        <f t="shared" si="465"/>
        <v>3760.1881243739563</v>
      </c>
      <c r="AK782">
        <f t="shared" si="466"/>
        <v>0</v>
      </c>
      <c r="AL782">
        <f t="shared" si="467"/>
        <v>0</v>
      </c>
      <c r="AM782">
        <f t="shared" si="468"/>
        <v>0</v>
      </c>
      <c r="AN782">
        <f t="shared" si="469"/>
        <v>0</v>
      </c>
      <c r="AO782">
        <f t="shared" si="470"/>
        <v>0</v>
      </c>
      <c r="AP782">
        <f t="shared" si="471"/>
        <v>0</v>
      </c>
      <c r="AQ782">
        <f t="shared" si="472"/>
        <v>0</v>
      </c>
    </row>
    <row r="783" spans="1:43" ht="15.5" x14ac:dyDescent="0.35">
      <c r="A783" s="73">
        <v>50</v>
      </c>
      <c r="B783" s="13" t="s">
        <v>504</v>
      </c>
      <c r="C783" s="1" t="s">
        <v>112</v>
      </c>
      <c r="D783" s="1" t="s">
        <v>54</v>
      </c>
      <c r="E783" s="19">
        <v>3623.3699968740229</v>
      </c>
      <c r="F783">
        <f t="shared" si="473"/>
        <v>0</v>
      </c>
      <c r="G783">
        <f t="shared" si="474"/>
        <v>0</v>
      </c>
      <c r="H783">
        <f t="shared" si="475"/>
        <v>0</v>
      </c>
      <c r="I783">
        <f t="shared" si="476"/>
        <v>0</v>
      </c>
      <c r="J783">
        <f t="shared" si="477"/>
        <v>0</v>
      </c>
      <c r="K783">
        <f t="shared" si="478"/>
        <v>3623.3699968740229</v>
      </c>
      <c r="L783">
        <f t="shared" si="479"/>
        <v>0</v>
      </c>
      <c r="M783">
        <f t="shared" si="480"/>
        <v>0</v>
      </c>
      <c r="N783">
        <f t="shared" si="481"/>
        <v>0</v>
      </c>
      <c r="O783">
        <f t="shared" si="482"/>
        <v>0</v>
      </c>
      <c r="P783">
        <f t="shared" si="483"/>
        <v>0</v>
      </c>
      <c r="Q783">
        <f t="shared" si="484"/>
        <v>0</v>
      </c>
      <c r="S783">
        <f t="shared" si="449"/>
        <v>1</v>
      </c>
      <c r="T783">
        <f t="shared" si="450"/>
        <v>3</v>
      </c>
      <c r="U783">
        <f t="shared" si="451"/>
        <v>1</v>
      </c>
      <c r="V783">
        <f t="shared" si="452"/>
        <v>1</v>
      </c>
      <c r="W783">
        <f t="shared" si="453"/>
        <v>0</v>
      </c>
      <c r="X783">
        <f t="shared" si="454"/>
        <v>6</v>
      </c>
      <c r="Y783">
        <f t="shared" si="455"/>
        <v>0</v>
      </c>
      <c r="Z783">
        <f t="shared" si="456"/>
        <v>1</v>
      </c>
      <c r="AA783">
        <f t="shared" si="457"/>
        <v>0</v>
      </c>
      <c r="AB783">
        <f t="shared" si="458"/>
        <v>0</v>
      </c>
      <c r="AC783">
        <f t="shared" si="459"/>
        <v>5</v>
      </c>
      <c r="AD783">
        <f t="shared" si="460"/>
        <v>0</v>
      </c>
      <c r="AF783">
        <f t="shared" si="461"/>
        <v>0</v>
      </c>
      <c r="AG783">
        <f t="shared" si="462"/>
        <v>0</v>
      </c>
      <c r="AH783">
        <f t="shared" si="463"/>
        <v>0</v>
      </c>
      <c r="AI783">
        <f t="shared" si="464"/>
        <v>0</v>
      </c>
      <c r="AJ783">
        <f t="shared" si="465"/>
        <v>0</v>
      </c>
      <c r="AK783">
        <f t="shared" si="466"/>
        <v>3623.3699968740229</v>
      </c>
      <c r="AL783">
        <f t="shared" si="467"/>
        <v>0</v>
      </c>
      <c r="AM783">
        <f t="shared" si="468"/>
        <v>0</v>
      </c>
      <c r="AN783">
        <f t="shared" si="469"/>
        <v>0</v>
      </c>
      <c r="AO783">
        <f t="shared" si="470"/>
        <v>0</v>
      </c>
      <c r="AP783">
        <f t="shared" si="471"/>
        <v>0</v>
      </c>
      <c r="AQ783">
        <f t="shared" si="472"/>
        <v>0</v>
      </c>
    </row>
    <row r="784" spans="1:43" ht="15.5" x14ac:dyDescent="0.35">
      <c r="A784" s="51">
        <v>51</v>
      </c>
      <c r="B784" s="13" t="s">
        <v>504</v>
      </c>
      <c r="C784" s="1" t="s">
        <v>115</v>
      </c>
      <c r="D784" s="64" t="s">
        <v>80</v>
      </c>
      <c r="E784" s="19">
        <v>3091.0827329521394</v>
      </c>
      <c r="F784">
        <f t="shared" si="473"/>
        <v>0</v>
      </c>
      <c r="G784">
        <f t="shared" si="474"/>
        <v>0</v>
      </c>
      <c r="H784">
        <f t="shared" si="475"/>
        <v>3091.0827329521394</v>
      </c>
      <c r="I784">
        <f t="shared" si="476"/>
        <v>0</v>
      </c>
      <c r="J784">
        <f t="shared" si="477"/>
        <v>0</v>
      </c>
      <c r="K784">
        <f t="shared" si="478"/>
        <v>0</v>
      </c>
      <c r="L784">
        <f t="shared" si="479"/>
        <v>0</v>
      </c>
      <c r="M784">
        <f t="shared" si="480"/>
        <v>0</v>
      </c>
      <c r="N784">
        <f t="shared" si="481"/>
        <v>0</v>
      </c>
      <c r="O784">
        <f t="shared" si="482"/>
        <v>0</v>
      </c>
      <c r="P784">
        <f t="shared" si="483"/>
        <v>0</v>
      </c>
      <c r="Q784">
        <f t="shared" si="484"/>
        <v>0</v>
      </c>
      <c r="S784">
        <f t="shared" si="449"/>
        <v>1</v>
      </c>
      <c r="T784">
        <f t="shared" si="450"/>
        <v>3</v>
      </c>
      <c r="U784">
        <f t="shared" si="451"/>
        <v>1</v>
      </c>
      <c r="V784">
        <f t="shared" si="452"/>
        <v>1</v>
      </c>
      <c r="W784">
        <f t="shared" si="453"/>
        <v>0</v>
      </c>
      <c r="X784">
        <f t="shared" si="454"/>
        <v>5</v>
      </c>
      <c r="Y784">
        <f t="shared" si="455"/>
        <v>0</v>
      </c>
      <c r="Z784">
        <f t="shared" si="456"/>
        <v>1</v>
      </c>
      <c r="AA784">
        <f t="shared" si="457"/>
        <v>0</v>
      </c>
      <c r="AB784">
        <f t="shared" si="458"/>
        <v>0</v>
      </c>
      <c r="AC784">
        <f t="shared" si="459"/>
        <v>5</v>
      </c>
      <c r="AD784">
        <f t="shared" si="460"/>
        <v>0</v>
      </c>
      <c r="AF784">
        <f t="shared" si="461"/>
        <v>0</v>
      </c>
      <c r="AG784">
        <f t="shared" si="462"/>
        <v>0</v>
      </c>
      <c r="AH784">
        <f t="shared" si="463"/>
        <v>3091.0827329521394</v>
      </c>
      <c r="AI784">
        <f t="shared" si="464"/>
        <v>0</v>
      </c>
      <c r="AJ784">
        <f t="shared" si="465"/>
        <v>0</v>
      </c>
      <c r="AK784">
        <f t="shared" si="466"/>
        <v>0</v>
      </c>
      <c r="AL784">
        <f t="shared" si="467"/>
        <v>0</v>
      </c>
      <c r="AM784">
        <f t="shared" si="468"/>
        <v>0</v>
      </c>
      <c r="AN784">
        <f t="shared" si="469"/>
        <v>0</v>
      </c>
      <c r="AO784">
        <f t="shared" si="470"/>
        <v>0</v>
      </c>
      <c r="AP784">
        <f t="shared" si="471"/>
        <v>0</v>
      </c>
      <c r="AQ784">
        <f t="shared" si="472"/>
        <v>0</v>
      </c>
    </row>
    <row r="785" spans="1:43" ht="15.5" x14ac:dyDescent="0.35">
      <c r="A785" s="51">
        <v>52</v>
      </c>
      <c r="B785" s="78" t="s">
        <v>505</v>
      </c>
      <c r="C785" s="1" t="s">
        <v>117</v>
      </c>
      <c r="D785" s="1" t="s">
        <v>228</v>
      </c>
      <c r="E785" s="19">
        <v>3155.2909985358715</v>
      </c>
      <c r="F785">
        <f t="shared" si="473"/>
        <v>0</v>
      </c>
      <c r="G785">
        <f t="shared" si="474"/>
        <v>0</v>
      </c>
      <c r="H785">
        <f t="shared" si="475"/>
        <v>0</v>
      </c>
      <c r="I785">
        <f t="shared" si="476"/>
        <v>0</v>
      </c>
      <c r="J785">
        <f t="shared" si="477"/>
        <v>0</v>
      </c>
      <c r="K785">
        <f t="shared" si="478"/>
        <v>0</v>
      </c>
      <c r="L785">
        <f t="shared" si="479"/>
        <v>0</v>
      </c>
      <c r="M785">
        <f t="shared" si="480"/>
        <v>0</v>
      </c>
      <c r="N785">
        <f t="shared" si="481"/>
        <v>0</v>
      </c>
      <c r="O785">
        <f t="shared" si="482"/>
        <v>0</v>
      </c>
      <c r="P785">
        <f t="shared" si="483"/>
        <v>3155.2909985358715</v>
      </c>
      <c r="Q785">
        <f t="shared" si="484"/>
        <v>0</v>
      </c>
      <c r="S785">
        <f t="shared" si="449"/>
        <v>1</v>
      </c>
      <c r="T785">
        <f t="shared" si="450"/>
        <v>3</v>
      </c>
      <c r="U785">
        <f t="shared" si="451"/>
        <v>0</v>
      </c>
      <c r="V785">
        <f t="shared" si="452"/>
        <v>1</v>
      </c>
      <c r="W785">
        <f t="shared" si="453"/>
        <v>0</v>
      </c>
      <c r="X785">
        <f t="shared" si="454"/>
        <v>5</v>
      </c>
      <c r="Y785">
        <f t="shared" si="455"/>
        <v>0</v>
      </c>
      <c r="Z785">
        <f t="shared" si="456"/>
        <v>1</v>
      </c>
      <c r="AA785">
        <f t="shared" si="457"/>
        <v>0</v>
      </c>
      <c r="AB785">
        <f t="shared" si="458"/>
        <v>0</v>
      </c>
      <c r="AC785">
        <f t="shared" si="459"/>
        <v>5</v>
      </c>
      <c r="AD785">
        <f t="shared" si="460"/>
        <v>0</v>
      </c>
      <c r="AF785">
        <f t="shared" si="461"/>
        <v>0</v>
      </c>
      <c r="AG785">
        <f t="shared" si="462"/>
        <v>0</v>
      </c>
      <c r="AH785">
        <f t="shared" si="463"/>
        <v>0</v>
      </c>
      <c r="AI785">
        <f t="shared" si="464"/>
        <v>0</v>
      </c>
      <c r="AJ785">
        <f t="shared" si="465"/>
        <v>0</v>
      </c>
      <c r="AK785">
        <f t="shared" si="466"/>
        <v>0</v>
      </c>
      <c r="AL785">
        <f t="shared" si="467"/>
        <v>0</v>
      </c>
      <c r="AM785">
        <f t="shared" si="468"/>
        <v>0</v>
      </c>
      <c r="AN785">
        <f t="shared" si="469"/>
        <v>0</v>
      </c>
      <c r="AO785">
        <f t="shared" si="470"/>
        <v>0</v>
      </c>
      <c r="AP785">
        <f t="shared" si="471"/>
        <v>3155.2909985358715</v>
      </c>
      <c r="AQ785">
        <f t="shared" si="472"/>
        <v>0</v>
      </c>
    </row>
    <row r="786" spans="1:43" ht="15.5" x14ac:dyDescent="0.35">
      <c r="A786" s="51">
        <v>53</v>
      </c>
      <c r="B786" s="13" t="s">
        <v>505</v>
      </c>
      <c r="C786" s="1" t="s">
        <v>116</v>
      </c>
      <c r="D786" s="1" t="s">
        <v>54</v>
      </c>
      <c r="E786" s="19">
        <v>3294.8158828287064</v>
      </c>
      <c r="F786">
        <f t="shared" si="473"/>
        <v>0</v>
      </c>
      <c r="G786">
        <f t="shared" si="474"/>
        <v>0</v>
      </c>
      <c r="H786">
        <f t="shared" si="475"/>
        <v>0</v>
      </c>
      <c r="I786">
        <f t="shared" si="476"/>
        <v>0</v>
      </c>
      <c r="J786">
        <f t="shared" si="477"/>
        <v>0</v>
      </c>
      <c r="K786">
        <f t="shared" si="478"/>
        <v>3294.8158828287064</v>
      </c>
      <c r="L786">
        <f t="shared" si="479"/>
        <v>0</v>
      </c>
      <c r="M786">
        <f t="shared" si="480"/>
        <v>0</v>
      </c>
      <c r="N786">
        <f t="shared" si="481"/>
        <v>0</v>
      </c>
      <c r="O786">
        <f t="shared" si="482"/>
        <v>0</v>
      </c>
      <c r="P786">
        <f t="shared" si="483"/>
        <v>0</v>
      </c>
      <c r="Q786">
        <f t="shared" si="484"/>
        <v>0</v>
      </c>
      <c r="S786">
        <f t="shared" si="449"/>
        <v>1</v>
      </c>
      <c r="T786">
        <f t="shared" si="450"/>
        <v>3</v>
      </c>
      <c r="U786">
        <f t="shared" si="451"/>
        <v>0</v>
      </c>
      <c r="V786">
        <f t="shared" si="452"/>
        <v>1</v>
      </c>
      <c r="W786">
        <f t="shared" si="453"/>
        <v>0</v>
      </c>
      <c r="X786">
        <f t="shared" si="454"/>
        <v>5</v>
      </c>
      <c r="Y786">
        <f t="shared" si="455"/>
        <v>0</v>
      </c>
      <c r="Z786">
        <f t="shared" si="456"/>
        <v>1</v>
      </c>
      <c r="AA786">
        <f t="shared" si="457"/>
        <v>0</v>
      </c>
      <c r="AB786">
        <f t="shared" si="458"/>
        <v>0</v>
      </c>
      <c r="AC786">
        <f t="shared" si="459"/>
        <v>4</v>
      </c>
      <c r="AD786">
        <f t="shared" si="460"/>
        <v>0</v>
      </c>
      <c r="AF786">
        <f t="shared" si="461"/>
        <v>0</v>
      </c>
      <c r="AG786">
        <f t="shared" si="462"/>
        <v>0</v>
      </c>
      <c r="AH786">
        <f t="shared" si="463"/>
        <v>0</v>
      </c>
      <c r="AI786">
        <f t="shared" si="464"/>
        <v>0</v>
      </c>
      <c r="AJ786">
        <f t="shared" si="465"/>
        <v>0</v>
      </c>
      <c r="AK786">
        <f t="shared" si="466"/>
        <v>3294.8158828287064</v>
      </c>
      <c r="AL786">
        <f t="shared" si="467"/>
        <v>0</v>
      </c>
      <c r="AM786">
        <f t="shared" si="468"/>
        <v>0</v>
      </c>
      <c r="AN786">
        <f t="shared" si="469"/>
        <v>0</v>
      </c>
      <c r="AO786">
        <f t="shared" si="470"/>
        <v>0</v>
      </c>
      <c r="AP786">
        <f t="shared" si="471"/>
        <v>0</v>
      </c>
      <c r="AQ786">
        <f t="shared" si="472"/>
        <v>0</v>
      </c>
    </row>
    <row r="787" spans="1:43" ht="15.5" x14ac:dyDescent="0.35">
      <c r="A787" s="51">
        <v>54</v>
      </c>
      <c r="B787" s="13" t="s">
        <v>506</v>
      </c>
      <c r="C787" s="1" t="s">
        <v>121</v>
      </c>
      <c r="D787" s="7" t="s">
        <v>227</v>
      </c>
      <c r="E787" s="70">
        <v>2548.5716925294055</v>
      </c>
      <c r="F787">
        <f t="shared" si="473"/>
        <v>0</v>
      </c>
      <c r="G787">
        <f t="shared" si="474"/>
        <v>2548.5716925294055</v>
      </c>
      <c r="H787">
        <f t="shared" si="475"/>
        <v>0</v>
      </c>
      <c r="I787">
        <f t="shared" si="476"/>
        <v>0</v>
      </c>
      <c r="J787">
        <f t="shared" si="477"/>
        <v>0</v>
      </c>
      <c r="K787">
        <f t="shared" si="478"/>
        <v>0</v>
      </c>
      <c r="L787">
        <f t="shared" si="479"/>
        <v>0</v>
      </c>
      <c r="M787">
        <f t="shared" si="480"/>
        <v>0</v>
      </c>
      <c r="N787">
        <f t="shared" si="481"/>
        <v>0</v>
      </c>
      <c r="O787">
        <f t="shared" si="482"/>
        <v>0</v>
      </c>
      <c r="P787">
        <f t="shared" si="483"/>
        <v>0</v>
      </c>
      <c r="Q787">
        <f t="shared" si="484"/>
        <v>0</v>
      </c>
      <c r="S787">
        <f t="shared" si="449"/>
        <v>1</v>
      </c>
      <c r="T787">
        <f t="shared" si="450"/>
        <v>3</v>
      </c>
      <c r="U787">
        <f t="shared" si="451"/>
        <v>0</v>
      </c>
      <c r="V787">
        <f t="shared" si="452"/>
        <v>1</v>
      </c>
      <c r="W787">
        <f t="shared" si="453"/>
        <v>0</v>
      </c>
      <c r="X787">
        <f t="shared" si="454"/>
        <v>4</v>
      </c>
      <c r="Y787">
        <f t="shared" si="455"/>
        <v>0</v>
      </c>
      <c r="Z787">
        <f t="shared" si="456"/>
        <v>1</v>
      </c>
      <c r="AA787">
        <f t="shared" si="457"/>
        <v>0</v>
      </c>
      <c r="AB787">
        <f t="shared" si="458"/>
        <v>0</v>
      </c>
      <c r="AC787">
        <f t="shared" si="459"/>
        <v>4</v>
      </c>
      <c r="AD787">
        <f t="shared" si="460"/>
        <v>0</v>
      </c>
      <c r="AF787">
        <f t="shared" si="461"/>
        <v>0</v>
      </c>
      <c r="AG787">
        <f t="shared" si="462"/>
        <v>2548.5716925294055</v>
      </c>
      <c r="AH787">
        <f t="shared" si="463"/>
        <v>0</v>
      </c>
      <c r="AI787">
        <f t="shared" si="464"/>
        <v>0</v>
      </c>
      <c r="AJ787">
        <f t="shared" si="465"/>
        <v>0</v>
      </c>
      <c r="AK787">
        <f t="shared" si="466"/>
        <v>0</v>
      </c>
      <c r="AL787">
        <f t="shared" si="467"/>
        <v>0</v>
      </c>
      <c r="AM787">
        <f t="shared" si="468"/>
        <v>0</v>
      </c>
      <c r="AN787">
        <f t="shared" si="469"/>
        <v>0</v>
      </c>
      <c r="AO787">
        <f t="shared" si="470"/>
        <v>0</v>
      </c>
      <c r="AP787">
        <f t="shared" si="471"/>
        <v>0</v>
      </c>
      <c r="AQ787">
        <f t="shared" si="472"/>
        <v>0</v>
      </c>
    </row>
    <row r="788" spans="1:43" ht="15.5" x14ac:dyDescent="0.35">
      <c r="A788" s="51">
        <v>55</v>
      </c>
      <c r="B788" s="13" t="s">
        <v>506</v>
      </c>
      <c r="C788" s="1" t="s">
        <v>118</v>
      </c>
      <c r="D788" s="1" t="s">
        <v>228</v>
      </c>
      <c r="E788" s="19">
        <v>3208.511734043002</v>
      </c>
      <c r="F788">
        <f t="shared" si="473"/>
        <v>0</v>
      </c>
      <c r="G788">
        <f t="shared" si="474"/>
        <v>0</v>
      </c>
      <c r="H788">
        <f t="shared" si="475"/>
        <v>0</v>
      </c>
      <c r="I788">
        <f t="shared" si="476"/>
        <v>0</v>
      </c>
      <c r="J788">
        <f t="shared" si="477"/>
        <v>0</v>
      </c>
      <c r="K788">
        <f t="shared" si="478"/>
        <v>0</v>
      </c>
      <c r="L788">
        <f t="shared" si="479"/>
        <v>0</v>
      </c>
      <c r="M788">
        <f t="shared" si="480"/>
        <v>0</v>
      </c>
      <c r="N788">
        <f t="shared" si="481"/>
        <v>0</v>
      </c>
      <c r="O788">
        <f t="shared" si="482"/>
        <v>0</v>
      </c>
      <c r="P788">
        <f t="shared" si="483"/>
        <v>3208.511734043002</v>
      </c>
      <c r="Q788">
        <f t="shared" si="484"/>
        <v>0</v>
      </c>
      <c r="S788">
        <f t="shared" si="449"/>
        <v>1</v>
      </c>
      <c r="T788">
        <f t="shared" si="450"/>
        <v>2</v>
      </c>
      <c r="U788">
        <f t="shared" si="451"/>
        <v>0</v>
      </c>
      <c r="V788">
        <f t="shared" si="452"/>
        <v>1</v>
      </c>
      <c r="W788">
        <f t="shared" si="453"/>
        <v>0</v>
      </c>
      <c r="X788">
        <f t="shared" si="454"/>
        <v>4</v>
      </c>
      <c r="Y788">
        <f t="shared" si="455"/>
        <v>0</v>
      </c>
      <c r="Z788">
        <f t="shared" si="456"/>
        <v>1</v>
      </c>
      <c r="AA788">
        <f t="shared" si="457"/>
        <v>0</v>
      </c>
      <c r="AB788">
        <f t="shared" si="458"/>
        <v>0</v>
      </c>
      <c r="AC788">
        <f t="shared" si="459"/>
        <v>4</v>
      </c>
      <c r="AD788">
        <f t="shared" si="460"/>
        <v>0</v>
      </c>
      <c r="AF788">
        <f t="shared" si="461"/>
        <v>0</v>
      </c>
      <c r="AG788">
        <f t="shared" si="462"/>
        <v>0</v>
      </c>
      <c r="AH788">
        <f t="shared" si="463"/>
        <v>0</v>
      </c>
      <c r="AI788">
        <f t="shared" si="464"/>
        <v>0</v>
      </c>
      <c r="AJ788">
        <f t="shared" si="465"/>
        <v>0</v>
      </c>
      <c r="AK788">
        <f t="shared" si="466"/>
        <v>0</v>
      </c>
      <c r="AL788">
        <f t="shared" si="467"/>
        <v>0</v>
      </c>
      <c r="AM788">
        <f t="shared" si="468"/>
        <v>0</v>
      </c>
      <c r="AN788">
        <f t="shared" si="469"/>
        <v>0</v>
      </c>
      <c r="AO788">
        <f t="shared" si="470"/>
        <v>0</v>
      </c>
      <c r="AP788">
        <f t="shared" si="471"/>
        <v>3208.511734043002</v>
      </c>
      <c r="AQ788">
        <f t="shared" si="472"/>
        <v>0</v>
      </c>
    </row>
    <row r="789" spans="1:43" ht="15.5" x14ac:dyDescent="0.35">
      <c r="A789" s="51">
        <v>56</v>
      </c>
      <c r="B789" s="13" t="s">
        <v>507</v>
      </c>
      <c r="C789" s="1" t="s">
        <v>428</v>
      </c>
      <c r="D789" s="1" t="s">
        <v>57</v>
      </c>
      <c r="E789" s="19">
        <v>2900.8780479155675</v>
      </c>
      <c r="F789">
        <f t="shared" si="473"/>
        <v>0</v>
      </c>
      <c r="G789">
        <f t="shared" si="474"/>
        <v>0</v>
      </c>
      <c r="H789">
        <f t="shared" si="475"/>
        <v>0</v>
      </c>
      <c r="I789">
        <f t="shared" si="476"/>
        <v>0</v>
      </c>
      <c r="J789">
        <f t="shared" si="477"/>
        <v>0</v>
      </c>
      <c r="K789">
        <f t="shared" si="478"/>
        <v>0</v>
      </c>
      <c r="L789">
        <f t="shared" si="479"/>
        <v>0</v>
      </c>
      <c r="M789">
        <f t="shared" si="480"/>
        <v>2900.8780479155675</v>
      </c>
      <c r="N789">
        <f t="shared" si="481"/>
        <v>0</v>
      </c>
      <c r="O789">
        <f t="shared" si="482"/>
        <v>0</v>
      </c>
      <c r="P789">
        <f t="shared" si="483"/>
        <v>0</v>
      </c>
      <c r="Q789">
        <f t="shared" si="484"/>
        <v>0</v>
      </c>
      <c r="S789">
        <f t="shared" si="449"/>
        <v>1</v>
      </c>
      <c r="T789">
        <f t="shared" si="450"/>
        <v>2</v>
      </c>
      <c r="U789">
        <f t="shared" si="451"/>
        <v>0</v>
      </c>
      <c r="V789">
        <f t="shared" si="452"/>
        <v>1</v>
      </c>
      <c r="W789">
        <f t="shared" si="453"/>
        <v>0</v>
      </c>
      <c r="X789">
        <f t="shared" si="454"/>
        <v>4</v>
      </c>
      <c r="Y789">
        <f t="shared" si="455"/>
        <v>0</v>
      </c>
      <c r="Z789">
        <f t="shared" si="456"/>
        <v>1</v>
      </c>
      <c r="AA789">
        <f t="shared" si="457"/>
        <v>0</v>
      </c>
      <c r="AB789">
        <f t="shared" si="458"/>
        <v>0</v>
      </c>
      <c r="AC789">
        <f t="shared" si="459"/>
        <v>3</v>
      </c>
      <c r="AD789">
        <f t="shared" si="460"/>
        <v>0</v>
      </c>
      <c r="AF789">
        <f t="shared" si="461"/>
        <v>0</v>
      </c>
      <c r="AG789">
        <f t="shared" si="462"/>
        <v>0</v>
      </c>
      <c r="AH789">
        <f t="shared" si="463"/>
        <v>0</v>
      </c>
      <c r="AI789">
        <f t="shared" si="464"/>
        <v>0</v>
      </c>
      <c r="AJ789">
        <f t="shared" si="465"/>
        <v>0</v>
      </c>
      <c r="AK789">
        <f t="shared" si="466"/>
        <v>0</v>
      </c>
      <c r="AL789">
        <f t="shared" si="467"/>
        <v>0</v>
      </c>
      <c r="AM789">
        <f t="shared" si="468"/>
        <v>2900.8780479155675</v>
      </c>
      <c r="AN789">
        <f t="shared" si="469"/>
        <v>0</v>
      </c>
      <c r="AO789">
        <f t="shared" si="470"/>
        <v>0</v>
      </c>
      <c r="AP789">
        <f t="shared" si="471"/>
        <v>0</v>
      </c>
      <c r="AQ789">
        <f t="shared" si="472"/>
        <v>0</v>
      </c>
    </row>
    <row r="790" spans="1:43" ht="15.5" x14ac:dyDescent="0.35">
      <c r="A790" s="51">
        <v>57</v>
      </c>
      <c r="B790" s="13" t="s">
        <v>507</v>
      </c>
      <c r="C790" s="1" t="s">
        <v>122</v>
      </c>
      <c r="D790" s="1" t="s">
        <v>54</v>
      </c>
      <c r="E790" s="19">
        <v>2991.2317112085161</v>
      </c>
      <c r="F790">
        <f t="shared" si="473"/>
        <v>0</v>
      </c>
      <c r="G790">
        <f t="shared" si="474"/>
        <v>0</v>
      </c>
      <c r="H790">
        <f t="shared" si="475"/>
        <v>0</v>
      </c>
      <c r="I790">
        <f t="shared" si="476"/>
        <v>0</v>
      </c>
      <c r="J790">
        <f t="shared" si="477"/>
        <v>0</v>
      </c>
      <c r="K790">
        <f t="shared" si="478"/>
        <v>2991.2317112085161</v>
      </c>
      <c r="L790">
        <f t="shared" si="479"/>
        <v>0</v>
      </c>
      <c r="M790">
        <f t="shared" si="480"/>
        <v>0</v>
      </c>
      <c r="N790">
        <f t="shared" si="481"/>
        <v>0</v>
      </c>
      <c r="O790">
        <f t="shared" si="482"/>
        <v>0</v>
      </c>
      <c r="P790">
        <f t="shared" si="483"/>
        <v>0</v>
      </c>
      <c r="Q790">
        <f t="shared" si="484"/>
        <v>0</v>
      </c>
      <c r="S790">
        <f t="shared" si="449"/>
        <v>1</v>
      </c>
      <c r="T790">
        <f t="shared" si="450"/>
        <v>2</v>
      </c>
      <c r="U790">
        <f t="shared" si="451"/>
        <v>0</v>
      </c>
      <c r="V790">
        <f t="shared" si="452"/>
        <v>1</v>
      </c>
      <c r="W790">
        <f t="shared" si="453"/>
        <v>0</v>
      </c>
      <c r="X790">
        <f t="shared" si="454"/>
        <v>4</v>
      </c>
      <c r="Y790">
        <f t="shared" si="455"/>
        <v>0</v>
      </c>
      <c r="Z790">
        <f t="shared" si="456"/>
        <v>0</v>
      </c>
      <c r="AA790">
        <f t="shared" si="457"/>
        <v>0</v>
      </c>
      <c r="AB790">
        <f t="shared" si="458"/>
        <v>0</v>
      </c>
      <c r="AC790">
        <f t="shared" si="459"/>
        <v>3</v>
      </c>
      <c r="AD790">
        <f t="shared" si="460"/>
        <v>0</v>
      </c>
      <c r="AF790">
        <f t="shared" si="461"/>
        <v>0</v>
      </c>
      <c r="AG790">
        <f t="shared" si="462"/>
        <v>0</v>
      </c>
      <c r="AH790">
        <f t="shared" si="463"/>
        <v>0</v>
      </c>
      <c r="AI790">
        <f t="shared" si="464"/>
        <v>0</v>
      </c>
      <c r="AJ790">
        <f t="shared" si="465"/>
        <v>0</v>
      </c>
      <c r="AK790">
        <f t="shared" si="466"/>
        <v>2991.2317112085161</v>
      </c>
      <c r="AL790">
        <f t="shared" si="467"/>
        <v>0</v>
      </c>
      <c r="AM790">
        <f t="shared" si="468"/>
        <v>0</v>
      </c>
      <c r="AN790">
        <f t="shared" si="469"/>
        <v>0</v>
      </c>
      <c r="AO790">
        <f t="shared" si="470"/>
        <v>0</v>
      </c>
      <c r="AP790">
        <f t="shared" si="471"/>
        <v>0</v>
      </c>
      <c r="AQ790">
        <f t="shared" si="472"/>
        <v>0</v>
      </c>
    </row>
    <row r="791" spans="1:43" ht="15.5" x14ac:dyDescent="0.35">
      <c r="A791" s="51">
        <v>58</v>
      </c>
      <c r="B791" s="13" t="s">
        <v>507</v>
      </c>
      <c r="C791" s="1" t="s">
        <v>124</v>
      </c>
      <c r="D791" s="1" t="s">
        <v>228</v>
      </c>
      <c r="E791" s="19">
        <v>3223.4260425173647</v>
      </c>
      <c r="F791">
        <f t="shared" si="473"/>
        <v>0</v>
      </c>
      <c r="G791">
        <f t="shared" si="474"/>
        <v>0</v>
      </c>
      <c r="H791">
        <f t="shared" si="475"/>
        <v>0</v>
      </c>
      <c r="I791">
        <f t="shared" si="476"/>
        <v>0</v>
      </c>
      <c r="J791">
        <f t="shared" si="477"/>
        <v>0</v>
      </c>
      <c r="K791">
        <f t="shared" si="478"/>
        <v>0</v>
      </c>
      <c r="L791">
        <f t="shared" si="479"/>
        <v>0</v>
      </c>
      <c r="M791">
        <f t="shared" si="480"/>
        <v>0</v>
      </c>
      <c r="N791">
        <f t="shared" si="481"/>
        <v>0</v>
      </c>
      <c r="O791">
        <f t="shared" si="482"/>
        <v>0</v>
      </c>
      <c r="P791">
        <f t="shared" si="483"/>
        <v>3223.4260425173647</v>
      </c>
      <c r="Q791">
        <f t="shared" si="484"/>
        <v>0</v>
      </c>
      <c r="S791">
        <f t="shared" si="449"/>
        <v>1</v>
      </c>
      <c r="T791">
        <f t="shared" si="450"/>
        <v>2</v>
      </c>
      <c r="U791">
        <f t="shared" si="451"/>
        <v>0</v>
      </c>
      <c r="V791">
        <f t="shared" si="452"/>
        <v>1</v>
      </c>
      <c r="W791">
        <f t="shared" si="453"/>
        <v>0</v>
      </c>
      <c r="X791">
        <f t="shared" si="454"/>
        <v>3</v>
      </c>
      <c r="Y791">
        <f t="shared" si="455"/>
        <v>0</v>
      </c>
      <c r="Z791">
        <f t="shared" si="456"/>
        <v>0</v>
      </c>
      <c r="AA791">
        <f t="shared" si="457"/>
        <v>0</v>
      </c>
      <c r="AB791">
        <f t="shared" si="458"/>
        <v>0</v>
      </c>
      <c r="AC791">
        <f t="shared" si="459"/>
        <v>3</v>
      </c>
      <c r="AD791">
        <f t="shared" si="460"/>
        <v>0</v>
      </c>
      <c r="AF791">
        <f t="shared" si="461"/>
        <v>0</v>
      </c>
      <c r="AG791">
        <f t="shared" si="462"/>
        <v>0</v>
      </c>
      <c r="AH791">
        <f t="shared" si="463"/>
        <v>0</v>
      </c>
      <c r="AI791">
        <f t="shared" si="464"/>
        <v>0</v>
      </c>
      <c r="AJ791">
        <f t="shared" si="465"/>
        <v>0</v>
      </c>
      <c r="AK791">
        <f t="shared" si="466"/>
        <v>0</v>
      </c>
      <c r="AL791">
        <f t="shared" si="467"/>
        <v>0</v>
      </c>
      <c r="AM791">
        <f t="shared" si="468"/>
        <v>0</v>
      </c>
      <c r="AN791">
        <f t="shared" si="469"/>
        <v>0</v>
      </c>
      <c r="AO791">
        <f t="shared" si="470"/>
        <v>0</v>
      </c>
      <c r="AP791">
        <f t="shared" si="471"/>
        <v>3223.4260425173647</v>
      </c>
      <c r="AQ791">
        <f t="shared" si="472"/>
        <v>0</v>
      </c>
    </row>
    <row r="792" spans="1:43" ht="15.5" x14ac:dyDescent="0.35">
      <c r="A792" s="51">
        <v>59</v>
      </c>
      <c r="B792" s="13" t="s">
        <v>508</v>
      </c>
      <c r="C792" s="1" t="s">
        <v>126</v>
      </c>
      <c r="D792" s="1" t="s">
        <v>54</v>
      </c>
      <c r="E792" s="19">
        <v>3416.7243275383798</v>
      </c>
      <c r="F792">
        <f t="shared" si="473"/>
        <v>0</v>
      </c>
      <c r="G792">
        <f t="shared" si="474"/>
        <v>0</v>
      </c>
      <c r="H792">
        <f t="shared" si="475"/>
        <v>0</v>
      </c>
      <c r="I792">
        <f t="shared" si="476"/>
        <v>0</v>
      </c>
      <c r="J792">
        <f t="shared" si="477"/>
        <v>0</v>
      </c>
      <c r="K792">
        <f t="shared" si="478"/>
        <v>3416.7243275383798</v>
      </c>
      <c r="L792">
        <f t="shared" si="479"/>
        <v>0</v>
      </c>
      <c r="M792">
        <f t="shared" si="480"/>
        <v>0</v>
      </c>
      <c r="N792">
        <f t="shared" si="481"/>
        <v>0</v>
      </c>
      <c r="O792">
        <f t="shared" si="482"/>
        <v>0</v>
      </c>
      <c r="P792">
        <f t="shared" si="483"/>
        <v>0</v>
      </c>
      <c r="Q792">
        <f t="shared" si="484"/>
        <v>0</v>
      </c>
      <c r="S792">
        <f t="shared" si="449"/>
        <v>1</v>
      </c>
      <c r="T792">
        <f t="shared" si="450"/>
        <v>2</v>
      </c>
      <c r="U792">
        <f t="shared" si="451"/>
        <v>0</v>
      </c>
      <c r="V792">
        <f t="shared" si="452"/>
        <v>1</v>
      </c>
      <c r="W792">
        <f t="shared" si="453"/>
        <v>0</v>
      </c>
      <c r="X792">
        <f t="shared" si="454"/>
        <v>3</v>
      </c>
      <c r="Y792">
        <f t="shared" si="455"/>
        <v>0</v>
      </c>
      <c r="Z792">
        <f t="shared" si="456"/>
        <v>0</v>
      </c>
      <c r="AA792">
        <f t="shared" si="457"/>
        <v>0</v>
      </c>
      <c r="AB792">
        <f t="shared" si="458"/>
        <v>0</v>
      </c>
      <c r="AC792">
        <f t="shared" si="459"/>
        <v>2</v>
      </c>
      <c r="AD792">
        <f t="shared" si="460"/>
        <v>0</v>
      </c>
      <c r="AF792">
        <f t="shared" si="461"/>
        <v>0</v>
      </c>
      <c r="AG792">
        <f t="shared" si="462"/>
        <v>0</v>
      </c>
      <c r="AH792">
        <f t="shared" si="463"/>
        <v>0</v>
      </c>
      <c r="AI792">
        <f t="shared" si="464"/>
        <v>0</v>
      </c>
      <c r="AJ792">
        <f t="shared" si="465"/>
        <v>0</v>
      </c>
      <c r="AK792">
        <f t="shared" si="466"/>
        <v>3416.7243275383798</v>
      </c>
      <c r="AL792">
        <f t="shared" si="467"/>
        <v>0</v>
      </c>
      <c r="AM792">
        <f t="shared" si="468"/>
        <v>0</v>
      </c>
      <c r="AN792">
        <f t="shared" si="469"/>
        <v>0</v>
      </c>
      <c r="AO792">
        <f t="shared" si="470"/>
        <v>0</v>
      </c>
      <c r="AP792">
        <f t="shared" si="471"/>
        <v>0</v>
      </c>
      <c r="AQ792">
        <f t="shared" si="472"/>
        <v>0</v>
      </c>
    </row>
    <row r="793" spans="1:43" ht="15.5" x14ac:dyDescent="0.35">
      <c r="A793" s="51">
        <v>60</v>
      </c>
      <c r="B793" s="13" t="s">
        <v>508</v>
      </c>
      <c r="C793" s="1" t="s">
        <v>509</v>
      </c>
      <c r="D793" s="1" t="s">
        <v>76</v>
      </c>
      <c r="E793" s="70">
        <v>2434.571749201009</v>
      </c>
      <c r="F793">
        <f t="shared" si="473"/>
        <v>2434.571749201009</v>
      </c>
      <c r="G793">
        <f t="shared" si="474"/>
        <v>0</v>
      </c>
      <c r="H793">
        <f t="shared" si="475"/>
        <v>0</v>
      </c>
      <c r="I793">
        <f t="shared" si="476"/>
        <v>0</v>
      </c>
      <c r="J793">
        <f t="shared" si="477"/>
        <v>0</v>
      </c>
      <c r="K793">
        <f t="shared" si="478"/>
        <v>0</v>
      </c>
      <c r="L793">
        <f t="shared" si="479"/>
        <v>0</v>
      </c>
      <c r="M793">
        <f t="shared" si="480"/>
        <v>0</v>
      </c>
      <c r="N793">
        <f t="shared" si="481"/>
        <v>0</v>
      </c>
      <c r="O793">
        <f t="shared" si="482"/>
        <v>0</v>
      </c>
      <c r="P793">
        <f t="shared" si="483"/>
        <v>0</v>
      </c>
      <c r="Q793">
        <f t="shared" si="484"/>
        <v>0</v>
      </c>
      <c r="S793">
        <f t="shared" si="449"/>
        <v>1</v>
      </c>
      <c r="T793">
        <f t="shared" si="450"/>
        <v>2</v>
      </c>
      <c r="U793">
        <f t="shared" si="451"/>
        <v>0</v>
      </c>
      <c r="V793">
        <f t="shared" si="452"/>
        <v>1</v>
      </c>
      <c r="W793">
        <f t="shared" si="453"/>
        <v>0</v>
      </c>
      <c r="X793">
        <f t="shared" si="454"/>
        <v>2</v>
      </c>
      <c r="Y793">
        <f t="shared" si="455"/>
        <v>0</v>
      </c>
      <c r="Z793">
        <f t="shared" si="456"/>
        <v>0</v>
      </c>
      <c r="AA793">
        <f t="shared" si="457"/>
        <v>0</v>
      </c>
      <c r="AB793">
        <f t="shared" si="458"/>
        <v>0</v>
      </c>
      <c r="AC793">
        <f t="shared" si="459"/>
        <v>2</v>
      </c>
      <c r="AD793">
        <f t="shared" si="460"/>
        <v>0</v>
      </c>
      <c r="AF793">
        <f t="shared" si="461"/>
        <v>2434.571749201009</v>
      </c>
      <c r="AG793">
        <f t="shared" si="462"/>
        <v>0</v>
      </c>
      <c r="AH793">
        <f t="shared" si="463"/>
        <v>0</v>
      </c>
      <c r="AI793">
        <f t="shared" si="464"/>
        <v>0</v>
      </c>
      <c r="AJ793">
        <f t="shared" si="465"/>
        <v>0</v>
      </c>
      <c r="AK793">
        <f t="shared" si="466"/>
        <v>0</v>
      </c>
      <c r="AL793">
        <f t="shared" si="467"/>
        <v>0</v>
      </c>
      <c r="AM793">
        <f t="shared" si="468"/>
        <v>0</v>
      </c>
      <c r="AN793">
        <f t="shared" si="469"/>
        <v>0</v>
      </c>
      <c r="AO793">
        <f t="shared" si="470"/>
        <v>0</v>
      </c>
      <c r="AP793">
        <f t="shared" si="471"/>
        <v>0</v>
      </c>
      <c r="AQ793">
        <f t="shared" si="472"/>
        <v>0</v>
      </c>
    </row>
    <row r="794" spans="1:43" ht="15.5" x14ac:dyDescent="0.35">
      <c r="A794" s="51">
        <v>61</v>
      </c>
      <c r="B794" s="13" t="s">
        <v>508</v>
      </c>
      <c r="C794" s="1" t="s">
        <v>128</v>
      </c>
      <c r="D794" s="1" t="s">
        <v>227</v>
      </c>
      <c r="E794" s="70">
        <v>2373.696733121285</v>
      </c>
      <c r="F794">
        <f t="shared" si="473"/>
        <v>0</v>
      </c>
      <c r="G794">
        <f t="shared" si="474"/>
        <v>2373.696733121285</v>
      </c>
      <c r="H794">
        <f t="shared" si="475"/>
        <v>0</v>
      </c>
      <c r="I794">
        <f t="shared" si="476"/>
        <v>0</v>
      </c>
      <c r="J794">
        <f t="shared" si="477"/>
        <v>0</v>
      </c>
      <c r="K794">
        <f t="shared" si="478"/>
        <v>0</v>
      </c>
      <c r="L794">
        <f t="shared" si="479"/>
        <v>0</v>
      </c>
      <c r="M794">
        <f t="shared" si="480"/>
        <v>0</v>
      </c>
      <c r="N794">
        <f t="shared" si="481"/>
        <v>0</v>
      </c>
      <c r="O794">
        <f t="shared" si="482"/>
        <v>0</v>
      </c>
      <c r="P794">
        <f t="shared" si="483"/>
        <v>0</v>
      </c>
      <c r="Q794">
        <f t="shared" si="484"/>
        <v>0</v>
      </c>
      <c r="S794">
        <f t="shared" si="449"/>
        <v>0</v>
      </c>
      <c r="T794">
        <f t="shared" si="450"/>
        <v>2</v>
      </c>
      <c r="U794">
        <f t="shared" si="451"/>
        <v>0</v>
      </c>
      <c r="V794">
        <f t="shared" si="452"/>
        <v>1</v>
      </c>
      <c r="W794">
        <f t="shared" si="453"/>
        <v>0</v>
      </c>
      <c r="X794">
        <f t="shared" si="454"/>
        <v>2</v>
      </c>
      <c r="Y794">
        <f t="shared" si="455"/>
        <v>0</v>
      </c>
      <c r="Z794">
        <f t="shared" si="456"/>
        <v>0</v>
      </c>
      <c r="AA794">
        <f t="shared" si="457"/>
        <v>0</v>
      </c>
      <c r="AB794">
        <f t="shared" si="458"/>
        <v>0</v>
      </c>
      <c r="AC794">
        <f t="shared" si="459"/>
        <v>2</v>
      </c>
      <c r="AD794">
        <f t="shared" si="460"/>
        <v>0</v>
      </c>
      <c r="AF794">
        <f t="shared" si="461"/>
        <v>0</v>
      </c>
      <c r="AG794">
        <f t="shared" si="462"/>
        <v>2373.696733121285</v>
      </c>
      <c r="AH794">
        <f t="shared" si="463"/>
        <v>0</v>
      </c>
      <c r="AI794">
        <f t="shared" si="464"/>
        <v>0</v>
      </c>
      <c r="AJ794">
        <f t="shared" si="465"/>
        <v>0</v>
      </c>
      <c r="AK794">
        <f t="shared" si="466"/>
        <v>0</v>
      </c>
      <c r="AL794">
        <f t="shared" si="467"/>
        <v>0</v>
      </c>
      <c r="AM794">
        <f t="shared" si="468"/>
        <v>0</v>
      </c>
      <c r="AN794">
        <f t="shared" si="469"/>
        <v>0</v>
      </c>
      <c r="AO794">
        <f t="shared" si="470"/>
        <v>0</v>
      </c>
      <c r="AP794">
        <f t="shared" si="471"/>
        <v>0</v>
      </c>
      <c r="AQ794">
        <f t="shared" si="472"/>
        <v>0</v>
      </c>
    </row>
    <row r="795" spans="1:43" ht="15.5" x14ac:dyDescent="0.35">
      <c r="A795" s="51">
        <v>62</v>
      </c>
      <c r="B795" s="13" t="s">
        <v>508</v>
      </c>
      <c r="C795" s="1" t="s">
        <v>130</v>
      </c>
      <c r="D795" s="1" t="s">
        <v>228</v>
      </c>
      <c r="E795" s="19">
        <v>2927.5554110889007</v>
      </c>
      <c r="F795">
        <f t="shared" si="473"/>
        <v>0</v>
      </c>
      <c r="G795">
        <f t="shared" si="474"/>
        <v>0</v>
      </c>
      <c r="H795">
        <f t="shared" si="475"/>
        <v>0</v>
      </c>
      <c r="I795">
        <f t="shared" si="476"/>
        <v>0</v>
      </c>
      <c r="J795">
        <f t="shared" si="477"/>
        <v>0</v>
      </c>
      <c r="K795">
        <f t="shared" si="478"/>
        <v>0</v>
      </c>
      <c r="L795">
        <f t="shared" si="479"/>
        <v>0</v>
      </c>
      <c r="M795">
        <f t="shared" si="480"/>
        <v>0</v>
      </c>
      <c r="N795">
        <f t="shared" si="481"/>
        <v>0</v>
      </c>
      <c r="O795">
        <f t="shared" si="482"/>
        <v>0</v>
      </c>
      <c r="P795">
        <f t="shared" si="483"/>
        <v>2927.5554110889007</v>
      </c>
      <c r="Q795">
        <f t="shared" si="484"/>
        <v>0</v>
      </c>
      <c r="S795">
        <f t="shared" si="449"/>
        <v>0</v>
      </c>
      <c r="T795">
        <f t="shared" si="450"/>
        <v>1</v>
      </c>
      <c r="U795">
        <f t="shared" si="451"/>
        <v>0</v>
      </c>
      <c r="V795">
        <f t="shared" si="452"/>
        <v>1</v>
      </c>
      <c r="W795">
        <f t="shared" si="453"/>
        <v>0</v>
      </c>
      <c r="X795">
        <f t="shared" si="454"/>
        <v>2</v>
      </c>
      <c r="Y795">
        <f t="shared" si="455"/>
        <v>0</v>
      </c>
      <c r="Z795">
        <f t="shared" si="456"/>
        <v>0</v>
      </c>
      <c r="AA795">
        <f t="shared" si="457"/>
        <v>0</v>
      </c>
      <c r="AB795">
        <f t="shared" si="458"/>
        <v>0</v>
      </c>
      <c r="AC795">
        <f t="shared" si="459"/>
        <v>2</v>
      </c>
      <c r="AD795">
        <f t="shared" si="460"/>
        <v>0</v>
      </c>
      <c r="AF795">
        <f t="shared" si="461"/>
        <v>0</v>
      </c>
      <c r="AG795">
        <f t="shared" si="462"/>
        <v>0</v>
      </c>
      <c r="AH795">
        <f t="shared" si="463"/>
        <v>0</v>
      </c>
      <c r="AI795">
        <f t="shared" si="464"/>
        <v>0</v>
      </c>
      <c r="AJ795">
        <f t="shared" si="465"/>
        <v>0</v>
      </c>
      <c r="AK795">
        <f t="shared" si="466"/>
        <v>0</v>
      </c>
      <c r="AL795">
        <f t="shared" si="467"/>
        <v>0</v>
      </c>
      <c r="AM795">
        <f t="shared" si="468"/>
        <v>0</v>
      </c>
      <c r="AN795">
        <f t="shared" si="469"/>
        <v>0</v>
      </c>
      <c r="AO795">
        <f t="shared" si="470"/>
        <v>0</v>
      </c>
      <c r="AP795">
        <f t="shared" si="471"/>
        <v>2927.5554110889007</v>
      </c>
      <c r="AQ795">
        <f t="shared" si="472"/>
        <v>0</v>
      </c>
    </row>
    <row r="796" spans="1:43" ht="15.5" x14ac:dyDescent="0.35">
      <c r="A796" s="51">
        <v>63</v>
      </c>
      <c r="B796" s="13" t="s">
        <v>508</v>
      </c>
      <c r="C796" s="1" t="s">
        <v>129</v>
      </c>
      <c r="D796" s="1" t="s">
        <v>67</v>
      </c>
      <c r="E796" s="70">
        <v>2765.9725682101043</v>
      </c>
      <c r="F796">
        <f t="shared" si="473"/>
        <v>0</v>
      </c>
      <c r="G796">
        <f t="shared" si="474"/>
        <v>0</v>
      </c>
      <c r="H796">
        <f t="shared" si="475"/>
        <v>0</v>
      </c>
      <c r="I796">
        <f t="shared" si="476"/>
        <v>2765.9725682101043</v>
      </c>
      <c r="J796">
        <f t="shared" si="477"/>
        <v>0</v>
      </c>
      <c r="K796">
        <f t="shared" si="478"/>
        <v>0</v>
      </c>
      <c r="L796">
        <f t="shared" si="479"/>
        <v>0</v>
      </c>
      <c r="M796">
        <f t="shared" si="480"/>
        <v>0</v>
      </c>
      <c r="N796">
        <f t="shared" si="481"/>
        <v>0</v>
      </c>
      <c r="O796">
        <f t="shared" si="482"/>
        <v>0</v>
      </c>
      <c r="P796">
        <f t="shared" si="483"/>
        <v>0</v>
      </c>
      <c r="Q796">
        <f t="shared" si="484"/>
        <v>0</v>
      </c>
      <c r="S796">
        <f t="shared" si="449"/>
        <v>0</v>
      </c>
      <c r="T796">
        <f t="shared" si="450"/>
        <v>1</v>
      </c>
      <c r="U796">
        <f t="shared" si="451"/>
        <v>0</v>
      </c>
      <c r="V796">
        <f t="shared" si="452"/>
        <v>1</v>
      </c>
      <c r="W796">
        <f t="shared" si="453"/>
        <v>0</v>
      </c>
      <c r="X796">
        <f t="shared" si="454"/>
        <v>2</v>
      </c>
      <c r="Y796">
        <f t="shared" si="455"/>
        <v>0</v>
      </c>
      <c r="Z796">
        <f t="shared" si="456"/>
        <v>0</v>
      </c>
      <c r="AA796">
        <f t="shared" si="457"/>
        <v>0</v>
      </c>
      <c r="AB796">
        <f t="shared" si="458"/>
        <v>0</v>
      </c>
      <c r="AC796">
        <f t="shared" si="459"/>
        <v>1</v>
      </c>
      <c r="AD796">
        <f t="shared" si="460"/>
        <v>0</v>
      </c>
      <c r="AF796">
        <f t="shared" si="461"/>
        <v>0</v>
      </c>
      <c r="AG796">
        <f t="shared" si="462"/>
        <v>0</v>
      </c>
      <c r="AH796">
        <f t="shared" si="463"/>
        <v>0</v>
      </c>
      <c r="AI796">
        <f t="shared" si="464"/>
        <v>2765.9725682101043</v>
      </c>
      <c r="AJ796">
        <f t="shared" si="465"/>
        <v>0</v>
      </c>
      <c r="AK796">
        <f t="shared" si="466"/>
        <v>0</v>
      </c>
      <c r="AL796">
        <f t="shared" si="467"/>
        <v>0</v>
      </c>
      <c r="AM796">
        <f t="shared" si="468"/>
        <v>0</v>
      </c>
      <c r="AN796">
        <f t="shared" si="469"/>
        <v>0</v>
      </c>
      <c r="AO796">
        <f t="shared" si="470"/>
        <v>0</v>
      </c>
      <c r="AP796">
        <f t="shared" si="471"/>
        <v>0</v>
      </c>
      <c r="AQ796">
        <f t="shared" si="472"/>
        <v>0</v>
      </c>
    </row>
    <row r="797" spans="1:43" ht="15.5" x14ac:dyDescent="0.35">
      <c r="A797" s="51">
        <v>64</v>
      </c>
      <c r="B797" s="13" t="s">
        <v>510</v>
      </c>
      <c r="C797" s="1" t="s">
        <v>133</v>
      </c>
      <c r="D797" s="1" t="s">
        <v>227</v>
      </c>
      <c r="E797" s="19">
        <v>3232.675358713585</v>
      </c>
      <c r="F797">
        <f t="shared" si="473"/>
        <v>0</v>
      </c>
      <c r="G797">
        <f t="shared" si="474"/>
        <v>3232.675358713585</v>
      </c>
      <c r="H797">
        <f t="shared" si="475"/>
        <v>0</v>
      </c>
      <c r="I797">
        <f t="shared" si="476"/>
        <v>0</v>
      </c>
      <c r="J797">
        <f t="shared" si="477"/>
        <v>0</v>
      </c>
      <c r="K797">
        <f t="shared" si="478"/>
        <v>0</v>
      </c>
      <c r="L797">
        <f t="shared" si="479"/>
        <v>0</v>
      </c>
      <c r="M797">
        <f t="shared" si="480"/>
        <v>0</v>
      </c>
      <c r="N797">
        <f t="shared" si="481"/>
        <v>0</v>
      </c>
      <c r="O797">
        <f t="shared" si="482"/>
        <v>0</v>
      </c>
      <c r="P797">
        <f t="shared" si="483"/>
        <v>0</v>
      </c>
      <c r="Q797">
        <f t="shared" si="484"/>
        <v>0</v>
      </c>
      <c r="S797">
        <f t="shared" si="449"/>
        <v>0</v>
      </c>
      <c r="T797">
        <f t="shared" si="450"/>
        <v>1</v>
      </c>
      <c r="U797">
        <f t="shared" si="451"/>
        <v>0</v>
      </c>
      <c r="V797">
        <f t="shared" si="452"/>
        <v>0</v>
      </c>
      <c r="W797">
        <f t="shared" si="453"/>
        <v>0</v>
      </c>
      <c r="X797">
        <f t="shared" si="454"/>
        <v>2</v>
      </c>
      <c r="Y797">
        <f t="shared" si="455"/>
        <v>0</v>
      </c>
      <c r="Z797">
        <f t="shared" si="456"/>
        <v>0</v>
      </c>
      <c r="AA797">
        <f t="shared" si="457"/>
        <v>0</v>
      </c>
      <c r="AB797">
        <f t="shared" si="458"/>
        <v>0</v>
      </c>
      <c r="AC797">
        <f t="shared" si="459"/>
        <v>1</v>
      </c>
      <c r="AD797">
        <f t="shared" si="460"/>
        <v>0</v>
      </c>
      <c r="AF797">
        <f t="shared" si="461"/>
        <v>0</v>
      </c>
      <c r="AG797">
        <f t="shared" si="462"/>
        <v>3232.675358713585</v>
      </c>
      <c r="AH797">
        <f t="shared" si="463"/>
        <v>0</v>
      </c>
      <c r="AI797">
        <f t="shared" si="464"/>
        <v>0</v>
      </c>
      <c r="AJ797">
        <f t="shared" si="465"/>
        <v>0</v>
      </c>
      <c r="AK797">
        <f t="shared" si="466"/>
        <v>0</v>
      </c>
      <c r="AL797">
        <f t="shared" si="467"/>
        <v>0</v>
      </c>
      <c r="AM797">
        <f t="shared" si="468"/>
        <v>0</v>
      </c>
      <c r="AN797">
        <f t="shared" si="469"/>
        <v>0</v>
      </c>
      <c r="AO797">
        <f t="shared" si="470"/>
        <v>0</v>
      </c>
      <c r="AP797">
        <f t="shared" si="471"/>
        <v>0</v>
      </c>
      <c r="AQ797">
        <f t="shared" si="472"/>
        <v>0</v>
      </c>
    </row>
    <row r="798" spans="1:43" ht="15.5" x14ac:dyDescent="0.35">
      <c r="A798" s="51">
        <v>65</v>
      </c>
      <c r="B798" s="13" t="s">
        <v>510</v>
      </c>
      <c r="C798" s="1" t="s">
        <v>131</v>
      </c>
      <c r="D798" s="1" t="s">
        <v>54</v>
      </c>
      <c r="E798" s="19">
        <v>3331.4103376884418</v>
      </c>
      <c r="F798">
        <f t="shared" si="473"/>
        <v>0</v>
      </c>
      <c r="G798">
        <f t="shared" si="474"/>
        <v>0</v>
      </c>
      <c r="H798">
        <f t="shared" si="475"/>
        <v>0</v>
      </c>
      <c r="I798">
        <f t="shared" si="476"/>
        <v>0</v>
      </c>
      <c r="J798">
        <f t="shared" si="477"/>
        <v>0</v>
      </c>
      <c r="K798">
        <f t="shared" si="478"/>
        <v>3331.4103376884418</v>
      </c>
      <c r="L798">
        <f t="shared" si="479"/>
        <v>0</v>
      </c>
      <c r="M798">
        <f t="shared" si="480"/>
        <v>0</v>
      </c>
      <c r="N798">
        <f t="shared" si="481"/>
        <v>0</v>
      </c>
      <c r="O798">
        <f t="shared" si="482"/>
        <v>0</v>
      </c>
      <c r="P798">
        <f t="shared" si="483"/>
        <v>0</v>
      </c>
      <c r="Q798">
        <f t="shared" si="484"/>
        <v>0</v>
      </c>
      <c r="S798">
        <f t="shared" si="449"/>
        <v>0</v>
      </c>
      <c r="T798">
        <f t="shared" si="450"/>
        <v>0</v>
      </c>
      <c r="U798">
        <f t="shared" si="451"/>
        <v>0</v>
      </c>
      <c r="V798">
        <f t="shared" si="452"/>
        <v>0</v>
      </c>
      <c r="W798">
        <f t="shared" si="453"/>
        <v>0</v>
      </c>
      <c r="X798">
        <f t="shared" si="454"/>
        <v>2</v>
      </c>
      <c r="Y798">
        <f t="shared" si="455"/>
        <v>0</v>
      </c>
      <c r="Z798">
        <f t="shared" si="456"/>
        <v>0</v>
      </c>
      <c r="AA798">
        <f t="shared" si="457"/>
        <v>0</v>
      </c>
      <c r="AB798">
        <f t="shared" si="458"/>
        <v>0</v>
      </c>
      <c r="AC798">
        <f t="shared" si="459"/>
        <v>1</v>
      </c>
      <c r="AD798">
        <f t="shared" si="460"/>
        <v>0</v>
      </c>
      <c r="AF798">
        <f t="shared" si="461"/>
        <v>0</v>
      </c>
      <c r="AG798">
        <f t="shared" si="462"/>
        <v>0</v>
      </c>
      <c r="AH798">
        <f t="shared" si="463"/>
        <v>0</v>
      </c>
      <c r="AI798">
        <f t="shared" si="464"/>
        <v>0</v>
      </c>
      <c r="AJ798">
        <f t="shared" si="465"/>
        <v>0</v>
      </c>
      <c r="AK798">
        <f t="shared" si="466"/>
        <v>3331.4103376884418</v>
      </c>
      <c r="AL798">
        <f t="shared" si="467"/>
        <v>0</v>
      </c>
      <c r="AM798">
        <f t="shared" si="468"/>
        <v>0</v>
      </c>
      <c r="AN798">
        <f t="shared" si="469"/>
        <v>0</v>
      </c>
      <c r="AO798">
        <f t="shared" si="470"/>
        <v>0</v>
      </c>
      <c r="AP798">
        <f t="shared" si="471"/>
        <v>0</v>
      </c>
      <c r="AQ798">
        <f t="shared" si="472"/>
        <v>0</v>
      </c>
    </row>
    <row r="799" spans="1:43" ht="15.5" x14ac:dyDescent="0.35">
      <c r="A799" s="51">
        <v>66</v>
      </c>
      <c r="B799" s="13" t="s">
        <v>510</v>
      </c>
      <c r="C799" s="1" t="s">
        <v>134</v>
      </c>
      <c r="D799" s="1" t="s">
        <v>228</v>
      </c>
      <c r="E799" s="19">
        <v>3081.8687487461639</v>
      </c>
      <c r="F799">
        <f t="shared" si="473"/>
        <v>0</v>
      </c>
      <c r="G799">
        <f t="shared" si="474"/>
        <v>0</v>
      </c>
      <c r="H799">
        <f t="shared" si="475"/>
        <v>0</v>
      </c>
      <c r="I799">
        <f t="shared" si="476"/>
        <v>0</v>
      </c>
      <c r="J799">
        <f t="shared" si="477"/>
        <v>0</v>
      </c>
      <c r="K799">
        <f t="shared" si="478"/>
        <v>0</v>
      </c>
      <c r="L799">
        <f t="shared" si="479"/>
        <v>0</v>
      </c>
      <c r="M799">
        <f t="shared" si="480"/>
        <v>0</v>
      </c>
      <c r="N799">
        <f t="shared" si="481"/>
        <v>0</v>
      </c>
      <c r="O799">
        <f t="shared" si="482"/>
        <v>0</v>
      </c>
      <c r="P799">
        <f t="shared" si="483"/>
        <v>3081.8687487461639</v>
      </c>
      <c r="Q799">
        <f t="shared" si="484"/>
        <v>0</v>
      </c>
      <c r="S799">
        <f t="shared" si="449"/>
        <v>0</v>
      </c>
      <c r="T799">
        <f t="shared" si="450"/>
        <v>0</v>
      </c>
      <c r="U799">
        <f t="shared" si="451"/>
        <v>0</v>
      </c>
      <c r="V799">
        <f t="shared" si="452"/>
        <v>0</v>
      </c>
      <c r="W799">
        <f t="shared" si="453"/>
        <v>0</v>
      </c>
      <c r="X799">
        <f t="shared" si="454"/>
        <v>1</v>
      </c>
      <c r="Y799">
        <f t="shared" si="455"/>
        <v>0</v>
      </c>
      <c r="Z799">
        <f t="shared" si="456"/>
        <v>0</v>
      </c>
      <c r="AA799">
        <f t="shared" si="457"/>
        <v>0</v>
      </c>
      <c r="AB799">
        <f t="shared" si="458"/>
        <v>0</v>
      </c>
      <c r="AC799">
        <f t="shared" si="459"/>
        <v>1</v>
      </c>
      <c r="AD799">
        <f t="shared" si="460"/>
        <v>0</v>
      </c>
      <c r="AF799">
        <f t="shared" si="461"/>
        <v>0</v>
      </c>
      <c r="AG799">
        <f t="shared" si="462"/>
        <v>0</v>
      </c>
      <c r="AH799">
        <f t="shared" si="463"/>
        <v>0</v>
      </c>
      <c r="AI799">
        <f t="shared" si="464"/>
        <v>0</v>
      </c>
      <c r="AJ799">
        <f t="shared" si="465"/>
        <v>0</v>
      </c>
      <c r="AK799">
        <f t="shared" si="466"/>
        <v>0</v>
      </c>
      <c r="AL799">
        <f t="shared" si="467"/>
        <v>0</v>
      </c>
      <c r="AM799">
        <f t="shared" si="468"/>
        <v>0</v>
      </c>
      <c r="AN799">
        <f t="shared" si="469"/>
        <v>0</v>
      </c>
      <c r="AO799">
        <f t="shared" si="470"/>
        <v>0</v>
      </c>
      <c r="AP799">
        <f t="shared" si="471"/>
        <v>3081.8687487461639</v>
      </c>
      <c r="AQ799">
        <f t="shared" si="472"/>
        <v>0</v>
      </c>
    </row>
    <row r="800" spans="1:43" ht="15.5" x14ac:dyDescent="0.35">
      <c r="A800" s="51">
        <v>67</v>
      </c>
      <c r="B800" s="13" t="s">
        <v>511</v>
      </c>
      <c r="C800" s="1" t="s">
        <v>512</v>
      </c>
      <c r="D800" s="1" t="s">
        <v>54</v>
      </c>
      <c r="E800" s="19">
        <v>3487.4619018804851</v>
      </c>
      <c r="F800">
        <f t="shared" si="473"/>
        <v>0</v>
      </c>
      <c r="G800">
        <f t="shared" si="474"/>
        <v>0</v>
      </c>
      <c r="H800">
        <f t="shared" si="475"/>
        <v>0</v>
      </c>
      <c r="I800">
        <f t="shared" si="476"/>
        <v>0</v>
      </c>
      <c r="J800">
        <f t="shared" si="477"/>
        <v>0</v>
      </c>
      <c r="K800">
        <f t="shared" si="478"/>
        <v>3487.4619018804851</v>
      </c>
      <c r="L800">
        <f t="shared" si="479"/>
        <v>0</v>
      </c>
      <c r="M800">
        <f t="shared" si="480"/>
        <v>0</v>
      </c>
      <c r="N800">
        <f t="shared" si="481"/>
        <v>0</v>
      </c>
      <c r="O800">
        <f t="shared" si="482"/>
        <v>0</v>
      </c>
      <c r="P800">
        <f t="shared" si="483"/>
        <v>0</v>
      </c>
      <c r="Q800">
        <f t="shared" si="484"/>
        <v>0</v>
      </c>
      <c r="S800">
        <f t="shared" si="449"/>
        <v>0</v>
      </c>
      <c r="T800">
        <f t="shared" si="450"/>
        <v>0</v>
      </c>
      <c r="U800">
        <f t="shared" si="451"/>
        <v>0</v>
      </c>
      <c r="V800">
        <f t="shared" si="452"/>
        <v>0</v>
      </c>
      <c r="W800">
        <f t="shared" si="453"/>
        <v>0</v>
      </c>
      <c r="X800">
        <f t="shared" si="454"/>
        <v>1</v>
      </c>
      <c r="Y800">
        <f t="shared" si="455"/>
        <v>0</v>
      </c>
      <c r="Z800">
        <f t="shared" si="456"/>
        <v>0</v>
      </c>
      <c r="AA800">
        <f t="shared" si="457"/>
        <v>0</v>
      </c>
      <c r="AB800">
        <f t="shared" si="458"/>
        <v>0</v>
      </c>
      <c r="AC800">
        <f t="shared" si="459"/>
        <v>0</v>
      </c>
      <c r="AD800">
        <f t="shared" si="460"/>
        <v>0</v>
      </c>
      <c r="AF800">
        <f t="shared" si="461"/>
        <v>0</v>
      </c>
      <c r="AG800">
        <f t="shared" si="462"/>
        <v>0</v>
      </c>
      <c r="AH800">
        <f t="shared" si="463"/>
        <v>0</v>
      </c>
      <c r="AI800">
        <f t="shared" si="464"/>
        <v>0</v>
      </c>
      <c r="AJ800">
        <f t="shared" si="465"/>
        <v>0</v>
      </c>
      <c r="AK800">
        <f t="shared" si="466"/>
        <v>3487.4619018804851</v>
      </c>
      <c r="AL800">
        <f t="shared" si="467"/>
        <v>0</v>
      </c>
      <c r="AM800">
        <f t="shared" si="468"/>
        <v>0</v>
      </c>
      <c r="AN800">
        <f t="shared" si="469"/>
        <v>0</v>
      </c>
      <c r="AO800">
        <f t="shared" si="470"/>
        <v>0</v>
      </c>
      <c r="AP800">
        <f t="shared" si="471"/>
        <v>0</v>
      </c>
      <c r="AQ800">
        <f t="shared" si="472"/>
        <v>0</v>
      </c>
    </row>
    <row r="801" spans="6:43" x14ac:dyDescent="0.45">
      <c r="F801">
        <f t="shared" si="473"/>
        <v>0</v>
      </c>
      <c r="G801">
        <f t="shared" si="474"/>
        <v>0</v>
      </c>
      <c r="H801">
        <f t="shared" si="475"/>
        <v>0</v>
      </c>
      <c r="I801">
        <f t="shared" si="476"/>
        <v>0</v>
      </c>
      <c r="J801">
        <f t="shared" si="477"/>
        <v>0</v>
      </c>
      <c r="K801">
        <f t="shared" si="478"/>
        <v>0</v>
      </c>
      <c r="L801">
        <f t="shared" si="479"/>
        <v>0</v>
      </c>
      <c r="M801">
        <f t="shared" si="480"/>
        <v>0</v>
      </c>
      <c r="N801">
        <f t="shared" si="481"/>
        <v>0</v>
      </c>
      <c r="O801">
        <f t="shared" si="482"/>
        <v>0</v>
      </c>
      <c r="P801">
        <f t="shared" si="483"/>
        <v>0</v>
      </c>
      <c r="Q801">
        <f t="shared" si="484"/>
        <v>0</v>
      </c>
      <c r="S801">
        <f t="shared" si="449"/>
        <v>0</v>
      </c>
      <c r="T801">
        <f t="shared" si="450"/>
        <v>0</v>
      </c>
      <c r="U801">
        <f t="shared" si="451"/>
        <v>0</v>
      </c>
      <c r="V801">
        <f t="shared" si="452"/>
        <v>0</v>
      </c>
      <c r="W801">
        <f t="shared" si="453"/>
        <v>0</v>
      </c>
      <c r="X801">
        <f t="shared" si="454"/>
        <v>0</v>
      </c>
      <c r="Y801">
        <f t="shared" si="455"/>
        <v>0</v>
      </c>
      <c r="Z801">
        <f t="shared" si="456"/>
        <v>0</v>
      </c>
      <c r="AA801">
        <f t="shared" si="457"/>
        <v>0</v>
      </c>
      <c r="AB801">
        <f t="shared" si="458"/>
        <v>0</v>
      </c>
      <c r="AC801">
        <f t="shared" si="459"/>
        <v>0</v>
      </c>
      <c r="AD801">
        <f t="shared" si="460"/>
        <v>0</v>
      </c>
      <c r="AF801">
        <f t="shared" si="461"/>
        <v>0</v>
      </c>
      <c r="AG801">
        <f t="shared" si="462"/>
        <v>0</v>
      </c>
      <c r="AH801">
        <f t="shared" si="463"/>
        <v>0</v>
      </c>
      <c r="AI801">
        <f t="shared" si="464"/>
        <v>0</v>
      </c>
      <c r="AJ801">
        <f t="shared" si="465"/>
        <v>0</v>
      </c>
      <c r="AK801">
        <f t="shared" si="466"/>
        <v>0</v>
      </c>
      <c r="AL801">
        <f t="shared" si="467"/>
        <v>0</v>
      </c>
      <c r="AM801">
        <f t="shared" si="468"/>
        <v>0</v>
      </c>
      <c r="AN801">
        <f t="shared" si="469"/>
        <v>0</v>
      </c>
      <c r="AO801">
        <f t="shared" si="470"/>
        <v>0</v>
      </c>
      <c r="AP801">
        <f t="shared" si="471"/>
        <v>0</v>
      </c>
      <c r="AQ801">
        <f t="shared" si="472"/>
        <v>0</v>
      </c>
    </row>
    <row r="802" spans="6:43" x14ac:dyDescent="0.45">
      <c r="F802">
        <f t="shared" si="473"/>
        <v>0</v>
      </c>
      <c r="G802">
        <f t="shared" si="474"/>
        <v>0</v>
      </c>
      <c r="H802">
        <f t="shared" si="475"/>
        <v>0</v>
      </c>
      <c r="I802">
        <f t="shared" si="476"/>
        <v>0</v>
      </c>
      <c r="J802">
        <f t="shared" si="477"/>
        <v>0</v>
      </c>
      <c r="K802">
        <f t="shared" si="478"/>
        <v>0</v>
      </c>
      <c r="L802">
        <f t="shared" si="479"/>
        <v>0</v>
      </c>
      <c r="M802">
        <f t="shared" si="480"/>
        <v>0</v>
      </c>
      <c r="N802">
        <f t="shared" si="481"/>
        <v>0</v>
      </c>
      <c r="O802">
        <f t="shared" si="482"/>
        <v>0</v>
      </c>
      <c r="P802">
        <f t="shared" si="483"/>
        <v>0</v>
      </c>
      <c r="Q802">
        <f t="shared" si="484"/>
        <v>0</v>
      </c>
      <c r="S802">
        <f t="shared" si="449"/>
        <v>0</v>
      </c>
      <c r="T802">
        <f t="shared" si="450"/>
        <v>0</v>
      </c>
      <c r="U802">
        <f t="shared" si="451"/>
        <v>0</v>
      </c>
      <c r="V802">
        <f t="shared" si="452"/>
        <v>0</v>
      </c>
      <c r="W802">
        <f t="shared" si="453"/>
        <v>0</v>
      </c>
      <c r="X802">
        <f t="shared" si="454"/>
        <v>0</v>
      </c>
      <c r="Y802">
        <f t="shared" si="455"/>
        <v>0</v>
      </c>
      <c r="Z802">
        <f t="shared" si="456"/>
        <v>0</v>
      </c>
      <c r="AA802">
        <f t="shared" si="457"/>
        <v>0</v>
      </c>
      <c r="AB802">
        <f t="shared" si="458"/>
        <v>0</v>
      </c>
      <c r="AC802">
        <f t="shared" si="459"/>
        <v>0</v>
      </c>
      <c r="AD802">
        <f t="shared" si="460"/>
        <v>0</v>
      </c>
      <c r="AF802">
        <f t="shared" si="461"/>
        <v>0</v>
      </c>
      <c r="AG802">
        <f t="shared" si="462"/>
        <v>0</v>
      </c>
      <c r="AH802">
        <f t="shared" si="463"/>
        <v>0</v>
      </c>
      <c r="AI802">
        <f t="shared" si="464"/>
        <v>0</v>
      </c>
      <c r="AJ802">
        <f t="shared" si="465"/>
        <v>0</v>
      </c>
      <c r="AK802">
        <f t="shared" si="466"/>
        <v>0</v>
      </c>
      <c r="AL802">
        <f t="shared" si="467"/>
        <v>0</v>
      </c>
      <c r="AM802">
        <f t="shared" si="468"/>
        <v>0</v>
      </c>
      <c r="AN802">
        <f t="shared" si="469"/>
        <v>0</v>
      </c>
      <c r="AO802">
        <f t="shared" si="470"/>
        <v>0</v>
      </c>
      <c r="AP802">
        <f t="shared" si="471"/>
        <v>0</v>
      </c>
      <c r="AQ802">
        <f t="shared" si="472"/>
        <v>0</v>
      </c>
    </row>
    <row r="803" spans="6:43" x14ac:dyDescent="0.45">
      <c r="F803">
        <f t="shared" si="473"/>
        <v>0</v>
      </c>
      <c r="G803">
        <f t="shared" si="474"/>
        <v>0</v>
      </c>
      <c r="H803">
        <f t="shared" si="475"/>
        <v>0</v>
      </c>
      <c r="I803">
        <f t="shared" si="476"/>
        <v>0</v>
      </c>
      <c r="J803">
        <f t="shared" si="477"/>
        <v>0</v>
      </c>
      <c r="K803">
        <f t="shared" si="478"/>
        <v>0</v>
      </c>
      <c r="L803">
        <f t="shared" si="479"/>
        <v>0</v>
      </c>
      <c r="M803">
        <f t="shared" si="480"/>
        <v>0</v>
      </c>
      <c r="N803">
        <f t="shared" si="481"/>
        <v>0</v>
      </c>
      <c r="O803">
        <f t="shared" si="482"/>
        <v>0</v>
      </c>
      <c r="P803">
        <f t="shared" si="483"/>
        <v>0</v>
      </c>
      <c r="Q803">
        <f t="shared" si="484"/>
        <v>0</v>
      </c>
      <c r="S803">
        <f t="shared" si="449"/>
        <v>0</v>
      </c>
      <c r="T803">
        <f t="shared" si="450"/>
        <v>0</v>
      </c>
      <c r="U803">
        <f t="shared" si="451"/>
        <v>0</v>
      </c>
      <c r="V803">
        <f t="shared" si="452"/>
        <v>0</v>
      </c>
      <c r="W803">
        <f t="shared" si="453"/>
        <v>0</v>
      </c>
      <c r="X803">
        <f t="shared" si="454"/>
        <v>0</v>
      </c>
      <c r="Y803">
        <f t="shared" si="455"/>
        <v>0</v>
      </c>
      <c r="Z803">
        <f t="shared" si="456"/>
        <v>0</v>
      </c>
      <c r="AA803">
        <f t="shared" si="457"/>
        <v>0</v>
      </c>
      <c r="AB803">
        <f t="shared" si="458"/>
        <v>0</v>
      </c>
      <c r="AC803">
        <f t="shared" si="459"/>
        <v>0</v>
      </c>
      <c r="AD803">
        <f t="shared" si="460"/>
        <v>0</v>
      </c>
      <c r="AF803">
        <f t="shared" si="461"/>
        <v>0</v>
      </c>
      <c r="AG803">
        <f t="shared" si="462"/>
        <v>0</v>
      </c>
      <c r="AH803">
        <f t="shared" si="463"/>
        <v>0</v>
      </c>
      <c r="AI803">
        <f t="shared" si="464"/>
        <v>0</v>
      </c>
      <c r="AJ803">
        <f t="shared" si="465"/>
        <v>0</v>
      </c>
      <c r="AK803">
        <f t="shared" si="466"/>
        <v>0</v>
      </c>
      <c r="AL803">
        <f t="shared" si="467"/>
        <v>0</v>
      </c>
      <c r="AM803">
        <f t="shared" si="468"/>
        <v>0</v>
      </c>
      <c r="AN803">
        <f t="shared" si="469"/>
        <v>0</v>
      </c>
      <c r="AO803">
        <f t="shared" si="470"/>
        <v>0</v>
      </c>
      <c r="AP803">
        <f t="shared" si="471"/>
        <v>0</v>
      </c>
      <c r="AQ803">
        <f t="shared" si="472"/>
        <v>0</v>
      </c>
    </row>
    <row r="804" spans="6:43" x14ac:dyDescent="0.45">
      <c r="F804">
        <f t="shared" si="473"/>
        <v>0</v>
      </c>
      <c r="G804">
        <f t="shared" si="474"/>
        <v>0</v>
      </c>
      <c r="H804">
        <f t="shared" si="475"/>
        <v>0</v>
      </c>
      <c r="I804">
        <f t="shared" si="476"/>
        <v>0</v>
      </c>
      <c r="J804">
        <f t="shared" si="477"/>
        <v>0</v>
      </c>
      <c r="K804">
        <f t="shared" si="478"/>
        <v>0</v>
      </c>
      <c r="L804">
        <f t="shared" si="479"/>
        <v>0</v>
      </c>
      <c r="M804">
        <f t="shared" si="480"/>
        <v>0</v>
      </c>
      <c r="N804">
        <f t="shared" si="481"/>
        <v>0</v>
      </c>
      <c r="O804">
        <f t="shared" si="482"/>
        <v>0</v>
      </c>
      <c r="P804">
        <f t="shared" si="483"/>
        <v>0</v>
      </c>
      <c r="Q804">
        <f t="shared" si="484"/>
        <v>0</v>
      </c>
      <c r="S804">
        <f t="shared" si="449"/>
        <v>0</v>
      </c>
      <c r="T804">
        <f t="shared" si="450"/>
        <v>0</v>
      </c>
      <c r="U804">
        <f t="shared" si="451"/>
        <v>0</v>
      </c>
      <c r="V804">
        <f t="shared" si="452"/>
        <v>0</v>
      </c>
      <c r="W804">
        <f t="shared" si="453"/>
        <v>0</v>
      </c>
      <c r="X804">
        <f t="shared" si="454"/>
        <v>0</v>
      </c>
      <c r="Y804">
        <f t="shared" si="455"/>
        <v>0</v>
      </c>
      <c r="Z804">
        <f t="shared" si="456"/>
        <v>0</v>
      </c>
      <c r="AA804">
        <f t="shared" si="457"/>
        <v>0</v>
      </c>
      <c r="AB804">
        <f t="shared" si="458"/>
        <v>0</v>
      </c>
      <c r="AC804">
        <f t="shared" si="459"/>
        <v>0</v>
      </c>
      <c r="AD804">
        <f t="shared" si="460"/>
        <v>0</v>
      </c>
      <c r="AF804">
        <f t="shared" si="461"/>
        <v>0</v>
      </c>
      <c r="AG804">
        <f t="shared" si="462"/>
        <v>0</v>
      </c>
      <c r="AH804">
        <f t="shared" si="463"/>
        <v>0</v>
      </c>
      <c r="AI804">
        <f t="shared" si="464"/>
        <v>0</v>
      </c>
      <c r="AJ804">
        <f t="shared" si="465"/>
        <v>0</v>
      </c>
      <c r="AK804">
        <f t="shared" si="466"/>
        <v>0</v>
      </c>
      <c r="AL804">
        <f t="shared" si="467"/>
        <v>0</v>
      </c>
      <c r="AM804">
        <f t="shared" si="468"/>
        <v>0</v>
      </c>
      <c r="AN804">
        <f t="shared" si="469"/>
        <v>0</v>
      </c>
      <c r="AO804">
        <f t="shared" si="470"/>
        <v>0</v>
      </c>
      <c r="AP804">
        <f t="shared" si="471"/>
        <v>0</v>
      </c>
      <c r="AQ804">
        <f t="shared" si="472"/>
        <v>0</v>
      </c>
    </row>
    <row r="805" spans="6:43" x14ac:dyDescent="0.45">
      <c r="F805">
        <f t="shared" si="473"/>
        <v>0</v>
      </c>
      <c r="G805">
        <f t="shared" si="474"/>
        <v>0</v>
      </c>
      <c r="H805">
        <f t="shared" si="475"/>
        <v>0</v>
      </c>
      <c r="I805">
        <f t="shared" si="476"/>
        <v>0</v>
      </c>
      <c r="J805">
        <f t="shared" si="477"/>
        <v>0</v>
      </c>
      <c r="K805">
        <f t="shared" si="478"/>
        <v>0</v>
      </c>
      <c r="L805">
        <f t="shared" si="479"/>
        <v>0</v>
      </c>
      <c r="M805">
        <f t="shared" si="480"/>
        <v>0</v>
      </c>
      <c r="N805">
        <f t="shared" si="481"/>
        <v>0</v>
      </c>
      <c r="O805">
        <f t="shared" si="482"/>
        <v>0</v>
      </c>
      <c r="P805">
        <f t="shared" si="483"/>
        <v>0</v>
      </c>
      <c r="Q805">
        <f t="shared" si="484"/>
        <v>0</v>
      </c>
      <c r="S805">
        <f t="shared" si="449"/>
        <v>0</v>
      </c>
      <c r="T805">
        <f t="shared" si="450"/>
        <v>0</v>
      </c>
      <c r="U805">
        <f t="shared" si="451"/>
        <v>0</v>
      </c>
      <c r="V805">
        <f t="shared" si="452"/>
        <v>0</v>
      </c>
      <c r="W805">
        <f t="shared" si="453"/>
        <v>0</v>
      </c>
      <c r="X805">
        <f t="shared" si="454"/>
        <v>0</v>
      </c>
      <c r="Y805">
        <f t="shared" si="455"/>
        <v>0</v>
      </c>
      <c r="Z805">
        <f t="shared" si="456"/>
        <v>0</v>
      </c>
      <c r="AA805">
        <f t="shared" si="457"/>
        <v>0</v>
      </c>
      <c r="AB805">
        <f t="shared" si="458"/>
        <v>0</v>
      </c>
      <c r="AC805">
        <f t="shared" si="459"/>
        <v>0</v>
      </c>
      <c r="AD805">
        <f t="shared" si="460"/>
        <v>0</v>
      </c>
      <c r="AF805">
        <f t="shared" si="461"/>
        <v>0</v>
      </c>
      <c r="AG805">
        <f t="shared" si="462"/>
        <v>0</v>
      </c>
      <c r="AH805">
        <f t="shared" si="463"/>
        <v>0</v>
      </c>
      <c r="AI805">
        <f t="shared" si="464"/>
        <v>0</v>
      </c>
      <c r="AJ805">
        <f t="shared" si="465"/>
        <v>0</v>
      </c>
      <c r="AK805">
        <f t="shared" si="466"/>
        <v>0</v>
      </c>
      <c r="AL805">
        <f t="shared" si="467"/>
        <v>0</v>
      </c>
      <c r="AM805">
        <f t="shared" si="468"/>
        <v>0</v>
      </c>
      <c r="AN805">
        <f t="shared" si="469"/>
        <v>0</v>
      </c>
      <c r="AO805">
        <f t="shared" si="470"/>
        <v>0</v>
      </c>
      <c r="AP805">
        <f t="shared" si="471"/>
        <v>0</v>
      </c>
      <c r="AQ805">
        <f t="shared" si="472"/>
        <v>0</v>
      </c>
    </row>
    <row r="806" spans="6:43" x14ac:dyDescent="0.45">
      <c r="F806">
        <f t="shared" si="473"/>
        <v>0</v>
      </c>
      <c r="G806">
        <f t="shared" si="474"/>
        <v>0</v>
      </c>
      <c r="H806">
        <f t="shared" si="475"/>
        <v>0</v>
      </c>
      <c r="I806">
        <f t="shared" si="476"/>
        <v>0</v>
      </c>
      <c r="J806">
        <f t="shared" si="477"/>
        <v>0</v>
      </c>
      <c r="K806">
        <f t="shared" si="478"/>
        <v>0</v>
      </c>
      <c r="L806">
        <f t="shared" si="479"/>
        <v>0</v>
      </c>
      <c r="M806">
        <f t="shared" si="480"/>
        <v>0</v>
      </c>
      <c r="N806">
        <f t="shared" si="481"/>
        <v>0</v>
      </c>
      <c r="O806">
        <f t="shared" si="482"/>
        <v>0</v>
      </c>
      <c r="P806">
        <f t="shared" si="483"/>
        <v>0</v>
      </c>
      <c r="Q806">
        <f t="shared" si="484"/>
        <v>0</v>
      </c>
      <c r="S806">
        <f t="shared" si="449"/>
        <v>0</v>
      </c>
      <c r="T806">
        <f t="shared" si="450"/>
        <v>0</v>
      </c>
      <c r="U806">
        <f t="shared" si="451"/>
        <v>0</v>
      </c>
      <c r="V806">
        <f t="shared" si="452"/>
        <v>0</v>
      </c>
      <c r="W806">
        <f t="shared" si="453"/>
        <v>0</v>
      </c>
      <c r="X806">
        <f t="shared" si="454"/>
        <v>0</v>
      </c>
      <c r="Y806">
        <f t="shared" si="455"/>
        <v>0</v>
      </c>
      <c r="Z806">
        <f t="shared" si="456"/>
        <v>0</v>
      </c>
      <c r="AA806">
        <f t="shared" si="457"/>
        <v>0</v>
      </c>
      <c r="AB806">
        <f t="shared" si="458"/>
        <v>0</v>
      </c>
      <c r="AC806">
        <f t="shared" si="459"/>
        <v>0</v>
      </c>
      <c r="AD806">
        <f t="shared" si="460"/>
        <v>0</v>
      </c>
      <c r="AF806">
        <f t="shared" si="461"/>
        <v>0</v>
      </c>
      <c r="AG806">
        <f t="shared" si="462"/>
        <v>0</v>
      </c>
      <c r="AH806">
        <f t="shared" si="463"/>
        <v>0</v>
      </c>
      <c r="AI806">
        <f t="shared" si="464"/>
        <v>0</v>
      </c>
      <c r="AJ806">
        <f t="shared" si="465"/>
        <v>0</v>
      </c>
      <c r="AK806">
        <f t="shared" si="466"/>
        <v>0</v>
      </c>
      <c r="AL806">
        <f t="shared" si="467"/>
        <v>0</v>
      </c>
      <c r="AM806">
        <f t="shared" si="468"/>
        <v>0</v>
      </c>
      <c r="AN806">
        <f t="shared" si="469"/>
        <v>0</v>
      </c>
      <c r="AO806">
        <f t="shared" si="470"/>
        <v>0</v>
      </c>
      <c r="AP806">
        <f t="shared" si="471"/>
        <v>0</v>
      </c>
      <c r="AQ806">
        <f t="shared" si="472"/>
        <v>0</v>
      </c>
    </row>
    <row r="807" spans="6:43" x14ac:dyDescent="0.45">
      <c r="F807">
        <f t="shared" si="473"/>
        <v>0</v>
      </c>
      <c r="G807">
        <f t="shared" si="474"/>
        <v>0</v>
      </c>
      <c r="H807">
        <f t="shared" si="475"/>
        <v>0</v>
      </c>
      <c r="I807">
        <f t="shared" si="476"/>
        <v>0</v>
      </c>
      <c r="J807">
        <f t="shared" si="477"/>
        <v>0</v>
      </c>
      <c r="K807">
        <f t="shared" si="478"/>
        <v>0</v>
      </c>
      <c r="L807">
        <f t="shared" si="479"/>
        <v>0</v>
      </c>
      <c r="M807">
        <f t="shared" si="480"/>
        <v>0</v>
      </c>
      <c r="N807">
        <f t="shared" si="481"/>
        <v>0</v>
      </c>
      <c r="O807">
        <f t="shared" si="482"/>
        <v>0</v>
      </c>
      <c r="P807">
        <f t="shared" si="483"/>
        <v>0</v>
      </c>
      <c r="Q807">
        <f t="shared" si="484"/>
        <v>0</v>
      </c>
      <c r="S807">
        <f t="shared" si="449"/>
        <v>0</v>
      </c>
      <c r="T807">
        <f t="shared" si="450"/>
        <v>0</v>
      </c>
      <c r="U807">
        <f t="shared" si="451"/>
        <v>0</v>
      </c>
      <c r="V807">
        <f t="shared" si="452"/>
        <v>0</v>
      </c>
      <c r="W807">
        <f t="shared" si="453"/>
        <v>0</v>
      </c>
      <c r="X807">
        <f t="shared" si="454"/>
        <v>0</v>
      </c>
      <c r="Y807">
        <f t="shared" si="455"/>
        <v>0</v>
      </c>
      <c r="Z807">
        <f t="shared" si="456"/>
        <v>0</v>
      </c>
      <c r="AA807">
        <f t="shared" si="457"/>
        <v>0</v>
      </c>
      <c r="AB807">
        <f t="shared" si="458"/>
        <v>0</v>
      </c>
      <c r="AC807">
        <f t="shared" si="459"/>
        <v>0</v>
      </c>
      <c r="AD807">
        <f t="shared" si="460"/>
        <v>0</v>
      </c>
      <c r="AF807">
        <f t="shared" si="461"/>
        <v>0</v>
      </c>
      <c r="AG807">
        <f t="shared" si="462"/>
        <v>0</v>
      </c>
      <c r="AH807">
        <f t="shared" si="463"/>
        <v>0</v>
      </c>
      <c r="AI807">
        <f t="shared" si="464"/>
        <v>0</v>
      </c>
      <c r="AJ807">
        <f t="shared" si="465"/>
        <v>0</v>
      </c>
      <c r="AK807">
        <f t="shared" si="466"/>
        <v>0</v>
      </c>
      <c r="AL807">
        <f t="shared" si="467"/>
        <v>0</v>
      </c>
      <c r="AM807">
        <f t="shared" si="468"/>
        <v>0</v>
      </c>
      <c r="AN807">
        <f t="shared" si="469"/>
        <v>0</v>
      </c>
      <c r="AO807">
        <f t="shared" si="470"/>
        <v>0</v>
      </c>
      <c r="AP807">
        <f t="shared" si="471"/>
        <v>0</v>
      </c>
      <c r="AQ807">
        <f t="shared" si="472"/>
        <v>0</v>
      </c>
    </row>
    <row r="808" spans="6:43" x14ac:dyDescent="0.45">
      <c r="F808">
        <f t="shared" si="473"/>
        <v>0</v>
      </c>
      <c r="G808">
        <f t="shared" si="474"/>
        <v>0</v>
      </c>
      <c r="H808">
        <f t="shared" si="475"/>
        <v>0</v>
      </c>
      <c r="I808">
        <f t="shared" si="476"/>
        <v>0</v>
      </c>
      <c r="J808">
        <f t="shared" si="477"/>
        <v>0</v>
      </c>
      <c r="K808">
        <f t="shared" si="478"/>
        <v>0</v>
      </c>
      <c r="L808">
        <f t="shared" si="479"/>
        <v>0</v>
      </c>
      <c r="M808">
        <f t="shared" si="480"/>
        <v>0</v>
      </c>
      <c r="N808">
        <f t="shared" si="481"/>
        <v>0</v>
      </c>
      <c r="O808">
        <f t="shared" si="482"/>
        <v>0</v>
      </c>
      <c r="P808">
        <f t="shared" si="483"/>
        <v>0</v>
      </c>
      <c r="Q808">
        <f t="shared" si="484"/>
        <v>0</v>
      </c>
      <c r="S808">
        <f t="shared" si="449"/>
        <v>0</v>
      </c>
      <c r="T808">
        <f t="shared" si="450"/>
        <v>0</v>
      </c>
      <c r="U808">
        <f t="shared" si="451"/>
        <v>0</v>
      </c>
      <c r="V808">
        <f t="shared" si="452"/>
        <v>0</v>
      </c>
      <c r="W808">
        <f t="shared" si="453"/>
        <v>0</v>
      </c>
      <c r="X808">
        <f t="shared" si="454"/>
        <v>0</v>
      </c>
      <c r="Y808">
        <f t="shared" si="455"/>
        <v>0</v>
      </c>
      <c r="Z808">
        <f t="shared" si="456"/>
        <v>0</v>
      </c>
      <c r="AA808">
        <f t="shared" si="457"/>
        <v>0</v>
      </c>
      <c r="AB808">
        <f t="shared" si="458"/>
        <v>0</v>
      </c>
      <c r="AC808">
        <f t="shared" si="459"/>
        <v>0</v>
      </c>
      <c r="AD808">
        <f t="shared" si="460"/>
        <v>0</v>
      </c>
      <c r="AF808">
        <f t="shared" si="461"/>
        <v>0</v>
      </c>
      <c r="AG808">
        <f t="shared" si="462"/>
        <v>0</v>
      </c>
      <c r="AH808">
        <f t="shared" si="463"/>
        <v>0</v>
      </c>
      <c r="AI808">
        <f t="shared" si="464"/>
        <v>0</v>
      </c>
      <c r="AJ808">
        <f t="shared" si="465"/>
        <v>0</v>
      </c>
      <c r="AK808">
        <f t="shared" si="466"/>
        <v>0</v>
      </c>
      <c r="AL808">
        <f t="shared" si="467"/>
        <v>0</v>
      </c>
      <c r="AM808">
        <f t="shared" si="468"/>
        <v>0</v>
      </c>
      <c r="AN808">
        <f t="shared" si="469"/>
        <v>0</v>
      </c>
      <c r="AO808">
        <f t="shared" si="470"/>
        <v>0</v>
      </c>
      <c r="AP808">
        <f t="shared" si="471"/>
        <v>0</v>
      </c>
      <c r="AQ808">
        <f t="shared" si="472"/>
        <v>0</v>
      </c>
    </row>
    <row r="809" spans="6:43" x14ac:dyDescent="0.45">
      <c r="F809">
        <f t="shared" si="473"/>
        <v>0</v>
      </c>
      <c r="G809">
        <f t="shared" si="474"/>
        <v>0</v>
      </c>
      <c r="H809">
        <f t="shared" si="475"/>
        <v>0</v>
      </c>
      <c r="I809">
        <f t="shared" si="476"/>
        <v>0</v>
      </c>
      <c r="J809">
        <f t="shared" si="477"/>
        <v>0</v>
      </c>
      <c r="K809">
        <f t="shared" si="478"/>
        <v>0</v>
      </c>
      <c r="L809">
        <f t="shared" si="479"/>
        <v>0</v>
      </c>
      <c r="M809">
        <f t="shared" si="480"/>
        <v>0</v>
      </c>
      <c r="N809">
        <f t="shared" si="481"/>
        <v>0</v>
      </c>
      <c r="O809">
        <f t="shared" si="482"/>
        <v>0</v>
      </c>
      <c r="P809">
        <f t="shared" si="483"/>
        <v>0</v>
      </c>
      <c r="Q809">
        <f t="shared" si="484"/>
        <v>0</v>
      </c>
      <c r="S809">
        <f t="shared" si="449"/>
        <v>0</v>
      </c>
      <c r="T809">
        <f t="shared" si="450"/>
        <v>0</v>
      </c>
      <c r="U809">
        <f t="shared" si="451"/>
        <v>0</v>
      </c>
      <c r="V809">
        <f t="shared" si="452"/>
        <v>0</v>
      </c>
      <c r="W809">
        <f t="shared" si="453"/>
        <v>0</v>
      </c>
      <c r="X809">
        <f t="shared" si="454"/>
        <v>0</v>
      </c>
      <c r="Y809">
        <f t="shared" si="455"/>
        <v>0</v>
      </c>
      <c r="Z809">
        <f t="shared" si="456"/>
        <v>0</v>
      </c>
      <c r="AA809">
        <f t="shared" si="457"/>
        <v>0</v>
      </c>
      <c r="AB809">
        <f t="shared" si="458"/>
        <v>0</v>
      </c>
      <c r="AC809">
        <f t="shared" si="459"/>
        <v>0</v>
      </c>
      <c r="AD809">
        <f t="shared" si="460"/>
        <v>0</v>
      </c>
      <c r="AF809">
        <f t="shared" si="461"/>
        <v>0</v>
      </c>
      <c r="AG809">
        <f t="shared" si="462"/>
        <v>0</v>
      </c>
      <c r="AH809">
        <f t="shared" si="463"/>
        <v>0</v>
      </c>
      <c r="AI809">
        <f t="shared" si="464"/>
        <v>0</v>
      </c>
      <c r="AJ809">
        <f t="shared" si="465"/>
        <v>0</v>
      </c>
      <c r="AK809">
        <f t="shared" si="466"/>
        <v>0</v>
      </c>
      <c r="AL809">
        <f t="shared" si="467"/>
        <v>0</v>
      </c>
      <c r="AM809">
        <f t="shared" si="468"/>
        <v>0</v>
      </c>
      <c r="AN809">
        <f t="shared" si="469"/>
        <v>0</v>
      </c>
      <c r="AO809">
        <f t="shared" si="470"/>
        <v>0</v>
      </c>
      <c r="AP809">
        <f t="shared" si="471"/>
        <v>0</v>
      </c>
      <c r="AQ809">
        <f t="shared" si="472"/>
        <v>0</v>
      </c>
    </row>
    <row r="810" spans="6:43" x14ac:dyDescent="0.45">
      <c r="F810">
        <f t="shared" si="473"/>
        <v>0</v>
      </c>
      <c r="G810">
        <f t="shared" si="474"/>
        <v>0</v>
      </c>
      <c r="H810">
        <f t="shared" si="475"/>
        <v>0</v>
      </c>
      <c r="I810">
        <f t="shared" si="476"/>
        <v>0</v>
      </c>
      <c r="J810">
        <f t="shared" si="477"/>
        <v>0</v>
      </c>
      <c r="K810">
        <f t="shared" si="478"/>
        <v>0</v>
      </c>
      <c r="L810">
        <f t="shared" si="479"/>
        <v>0</v>
      </c>
      <c r="M810">
        <f t="shared" si="480"/>
        <v>0</v>
      </c>
      <c r="N810">
        <f t="shared" si="481"/>
        <v>0</v>
      </c>
      <c r="O810">
        <f t="shared" si="482"/>
        <v>0</v>
      </c>
      <c r="P810">
        <f t="shared" si="483"/>
        <v>0</v>
      </c>
      <c r="Q810">
        <f t="shared" si="484"/>
        <v>0</v>
      </c>
      <c r="S810">
        <f t="shared" si="449"/>
        <v>0</v>
      </c>
      <c r="T810">
        <f t="shared" si="450"/>
        <v>0</v>
      </c>
      <c r="U810">
        <f t="shared" si="451"/>
        <v>0</v>
      </c>
      <c r="V810">
        <f t="shared" si="452"/>
        <v>0</v>
      </c>
      <c r="W810">
        <f t="shared" si="453"/>
        <v>0</v>
      </c>
      <c r="X810">
        <f t="shared" si="454"/>
        <v>0</v>
      </c>
      <c r="Y810">
        <f t="shared" si="455"/>
        <v>0</v>
      </c>
      <c r="Z810">
        <f t="shared" si="456"/>
        <v>0</v>
      </c>
      <c r="AA810">
        <f t="shared" si="457"/>
        <v>0</v>
      </c>
      <c r="AB810">
        <f t="shared" si="458"/>
        <v>0</v>
      </c>
      <c r="AC810">
        <f t="shared" si="459"/>
        <v>0</v>
      </c>
      <c r="AD810">
        <f t="shared" si="460"/>
        <v>0</v>
      </c>
      <c r="AF810">
        <f t="shared" si="461"/>
        <v>0</v>
      </c>
      <c r="AG810">
        <f t="shared" si="462"/>
        <v>0</v>
      </c>
      <c r="AH810">
        <f t="shared" si="463"/>
        <v>0</v>
      </c>
      <c r="AI810">
        <f t="shared" si="464"/>
        <v>0</v>
      </c>
      <c r="AJ810">
        <f t="shared" si="465"/>
        <v>0</v>
      </c>
      <c r="AK810">
        <f t="shared" si="466"/>
        <v>0</v>
      </c>
      <c r="AL810">
        <f t="shared" si="467"/>
        <v>0</v>
      </c>
      <c r="AM810">
        <f t="shared" si="468"/>
        <v>0</v>
      </c>
      <c r="AN810">
        <f t="shared" si="469"/>
        <v>0</v>
      </c>
      <c r="AO810">
        <f t="shared" si="470"/>
        <v>0</v>
      </c>
      <c r="AP810">
        <f t="shared" si="471"/>
        <v>0</v>
      </c>
      <c r="AQ810">
        <f t="shared" si="472"/>
        <v>0</v>
      </c>
    </row>
    <row r="811" spans="6:43" x14ac:dyDescent="0.45">
      <c r="F811">
        <f t="shared" si="473"/>
        <v>0</v>
      </c>
      <c r="G811">
        <f t="shared" si="474"/>
        <v>0</v>
      </c>
      <c r="H811">
        <f t="shared" si="475"/>
        <v>0</v>
      </c>
      <c r="I811">
        <f t="shared" si="476"/>
        <v>0</v>
      </c>
      <c r="J811">
        <f t="shared" si="477"/>
        <v>0</v>
      </c>
      <c r="K811">
        <f t="shared" si="478"/>
        <v>0</v>
      </c>
      <c r="L811">
        <f t="shared" si="479"/>
        <v>0</v>
      </c>
      <c r="M811">
        <f t="shared" si="480"/>
        <v>0</v>
      </c>
      <c r="N811">
        <f t="shared" si="481"/>
        <v>0</v>
      </c>
      <c r="O811">
        <f t="shared" si="482"/>
        <v>0</v>
      </c>
      <c r="P811">
        <f t="shared" si="483"/>
        <v>0</v>
      </c>
      <c r="Q811">
        <f t="shared" si="484"/>
        <v>0</v>
      </c>
      <c r="S811">
        <f t="shared" ref="S811:S874" si="485">IF(F811&gt;0,1,0)+S812</f>
        <v>0</v>
      </c>
      <c r="T811">
        <f t="shared" ref="T811:T874" si="486">IF(G811&gt;0,1,0)+T812</f>
        <v>0</v>
      </c>
      <c r="U811">
        <f t="shared" ref="U811:U874" si="487">IF(H811&gt;0,1,0)+U812</f>
        <v>0</v>
      </c>
      <c r="V811">
        <f t="shared" ref="V811:V874" si="488">IF(I811&gt;0,1,0)+V812</f>
        <v>0</v>
      </c>
      <c r="W811">
        <f t="shared" ref="W811:W874" si="489">IF(J811&gt;0,1,0)+W812</f>
        <v>0</v>
      </c>
      <c r="X811">
        <f t="shared" ref="X811:X874" si="490">IF(K811&gt;0,1,0)+X812</f>
        <v>0</v>
      </c>
      <c r="Y811">
        <f t="shared" ref="Y811:Y874" si="491">IF(L811&gt;0,1,0)+Y812</f>
        <v>0</v>
      </c>
      <c r="Z811">
        <f t="shared" ref="Z811:Z874" si="492">IF(M811&gt;0,1,0)+Z812</f>
        <v>0</v>
      </c>
      <c r="AA811">
        <f t="shared" ref="AA811:AA874" si="493">IF(N811&gt;0,1,0)+AA812</f>
        <v>0</v>
      </c>
      <c r="AB811">
        <f t="shared" ref="AB811:AB874" si="494">IF(O811&gt;0,1,0)+AB812</f>
        <v>0</v>
      </c>
      <c r="AC811">
        <f t="shared" ref="AC811:AC874" si="495">IF(P811&gt;0,1,0)+AC812</f>
        <v>0</v>
      </c>
      <c r="AD811">
        <f t="shared" ref="AD811:AD874" si="496">IF(Q811&gt;0,1,0)+AD812</f>
        <v>0</v>
      </c>
      <c r="AF811">
        <f t="shared" ref="AF811:AF874" si="497">IF(S811&lt;=$AT$1,F811,0)</f>
        <v>0</v>
      </c>
      <c r="AG811">
        <f t="shared" ref="AG811:AG874" si="498">IF(T811&lt;=$AT$1,G811,0)</f>
        <v>0</v>
      </c>
      <c r="AH811">
        <f t="shared" ref="AH811:AH874" si="499">IF(U811&lt;=$AT$1,H811,0)</f>
        <v>0</v>
      </c>
      <c r="AI811">
        <f t="shared" ref="AI811:AI874" si="500">IF(V811&lt;=$AT$1,I811,0)</f>
        <v>0</v>
      </c>
      <c r="AJ811">
        <f t="shared" ref="AJ811:AJ874" si="501">IF(W811&lt;=$AT$1,J811,0)</f>
        <v>0</v>
      </c>
      <c r="AK811">
        <f t="shared" ref="AK811:AK874" si="502">IF(X811&lt;=$AT$1,K811,0)</f>
        <v>0</v>
      </c>
      <c r="AL811">
        <f t="shared" ref="AL811:AL874" si="503">IF(Y811&lt;=$AT$1,L811,0)</f>
        <v>0</v>
      </c>
      <c r="AM811">
        <f t="shared" ref="AM811:AM874" si="504">IF(Z811&lt;=$AT$1,M811,0)</f>
        <v>0</v>
      </c>
      <c r="AN811">
        <f t="shared" ref="AN811:AN874" si="505">IF(AA811&lt;=$AT$1,N811,0)</f>
        <v>0</v>
      </c>
      <c r="AO811">
        <f t="shared" ref="AO811:AO874" si="506">IF(AB811&lt;=$AT$1,O811,0)</f>
        <v>0</v>
      </c>
      <c r="AP811">
        <f t="shared" ref="AP811:AP874" si="507">IF(AC811&lt;=$AT$1,P811,0)</f>
        <v>0</v>
      </c>
      <c r="AQ811">
        <f t="shared" ref="AQ811:AQ874" si="508">IF(AD811&lt;=$AT$1,Q811,0)</f>
        <v>0</v>
      </c>
    </row>
    <row r="812" spans="6:43" x14ac:dyDescent="0.45">
      <c r="F812">
        <f t="shared" si="473"/>
        <v>0</v>
      </c>
      <c r="G812">
        <f t="shared" si="474"/>
        <v>0</v>
      </c>
      <c r="H812">
        <f t="shared" si="475"/>
        <v>0</v>
      </c>
      <c r="I812">
        <f t="shared" si="476"/>
        <v>0</v>
      </c>
      <c r="J812">
        <f t="shared" si="477"/>
        <v>0</v>
      </c>
      <c r="K812">
        <f t="shared" si="478"/>
        <v>0</v>
      </c>
      <c r="L812">
        <f t="shared" si="479"/>
        <v>0</v>
      </c>
      <c r="M812">
        <f t="shared" si="480"/>
        <v>0</v>
      </c>
      <c r="N812">
        <f t="shared" si="481"/>
        <v>0</v>
      </c>
      <c r="O812">
        <f t="shared" si="482"/>
        <v>0</v>
      </c>
      <c r="P812">
        <f t="shared" si="483"/>
        <v>0</v>
      </c>
      <c r="Q812">
        <f t="shared" si="484"/>
        <v>0</v>
      </c>
      <c r="S812">
        <f t="shared" si="485"/>
        <v>0</v>
      </c>
      <c r="T812">
        <f t="shared" si="486"/>
        <v>0</v>
      </c>
      <c r="U812">
        <f t="shared" si="487"/>
        <v>0</v>
      </c>
      <c r="V812">
        <f t="shared" si="488"/>
        <v>0</v>
      </c>
      <c r="W812">
        <f t="shared" si="489"/>
        <v>0</v>
      </c>
      <c r="X812">
        <f t="shared" si="490"/>
        <v>0</v>
      </c>
      <c r="Y812">
        <f t="shared" si="491"/>
        <v>0</v>
      </c>
      <c r="Z812">
        <f t="shared" si="492"/>
        <v>0</v>
      </c>
      <c r="AA812">
        <f t="shared" si="493"/>
        <v>0</v>
      </c>
      <c r="AB812">
        <f t="shared" si="494"/>
        <v>0</v>
      </c>
      <c r="AC812">
        <f t="shared" si="495"/>
        <v>0</v>
      </c>
      <c r="AD812">
        <f t="shared" si="496"/>
        <v>0</v>
      </c>
      <c r="AF812">
        <f t="shared" si="497"/>
        <v>0</v>
      </c>
      <c r="AG812">
        <f t="shared" si="498"/>
        <v>0</v>
      </c>
      <c r="AH812">
        <f t="shared" si="499"/>
        <v>0</v>
      </c>
      <c r="AI812">
        <f t="shared" si="500"/>
        <v>0</v>
      </c>
      <c r="AJ812">
        <f t="shared" si="501"/>
        <v>0</v>
      </c>
      <c r="AK812">
        <f t="shared" si="502"/>
        <v>0</v>
      </c>
      <c r="AL812">
        <f t="shared" si="503"/>
        <v>0</v>
      </c>
      <c r="AM812">
        <f t="shared" si="504"/>
        <v>0</v>
      </c>
      <c r="AN812">
        <f t="shared" si="505"/>
        <v>0</v>
      </c>
      <c r="AO812">
        <f t="shared" si="506"/>
        <v>0</v>
      </c>
      <c r="AP812">
        <f t="shared" si="507"/>
        <v>0</v>
      </c>
      <c r="AQ812">
        <f t="shared" si="508"/>
        <v>0</v>
      </c>
    </row>
    <row r="813" spans="6:43" x14ac:dyDescent="0.45">
      <c r="F813">
        <f t="shared" si="473"/>
        <v>0</v>
      </c>
      <c r="G813">
        <f t="shared" si="474"/>
        <v>0</v>
      </c>
      <c r="H813">
        <f t="shared" si="475"/>
        <v>0</v>
      </c>
      <c r="I813">
        <f t="shared" si="476"/>
        <v>0</v>
      </c>
      <c r="J813">
        <f t="shared" si="477"/>
        <v>0</v>
      </c>
      <c r="K813">
        <f t="shared" si="478"/>
        <v>0</v>
      </c>
      <c r="L813">
        <f t="shared" si="479"/>
        <v>0</v>
      </c>
      <c r="M813">
        <f t="shared" si="480"/>
        <v>0</v>
      </c>
      <c r="N813">
        <f t="shared" si="481"/>
        <v>0</v>
      </c>
      <c r="O813">
        <f t="shared" si="482"/>
        <v>0</v>
      </c>
      <c r="P813">
        <f t="shared" si="483"/>
        <v>0</v>
      </c>
      <c r="Q813">
        <f t="shared" si="484"/>
        <v>0</v>
      </c>
      <c r="S813">
        <f t="shared" si="485"/>
        <v>0</v>
      </c>
      <c r="T813">
        <f t="shared" si="486"/>
        <v>0</v>
      </c>
      <c r="U813">
        <f t="shared" si="487"/>
        <v>0</v>
      </c>
      <c r="V813">
        <f t="shared" si="488"/>
        <v>0</v>
      </c>
      <c r="W813">
        <f t="shared" si="489"/>
        <v>0</v>
      </c>
      <c r="X813">
        <f t="shared" si="490"/>
        <v>0</v>
      </c>
      <c r="Y813">
        <f t="shared" si="491"/>
        <v>0</v>
      </c>
      <c r="Z813">
        <f t="shared" si="492"/>
        <v>0</v>
      </c>
      <c r="AA813">
        <f t="shared" si="493"/>
        <v>0</v>
      </c>
      <c r="AB813">
        <f t="shared" si="494"/>
        <v>0</v>
      </c>
      <c r="AC813">
        <f t="shared" si="495"/>
        <v>0</v>
      </c>
      <c r="AD813">
        <f t="shared" si="496"/>
        <v>0</v>
      </c>
      <c r="AF813">
        <f t="shared" si="497"/>
        <v>0</v>
      </c>
      <c r="AG813">
        <f t="shared" si="498"/>
        <v>0</v>
      </c>
      <c r="AH813">
        <f t="shared" si="499"/>
        <v>0</v>
      </c>
      <c r="AI813">
        <f t="shared" si="500"/>
        <v>0</v>
      </c>
      <c r="AJ813">
        <f t="shared" si="501"/>
        <v>0</v>
      </c>
      <c r="AK813">
        <f t="shared" si="502"/>
        <v>0</v>
      </c>
      <c r="AL813">
        <f t="shared" si="503"/>
        <v>0</v>
      </c>
      <c r="AM813">
        <f t="shared" si="504"/>
        <v>0</v>
      </c>
      <c r="AN813">
        <f t="shared" si="505"/>
        <v>0</v>
      </c>
      <c r="AO813">
        <f t="shared" si="506"/>
        <v>0</v>
      </c>
      <c r="AP813">
        <f t="shared" si="507"/>
        <v>0</v>
      </c>
      <c r="AQ813">
        <f t="shared" si="508"/>
        <v>0</v>
      </c>
    </row>
    <row r="814" spans="6:43" x14ac:dyDescent="0.45">
      <c r="F814">
        <f t="shared" si="473"/>
        <v>0</v>
      </c>
      <c r="G814">
        <f t="shared" si="474"/>
        <v>0</v>
      </c>
      <c r="H814">
        <f t="shared" si="475"/>
        <v>0</v>
      </c>
      <c r="I814">
        <f t="shared" si="476"/>
        <v>0</v>
      </c>
      <c r="J814">
        <f t="shared" si="477"/>
        <v>0</v>
      </c>
      <c r="K814">
        <f t="shared" si="478"/>
        <v>0</v>
      </c>
      <c r="L814">
        <f t="shared" si="479"/>
        <v>0</v>
      </c>
      <c r="M814">
        <f t="shared" si="480"/>
        <v>0</v>
      </c>
      <c r="N814">
        <f t="shared" si="481"/>
        <v>0</v>
      </c>
      <c r="O814">
        <f t="shared" si="482"/>
        <v>0</v>
      </c>
      <c r="P814">
        <f t="shared" si="483"/>
        <v>0</v>
      </c>
      <c r="Q814">
        <f t="shared" si="484"/>
        <v>0</v>
      </c>
      <c r="S814">
        <f t="shared" si="485"/>
        <v>0</v>
      </c>
      <c r="T814">
        <f t="shared" si="486"/>
        <v>0</v>
      </c>
      <c r="U814">
        <f t="shared" si="487"/>
        <v>0</v>
      </c>
      <c r="V814">
        <f t="shared" si="488"/>
        <v>0</v>
      </c>
      <c r="W814">
        <f t="shared" si="489"/>
        <v>0</v>
      </c>
      <c r="X814">
        <f t="shared" si="490"/>
        <v>0</v>
      </c>
      <c r="Y814">
        <f t="shared" si="491"/>
        <v>0</v>
      </c>
      <c r="Z814">
        <f t="shared" si="492"/>
        <v>0</v>
      </c>
      <c r="AA814">
        <f t="shared" si="493"/>
        <v>0</v>
      </c>
      <c r="AB814">
        <f t="shared" si="494"/>
        <v>0</v>
      </c>
      <c r="AC814">
        <f t="shared" si="495"/>
        <v>0</v>
      </c>
      <c r="AD814">
        <f t="shared" si="496"/>
        <v>0</v>
      </c>
      <c r="AF814">
        <f t="shared" si="497"/>
        <v>0</v>
      </c>
      <c r="AG814">
        <f t="shared" si="498"/>
        <v>0</v>
      </c>
      <c r="AH814">
        <f t="shared" si="499"/>
        <v>0</v>
      </c>
      <c r="AI814">
        <f t="shared" si="500"/>
        <v>0</v>
      </c>
      <c r="AJ814">
        <f t="shared" si="501"/>
        <v>0</v>
      </c>
      <c r="AK814">
        <f t="shared" si="502"/>
        <v>0</v>
      </c>
      <c r="AL814">
        <f t="shared" si="503"/>
        <v>0</v>
      </c>
      <c r="AM814">
        <f t="shared" si="504"/>
        <v>0</v>
      </c>
      <c r="AN814">
        <f t="shared" si="505"/>
        <v>0</v>
      </c>
      <c r="AO814">
        <f t="shared" si="506"/>
        <v>0</v>
      </c>
      <c r="AP814">
        <f t="shared" si="507"/>
        <v>0</v>
      </c>
      <c r="AQ814">
        <f t="shared" si="508"/>
        <v>0</v>
      </c>
    </row>
    <row r="815" spans="6:43" x14ac:dyDescent="0.45">
      <c r="F815">
        <f t="shared" si="473"/>
        <v>0</v>
      </c>
      <c r="G815">
        <f t="shared" si="474"/>
        <v>0</v>
      </c>
      <c r="H815">
        <f t="shared" si="475"/>
        <v>0</v>
      </c>
      <c r="I815">
        <f t="shared" si="476"/>
        <v>0</v>
      </c>
      <c r="J815">
        <f t="shared" si="477"/>
        <v>0</v>
      </c>
      <c r="K815">
        <f t="shared" si="478"/>
        <v>0</v>
      </c>
      <c r="L815">
        <f t="shared" si="479"/>
        <v>0</v>
      </c>
      <c r="M815">
        <f t="shared" si="480"/>
        <v>0</v>
      </c>
      <c r="N815">
        <f t="shared" si="481"/>
        <v>0</v>
      </c>
      <c r="O815">
        <f t="shared" si="482"/>
        <v>0</v>
      </c>
      <c r="P815">
        <f t="shared" si="483"/>
        <v>0</v>
      </c>
      <c r="Q815">
        <f t="shared" si="484"/>
        <v>0</v>
      </c>
      <c r="S815">
        <f t="shared" si="485"/>
        <v>0</v>
      </c>
      <c r="T815">
        <f t="shared" si="486"/>
        <v>0</v>
      </c>
      <c r="U815">
        <f t="shared" si="487"/>
        <v>0</v>
      </c>
      <c r="V815">
        <f t="shared" si="488"/>
        <v>0</v>
      </c>
      <c r="W815">
        <f t="shared" si="489"/>
        <v>0</v>
      </c>
      <c r="X815">
        <f t="shared" si="490"/>
        <v>0</v>
      </c>
      <c r="Y815">
        <f t="shared" si="491"/>
        <v>0</v>
      </c>
      <c r="Z815">
        <f t="shared" si="492"/>
        <v>0</v>
      </c>
      <c r="AA815">
        <f t="shared" si="493"/>
        <v>0</v>
      </c>
      <c r="AB815">
        <f t="shared" si="494"/>
        <v>0</v>
      </c>
      <c r="AC815">
        <f t="shared" si="495"/>
        <v>0</v>
      </c>
      <c r="AD815">
        <f t="shared" si="496"/>
        <v>0</v>
      </c>
      <c r="AF815">
        <f t="shared" si="497"/>
        <v>0</v>
      </c>
      <c r="AG815">
        <f t="shared" si="498"/>
        <v>0</v>
      </c>
      <c r="AH815">
        <f t="shared" si="499"/>
        <v>0</v>
      </c>
      <c r="AI815">
        <f t="shared" si="500"/>
        <v>0</v>
      </c>
      <c r="AJ815">
        <f t="shared" si="501"/>
        <v>0</v>
      </c>
      <c r="AK815">
        <f t="shared" si="502"/>
        <v>0</v>
      </c>
      <c r="AL815">
        <f t="shared" si="503"/>
        <v>0</v>
      </c>
      <c r="AM815">
        <f t="shared" si="504"/>
        <v>0</v>
      </c>
      <c r="AN815">
        <f t="shared" si="505"/>
        <v>0</v>
      </c>
      <c r="AO815">
        <f t="shared" si="506"/>
        <v>0</v>
      </c>
      <c r="AP815">
        <f t="shared" si="507"/>
        <v>0</v>
      </c>
      <c r="AQ815">
        <f t="shared" si="508"/>
        <v>0</v>
      </c>
    </row>
    <row r="816" spans="6:43" x14ac:dyDescent="0.45">
      <c r="F816">
        <f t="shared" si="473"/>
        <v>0</v>
      </c>
      <c r="G816">
        <f t="shared" si="474"/>
        <v>0</v>
      </c>
      <c r="H816">
        <f t="shared" si="475"/>
        <v>0</v>
      </c>
      <c r="I816">
        <f t="shared" si="476"/>
        <v>0</v>
      </c>
      <c r="J816">
        <f t="shared" si="477"/>
        <v>0</v>
      </c>
      <c r="K816">
        <f t="shared" si="478"/>
        <v>0</v>
      </c>
      <c r="L816">
        <f t="shared" si="479"/>
        <v>0</v>
      </c>
      <c r="M816">
        <f t="shared" si="480"/>
        <v>0</v>
      </c>
      <c r="N816">
        <f t="shared" si="481"/>
        <v>0</v>
      </c>
      <c r="O816">
        <f t="shared" si="482"/>
        <v>0</v>
      </c>
      <c r="P816">
        <f t="shared" si="483"/>
        <v>0</v>
      </c>
      <c r="Q816">
        <f t="shared" si="484"/>
        <v>0</v>
      </c>
      <c r="S816">
        <f t="shared" si="485"/>
        <v>0</v>
      </c>
      <c r="T816">
        <f t="shared" si="486"/>
        <v>0</v>
      </c>
      <c r="U816">
        <f t="shared" si="487"/>
        <v>0</v>
      </c>
      <c r="V816">
        <f t="shared" si="488"/>
        <v>0</v>
      </c>
      <c r="W816">
        <f t="shared" si="489"/>
        <v>0</v>
      </c>
      <c r="X816">
        <f t="shared" si="490"/>
        <v>0</v>
      </c>
      <c r="Y816">
        <f t="shared" si="491"/>
        <v>0</v>
      </c>
      <c r="Z816">
        <f t="shared" si="492"/>
        <v>0</v>
      </c>
      <c r="AA816">
        <f t="shared" si="493"/>
        <v>0</v>
      </c>
      <c r="AB816">
        <f t="shared" si="494"/>
        <v>0</v>
      </c>
      <c r="AC816">
        <f t="shared" si="495"/>
        <v>0</v>
      </c>
      <c r="AD816">
        <f t="shared" si="496"/>
        <v>0</v>
      </c>
      <c r="AF816">
        <f t="shared" si="497"/>
        <v>0</v>
      </c>
      <c r="AG816">
        <f t="shared" si="498"/>
        <v>0</v>
      </c>
      <c r="AH816">
        <f t="shared" si="499"/>
        <v>0</v>
      </c>
      <c r="AI816">
        <f t="shared" si="500"/>
        <v>0</v>
      </c>
      <c r="AJ816">
        <f t="shared" si="501"/>
        <v>0</v>
      </c>
      <c r="AK816">
        <f t="shared" si="502"/>
        <v>0</v>
      </c>
      <c r="AL816">
        <f t="shared" si="503"/>
        <v>0</v>
      </c>
      <c r="AM816">
        <f t="shared" si="504"/>
        <v>0</v>
      </c>
      <c r="AN816">
        <f t="shared" si="505"/>
        <v>0</v>
      </c>
      <c r="AO816">
        <f t="shared" si="506"/>
        <v>0</v>
      </c>
      <c r="AP816">
        <f t="shared" si="507"/>
        <v>0</v>
      </c>
      <c r="AQ816">
        <f t="shared" si="508"/>
        <v>0</v>
      </c>
    </row>
    <row r="817" spans="6:43" x14ac:dyDescent="0.45">
      <c r="F817">
        <f t="shared" si="473"/>
        <v>0</v>
      </c>
      <c r="G817">
        <f t="shared" si="474"/>
        <v>0</v>
      </c>
      <c r="H817">
        <f t="shared" si="475"/>
        <v>0</v>
      </c>
      <c r="I817">
        <f t="shared" si="476"/>
        <v>0</v>
      </c>
      <c r="J817">
        <f t="shared" si="477"/>
        <v>0</v>
      </c>
      <c r="K817">
        <f t="shared" si="478"/>
        <v>0</v>
      </c>
      <c r="L817">
        <f t="shared" si="479"/>
        <v>0</v>
      </c>
      <c r="M817">
        <f t="shared" si="480"/>
        <v>0</v>
      </c>
      <c r="N817">
        <f t="shared" si="481"/>
        <v>0</v>
      </c>
      <c r="O817">
        <f t="shared" si="482"/>
        <v>0</v>
      </c>
      <c r="P817">
        <f t="shared" si="483"/>
        <v>0</v>
      </c>
      <c r="Q817">
        <f t="shared" si="484"/>
        <v>0</v>
      </c>
      <c r="S817">
        <f t="shared" si="485"/>
        <v>0</v>
      </c>
      <c r="T817">
        <f t="shared" si="486"/>
        <v>0</v>
      </c>
      <c r="U817">
        <f t="shared" si="487"/>
        <v>0</v>
      </c>
      <c r="V817">
        <f t="shared" si="488"/>
        <v>0</v>
      </c>
      <c r="W817">
        <f t="shared" si="489"/>
        <v>0</v>
      </c>
      <c r="X817">
        <f t="shared" si="490"/>
        <v>0</v>
      </c>
      <c r="Y817">
        <f t="shared" si="491"/>
        <v>0</v>
      </c>
      <c r="Z817">
        <f t="shared" si="492"/>
        <v>0</v>
      </c>
      <c r="AA817">
        <f t="shared" si="493"/>
        <v>0</v>
      </c>
      <c r="AB817">
        <f t="shared" si="494"/>
        <v>0</v>
      </c>
      <c r="AC817">
        <f t="shared" si="495"/>
        <v>0</v>
      </c>
      <c r="AD817">
        <f t="shared" si="496"/>
        <v>0</v>
      </c>
      <c r="AF817">
        <f t="shared" si="497"/>
        <v>0</v>
      </c>
      <c r="AG817">
        <f t="shared" si="498"/>
        <v>0</v>
      </c>
      <c r="AH817">
        <f t="shared" si="499"/>
        <v>0</v>
      </c>
      <c r="AI817">
        <f t="shared" si="500"/>
        <v>0</v>
      </c>
      <c r="AJ817">
        <f t="shared" si="501"/>
        <v>0</v>
      </c>
      <c r="AK817">
        <f t="shared" si="502"/>
        <v>0</v>
      </c>
      <c r="AL817">
        <f t="shared" si="503"/>
        <v>0</v>
      </c>
      <c r="AM817">
        <f t="shared" si="504"/>
        <v>0</v>
      </c>
      <c r="AN817">
        <f t="shared" si="505"/>
        <v>0</v>
      </c>
      <c r="AO817">
        <f t="shared" si="506"/>
        <v>0</v>
      </c>
      <c r="AP817">
        <f t="shared" si="507"/>
        <v>0</v>
      </c>
      <c r="AQ817">
        <f t="shared" si="508"/>
        <v>0</v>
      </c>
    </row>
    <row r="818" spans="6:43" x14ac:dyDescent="0.45">
      <c r="F818">
        <f t="shared" si="473"/>
        <v>0</v>
      </c>
      <c r="G818">
        <f t="shared" si="474"/>
        <v>0</v>
      </c>
      <c r="H818">
        <f t="shared" si="475"/>
        <v>0</v>
      </c>
      <c r="I818">
        <f t="shared" si="476"/>
        <v>0</v>
      </c>
      <c r="J818">
        <f t="shared" si="477"/>
        <v>0</v>
      </c>
      <c r="K818">
        <f t="shared" si="478"/>
        <v>0</v>
      </c>
      <c r="L818">
        <f t="shared" si="479"/>
        <v>0</v>
      </c>
      <c r="M818">
        <f t="shared" si="480"/>
        <v>0</v>
      </c>
      <c r="N818">
        <f t="shared" si="481"/>
        <v>0</v>
      </c>
      <c r="O818">
        <f t="shared" si="482"/>
        <v>0</v>
      </c>
      <c r="P818">
        <f t="shared" si="483"/>
        <v>0</v>
      </c>
      <c r="Q818">
        <f t="shared" si="484"/>
        <v>0</v>
      </c>
      <c r="S818">
        <f t="shared" si="485"/>
        <v>0</v>
      </c>
      <c r="T818">
        <f t="shared" si="486"/>
        <v>0</v>
      </c>
      <c r="U818">
        <f t="shared" si="487"/>
        <v>0</v>
      </c>
      <c r="V818">
        <f t="shared" si="488"/>
        <v>0</v>
      </c>
      <c r="W818">
        <f t="shared" si="489"/>
        <v>0</v>
      </c>
      <c r="X818">
        <f t="shared" si="490"/>
        <v>0</v>
      </c>
      <c r="Y818">
        <f t="shared" si="491"/>
        <v>0</v>
      </c>
      <c r="Z818">
        <f t="shared" si="492"/>
        <v>0</v>
      </c>
      <c r="AA818">
        <f t="shared" si="493"/>
        <v>0</v>
      </c>
      <c r="AB818">
        <f t="shared" si="494"/>
        <v>0</v>
      </c>
      <c r="AC818">
        <f t="shared" si="495"/>
        <v>0</v>
      </c>
      <c r="AD818">
        <f t="shared" si="496"/>
        <v>0</v>
      </c>
      <c r="AF818">
        <f t="shared" si="497"/>
        <v>0</v>
      </c>
      <c r="AG818">
        <f t="shared" si="498"/>
        <v>0</v>
      </c>
      <c r="AH818">
        <f t="shared" si="499"/>
        <v>0</v>
      </c>
      <c r="AI818">
        <f t="shared" si="500"/>
        <v>0</v>
      </c>
      <c r="AJ818">
        <f t="shared" si="501"/>
        <v>0</v>
      </c>
      <c r="AK818">
        <f t="shared" si="502"/>
        <v>0</v>
      </c>
      <c r="AL818">
        <f t="shared" si="503"/>
        <v>0</v>
      </c>
      <c r="AM818">
        <f t="shared" si="504"/>
        <v>0</v>
      </c>
      <c r="AN818">
        <f t="shared" si="505"/>
        <v>0</v>
      </c>
      <c r="AO818">
        <f t="shared" si="506"/>
        <v>0</v>
      </c>
      <c r="AP818">
        <f t="shared" si="507"/>
        <v>0</v>
      </c>
      <c r="AQ818">
        <f t="shared" si="508"/>
        <v>0</v>
      </c>
    </row>
    <row r="819" spans="6:43" x14ac:dyDescent="0.45">
      <c r="F819">
        <f t="shared" si="473"/>
        <v>0</v>
      </c>
      <c r="G819">
        <f t="shared" si="474"/>
        <v>0</v>
      </c>
      <c r="H819">
        <f t="shared" si="475"/>
        <v>0</v>
      </c>
      <c r="I819">
        <f t="shared" si="476"/>
        <v>0</v>
      </c>
      <c r="J819">
        <f t="shared" si="477"/>
        <v>0</v>
      </c>
      <c r="K819">
        <f t="shared" si="478"/>
        <v>0</v>
      </c>
      <c r="L819">
        <f t="shared" si="479"/>
        <v>0</v>
      </c>
      <c r="M819">
        <f t="shared" si="480"/>
        <v>0</v>
      </c>
      <c r="N819">
        <f t="shared" si="481"/>
        <v>0</v>
      </c>
      <c r="O819">
        <f t="shared" si="482"/>
        <v>0</v>
      </c>
      <c r="P819">
        <f t="shared" si="483"/>
        <v>0</v>
      </c>
      <c r="Q819">
        <f t="shared" si="484"/>
        <v>0</v>
      </c>
      <c r="S819">
        <f t="shared" si="485"/>
        <v>0</v>
      </c>
      <c r="T819">
        <f t="shared" si="486"/>
        <v>0</v>
      </c>
      <c r="U819">
        <f t="shared" si="487"/>
        <v>0</v>
      </c>
      <c r="V819">
        <f t="shared" si="488"/>
        <v>0</v>
      </c>
      <c r="W819">
        <f t="shared" si="489"/>
        <v>0</v>
      </c>
      <c r="X819">
        <f t="shared" si="490"/>
        <v>0</v>
      </c>
      <c r="Y819">
        <f t="shared" si="491"/>
        <v>0</v>
      </c>
      <c r="Z819">
        <f t="shared" si="492"/>
        <v>0</v>
      </c>
      <c r="AA819">
        <f t="shared" si="493"/>
        <v>0</v>
      </c>
      <c r="AB819">
        <f t="shared" si="494"/>
        <v>0</v>
      </c>
      <c r="AC819">
        <f t="shared" si="495"/>
        <v>0</v>
      </c>
      <c r="AD819">
        <f t="shared" si="496"/>
        <v>0</v>
      </c>
      <c r="AF819">
        <f t="shared" si="497"/>
        <v>0</v>
      </c>
      <c r="AG819">
        <f t="shared" si="498"/>
        <v>0</v>
      </c>
      <c r="AH819">
        <f t="shared" si="499"/>
        <v>0</v>
      </c>
      <c r="AI819">
        <f t="shared" si="500"/>
        <v>0</v>
      </c>
      <c r="AJ819">
        <f t="shared" si="501"/>
        <v>0</v>
      </c>
      <c r="AK819">
        <f t="shared" si="502"/>
        <v>0</v>
      </c>
      <c r="AL819">
        <f t="shared" si="503"/>
        <v>0</v>
      </c>
      <c r="AM819">
        <f t="shared" si="504"/>
        <v>0</v>
      </c>
      <c r="AN819">
        <f t="shared" si="505"/>
        <v>0</v>
      </c>
      <c r="AO819">
        <f t="shared" si="506"/>
        <v>0</v>
      </c>
      <c r="AP819">
        <f t="shared" si="507"/>
        <v>0</v>
      </c>
      <c r="AQ819">
        <f t="shared" si="508"/>
        <v>0</v>
      </c>
    </row>
    <row r="820" spans="6:43" x14ac:dyDescent="0.45">
      <c r="F820">
        <f t="shared" si="473"/>
        <v>0</v>
      </c>
      <c r="G820">
        <f t="shared" si="474"/>
        <v>0</v>
      </c>
      <c r="H820">
        <f t="shared" si="475"/>
        <v>0</v>
      </c>
      <c r="I820">
        <f t="shared" si="476"/>
        <v>0</v>
      </c>
      <c r="J820">
        <f t="shared" si="477"/>
        <v>0</v>
      </c>
      <c r="K820">
        <f t="shared" si="478"/>
        <v>0</v>
      </c>
      <c r="L820">
        <f t="shared" si="479"/>
        <v>0</v>
      </c>
      <c r="M820">
        <f t="shared" si="480"/>
        <v>0</v>
      </c>
      <c r="N820">
        <f t="shared" si="481"/>
        <v>0</v>
      </c>
      <c r="O820">
        <f t="shared" si="482"/>
        <v>0</v>
      </c>
      <c r="P820">
        <f t="shared" si="483"/>
        <v>0</v>
      </c>
      <c r="Q820">
        <f t="shared" si="484"/>
        <v>0</v>
      </c>
      <c r="S820">
        <f t="shared" si="485"/>
        <v>0</v>
      </c>
      <c r="T820">
        <f t="shared" si="486"/>
        <v>0</v>
      </c>
      <c r="U820">
        <f t="shared" si="487"/>
        <v>0</v>
      </c>
      <c r="V820">
        <f t="shared" si="488"/>
        <v>0</v>
      </c>
      <c r="W820">
        <f t="shared" si="489"/>
        <v>0</v>
      </c>
      <c r="X820">
        <f t="shared" si="490"/>
        <v>0</v>
      </c>
      <c r="Y820">
        <f t="shared" si="491"/>
        <v>0</v>
      </c>
      <c r="Z820">
        <f t="shared" si="492"/>
        <v>0</v>
      </c>
      <c r="AA820">
        <f t="shared" si="493"/>
        <v>0</v>
      </c>
      <c r="AB820">
        <f t="shared" si="494"/>
        <v>0</v>
      </c>
      <c r="AC820">
        <f t="shared" si="495"/>
        <v>0</v>
      </c>
      <c r="AD820">
        <f t="shared" si="496"/>
        <v>0</v>
      </c>
      <c r="AF820">
        <f t="shared" si="497"/>
        <v>0</v>
      </c>
      <c r="AG820">
        <f t="shared" si="498"/>
        <v>0</v>
      </c>
      <c r="AH820">
        <f t="shared" si="499"/>
        <v>0</v>
      </c>
      <c r="AI820">
        <f t="shared" si="500"/>
        <v>0</v>
      </c>
      <c r="AJ820">
        <f t="shared" si="501"/>
        <v>0</v>
      </c>
      <c r="AK820">
        <f t="shared" si="502"/>
        <v>0</v>
      </c>
      <c r="AL820">
        <f t="shared" si="503"/>
        <v>0</v>
      </c>
      <c r="AM820">
        <f t="shared" si="504"/>
        <v>0</v>
      </c>
      <c r="AN820">
        <f t="shared" si="505"/>
        <v>0</v>
      </c>
      <c r="AO820">
        <f t="shared" si="506"/>
        <v>0</v>
      </c>
      <c r="AP820">
        <f t="shared" si="507"/>
        <v>0</v>
      </c>
      <c r="AQ820">
        <f t="shared" si="508"/>
        <v>0</v>
      </c>
    </row>
    <row r="821" spans="6:43" x14ac:dyDescent="0.45">
      <c r="F821">
        <f t="shared" si="473"/>
        <v>0</v>
      </c>
      <c r="G821">
        <f t="shared" si="474"/>
        <v>0</v>
      </c>
      <c r="H821">
        <f t="shared" si="475"/>
        <v>0</v>
      </c>
      <c r="I821">
        <f t="shared" si="476"/>
        <v>0</v>
      </c>
      <c r="J821">
        <f t="shared" si="477"/>
        <v>0</v>
      </c>
      <c r="K821">
        <f t="shared" si="478"/>
        <v>0</v>
      </c>
      <c r="L821">
        <f t="shared" si="479"/>
        <v>0</v>
      </c>
      <c r="M821">
        <f t="shared" si="480"/>
        <v>0</v>
      </c>
      <c r="N821">
        <f t="shared" si="481"/>
        <v>0</v>
      </c>
      <c r="O821">
        <f t="shared" si="482"/>
        <v>0</v>
      </c>
      <c r="P821">
        <f t="shared" si="483"/>
        <v>0</v>
      </c>
      <c r="Q821">
        <f t="shared" si="484"/>
        <v>0</v>
      </c>
      <c r="S821">
        <f t="shared" si="485"/>
        <v>0</v>
      </c>
      <c r="T821">
        <f t="shared" si="486"/>
        <v>0</v>
      </c>
      <c r="U821">
        <f t="shared" si="487"/>
        <v>0</v>
      </c>
      <c r="V821">
        <f t="shared" si="488"/>
        <v>0</v>
      </c>
      <c r="W821">
        <f t="shared" si="489"/>
        <v>0</v>
      </c>
      <c r="X821">
        <f t="shared" si="490"/>
        <v>0</v>
      </c>
      <c r="Y821">
        <f t="shared" si="491"/>
        <v>0</v>
      </c>
      <c r="Z821">
        <f t="shared" si="492"/>
        <v>0</v>
      </c>
      <c r="AA821">
        <f t="shared" si="493"/>
        <v>0</v>
      </c>
      <c r="AB821">
        <f t="shared" si="494"/>
        <v>0</v>
      </c>
      <c r="AC821">
        <f t="shared" si="495"/>
        <v>0</v>
      </c>
      <c r="AD821">
        <f t="shared" si="496"/>
        <v>0</v>
      </c>
      <c r="AF821">
        <f t="shared" si="497"/>
        <v>0</v>
      </c>
      <c r="AG821">
        <f t="shared" si="498"/>
        <v>0</v>
      </c>
      <c r="AH821">
        <f t="shared" si="499"/>
        <v>0</v>
      </c>
      <c r="AI821">
        <f t="shared" si="500"/>
        <v>0</v>
      </c>
      <c r="AJ821">
        <f t="shared" si="501"/>
        <v>0</v>
      </c>
      <c r="AK821">
        <f t="shared" si="502"/>
        <v>0</v>
      </c>
      <c r="AL821">
        <f t="shared" si="503"/>
        <v>0</v>
      </c>
      <c r="AM821">
        <f t="shared" si="504"/>
        <v>0</v>
      </c>
      <c r="AN821">
        <f t="shared" si="505"/>
        <v>0</v>
      </c>
      <c r="AO821">
        <f t="shared" si="506"/>
        <v>0</v>
      </c>
      <c r="AP821">
        <f t="shared" si="507"/>
        <v>0</v>
      </c>
      <c r="AQ821">
        <f t="shared" si="508"/>
        <v>0</v>
      </c>
    </row>
    <row r="822" spans="6:43" x14ac:dyDescent="0.45">
      <c r="F822">
        <f t="shared" si="473"/>
        <v>0</v>
      </c>
      <c r="G822">
        <f t="shared" si="474"/>
        <v>0</v>
      </c>
      <c r="H822">
        <f t="shared" si="475"/>
        <v>0</v>
      </c>
      <c r="I822">
        <f t="shared" si="476"/>
        <v>0</v>
      </c>
      <c r="J822">
        <f t="shared" si="477"/>
        <v>0</v>
      </c>
      <c r="K822">
        <f t="shared" si="478"/>
        <v>0</v>
      </c>
      <c r="L822">
        <f t="shared" si="479"/>
        <v>0</v>
      </c>
      <c r="M822">
        <f t="shared" si="480"/>
        <v>0</v>
      </c>
      <c r="N822">
        <f t="shared" si="481"/>
        <v>0</v>
      </c>
      <c r="O822">
        <f t="shared" si="482"/>
        <v>0</v>
      </c>
      <c r="P822">
        <f t="shared" si="483"/>
        <v>0</v>
      </c>
      <c r="Q822">
        <f t="shared" si="484"/>
        <v>0</v>
      </c>
      <c r="S822">
        <f t="shared" si="485"/>
        <v>0</v>
      </c>
      <c r="T822">
        <f t="shared" si="486"/>
        <v>0</v>
      </c>
      <c r="U822">
        <f t="shared" si="487"/>
        <v>0</v>
      </c>
      <c r="V822">
        <f t="shared" si="488"/>
        <v>0</v>
      </c>
      <c r="W822">
        <f t="shared" si="489"/>
        <v>0</v>
      </c>
      <c r="X822">
        <f t="shared" si="490"/>
        <v>0</v>
      </c>
      <c r="Y822">
        <f t="shared" si="491"/>
        <v>0</v>
      </c>
      <c r="Z822">
        <f t="shared" si="492"/>
        <v>0</v>
      </c>
      <c r="AA822">
        <f t="shared" si="493"/>
        <v>0</v>
      </c>
      <c r="AB822">
        <f t="shared" si="494"/>
        <v>0</v>
      </c>
      <c r="AC822">
        <f t="shared" si="495"/>
        <v>0</v>
      </c>
      <c r="AD822">
        <f t="shared" si="496"/>
        <v>0</v>
      </c>
      <c r="AF822">
        <f t="shared" si="497"/>
        <v>0</v>
      </c>
      <c r="AG822">
        <f t="shared" si="498"/>
        <v>0</v>
      </c>
      <c r="AH822">
        <f t="shared" si="499"/>
        <v>0</v>
      </c>
      <c r="AI822">
        <f t="shared" si="500"/>
        <v>0</v>
      </c>
      <c r="AJ822">
        <f t="shared" si="501"/>
        <v>0</v>
      </c>
      <c r="AK822">
        <f t="shared" si="502"/>
        <v>0</v>
      </c>
      <c r="AL822">
        <f t="shared" si="503"/>
        <v>0</v>
      </c>
      <c r="AM822">
        <f t="shared" si="504"/>
        <v>0</v>
      </c>
      <c r="AN822">
        <f t="shared" si="505"/>
        <v>0</v>
      </c>
      <c r="AO822">
        <f t="shared" si="506"/>
        <v>0</v>
      </c>
      <c r="AP822">
        <f t="shared" si="507"/>
        <v>0</v>
      </c>
      <c r="AQ822">
        <f t="shared" si="508"/>
        <v>0</v>
      </c>
    </row>
    <row r="823" spans="6:43" x14ac:dyDescent="0.45">
      <c r="F823">
        <f t="shared" si="473"/>
        <v>0</v>
      </c>
      <c r="G823">
        <f t="shared" si="474"/>
        <v>0</v>
      </c>
      <c r="H823">
        <f t="shared" si="475"/>
        <v>0</v>
      </c>
      <c r="I823">
        <f t="shared" si="476"/>
        <v>0</v>
      </c>
      <c r="J823">
        <f t="shared" si="477"/>
        <v>0</v>
      </c>
      <c r="K823">
        <f t="shared" si="478"/>
        <v>0</v>
      </c>
      <c r="L823">
        <f t="shared" si="479"/>
        <v>0</v>
      </c>
      <c r="M823">
        <f t="shared" si="480"/>
        <v>0</v>
      </c>
      <c r="N823">
        <f t="shared" si="481"/>
        <v>0</v>
      </c>
      <c r="O823">
        <f t="shared" si="482"/>
        <v>0</v>
      </c>
      <c r="P823">
        <f t="shared" si="483"/>
        <v>0</v>
      </c>
      <c r="Q823">
        <f t="shared" si="484"/>
        <v>0</v>
      </c>
      <c r="S823">
        <f t="shared" si="485"/>
        <v>0</v>
      </c>
      <c r="T823">
        <f t="shared" si="486"/>
        <v>0</v>
      </c>
      <c r="U823">
        <f t="shared" si="487"/>
        <v>0</v>
      </c>
      <c r="V823">
        <f t="shared" si="488"/>
        <v>0</v>
      </c>
      <c r="W823">
        <f t="shared" si="489"/>
        <v>0</v>
      </c>
      <c r="X823">
        <f t="shared" si="490"/>
        <v>0</v>
      </c>
      <c r="Y823">
        <f t="shared" si="491"/>
        <v>0</v>
      </c>
      <c r="Z823">
        <f t="shared" si="492"/>
        <v>0</v>
      </c>
      <c r="AA823">
        <f t="shared" si="493"/>
        <v>0</v>
      </c>
      <c r="AB823">
        <f t="shared" si="494"/>
        <v>0</v>
      </c>
      <c r="AC823">
        <f t="shared" si="495"/>
        <v>0</v>
      </c>
      <c r="AD823">
        <f t="shared" si="496"/>
        <v>0</v>
      </c>
      <c r="AF823">
        <f t="shared" si="497"/>
        <v>0</v>
      </c>
      <c r="AG823">
        <f t="shared" si="498"/>
        <v>0</v>
      </c>
      <c r="AH823">
        <f t="shared" si="499"/>
        <v>0</v>
      </c>
      <c r="AI823">
        <f t="shared" si="500"/>
        <v>0</v>
      </c>
      <c r="AJ823">
        <f t="shared" si="501"/>
        <v>0</v>
      </c>
      <c r="AK823">
        <f t="shared" si="502"/>
        <v>0</v>
      </c>
      <c r="AL823">
        <f t="shared" si="503"/>
        <v>0</v>
      </c>
      <c r="AM823">
        <f t="shared" si="504"/>
        <v>0</v>
      </c>
      <c r="AN823">
        <f t="shared" si="505"/>
        <v>0</v>
      </c>
      <c r="AO823">
        <f t="shared" si="506"/>
        <v>0</v>
      </c>
      <c r="AP823">
        <f t="shared" si="507"/>
        <v>0</v>
      </c>
      <c r="AQ823">
        <f t="shared" si="508"/>
        <v>0</v>
      </c>
    </row>
    <row r="824" spans="6:43" x14ac:dyDescent="0.45">
      <c r="F824">
        <f t="shared" si="473"/>
        <v>0</v>
      </c>
      <c r="G824">
        <f t="shared" si="474"/>
        <v>0</v>
      </c>
      <c r="H824">
        <f t="shared" si="475"/>
        <v>0</v>
      </c>
      <c r="I824">
        <f t="shared" si="476"/>
        <v>0</v>
      </c>
      <c r="J824">
        <f t="shared" si="477"/>
        <v>0</v>
      </c>
      <c r="K824">
        <f t="shared" si="478"/>
        <v>0</v>
      </c>
      <c r="L824">
        <f t="shared" si="479"/>
        <v>0</v>
      </c>
      <c r="M824">
        <f t="shared" si="480"/>
        <v>0</v>
      </c>
      <c r="N824">
        <f t="shared" si="481"/>
        <v>0</v>
      </c>
      <c r="O824">
        <f t="shared" si="482"/>
        <v>0</v>
      </c>
      <c r="P824">
        <f t="shared" si="483"/>
        <v>0</v>
      </c>
      <c r="Q824">
        <f t="shared" si="484"/>
        <v>0</v>
      </c>
      <c r="S824">
        <f t="shared" si="485"/>
        <v>0</v>
      </c>
      <c r="T824">
        <f t="shared" si="486"/>
        <v>0</v>
      </c>
      <c r="U824">
        <f t="shared" si="487"/>
        <v>0</v>
      </c>
      <c r="V824">
        <f t="shared" si="488"/>
        <v>0</v>
      </c>
      <c r="W824">
        <f t="shared" si="489"/>
        <v>0</v>
      </c>
      <c r="X824">
        <f t="shared" si="490"/>
        <v>0</v>
      </c>
      <c r="Y824">
        <f t="shared" si="491"/>
        <v>0</v>
      </c>
      <c r="Z824">
        <f t="shared" si="492"/>
        <v>0</v>
      </c>
      <c r="AA824">
        <f t="shared" si="493"/>
        <v>0</v>
      </c>
      <c r="AB824">
        <f t="shared" si="494"/>
        <v>0</v>
      </c>
      <c r="AC824">
        <f t="shared" si="495"/>
        <v>0</v>
      </c>
      <c r="AD824">
        <f t="shared" si="496"/>
        <v>0</v>
      </c>
      <c r="AF824">
        <f t="shared" si="497"/>
        <v>0</v>
      </c>
      <c r="AG824">
        <f t="shared" si="498"/>
        <v>0</v>
      </c>
      <c r="AH824">
        <f t="shared" si="499"/>
        <v>0</v>
      </c>
      <c r="AI824">
        <f t="shared" si="500"/>
        <v>0</v>
      </c>
      <c r="AJ824">
        <f t="shared" si="501"/>
        <v>0</v>
      </c>
      <c r="AK824">
        <f t="shared" si="502"/>
        <v>0</v>
      </c>
      <c r="AL824">
        <f t="shared" si="503"/>
        <v>0</v>
      </c>
      <c r="AM824">
        <f t="shared" si="504"/>
        <v>0</v>
      </c>
      <c r="AN824">
        <f t="shared" si="505"/>
        <v>0</v>
      </c>
      <c r="AO824">
        <f t="shared" si="506"/>
        <v>0</v>
      </c>
      <c r="AP824">
        <f t="shared" si="507"/>
        <v>0</v>
      </c>
      <c r="AQ824">
        <f t="shared" si="508"/>
        <v>0</v>
      </c>
    </row>
    <row r="825" spans="6:43" x14ac:dyDescent="0.45">
      <c r="F825">
        <f t="shared" si="473"/>
        <v>0</v>
      </c>
      <c r="G825">
        <f t="shared" si="474"/>
        <v>0</v>
      </c>
      <c r="H825">
        <f t="shared" si="475"/>
        <v>0</v>
      </c>
      <c r="I825">
        <f t="shared" si="476"/>
        <v>0</v>
      </c>
      <c r="J825">
        <f t="shared" si="477"/>
        <v>0</v>
      </c>
      <c r="K825">
        <f t="shared" si="478"/>
        <v>0</v>
      </c>
      <c r="L825">
        <f t="shared" si="479"/>
        <v>0</v>
      </c>
      <c r="M825">
        <f t="shared" si="480"/>
        <v>0</v>
      </c>
      <c r="N825">
        <f t="shared" si="481"/>
        <v>0</v>
      </c>
      <c r="O825">
        <f t="shared" si="482"/>
        <v>0</v>
      </c>
      <c r="P825">
        <f t="shared" si="483"/>
        <v>0</v>
      </c>
      <c r="Q825">
        <f t="shared" si="484"/>
        <v>0</v>
      </c>
      <c r="S825">
        <f t="shared" si="485"/>
        <v>0</v>
      </c>
      <c r="T825">
        <f t="shared" si="486"/>
        <v>0</v>
      </c>
      <c r="U825">
        <f t="shared" si="487"/>
        <v>0</v>
      </c>
      <c r="V825">
        <f t="shared" si="488"/>
        <v>0</v>
      </c>
      <c r="W825">
        <f t="shared" si="489"/>
        <v>0</v>
      </c>
      <c r="X825">
        <f t="shared" si="490"/>
        <v>0</v>
      </c>
      <c r="Y825">
        <f t="shared" si="491"/>
        <v>0</v>
      </c>
      <c r="Z825">
        <f t="shared" si="492"/>
        <v>0</v>
      </c>
      <c r="AA825">
        <f t="shared" si="493"/>
        <v>0</v>
      </c>
      <c r="AB825">
        <f t="shared" si="494"/>
        <v>0</v>
      </c>
      <c r="AC825">
        <f t="shared" si="495"/>
        <v>0</v>
      </c>
      <c r="AD825">
        <f t="shared" si="496"/>
        <v>0</v>
      </c>
      <c r="AF825">
        <f t="shared" si="497"/>
        <v>0</v>
      </c>
      <c r="AG825">
        <f t="shared" si="498"/>
        <v>0</v>
      </c>
      <c r="AH825">
        <f t="shared" si="499"/>
        <v>0</v>
      </c>
      <c r="AI825">
        <f t="shared" si="500"/>
        <v>0</v>
      </c>
      <c r="AJ825">
        <f t="shared" si="501"/>
        <v>0</v>
      </c>
      <c r="AK825">
        <f t="shared" si="502"/>
        <v>0</v>
      </c>
      <c r="AL825">
        <f t="shared" si="503"/>
        <v>0</v>
      </c>
      <c r="AM825">
        <f t="shared" si="504"/>
        <v>0</v>
      </c>
      <c r="AN825">
        <f t="shared" si="505"/>
        <v>0</v>
      </c>
      <c r="AO825">
        <f t="shared" si="506"/>
        <v>0</v>
      </c>
      <c r="AP825">
        <f t="shared" si="507"/>
        <v>0</v>
      </c>
      <c r="AQ825">
        <f t="shared" si="508"/>
        <v>0</v>
      </c>
    </row>
    <row r="826" spans="6:43" x14ac:dyDescent="0.45">
      <c r="F826">
        <f t="shared" si="473"/>
        <v>0</v>
      </c>
      <c r="G826">
        <f t="shared" si="474"/>
        <v>0</v>
      </c>
      <c r="H826">
        <f t="shared" si="475"/>
        <v>0</v>
      </c>
      <c r="I826">
        <f t="shared" si="476"/>
        <v>0</v>
      </c>
      <c r="J826">
        <f t="shared" si="477"/>
        <v>0</v>
      </c>
      <c r="K826">
        <f t="shared" si="478"/>
        <v>0</v>
      </c>
      <c r="L826">
        <f t="shared" si="479"/>
        <v>0</v>
      </c>
      <c r="M826">
        <f t="shared" si="480"/>
        <v>0</v>
      </c>
      <c r="N826">
        <f t="shared" si="481"/>
        <v>0</v>
      </c>
      <c r="O826">
        <f t="shared" si="482"/>
        <v>0</v>
      </c>
      <c r="P826">
        <f t="shared" si="483"/>
        <v>0</v>
      </c>
      <c r="Q826">
        <f t="shared" si="484"/>
        <v>0</v>
      </c>
      <c r="S826">
        <f t="shared" si="485"/>
        <v>0</v>
      </c>
      <c r="T826">
        <f t="shared" si="486"/>
        <v>0</v>
      </c>
      <c r="U826">
        <f t="shared" si="487"/>
        <v>0</v>
      </c>
      <c r="V826">
        <f t="shared" si="488"/>
        <v>0</v>
      </c>
      <c r="W826">
        <f t="shared" si="489"/>
        <v>0</v>
      </c>
      <c r="X826">
        <f t="shared" si="490"/>
        <v>0</v>
      </c>
      <c r="Y826">
        <f t="shared" si="491"/>
        <v>0</v>
      </c>
      <c r="Z826">
        <f t="shared" si="492"/>
        <v>0</v>
      </c>
      <c r="AA826">
        <f t="shared" si="493"/>
        <v>0</v>
      </c>
      <c r="AB826">
        <f t="shared" si="494"/>
        <v>0</v>
      </c>
      <c r="AC826">
        <f t="shared" si="495"/>
        <v>0</v>
      </c>
      <c r="AD826">
        <f t="shared" si="496"/>
        <v>0</v>
      </c>
      <c r="AF826">
        <f t="shared" si="497"/>
        <v>0</v>
      </c>
      <c r="AG826">
        <f t="shared" si="498"/>
        <v>0</v>
      </c>
      <c r="AH826">
        <f t="shared" si="499"/>
        <v>0</v>
      </c>
      <c r="AI826">
        <f t="shared" si="500"/>
        <v>0</v>
      </c>
      <c r="AJ826">
        <f t="shared" si="501"/>
        <v>0</v>
      </c>
      <c r="AK826">
        <f t="shared" si="502"/>
        <v>0</v>
      </c>
      <c r="AL826">
        <f t="shared" si="503"/>
        <v>0</v>
      </c>
      <c r="AM826">
        <f t="shared" si="504"/>
        <v>0</v>
      </c>
      <c r="AN826">
        <f t="shared" si="505"/>
        <v>0</v>
      </c>
      <c r="AO826">
        <f t="shared" si="506"/>
        <v>0</v>
      </c>
      <c r="AP826">
        <f t="shared" si="507"/>
        <v>0</v>
      </c>
      <c r="AQ826">
        <f t="shared" si="508"/>
        <v>0</v>
      </c>
    </row>
    <row r="827" spans="6:43" x14ac:dyDescent="0.45">
      <c r="F827">
        <f t="shared" si="473"/>
        <v>0</v>
      </c>
      <c r="G827">
        <f t="shared" si="474"/>
        <v>0</v>
      </c>
      <c r="H827">
        <f t="shared" si="475"/>
        <v>0</v>
      </c>
      <c r="I827">
        <f t="shared" si="476"/>
        <v>0</v>
      </c>
      <c r="J827">
        <f t="shared" si="477"/>
        <v>0</v>
      </c>
      <c r="K827">
        <f t="shared" si="478"/>
        <v>0</v>
      </c>
      <c r="L827">
        <f t="shared" si="479"/>
        <v>0</v>
      </c>
      <c r="M827">
        <f t="shared" si="480"/>
        <v>0</v>
      </c>
      <c r="N827">
        <f t="shared" si="481"/>
        <v>0</v>
      </c>
      <c r="O827">
        <f t="shared" si="482"/>
        <v>0</v>
      </c>
      <c r="P827">
        <f t="shared" si="483"/>
        <v>0</v>
      </c>
      <c r="Q827">
        <f t="shared" si="484"/>
        <v>0</v>
      </c>
      <c r="S827">
        <f t="shared" si="485"/>
        <v>0</v>
      </c>
      <c r="T827">
        <f t="shared" si="486"/>
        <v>0</v>
      </c>
      <c r="U827">
        <f t="shared" si="487"/>
        <v>0</v>
      </c>
      <c r="V827">
        <f t="shared" si="488"/>
        <v>0</v>
      </c>
      <c r="W827">
        <f t="shared" si="489"/>
        <v>0</v>
      </c>
      <c r="X827">
        <f t="shared" si="490"/>
        <v>0</v>
      </c>
      <c r="Y827">
        <f t="shared" si="491"/>
        <v>0</v>
      </c>
      <c r="Z827">
        <f t="shared" si="492"/>
        <v>0</v>
      </c>
      <c r="AA827">
        <f t="shared" si="493"/>
        <v>0</v>
      </c>
      <c r="AB827">
        <f t="shared" si="494"/>
        <v>0</v>
      </c>
      <c r="AC827">
        <f t="shared" si="495"/>
        <v>0</v>
      </c>
      <c r="AD827">
        <f t="shared" si="496"/>
        <v>0</v>
      </c>
      <c r="AF827">
        <f t="shared" si="497"/>
        <v>0</v>
      </c>
      <c r="AG827">
        <f t="shared" si="498"/>
        <v>0</v>
      </c>
      <c r="AH827">
        <f t="shared" si="499"/>
        <v>0</v>
      </c>
      <c r="AI827">
        <f t="shared" si="500"/>
        <v>0</v>
      </c>
      <c r="AJ827">
        <f t="shared" si="501"/>
        <v>0</v>
      </c>
      <c r="AK827">
        <f t="shared" si="502"/>
        <v>0</v>
      </c>
      <c r="AL827">
        <f t="shared" si="503"/>
        <v>0</v>
      </c>
      <c r="AM827">
        <f t="shared" si="504"/>
        <v>0</v>
      </c>
      <c r="AN827">
        <f t="shared" si="505"/>
        <v>0</v>
      </c>
      <c r="AO827">
        <f t="shared" si="506"/>
        <v>0</v>
      </c>
      <c r="AP827">
        <f t="shared" si="507"/>
        <v>0</v>
      </c>
      <c r="AQ827">
        <f t="shared" si="508"/>
        <v>0</v>
      </c>
    </row>
    <row r="828" spans="6:43" x14ac:dyDescent="0.45">
      <c r="F828">
        <f t="shared" si="473"/>
        <v>0</v>
      </c>
      <c r="G828">
        <f t="shared" si="474"/>
        <v>0</v>
      </c>
      <c r="H828">
        <f t="shared" si="475"/>
        <v>0</v>
      </c>
      <c r="I828">
        <f t="shared" si="476"/>
        <v>0</v>
      </c>
      <c r="J828">
        <f t="shared" si="477"/>
        <v>0</v>
      </c>
      <c r="K828">
        <f t="shared" si="478"/>
        <v>0</v>
      </c>
      <c r="L828">
        <f t="shared" si="479"/>
        <v>0</v>
      </c>
      <c r="M828">
        <f t="shared" si="480"/>
        <v>0</v>
      </c>
      <c r="N828">
        <f t="shared" si="481"/>
        <v>0</v>
      </c>
      <c r="O828">
        <f t="shared" si="482"/>
        <v>0</v>
      </c>
      <c r="P828">
        <f t="shared" si="483"/>
        <v>0</v>
      </c>
      <c r="Q828">
        <f t="shared" si="484"/>
        <v>0</v>
      </c>
      <c r="S828">
        <f t="shared" si="485"/>
        <v>0</v>
      </c>
      <c r="T828">
        <f t="shared" si="486"/>
        <v>0</v>
      </c>
      <c r="U828">
        <f t="shared" si="487"/>
        <v>0</v>
      </c>
      <c r="V828">
        <f t="shared" si="488"/>
        <v>0</v>
      </c>
      <c r="W828">
        <f t="shared" si="489"/>
        <v>0</v>
      </c>
      <c r="X828">
        <f t="shared" si="490"/>
        <v>0</v>
      </c>
      <c r="Y828">
        <f t="shared" si="491"/>
        <v>0</v>
      </c>
      <c r="Z828">
        <f t="shared" si="492"/>
        <v>0</v>
      </c>
      <c r="AA828">
        <f t="shared" si="493"/>
        <v>0</v>
      </c>
      <c r="AB828">
        <f t="shared" si="494"/>
        <v>0</v>
      </c>
      <c r="AC828">
        <f t="shared" si="495"/>
        <v>0</v>
      </c>
      <c r="AD828">
        <f t="shared" si="496"/>
        <v>0</v>
      </c>
      <c r="AF828">
        <f t="shared" si="497"/>
        <v>0</v>
      </c>
      <c r="AG828">
        <f t="shared" si="498"/>
        <v>0</v>
      </c>
      <c r="AH828">
        <f t="shared" si="499"/>
        <v>0</v>
      </c>
      <c r="AI828">
        <f t="shared" si="500"/>
        <v>0</v>
      </c>
      <c r="AJ828">
        <f t="shared" si="501"/>
        <v>0</v>
      </c>
      <c r="AK828">
        <f t="shared" si="502"/>
        <v>0</v>
      </c>
      <c r="AL828">
        <f t="shared" si="503"/>
        <v>0</v>
      </c>
      <c r="AM828">
        <f t="shared" si="504"/>
        <v>0</v>
      </c>
      <c r="AN828">
        <f t="shared" si="505"/>
        <v>0</v>
      </c>
      <c r="AO828">
        <f t="shared" si="506"/>
        <v>0</v>
      </c>
      <c r="AP828">
        <f t="shared" si="507"/>
        <v>0</v>
      </c>
      <c r="AQ828">
        <f t="shared" si="508"/>
        <v>0</v>
      </c>
    </row>
    <row r="829" spans="6:43" x14ac:dyDescent="0.45">
      <c r="F829">
        <f t="shared" si="473"/>
        <v>0</v>
      </c>
      <c r="G829">
        <f t="shared" si="474"/>
        <v>0</v>
      </c>
      <c r="H829">
        <f t="shared" si="475"/>
        <v>0</v>
      </c>
      <c r="I829">
        <f t="shared" si="476"/>
        <v>0</v>
      </c>
      <c r="J829">
        <f t="shared" si="477"/>
        <v>0</v>
      </c>
      <c r="K829">
        <f t="shared" si="478"/>
        <v>0</v>
      </c>
      <c r="L829">
        <f t="shared" si="479"/>
        <v>0</v>
      </c>
      <c r="M829">
        <f t="shared" si="480"/>
        <v>0</v>
      </c>
      <c r="N829">
        <f t="shared" si="481"/>
        <v>0</v>
      </c>
      <c r="O829">
        <f t="shared" si="482"/>
        <v>0</v>
      </c>
      <c r="P829">
        <f t="shared" si="483"/>
        <v>0</v>
      </c>
      <c r="Q829">
        <f t="shared" si="484"/>
        <v>0</v>
      </c>
      <c r="S829">
        <f t="shared" si="485"/>
        <v>0</v>
      </c>
      <c r="T829">
        <f t="shared" si="486"/>
        <v>0</v>
      </c>
      <c r="U829">
        <f t="shared" si="487"/>
        <v>0</v>
      </c>
      <c r="V829">
        <f t="shared" si="488"/>
        <v>0</v>
      </c>
      <c r="W829">
        <f t="shared" si="489"/>
        <v>0</v>
      </c>
      <c r="X829">
        <f t="shared" si="490"/>
        <v>0</v>
      </c>
      <c r="Y829">
        <f t="shared" si="491"/>
        <v>0</v>
      </c>
      <c r="Z829">
        <f t="shared" si="492"/>
        <v>0</v>
      </c>
      <c r="AA829">
        <f t="shared" si="493"/>
        <v>0</v>
      </c>
      <c r="AB829">
        <f t="shared" si="494"/>
        <v>0</v>
      </c>
      <c r="AC829">
        <f t="shared" si="495"/>
        <v>0</v>
      </c>
      <c r="AD829">
        <f t="shared" si="496"/>
        <v>0</v>
      </c>
      <c r="AF829">
        <f t="shared" si="497"/>
        <v>0</v>
      </c>
      <c r="AG829">
        <f t="shared" si="498"/>
        <v>0</v>
      </c>
      <c r="AH829">
        <f t="shared" si="499"/>
        <v>0</v>
      </c>
      <c r="AI829">
        <f t="shared" si="500"/>
        <v>0</v>
      </c>
      <c r="AJ829">
        <f t="shared" si="501"/>
        <v>0</v>
      </c>
      <c r="AK829">
        <f t="shared" si="502"/>
        <v>0</v>
      </c>
      <c r="AL829">
        <f t="shared" si="503"/>
        <v>0</v>
      </c>
      <c r="AM829">
        <f t="shared" si="504"/>
        <v>0</v>
      </c>
      <c r="AN829">
        <f t="shared" si="505"/>
        <v>0</v>
      </c>
      <c r="AO829">
        <f t="shared" si="506"/>
        <v>0</v>
      </c>
      <c r="AP829">
        <f t="shared" si="507"/>
        <v>0</v>
      </c>
      <c r="AQ829">
        <f t="shared" si="508"/>
        <v>0</v>
      </c>
    </row>
    <row r="830" spans="6:43" x14ac:dyDescent="0.45">
      <c r="F830">
        <f t="shared" si="473"/>
        <v>0</v>
      </c>
      <c r="G830">
        <f t="shared" si="474"/>
        <v>0</v>
      </c>
      <c r="H830">
        <f t="shared" si="475"/>
        <v>0</v>
      </c>
      <c r="I830">
        <f t="shared" si="476"/>
        <v>0</v>
      </c>
      <c r="J830">
        <f t="shared" si="477"/>
        <v>0</v>
      </c>
      <c r="K830">
        <f t="shared" si="478"/>
        <v>0</v>
      </c>
      <c r="L830">
        <f t="shared" si="479"/>
        <v>0</v>
      </c>
      <c r="M830">
        <f t="shared" si="480"/>
        <v>0</v>
      </c>
      <c r="N830">
        <f t="shared" si="481"/>
        <v>0</v>
      </c>
      <c r="O830">
        <f t="shared" si="482"/>
        <v>0</v>
      </c>
      <c r="P830">
        <f t="shared" si="483"/>
        <v>0</v>
      </c>
      <c r="Q830">
        <f t="shared" si="484"/>
        <v>0</v>
      </c>
      <c r="S830">
        <f t="shared" si="485"/>
        <v>0</v>
      </c>
      <c r="T830">
        <f t="shared" si="486"/>
        <v>0</v>
      </c>
      <c r="U830">
        <f t="shared" si="487"/>
        <v>0</v>
      </c>
      <c r="V830">
        <f t="shared" si="488"/>
        <v>0</v>
      </c>
      <c r="W830">
        <f t="shared" si="489"/>
        <v>0</v>
      </c>
      <c r="X830">
        <f t="shared" si="490"/>
        <v>0</v>
      </c>
      <c r="Y830">
        <f t="shared" si="491"/>
        <v>0</v>
      </c>
      <c r="Z830">
        <f t="shared" si="492"/>
        <v>0</v>
      </c>
      <c r="AA830">
        <f t="shared" si="493"/>
        <v>0</v>
      </c>
      <c r="AB830">
        <f t="shared" si="494"/>
        <v>0</v>
      </c>
      <c r="AC830">
        <f t="shared" si="495"/>
        <v>0</v>
      </c>
      <c r="AD830">
        <f t="shared" si="496"/>
        <v>0</v>
      </c>
      <c r="AF830">
        <f t="shared" si="497"/>
        <v>0</v>
      </c>
      <c r="AG830">
        <f t="shared" si="498"/>
        <v>0</v>
      </c>
      <c r="AH830">
        <f t="shared" si="499"/>
        <v>0</v>
      </c>
      <c r="AI830">
        <f t="shared" si="500"/>
        <v>0</v>
      </c>
      <c r="AJ830">
        <f t="shared" si="501"/>
        <v>0</v>
      </c>
      <c r="AK830">
        <f t="shared" si="502"/>
        <v>0</v>
      </c>
      <c r="AL830">
        <f t="shared" si="503"/>
        <v>0</v>
      </c>
      <c r="AM830">
        <f t="shared" si="504"/>
        <v>0</v>
      </c>
      <c r="AN830">
        <f t="shared" si="505"/>
        <v>0</v>
      </c>
      <c r="AO830">
        <f t="shared" si="506"/>
        <v>0</v>
      </c>
      <c r="AP830">
        <f t="shared" si="507"/>
        <v>0</v>
      </c>
      <c r="AQ830">
        <f t="shared" si="508"/>
        <v>0</v>
      </c>
    </row>
    <row r="831" spans="6:43" x14ac:dyDescent="0.45">
      <c r="F831">
        <f t="shared" si="473"/>
        <v>0</v>
      </c>
      <c r="G831">
        <f t="shared" si="474"/>
        <v>0</v>
      </c>
      <c r="H831">
        <f t="shared" si="475"/>
        <v>0</v>
      </c>
      <c r="I831">
        <f t="shared" si="476"/>
        <v>0</v>
      </c>
      <c r="J831">
        <f t="shared" si="477"/>
        <v>0</v>
      </c>
      <c r="K831">
        <f t="shared" si="478"/>
        <v>0</v>
      </c>
      <c r="L831">
        <f t="shared" si="479"/>
        <v>0</v>
      </c>
      <c r="M831">
        <f t="shared" si="480"/>
        <v>0</v>
      </c>
      <c r="N831">
        <f t="shared" si="481"/>
        <v>0</v>
      </c>
      <c r="O831">
        <f t="shared" si="482"/>
        <v>0</v>
      </c>
      <c r="P831">
        <f t="shared" si="483"/>
        <v>0</v>
      </c>
      <c r="Q831">
        <f t="shared" si="484"/>
        <v>0</v>
      </c>
      <c r="S831">
        <f t="shared" si="485"/>
        <v>0</v>
      </c>
      <c r="T831">
        <f t="shared" si="486"/>
        <v>0</v>
      </c>
      <c r="U831">
        <f t="shared" si="487"/>
        <v>0</v>
      </c>
      <c r="V831">
        <f t="shared" si="488"/>
        <v>0</v>
      </c>
      <c r="W831">
        <f t="shared" si="489"/>
        <v>0</v>
      </c>
      <c r="X831">
        <f t="shared" si="490"/>
        <v>0</v>
      </c>
      <c r="Y831">
        <f t="shared" si="491"/>
        <v>0</v>
      </c>
      <c r="Z831">
        <f t="shared" si="492"/>
        <v>0</v>
      </c>
      <c r="AA831">
        <f t="shared" si="493"/>
        <v>0</v>
      </c>
      <c r="AB831">
        <f t="shared" si="494"/>
        <v>0</v>
      </c>
      <c r="AC831">
        <f t="shared" si="495"/>
        <v>0</v>
      </c>
      <c r="AD831">
        <f t="shared" si="496"/>
        <v>0</v>
      </c>
      <c r="AF831">
        <f t="shared" si="497"/>
        <v>0</v>
      </c>
      <c r="AG831">
        <f t="shared" si="498"/>
        <v>0</v>
      </c>
      <c r="AH831">
        <f t="shared" si="499"/>
        <v>0</v>
      </c>
      <c r="AI831">
        <f t="shared" si="500"/>
        <v>0</v>
      </c>
      <c r="AJ831">
        <f t="shared" si="501"/>
        <v>0</v>
      </c>
      <c r="AK831">
        <f t="shared" si="502"/>
        <v>0</v>
      </c>
      <c r="AL831">
        <f t="shared" si="503"/>
        <v>0</v>
      </c>
      <c r="AM831">
        <f t="shared" si="504"/>
        <v>0</v>
      </c>
      <c r="AN831">
        <f t="shared" si="505"/>
        <v>0</v>
      </c>
      <c r="AO831">
        <f t="shared" si="506"/>
        <v>0</v>
      </c>
      <c r="AP831">
        <f t="shared" si="507"/>
        <v>0</v>
      </c>
      <c r="AQ831">
        <f t="shared" si="508"/>
        <v>0</v>
      </c>
    </row>
    <row r="832" spans="6:43" x14ac:dyDescent="0.45">
      <c r="F832">
        <f t="shared" si="473"/>
        <v>0</v>
      </c>
      <c r="G832">
        <f t="shared" si="474"/>
        <v>0</v>
      </c>
      <c r="H832">
        <f t="shared" si="475"/>
        <v>0</v>
      </c>
      <c r="I832">
        <f t="shared" si="476"/>
        <v>0</v>
      </c>
      <c r="J832">
        <f t="shared" si="477"/>
        <v>0</v>
      </c>
      <c r="K832">
        <f t="shared" si="478"/>
        <v>0</v>
      </c>
      <c r="L832">
        <f t="shared" si="479"/>
        <v>0</v>
      </c>
      <c r="M832">
        <f t="shared" si="480"/>
        <v>0</v>
      </c>
      <c r="N832">
        <f t="shared" si="481"/>
        <v>0</v>
      </c>
      <c r="O832">
        <f t="shared" si="482"/>
        <v>0</v>
      </c>
      <c r="P832">
        <f t="shared" si="483"/>
        <v>0</v>
      </c>
      <c r="Q832">
        <f t="shared" si="484"/>
        <v>0</v>
      </c>
      <c r="S832">
        <f t="shared" si="485"/>
        <v>0</v>
      </c>
      <c r="T832">
        <f t="shared" si="486"/>
        <v>0</v>
      </c>
      <c r="U832">
        <f t="shared" si="487"/>
        <v>0</v>
      </c>
      <c r="V832">
        <f t="shared" si="488"/>
        <v>0</v>
      </c>
      <c r="W832">
        <f t="shared" si="489"/>
        <v>0</v>
      </c>
      <c r="X832">
        <f t="shared" si="490"/>
        <v>0</v>
      </c>
      <c r="Y832">
        <f t="shared" si="491"/>
        <v>0</v>
      </c>
      <c r="Z832">
        <f t="shared" si="492"/>
        <v>0</v>
      </c>
      <c r="AA832">
        <f t="shared" si="493"/>
        <v>0</v>
      </c>
      <c r="AB832">
        <f t="shared" si="494"/>
        <v>0</v>
      </c>
      <c r="AC832">
        <f t="shared" si="495"/>
        <v>0</v>
      </c>
      <c r="AD832">
        <f t="shared" si="496"/>
        <v>0</v>
      </c>
      <c r="AF832">
        <f t="shared" si="497"/>
        <v>0</v>
      </c>
      <c r="AG832">
        <f t="shared" si="498"/>
        <v>0</v>
      </c>
      <c r="AH832">
        <f t="shared" si="499"/>
        <v>0</v>
      </c>
      <c r="AI832">
        <f t="shared" si="500"/>
        <v>0</v>
      </c>
      <c r="AJ832">
        <f t="shared" si="501"/>
        <v>0</v>
      </c>
      <c r="AK832">
        <f t="shared" si="502"/>
        <v>0</v>
      </c>
      <c r="AL832">
        <f t="shared" si="503"/>
        <v>0</v>
      </c>
      <c r="AM832">
        <f t="shared" si="504"/>
        <v>0</v>
      </c>
      <c r="AN832">
        <f t="shared" si="505"/>
        <v>0</v>
      </c>
      <c r="AO832">
        <f t="shared" si="506"/>
        <v>0</v>
      </c>
      <c r="AP832">
        <f t="shared" si="507"/>
        <v>0</v>
      </c>
      <c r="AQ832">
        <f t="shared" si="508"/>
        <v>0</v>
      </c>
    </row>
    <row r="833" spans="6:43" x14ac:dyDescent="0.45">
      <c r="F833">
        <f t="shared" si="473"/>
        <v>0</v>
      </c>
      <c r="G833">
        <f t="shared" si="474"/>
        <v>0</v>
      </c>
      <c r="H833">
        <f t="shared" si="475"/>
        <v>0</v>
      </c>
      <c r="I833">
        <f t="shared" si="476"/>
        <v>0</v>
      </c>
      <c r="J833">
        <f t="shared" si="477"/>
        <v>0</v>
      </c>
      <c r="K833">
        <f t="shared" si="478"/>
        <v>0</v>
      </c>
      <c r="L833">
        <f t="shared" si="479"/>
        <v>0</v>
      </c>
      <c r="M833">
        <f t="shared" si="480"/>
        <v>0</v>
      </c>
      <c r="N833">
        <f t="shared" si="481"/>
        <v>0</v>
      </c>
      <c r="O833">
        <f t="shared" si="482"/>
        <v>0</v>
      </c>
      <c r="P833">
        <f t="shared" si="483"/>
        <v>0</v>
      </c>
      <c r="Q833">
        <f t="shared" si="484"/>
        <v>0</v>
      </c>
      <c r="S833">
        <f t="shared" si="485"/>
        <v>0</v>
      </c>
      <c r="T833">
        <f t="shared" si="486"/>
        <v>0</v>
      </c>
      <c r="U833">
        <f t="shared" si="487"/>
        <v>0</v>
      </c>
      <c r="V833">
        <f t="shared" si="488"/>
        <v>0</v>
      </c>
      <c r="W833">
        <f t="shared" si="489"/>
        <v>0</v>
      </c>
      <c r="X833">
        <f t="shared" si="490"/>
        <v>0</v>
      </c>
      <c r="Y833">
        <f t="shared" si="491"/>
        <v>0</v>
      </c>
      <c r="Z833">
        <f t="shared" si="492"/>
        <v>0</v>
      </c>
      <c r="AA833">
        <f t="shared" si="493"/>
        <v>0</v>
      </c>
      <c r="AB833">
        <f t="shared" si="494"/>
        <v>0</v>
      </c>
      <c r="AC833">
        <f t="shared" si="495"/>
        <v>0</v>
      </c>
      <c r="AD833">
        <f t="shared" si="496"/>
        <v>0</v>
      </c>
      <c r="AF833">
        <f t="shared" si="497"/>
        <v>0</v>
      </c>
      <c r="AG833">
        <f t="shared" si="498"/>
        <v>0</v>
      </c>
      <c r="AH833">
        <f t="shared" si="499"/>
        <v>0</v>
      </c>
      <c r="AI833">
        <f t="shared" si="500"/>
        <v>0</v>
      </c>
      <c r="AJ833">
        <f t="shared" si="501"/>
        <v>0</v>
      </c>
      <c r="AK833">
        <f t="shared" si="502"/>
        <v>0</v>
      </c>
      <c r="AL833">
        <f t="shared" si="503"/>
        <v>0</v>
      </c>
      <c r="AM833">
        <f t="shared" si="504"/>
        <v>0</v>
      </c>
      <c r="AN833">
        <f t="shared" si="505"/>
        <v>0</v>
      </c>
      <c r="AO833">
        <f t="shared" si="506"/>
        <v>0</v>
      </c>
      <c r="AP833">
        <f t="shared" si="507"/>
        <v>0</v>
      </c>
      <c r="AQ833">
        <f t="shared" si="508"/>
        <v>0</v>
      </c>
    </row>
    <row r="834" spans="6:43" x14ac:dyDescent="0.45">
      <c r="F834">
        <f t="shared" si="473"/>
        <v>0</v>
      </c>
      <c r="G834">
        <f t="shared" si="474"/>
        <v>0</v>
      </c>
      <c r="H834">
        <f t="shared" si="475"/>
        <v>0</v>
      </c>
      <c r="I834">
        <f t="shared" si="476"/>
        <v>0</v>
      </c>
      <c r="J834">
        <f t="shared" si="477"/>
        <v>0</v>
      </c>
      <c r="K834">
        <f t="shared" si="478"/>
        <v>0</v>
      </c>
      <c r="L834">
        <f t="shared" si="479"/>
        <v>0</v>
      </c>
      <c r="M834">
        <f t="shared" si="480"/>
        <v>0</v>
      </c>
      <c r="N834">
        <f t="shared" si="481"/>
        <v>0</v>
      </c>
      <c r="O834">
        <f t="shared" si="482"/>
        <v>0</v>
      </c>
      <c r="P834">
        <f t="shared" si="483"/>
        <v>0</v>
      </c>
      <c r="Q834">
        <f t="shared" si="484"/>
        <v>0</v>
      </c>
      <c r="S834">
        <f t="shared" si="485"/>
        <v>0</v>
      </c>
      <c r="T834">
        <f t="shared" si="486"/>
        <v>0</v>
      </c>
      <c r="U834">
        <f t="shared" si="487"/>
        <v>0</v>
      </c>
      <c r="V834">
        <f t="shared" si="488"/>
        <v>0</v>
      </c>
      <c r="W834">
        <f t="shared" si="489"/>
        <v>0</v>
      </c>
      <c r="X834">
        <f t="shared" si="490"/>
        <v>0</v>
      </c>
      <c r="Y834">
        <f t="shared" si="491"/>
        <v>0</v>
      </c>
      <c r="Z834">
        <f t="shared" si="492"/>
        <v>0</v>
      </c>
      <c r="AA834">
        <f t="shared" si="493"/>
        <v>0</v>
      </c>
      <c r="AB834">
        <f t="shared" si="494"/>
        <v>0</v>
      </c>
      <c r="AC834">
        <f t="shared" si="495"/>
        <v>0</v>
      </c>
      <c r="AD834">
        <f t="shared" si="496"/>
        <v>0</v>
      </c>
      <c r="AF834">
        <f t="shared" si="497"/>
        <v>0</v>
      </c>
      <c r="AG834">
        <f t="shared" si="498"/>
        <v>0</v>
      </c>
      <c r="AH834">
        <f t="shared" si="499"/>
        <v>0</v>
      </c>
      <c r="AI834">
        <f t="shared" si="500"/>
        <v>0</v>
      </c>
      <c r="AJ834">
        <f t="shared" si="501"/>
        <v>0</v>
      </c>
      <c r="AK834">
        <f t="shared" si="502"/>
        <v>0</v>
      </c>
      <c r="AL834">
        <f t="shared" si="503"/>
        <v>0</v>
      </c>
      <c r="AM834">
        <f t="shared" si="504"/>
        <v>0</v>
      </c>
      <c r="AN834">
        <f t="shared" si="505"/>
        <v>0</v>
      </c>
      <c r="AO834">
        <f t="shared" si="506"/>
        <v>0</v>
      </c>
      <c r="AP834">
        <f t="shared" si="507"/>
        <v>0</v>
      </c>
      <c r="AQ834">
        <f t="shared" si="508"/>
        <v>0</v>
      </c>
    </row>
    <row r="835" spans="6:43" x14ac:dyDescent="0.45">
      <c r="F835">
        <f t="shared" si="473"/>
        <v>0</v>
      </c>
      <c r="G835">
        <f t="shared" si="474"/>
        <v>0</v>
      </c>
      <c r="H835">
        <f t="shared" si="475"/>
        <v>0</v>
      </c>
      <c r="I835">
        <f t="shared" si="476"/>
        <v>0</v>
      </c>
      <c r="J835">
        <f t="shared" si="477"/>
        <v>0</v>
      </c>
      <c r="K835">
        <f t="shared" si="478"/>
        <v>0</v>
      </c>
      <c r="L835">
        <f t="shared" si="479"/>
        <v>0</v>
      </c>
      <c r="M835">
        <f t="shared" si="480"/>
        <v>0</v>
      </c>
      <c r="N835">
        <f t="shared" si="481"/>
        <v>0</v>
      </c>
      <c r="O835">
        <f t="shared" si="482"/>
        <v>0</v>
      </c>
      <c r="P835">
        <f t="shared" si="483"/>
        <v>0</v>
      </c>
      <c r="Q835">
        <f t="shared" si="484"/>
        <v>0</v>
      </c>
      <c r="S835">
        <f t="shared" si="485"/>
        <v>0</v>
      </c>
      <c r="T835">
        <f t="shared" si="486"/>
        <v>0</v>
      </c>
      <c r="U835">
        <f t="shared" si="487"/>
        <v>0</v>
      </c>
      <c r="V835">
        <f t="shared" si="488"/>
        <v>0</v>
      </c>
      <c r="W835">
        <f t="shared" si="489"/>
        <v>0</v>
      </c>
      <c r="X835">
        <f t="shared" si="490"/>
        <v>0</v>
      </c>
      <c r="Y835">
        <f t="shared" si="491"/>
        <v>0</v>
      </c>
      <c r="Z835">
        <f t="shared" si="492"/>
        <v>0</v>
      </c>
      <c r="AA835">
        <f t="shared" si="493"/>
        <v>0</v>
      </c>
      <c r="AB835">
        <f t="shared" si="494"/>
        <v>0</v>
      </c>
      <c r="AC835">
        <f t="shared" si="495"/>
        <v>0</v>
      </c>
      <c r="AD835">
        <f t="shared" si="496"/>
        <v>0</v>
      </c>
      <c r="AF835">
        <f t="shared" si="497"/>
        <v>0</v>
      </c>
      <c r="AG835">
        <f t="shared" si="498"/>
        <v>0</v>
      </c>
      <c r="AH835">
        <f t="shared" si="499"/>
        <v>0</v>
      </c>
      <c r="AI835">
        <f t="shared" si="500"/>
        <v>0</v>
      </c>
      <c r="AJ835">
        <f t="shared" si="501"/>
        <v>0</v>
      </c>
      <c r="AK835">
        <f t="shared" si="502"/>
        <v>0</v>
      </c>
      <c r="AL835">
        <f t="shared" si="503"/>
        <v>0</v>
      </c>
      <c r="AM835">
        <f t="shared" si="504"/>
        <v>0</v>
      </c>
      <c r="AN835">
        <f t="shared" si="505"/>
        <v>0</v>
      </c>
      <c r="AO835">
        <f t="shared" si="506"/>
        <v>0</v>
      </c>
      <c r="AP835">
        <f t="shared" si="507"/>
        <v>0</v>
      </c>
      <c r="AQ835">
        <f t="shared" si="508"/>
        <v>0</v>
      </c>
    </row>
    <row r="836" spans="6:43" x14ac:dyDescent="0.45">
      <c r="F836">
        <f t="shared" si="473"/>
        <v>0</v>
      </c>
      <c r="G836">
        <f t="shared" si="474"/>
        <v>0</v>
      </c>
      <c r="H836">
        <f t="shared" si="475"/>
        <v>0</v>
      </c>
      <c r="I836">
        <f t="shared" si="476"/>
        <v>0</v>
      </c>
      <c r="J836">
        <f t="shared" si="477"/>
        <v>0</v>
      </c>
      <c r="K836">
        <f t="shared" si="478"/>
        <v>0</v>
      </c>
      <c r="L836">
        <f t="shared" si="479"/>
        <v>0</v>
      </c>
      <c r="M836">
        <f t="shared" si="480"/>
        <v>0</v>
      </c>
      <c r="N836">
        <f t="shared" si="481"/>
        <v>0</v>
      </c>
      <c r="O836">
        <f t="shared" si="482"/>
        <v>0</v>
      </c>
      <c r="P836">
        <f t="shared" si="483"/>
        <v>0</v>
      </c>
      <c r="Q836">
        <f t="shared" si="484"/>
        <v>0</v>
      </c>
      <c r="S836">
        <f t="shared" si="485"/>
        <v>0</v>
      </c>
      <c r="T836">
        <f t="shared" si="486"/>
        <v>0</v>
      </c>
      <c r="U836">
        <f t="shared" si="487"/>
        <v>0</v>
      </c>
      <c r="V836">
        <f t="shared" si="488"/>
        <v>0</v>
      </c>
      <c r="W836">
        <f t="shared" si="489"/>
        <v>0</v>
      </c>
      <c r="X836">
        <f t="shared" si="490"/>
        <v>0</v>
      </c>
      <c r="Y836">
        <f t="shared" si="491"/>
        <v>0</v>
      </c>
      <c r="Z836">
        <f t="shared" si="492"/>
        <v>0</v>
      </c>
      <c r="AA836">
        <f t="shared" si="493"/>
        <v>0</v>
      </c>
      <c r="AB836">
        <f t="shared" si="494"/>
        <v>0</v>
      </c>
      <c r="AC836">
        <f t="shared" si="495"/>
        <v>0</v>
      </c>
      <c r="AD836">
        <f t="shared" si="496"/>
        <v>0</v>
      </c>
      <c r="AF836">
        <f t="shared" si="497"/>
        <v>0</v>
      </c>
      <c r="AG836">
        <f t="shared" si="498"/>
        <v>0</v>
      </c>
      <c r="AH836">
        <f t="shared" si="499"/>
        <v>0</v>
      </c>
      <c r="AI836">
        <f t="shared" si="500"/>
        <v>0</v>
      </c>
      <c r="AJ836">
        <f t="shared" si="501"/>
        <v>0</v>
      </c>
      <c r="AK836">
        <f t="shared" si="502"/>
        <v>0</v>
      </c>
      <c r="AL836">
        <f t="shared" si="503"/>
        <v>0</v>
      </c>
      <c r="AM836">
        <f t="shared" si="504"/>
        <v>0</v>
      </c>
      <c r="AN836">
        <f t="shared" si="505"/>
        <v>0</v>
      </c>
      <c r="AO836">
        <f t="shared" si="506"/>
        <v>0</v>
      </c>
      <c r="AP836">
        <f t="shared" si="507"/>
        <v>0</v>
      </c>
      <c r="AQ836">
        <f t="shared" si="508"/>
        <v>0</v>
      </c>
    </row>
    <row r="837" spans="6:43" x14ac:dyDescent="0.45">
      <c r="F837">
        <f t="shared" si="473"/>
        <v>0</v>
      </c>
      <c r="G837">
        <f t="shared" si="474"/>
        <v>0</v>
      </c>
      <c r="H837">
        <f t="shared" si="475"/>
        <v>0</v>
      </c>
      <c r="I837">
        <f t="shared" si="476"/>
        <v>0</v>
      </c>
      <c r="J837">
        <f t="shared" si="477"/>
        <v>0</v>
      </c>
      <c r="K837">
        <f t="shared" si="478"/>
        <v>0</v>
      </c>
      <c r="L837">
        <f t="shared" si="479"/>
        <v>0</v>
      </c>
      <c r="M837">
        <f t="shared" si="480"/>
        <v>0</v>
      </c>
      <c r="N837">
        <f t="shared" si="481"/>
        <v>0</v>
      </c>
      <c r="O837">
        <f t="shared" si="482"/>
        <v>0</v>
      </c>
      <c r="P837">
        <f t="shared" si="483"/>
        <v>0</v>
      </c>
      <c r="Q837">
        <f t="shared" si="484"/>
        <v>0</v>
      </c>
      <c r="S837">
        <f t="shared" si="485"/>
        <v>0</v>
      </c>
      <c r="T837">
        <f t="shared" si="486"/>
        <v>0</v>
      </c>
      <c r="U837">
        <f t="shared" si="487"/>
        <v>0</v>
      </c>
      <c r="V837">
        <f t="shared" si="488"/>
        <v>0</v>
      </c>
      <c r="W837">
        <f t="shared" si="489"/>
        <v>0</v>
      </c>
      <c r="X837">
        <f t="shared" si="490"/>
        <v>0</v>
      </c>
      <c r="Y837">
        <f t="shared" si="491"/>
        <v>0</v>
      </c>
      <c r="Z837">
        <f t="shared" si="492"/>
        <v>0</v>
      </c>
      <c r="AA837">
        <f t="shared" si="493"/>
        <v>0</v>
      </c>
      <c r="AB837">
        <f t="shared" si="494"/>
        <v>0</v>
      </c>
      <c r="AC837">
        <f t="shared" si="495"/>
        <v>0</v>
      </c>
      <c r="AD837">
        <f t="shared" si="496"/>
        <v>0</v>
      </c>
      <c r="AF837">
        <f t="shared" si="497"/>
        <v>0</v>
      </c>
      <c r="AG837">
        <f t="shared" si="498"/>
        <v>0</v>
      </c>
      <c r="AH837">
        <f t="shared" si="499"/>
        <v>0</v>
      </c>
      <c r="AI837">
        <f t="shared" si="500"/>
        <v>0</v>
      </c>
      <c r="AJ837">
        <f t="shared" si="501"/>
        <v>0</v>
      </c>
      <c r="AK837">
        <f t="shared" si="502"/>
        <v>0</v>
      </c>
      <c r="AL837">
        <f t="shared" si="503"/>
        <v>0</v>
      </c>
      <c r="AM837">
        <f t="shared" si="504"/>
        <v>0</v>
      </c>
      <c r="AN837">
        <f t="shared" si="505"/>
        <v>0</v>
      </c>
      <c r="AO837">
        <f t="shared" si="506"/>
        <v>0</v>
      </c>
      <c r="AP837">
        <f t="shared" si="507"/>
        <v>0</v>
      </c>
      <c r="AQ837">
        <f t="shared" si="508"/>
        <v>0</v>
      </c>
    </row>
    <row r="838" spans="6:43" x14ac:dyDescent="0.45">
      <c r="F838">
        <f t="shared" si="473"/>
        <v>0</v>
      </c>
      <c r="G838">
        <f t="shared" si="474"/>
        <v>0</v>
      </c>
      <c r="H838">
        <f t="shared" si="475"/>
        <v>0</v>
      </c>
      <c r="I838">
        <f t="shared" si="476"/>
        <v>0</v>
      </c>
      <c r="J838">
        <f t="shared" si="477"/>
        <v>0</v>
      </c>
      <c r="K838">
        <f t="shared" si="478"/>
        <v>0</v>
      </c>
      <c r="L838">
        <f t="shared" si="479"/>
        <v>0</v>
      </c>
      <c r="M838">
        <f t="shared" si="480"/>
        <v>0</v>
      </c>
      <c r="N838">
        <f t="shared" si="481"/>
        <v>0</v>
      </c>
      <c r="O838">
        <f t="shared" si="482"/>
        <v>0</v>
      </c>
      <c r="P838">
        <f t="shared" si="483"/>
        <v>0</v>
      </c>
      <c r="Q838">
        <f t="shared" si="484"/>
        <v>0</v>
      </c>
      <c r="S838">
        <f t="shared" si="485"/>
        <v>0</v>
      </c>
      <c r="T838">
        <f t="shared" si="486"/>
        <v>0</v>
      </c>
      <c r="U838">
        <f t="shared" si="487"/>
        <v>0</v>
      </c>
      <c r="V838">
        <f t="shared" si="488"/>
        <v>0</v>
      </c>
      <c r="W838">
        <f t="shared" si="489"/>
        <v>0</v>
      </c>
      <c r="X838">
        <f t="shared" si="490"/>
        <v>0</v>
      </c>
      <c r="Y838">
        <f t="shared" si="491"/>
        <v>0</v>
      </c>
      <c r="Z838">
        <f t="shared" si="492"/>
        <v>0</v>
      </c>
      <c r="AA838">
        <f t="shared" si="493"/>
        <v>0</v>
      </c>
      <c r="AB838">
        <f t="shared" si="494"/>
        <v>0</v>
      </c>
      <c r="AC838">
        <f t="shared" si="495"/>
        <v>0</v>
      </c>
      <c r="AD838">
        <f t="shared" si="496"/>
        <v>0</v>
      </c>
      <c r="AF838">
        <f t="shared" si="497"/>
        <v>0</v>
      </c>
      <c r="AG838">
        <f t="shared" si="498"/>
        <v>0</v>
      </c>
      <c r="AH838">
        <f t="shared" si="499"/>
        <v>0</v>
      </c>
      <c r="AI838">
        <f t="shared" si="500"/>
        <v>0</v>
      </c>
      <c r="AJ838">
        <f t="shared" si="501"/>
        <v>0</v>
      </c>
      <c r="AK838">
        <f t="shared" si="502"/>
        <v>0</v>
      </c>
      <c r="AL838">
        <f t="shared" si="503"/>
        <v>0</v>
      </c>
      <c r="AM838">
        <f t="shared" si="504"/>
        <v>0</v>
      </c>
      <c r="AN838">
        <f t="shared" si="505"/>
        <v>0</v>
      </c>
      <c r="AO838">
        <f t="shared" si="506"/>
        <v>0</v>
      </c>
      <c r="AP838">
        <f t="shared" si="507"/>
        <v>0</v>
      </c>
      <c r="AQ838">
        <f t="shared" si="508"/>
        <v>0</v>
      </c>
    </row>
    <row r="839" spans="6:43" x14ac:dyDescent="0.45">
      <c r="F839">
        <f t="shared" si="473"/>
        <v>0</v>
      </c>
      <c r="G839">
        <f t="shared" si="474"/>
        <v>0</v>
      </c>
      <c r="H839">
        <f t="shared" si="475"/>
        <v>0</v>
      </c>
      <c r="I839">
        <f t="shared" si="476"/>
        <v>0</v>
      </c>
      <c r="J839">
        <f t="shared" si="477"/>
        <v>0</v>
      </c>
      <c r="K839">
        <f t="shared" si="478"/>
        <v>0</v>
      </c>
      <c r="L839">
        <f t="shared" si="479"/>
        <v>0</v>
      </c>
      <c r="M839">
        <f t="shared" si="480"/>
        <v>0</v>
      </c>
      <c r="N839">
        <f t="shared" si="481"/>
        <v>0</v>
      </c>
      <c r="O839">
        <f t="shared" si="482"/>
        <v>0</v>
      </c>
      <c r="P839">
        <f t="shared" si="483"/>
        <v>0</v>
      </c>
      <c r="Q839">
        <f t="shared" si="484"/>
        <v>0</v>
      </c>
      <c r="S839">
        <f t="shared" si="485"/>
        <v>0</v>
      </c>
      <c r="T839">
        <f t="shared" si="486"/>
        <v>0</v>
      </c>
      <c r="U839">
        <f t="shared" si="487"/>
        <v>0</v>
      </c>
      <c r="V839">
        <f t="shared" si="488"/>
        <v>0</v>
      </c>
      <c r="W839">
        <f t="shared" si="489"/>
        <v>0</v>
      </c>
      <c r="X839">
        <f t="shared" si="490"/>
        <v>0</v>
      </c>
      <c r="Y839">
        <f t="shared" si="491"/>
        <v>0</v>
      </c>
      <c r="Z839">
        <f t="shared" si="492"/>
        <v>0</v>
      </c>
      <c r="AA839">
        <f t="shared" si="493"/>
        <v>0</v>
      </c>
      <c r="AB839">
        <f t="shared" si="494"/>
        <v>0</v>
      </c>
      <c r="AC839">
        <f t="shared" si="495"/>
        <v>0</v>
      </c>
      <c r="AD839">
        <f t="shared" si="496"/>
        <v>0</v>
      </c>
      <c r="AF839">
        <f t="shared" si="497"/>
        <v>0</v>
      </c>
      <c r="AG839">
        <f t="shared" si="498"/>
        <v>0</v>
      </c>
      <c r="AH839">
        <f t="shared" si="499"/>
        <v>0</v>
      </c>
      <c r="AI839">
        <f t="shared" si="500"/>
        <v>0</v>
      </c>
      <c r="AJ839">
        <f t="shared" si="501"/>
        <v>0</v>
      </c>
      <c r="AK839">
        <f t="shared" si="502"/>
        <v>0</v>
      </c>
      <c r="AL839">
        <f t="shared" si="503"/>
        <v>0</v>
      </c>
      <c r="AM839">
        <f t="shared" si="504"/>
        <v>0</v>
      </c>
      <c r="AN839">
        <f t="shared" si="505"/>
        <v>0</v>
      </c>
      <c r="AO839">
        <f t="shared" si="506"/>
        <v>0</v>
      </c>
      <c r="AP839">
        <f t="shared" si="507"/>
        <v>0</v>
      </c>
      <c r="AQ839">
        <f t="shared" si="508"/>
        <v>0</v>
      </c>
    </row>
    <row r="840" spans="6:43" x14ac:dyDescent="0.45">
      <c r="F840">
        <f t="shared" si="473"/>
        <v>0</v>
      </c>
      <c r="G840">
        <f t="shared" si="474"/>
        <v>0</v>
      </c>
      <c r="H840">
        <f t="shared" si="475"/>
        <v>0</v>
      </c>
      <c r="I840">
        <f t="shared" si="476"/>
        <v>0</v>
      </c>
      <c r="J840">
        <f t="shared" si="477"/>
        <v>0</v>
      </c>
      <c r="K840">
        <f t="shared" si="478"/>
        <v>0</v>
      </c>
      <c r="L840">
        <f t="shared" si="479"/>
        <v>0</v>
      </c>
      <c r="M840">
        <f t="shared" si="480"/>
        <v>0</v>
      </c>
      <c r="N840">
        <f t="shared" si="481"/>
        <v>0</v>
      </c>
      <c r="O840">
        <f t="shared" si="482"/>
        <v>0</v>
      </c>
      <c r="P840">
        <f t="shared" si="483"/>
        <v>0</v>
      </c>
      <c r="Q840">
        <f t="shared" si="484"/>
        <v>0</v>
      </c>
      <c r="S840">
        <f t="shared" si="485"/>
        <v>0</v>
      </c>
      <c r="T840">
        <f t="shared" si="486"/>
        <v>0</v>
      </c>
      <c r="U840">
        <f t="shared" si="487"/>
        <v>0</v>
      </c>
      <c r="V840">
        <f t="shared" si="488"/>
        <v>0</v>
      </c>
      <c r="W840">
        <f t="shared" si="489"/>
        <v>0</v>
      </c>
      <c r="X840">
        <f t="shared" si="490"/>
        <v>0</v>
      </c>
      <c r="Y840">
        <f t="shared" si="491"/>
        <v>0</v>
      </c>
      <c r="Z840">
        <f t="shared" si="492"/>
        <v>0</v>
      </c>
      <c r="AA840">
        <f t="shared" si="493"/>
        <v>0</v>
      </c>
      <c r="AB840">
        <f t="shared" si="494"/>
        <v>0</v>
      </c>
      <c r="AC840">
        <f t="shared" si="495"/>
        <v>0</v>
      </c>
      <c r="AD840">
        <f t="shared" si="496"/>
        <v>0</v>
      </c>
      <c r="AF840">
        <f t="shared" si="497"/>
        <v>0</v>
      </c>
      <c r="AG840">
        <f t="shared" si="498"/>
        <v>0</v>
      </c>
      <c r="AH840">
        <f t="shared" si="499"/>
        <v>0</v>
      </c>
      <c r="AI840">
        <f t="shared" si="500"/>
        <v>0</v>
      </c>
      <c r="AJ840">
        <f t="shared" si="501"/>
        <v>0</v>
      </c>
      <c r="AK840">
        <f t="shared" si="502"/>
        <v>0</v>
      </c>
      <c r="AL840">
        <f t="shared" si="503"/>
        <v>0</v>
      </c>
      <c r="AM840">
        <f t="shared" si="504"/>
        <v>0</v>
      </c>
      <c r="AN840">
        <f t="shared" si="505"/>
        <v>0</v>
      </c>
      <c r="AO840">
        <f t="shared" si="506"/>
        <v>0</v>
      </c>
      <c r="AP840">
        <f t="shared" si="507"/>
        <v>0</v>
      </c>
      <c r="AQ840">
        <f t="shared" si="508"/>
        <v>0</v>
      </c>
    </row>
    <row r="841" spans="6:43" x14ac:dyDescent="0.45">
      <c r="F841">
        <f t="shared" si="473"/>
        <v>0</v>
      </c>
      <c r="G841">
        <f t="shared" si="474"/>
        <v>0</v>
      </c>
      <c r="H841">
        <f t="shared" si="475"/>
        <v>0</v>
      </c>
      <c r="I841">
        <f t="shared" si="476"/>
        <v>0</v>
      </c>
      <c r="J841">
        <f t="shared" si="477"/>
        <v>0</v>
      </c>
      <c r="K841">
        <f t="shared" si="478"/>
        <v>0</v>
      </c>
      <c r="L841">
        <f t="shared" si="479"/>
        <v>0</v>
      </c>
      <c r="M841">
        <f t="shared" si="480"/>
        <v>0</v>
      </c>
      <c r="N841">
        <f t="shared" si="481"/>
        <v>0</v>
      </c>
      <c r="O841">
        <f t="shared" si="482"/>
        <v>0</v>
      </c>
      <c r="P841">
        <f t="shared" si="483"/>
        <v>0</v>
      </c>
      <c r="Q841">
        <f t="shared" si="484"/>
        <v>0</v>
      </c>
      <c r="S841">
        <f t="shared" si="485"/>
        <v>0</v>
      </c>
      <c r="T841">
        <f t="shared" si="486"/>
        <v>0</v>
      </c>
      <c r="U841">
        <f t="shared" si="487"/>
        <v>0</v>
      </c>
      <c r="V841">
        <f t="shared" si="488"/>
        <v>0</v>
      </c>
      <c r="W841">
        <f t="shared" si="489"/>
        <v>0</v>
      </c>
      <c r="X841">
        <f t="shared" si="490"/>
        <v>0</v>
      </c>
      <c r="Y841">
        <f t="shared" si="491"/>
        <v>0</v>
      </c>
      <c r="Z841">
        <f t="shared" si="492"/>
        <v>0</v>
      </c>
      <c r="AA841">
        <f t="shared" si="493"/>
        <v>0</v>
      </c>
      <c r="AB841">
        <f t="shared" si="494"/>
        <v>0</v>
      </c>
      <c r="AC841">
        <f t="shared" si="495"/>
        <v>0</v>
      </c>
      <c r="AD841">
        <f t="shared" si="496"/>
        <v>0</v>
      </c>
      <c r="AF841">
        <f t="shared" si="497"/>
        <v>0</v>
      </c>
      <c r="AG841">
        <f t="shared" si="498"/>
        <v>0</v>
      </c>
      <c r="AH841">
        <f t="shared" si="499"/>
        <v>0</v>
      </c>
      <c r="AI841">
        <f t="shared" si="500"/>
        <v>0</v>
      </c>
      <c r="AJ841">
        <f t="shared" si="501"/>
        <v>0</v>
      </c>
      <c r="AK841">
        <f t="shared" si="502"/>
        <v>0</v>
      </c>
      <c r="AL841">
        <f t="shared" si="503"/>
        <v>0</v>
      </c>
      <c r="AM841">
        <f t="shared" si="504"/>
        <v>0</v>
      </c>
      <c r="AN841">
        <f t="shared" si="505"/>
        <v>0</v>
      </c>
      <c r="AO841">
        <f t="shared" si="506"/>
        <v>0</v>
      </c>
      <c r="AP841">
        <f t="shared" si="507"/>
        <v>0</v>
      </c>
      <c r="AQ841">
        <f t="shared" si="508"/>
        <v>0</v>
      </c>
    </row>
    <row r="842" spans="6:43" x14ac:dyDescent="0.45">
      <c r="F842">
        <f t="shared" si="473"/>
        <v>0</v>
      </c>
      <c r="G842">
        <f t="shared" si="474"/>
        <v>0</v>
      </c>
      <c r="H842">
        <f t="shared" si="475"/>
        <v>0</v>
      </c>
      <c r="I842">
        <f t="shared" si="476"/>
        <v>0</v>
      </c>
      <c r="J842">
        <f t="shared" si="477"/>
        <v>0</v>
      </c>
      <c r="K842">
        <f t="shared" si="478"/>
        <v>0</v>
      </c>
      <c r="L842">
        <f t="shared" si="479"/>
        <v>0</v>
      </c>
      <c r="M842">
        <f t="shared" si="480"/>
        <v>0</v>
      </c>
      <c r="N842">
        <f t="shared" si="481"/>
        <v>0</v>
      </c>
      <c r="O842">
        <f t="shared" si="482"/>
        <v>0</v>
      </c>
      <c r="P842">
        <f t="shared" si="483"/>
        <v>0</v>
      </c>
      <c r="Q842">
        <f t="shared" si="484"/>
        <v>0</v>
      </c>
      <c r="S842">
        <f t="shared" si="485"/>
        <v>0</v>
      </c>
      <c r="T842">
        <f t="shared" si="486"/>
        <v>0</v>
      </c>
      <c r="U842">
        <f t="shared" si="487"/>
        <v>0</v>
      </c>
      <c r="V842">
        <f t="shared" si="488"/>
        <v>0</v>
      </c>
      <c r="W842">
        <f t="shared" si="489"/>
        <v>0</v>
      </c>
      <c r="X842">
        <f t="shared" si="490"/>
        <v>0</v>
      </c>
      <c r="Y842">
        <f t="shared" si="491"/>
        <v>0</v>
      </c>
      <c r="Z842">
        <f t="shared" si="492"/>
        <v>0</v>
      </c>
      <c r="AA842">
        <f t="shared" si="493"/>
        <v>0</v>
      </c>
      <c r="AB842">
        <f t="shared" si="494"/>
        <v>0</v>
      </c>
      <c r="AC842">
        <f t="shared" si="495"/>
        <v>0</v>
      </c>
      <c r="AD842">
        <f t="shared" si="496"/>
        <v>0</v>
      </c>
      <c r="AF842">
        <f t="shared" si="497"/>
        <v>0</v>
      </c>
      <c r="AG842">
        <f t="shared" si="498"/>
        <v>0</v>
      </c>
      <c r="AH842">
        <f t="shared" si="499"/>
        <v>0</v>
      </c>
      <c r="AI842">
        <f t="shared" si="500"/>
        <v>0</v>
      </c>
      <c r="AJ842">
        <f t="shared" si="501"/>
        <v>0</v>
      </c>
      <c r="AK842">
        <f t="shared" si="502"/>
        <v>0</v>
      </c>
      <c r="AL842">
        <f t="shared" si="503"/>
        <v>0</v>
      </c>
      <c r="AM842">
        <f t="shared" si="504"/>
        <v>0</v>
      </c>
      <c r="AN842">
        <f t="shared" si="505"/>
        <v>0</v>
      </c>
      <c r="AO842">
        <f t="shared" si="506"/>
        <v>0</v>
      </c>
      <c r="AP842">
        <f t="shared" si="507"/>
        <v>0</v>
      </c>
      <c r="AQ842">
        <f t="shared" si="508"/>
        <v>0</v>
      </c>
    </row>
    <row r="843" spans="6:43" x14ac:dyDescent="0.45">
      <c r="F843">
        <f t="shared" si="473"/>
        <v>0</v>
      </c>
      <c r="G843">
        <f t="shared" si="474"/>
        <v>0</v>
      </c>
      <c r="H843">
        <f t="shared" si="475"/>
        <v>0</v>
      </c>
      <c r="I843">
        <f t="shared" si="476"/>
        <v>0</v>
      </c>
      <c r="J843">
        <f t="shared" si="477"/>
        <v>0</v>
      </c>
      <c r="K843">
        <f t="shared" si="478"/>
        <v>0</v>
      </c>
      <c r="L843">
        <f t="shared" si="479"/>
        <v>0</v>
      </c>
      <c r="M843">
        <f t="shared" si="480"/>
        <v>0</v>
      </c>
      <c r="N843">
        <f t="shared" si="481"/>
        <v>0</v>
      </c>
      <c r="O843">
        <f t="shared" si="482"/>
        <v>0</v>
      </c>
      <c r="P843">
        <f t="shared" si="483"/>
        <v>0</v>
      </c>
      <c r="Q843">
        <f t="shared" si="484"/>
        <v>0</v>
      </c>
      <c r="S843">
        <f t="shared" si="485"/>
        <v>0</v>
      </c>
      <c r="T843">
        <f t="shared" si="486"/>
        <v>0</v>
      </c>
      <c r="U843">
        <f t="shared" si="487"/>
        <v>0</v>
      </c>
      <c r="V843">
        <f t="shared" si="488"/>
        <v>0</v>
      </c>
      <c r="W843">
        <f t="shared" si="489"/>
        <v>0</v>
      </c>
      <c r="X843">
        <f t="shared" si="490"/>
        <v>0</v>
      </c>
      <c r="Y843">
        <f t="shared" si="491"/>
        <v>0</v>
      </c>
      <c r="Z843">
        <f t="shared" si="492"/>
        <v>0</v>
      </c>
      <c r="AA843">
        <f t="shared" si="493"/>
        <v>0</v>
      </c>
      <c r="AB843">
        <f t="shared" si="494"/>
        <v>0</v>
      </c>
      <c r="AC843">
        <f t="shared" si="495"/>
        <v>0</v>
      </c>
      <c r="AD843">
        <f t="shared" si="496"/>
        <v>0</v>
      </c>
      <c r="AF843">
        <f t="shared" si="497"/>
        <v>0</v>
      </c>
      <c r="AG843">
        <f t="shared" si="498"/>
        <v>0</v>
      </c>
      <c r="AH843">
        <f t="shared" si="499"/>
        <v>0</v>
      </c>
      <c r="AI843">
        <f t="shared" si="500"/>
        <v>0</v>
      </c>
      <c r="AJ843">
        <f t="shared" si="501"/>
        <v>0</v>
      </c>
      <c r="AK843">
        <f t="shared" si="502"/>
        <v>0</v>
      </c>
      <c r="AL843">
        <f t="shared" si="503"/>
        <v>0</v>
      </c>
      <c r="AM843">
        <f t="shared" si="504"/>
        <v>0</v>
      </c>
      <c r="AN843">
        <f t="shared" si="505"/>
        <v>0</v>
      </c>
      <c r="AO843">
        <f t="shared" si="506"/>
        <v>0</v>
      </c>
      <c r="AP843">
        <f t="shared" si="507"/>
        <v>0</v>
      </c>
      <c r="AQ843">
        <f t="shared" si="508"/>
        <v>0</v>
      </c>
    </row>
    <row r="844" spans="6:43" x14ac:dyDescent="0.45">
      <c r="F844">
        <f t="shared" ref="F844:F907" si="509">IF(D844="SPUR-01",E844,0)</f>
        <v>0</v>
      </c>
      <c r="G844">
        <f t="shared" ref="G844:G907" si="510">IF(D844="SPUR-02",E844,0)</f>
        <v>0</v>
      </c>
      <c r="H844">
        <f t="shared" ref="H844:H907" si="511">IF(D844="SPUR-03",E844,0)</f>
        <v>0</v>
      </c>
      <c r="I844">
        <f t="shared" ref="I844:I907" si="512">IF(D844="SPUR-04",E844,0)</f>
        <v>0</v>
      </c>
      <c r="J844">
        <f t="shared" ref="J844:J907" si="513">IF(D844="SPUR-05",E844,0)</f>
        <v>0</v>
      </c>
      <c r="K844">
        <f t="shared" ref="K844:K907" si="514">IF(D844="SPUR-06",E844,0)</f>
        <v>0</v>
      </c>
      <c r="L844">
        <f t="shared" ref="L844:L907" si="515">IF(D844="SPUR-07",E844,0)</f>
        <v>0</v>
      </c>
      <c r="M844">
        <f t="shared" ref="M844:M907" si="516">IF(D844="SPUR-08",E844,0)</f>
        <v>0</v>
      </c>
      <c r="N844">
        <f t="shared" ref="N844:N907" si="517">IF(D844="SPUR-09",E844,0)</f>
        <v>0</v>
      </c>
      <c r="O844">
        <f t="shared" ref="O844:O907" si="518">IF(D844="SPUR-10",E844,0)</f>
        <v>0</v>
      </c>
      <c r="P844">
        <f t="shared" ref="P844:P907" si="519">IF(D844="SPUR-SILO",E844,0)</f>
        <v>0</v>
      </c>
      <c r="Q844">
        <f t="shared" ref="Q844:Q907" si="520">IF(D844="SPUR-DB",E844,0)</f>
        <v>0</v>
      </c>
      <c r="S844">
        <f t="shared" si="485"/>
        <v>0</v>
      </c>
      <c r="T844">
        <f t="shared" si="486"/>
        <v>0</v>
      </c>
      <c r="U844">
        <f t="shared" si="487"/>
        <v>0</v>
      </c>
      <c r="V844">
        <f t="shared" si="488"/>
        <v>0</v>
      </c>
      <c r="W844">
        <f t="shared" si="489"/>
        <v>0</v>
      </c>
      <c r="X844">
        <f t="shared" si="490"/>
        <v>0</v>
      </c>
      <c r="Y844">
        <f t="shared" si="491"/>
        <v>0</v>
      </c>
      <c r="Z844">
        <f t="shared" si="492"/>
        <v>0</v>
      </c>
      <c r="AA844">
        <f t="shared" si="493"/>
        <v>0</v>
      </c>
      <c r="AB844">
        <f t="shared" si="494"/>
        <v>0</v>
      </c>
      <c r="AC844">
        <f t="shared" si="495"/>
        <v>0</v>
      </c>
      <c r="AD844">
        <f t="shared" si="496"/>
        <v>0</v>
      </c>
      <c r="AF844">
        <f t="shared" si="497"/>
        <v>0</v>
      </c>
      <c r="AG844">
        <f t="shared" si="498"/>
        <v>0</v>
      </c>
      <c r="AH844">
        <f t="shared" si="499"/>
        <v>0</v>
      </c>
      <c r="AI844">
        <f t="shared" si="500"/>
        <v>0</v>
      </c>
      <c r="AJ844">
        <f t="shared" si="501"/>
        <v>0</v>
      </c>
      <c r="AK844">
        <f t="shared" si="502"/>
        <v>0</v>
      </c>
      <c r="AL844">
        <f t="shared" si="503"/>
        <v>0</v>
      </c>
      <c r="AM844">
        <f t="shared" si="504"/>
        <v>0</v>
      </c>
      <c r="AN844">
        <f t="shared" si="505"/>
        <v>0</v>
      </c>
      <c r="AO844">
        <f t="shared" si="506"/>
        <v>0</v>
      </c>
      <c r="AP844">
        <f t="shared" si="507"/>
        <v>0</v>
      </c>
      <c r="AQ844">
        <f t="shared" si="508"/>
        <v>0</v>
      </c>
    </row>
    <row r="845" spans="6:43" x14ac:dyDescent="0.45">
      <c r="F845">
        <f t="shared" si="509"/>
        <v>0</v>
      </c>
      <c r="G845">
        <f t="shared" si="510"/>
        <v>0</v>
      </c>
      <c r="H845">
        <f t="shared" si="511"/>
        <v>0</v>
      </c>
      <c r="I845">
        <f t="shared" si="512"/>
        <v>0</v>
      </c>
      <c r="J845">
        <f t="shared" si="513"/>
        <v>0</v>
      </c>
      <c r="K845">
        <f t="shared" si="514"/>
        <v>0</v>
      </c>
      <c r="L845">
        <f t="shared" si="515"/>
        <v>0</v>
      </c>
      <c r="M845">
        <f t="shared" si="516"/>
        <v>0</v>
      </c>
      <c r="N845">
        <f t="shared" si="517"/>
        <v>0</v>
      </c>
      <c r="O845">
        <f t="shared" si="518"/>
        <v>0</v>
      </c>
      <c r="P845">
        <f t="shared" si="519"/>
        <v>0</v>
      </c>
      <c r="Q845">
        <f t="shared" si="520"/>
        <v>0</v>
      </c>
      <c r="S845">
        <f t="shared" si="485"/>
        <v>0</v>
      </c>
      <c r="T845">
        <f t="shared" si="486"/>
        <v>0</v>
      </c>
      <c r="U845">
        <f t="shared" si="487"/>
        <v>0</v>
      </c>
      <c r="V845">
        <f t="shared" si="488"/>
        <v>0</v>
      </c>
      <c r="W845">
        <f t="shared" si="489"/>
        <v>0</v>
      </c>
      <c r="X845">
        <f t="shared" si="490"/>
        <v>0</v>
      </c>
      <c r="Y845">
        <f t="shared" si="491"/>
        <v>0</v>
      </c>
      <c r="Z845">
        <f t="shared" si="492"/>
        <v>0</v>
      </c>
      <c r="AA845">
        <f t="shared" si="493"/>
        <v>0</v>
      </c>
      <c r="AB845">
        <f t="shared" si="494"/>
        <v>0</v>
      </c>
      <c r="AC845">
        <f t="shared" si="495"/>
        <v>0</v>
      </c>
      <c r="AD845">
        <f t="shared" si="496"/>
        <v>0</v>
      </c>
      <c r="AF845">
        <f t="shared" si="497"/>
        <v>0</v>
      </c>
      <c r="AG845">
        <f t="shared" si="498"/>
        <v>0</v>
      </c>
      <c r="AH845">
        <f t="shared" si="499"/>
        <v>0</v>
      </c>
      <c r="AI845">
        <f t="shared" si="500"/>
        <v>0</v>
      </c>
      <c r="AJ845">
        <f t="shared" si="501"/>
        <v>0</v>
      </c>
      <c r="AK845">
        <f t="shared" si="502"/>
        <v>0</v>
      </c>
      <c r="AL845">
        <f t="shared" si="503"/>
        <v>0</v>
      </c>
      <c r="AM845">
        <f t="shared" si="504"/>
        <v>0</v>
      </c>
      <c r="AN845">
        <f t="shared" si="505"/>
        <v>0</v>
      </c>
      <c r="AO845">
        <f t="shared" si="506"/>
        <v>0</v>
      </c>
      <c r="AP845">
        <f t="shared" si="507"/>
        <v>0</v>
      </c>
      <c r="AQ845">
        <f t="shared" si="508"/>
        <v>0</v>
      </c>
    </row>
    <row r="846" spans="6:43" x14ac:dyDescent="0.45">
      <c r="F846">
        <f t="shared" si="509"/>
        <v>0</v>
      </c>
      <c r="G846">
        <f t="shared" si="510"/>
        <v>0</v>
      </c>
      <c r="H846">
        <f t="shared" si="511"/>
        <v>0</v>
      </c>
      <c r="I846">
        <f t="shared" si="512"/>
        <v>0</v>
      </c>
      <c r="J846">
        <f t="shared" si="513"/>
        <v>0</v>
      </c>
      <c r="K846">
        <f t="shared" si="514"/>
        <v>0</v>
      </c>
      <c r="L846">
        <f t="shared" si="515"/>
        <v>0</v>
      </c>
      <c r="M846">
        <f t="shared" si="516"/>
        <v>0</v>
      </c>
      <c r="N846">
        <f t="shared" si="517"/>
        <v>0</v>
      </c>
      <c r="O846">
        <f t="shared" si="518"/>
        <v>0</v>
      </c>
      <c r="P846">
        <f t="shared" si="519"/>
        <v>0</v>
      </c>
      <c r="Q846">
        <f t="shared" si="520"/>
        <v>0</v>
      </c>
      <c r="S846">
        <f t="shared" si="485"/>
        <v>0</v>
      </c>
      <c r="T846">
        <f t="shared" si="486"/>
        <v>0</v>
      </c>
      <c r="U846">
        <f t="shared" si="487"/>
        <v>0</v>
      </c>
      <c r="V846">
        <f t="shared" si="488"/>
        <v>0</v>
      </c>
      <c r="W846">
        <f t="shared" si="489"/>
        <v>0</v>
      </c>
      <c r="X846">
        <f t="shared" si="490"/>
        <v>0</v>
      </c>
      <c r="Y846">
        <f t="shared" si="491"/>
        <v>0</v>
      </c>
      <c r="Z846">
        <f t="shared" si="492"/>
        <v>0</v>
      </c>
      <c r="AA846">
        <f t="shared" si="493"/>
        <v>0</v>
      </c>
      <c r="AB846">
        <f t="shared" si="494"/>
        <v>0</v>
      </c>
      <c r="AC846">
        <f t="shared" si="495"/>
        <v>0</v>
      </c>
      <c r="AD846">
        <f t="shared" si="496"/>
        <v>0</v>
      </c>
      <c r="AF846">
        <f t="shared" si="497"/>
        <v>0</v>
      </c>
      <c r="AG846">
        <f t="shared" si="498"/>
        <v>0</v>
      </c>
      <c r="AH846">
        <f t="shared" si="499"/>
        <v>0</v>
      </c>
      <c r="AI846">
        <f t="shared" si="500"/>
        <v>0</v>
      </c>
      <c r="AJ846">
        <f t="shared" si="501"/>
        <v>0</v>
      </c>
      <c r="AK846">
        <f t="shared" si="502"/>
        <v>0</v>
      </c>
      <c r="AL846">
        <f t="shared" si="503"/>
        <v>0</v>
      </c>
      <c r="AM846">
        <f t="shared" si="504"/>
        <v>0</v>
      </c>
      <c r="AN846">
        <f t="shared" si="505"/>
        <v>0</v>
      </c>
      <c r="AO846">
        <f t="shared" si="506"/>
        <v>0</v>
      </c>
      <c r="AP846">
        <f t="shared" si="507"/>
        <v>0</v>
      </c>
      <c r="AQ846">
        <f t="shared" si="508"/>
        <v>0</v>
      </c>
    </row>
    <row r="847" spans="6:43" x14ac:dyDescent="0.45">
      <c r="F847">
        <f t="shared" si="509"/>
        <v>0</v>
      </c>
      <c r="G847">
        <f t="shared" si="510"/>
        <v>0</v>
      </c>
      <c r="H847">
        <f t="shared" si="511"/>
        <v>0</v>
      </c>
      <c r="I847">
        <f t="shared" si="512"/>
        <v>0</v>
      </c>
      <c r="J847">
        <f t="shared" si="513"/>
        <v>0</v>
      </c>
      <c r="K847">
        <f t="shared" si="514"/>
        <v>0</v>
      </c>
      <c r="L847">
        <f t="shared" si="515"/>
        <v>0</v>
      </c>
      <c r="M847">
        <f t="shared" si="516"/>
        <v>0</v>
      </c>
      <c r="N847">
        <f t="shared" si="517"/>
        <v>0</v>
      </c>
      <c r="O847">
        <f t="shared" si="518"/>
        <v>0</v>
      </c>
      <c r="P847">
        <f t="shared" si="519"/>
        <v>0</v>
      </c>
      <c r="Q847">
        <f t="shared" si="520"/>
        <v>0</v>
      </c>
      <c r="S847">
        <f t="shared" si="485"/>
        <v>0</v>
      </c>
      <c r="T847">
        <f t="shared" si="486"/>
        <v>0</v>
      </c>
      <c r="U847">
        <f t="shared" si="487"/>
        <v>0</v>
      </c>
      <c r="V847">
        <f t="shared" si="488"/>
        <v>0</v>
      </c>
      <c r="W847">
        <f t="shared" si="489"/>
        <v>0</v>
      </c>
      <c r="X847">
        <f t="shared" si="490"/>
        <v>0</v>
      </c>
      <c r="Y847">
        <f t="shared" si="491"/>
        <v>0</v>
      </c>
      <c r="Z847">
        <f t="shared" si="492"/>
        <v>0</v>
      </c>
      <c r="AA847">
        <f t="shared" si="493"/>
        <v>0</v>
      </c>
      <c r="AB847">
        <f t="shared" si="494"/>
        <v>0</v>
      </c>
      <c r="AC847">
        <f t="shared" si="495"/>
        <v>0</v>
      </c>
      <c r="AD847">
        <f t="shared" si="496"/>
        <v>0</v>
      </c>
      <c r="AF847">
        <f t="shared" si="497"/>
        <v>0</v>
      </c>
      <c r="AG847">
        <f t="shared" si="498"/>
        <v>0</v>
      </c>
      <c r="AH847">
        <f t="shared" si="499"/>
        <v>0</v>
      </c>
      <c r="AI847">
        <f t="shared" si="500"/>
        <v>0</v>
      </c>
      <c r="AJ847">
        <f t="shared" si="501"/>
        <v>0</v>
      </c>
      <c r="AK847">
        <f t="shared" si="502"/>
        <v>0</v>
      </c>
      <c r="AL847">
        <f t="shared" si="503"/>
        <v>0</v>
      </c>
      <c r="AM847">
        <f t="shared" si="504"/>
        <v>0</v>
      </c>
      <c r="AN847">
        <f t="shared" si="505"/>
        <v>0</v>
      </c>
      <c r="AO847">
        <f t="shared" si="506"/>
        <v>0</v>
      </c>
      <c r="AP847">
        <f t="shared" si="507"/>
        <v>0</v>
      </c>
      <c r="AQ847">
        <f t="shared" si="508"/>
        <v>0</v>
      </c>
    </row>
    <row r="848" spans="6:43" x14ac:dyDescent="0.45">
      <c r="F848">
        <f t="shared" si="509"/>
        <v>0</v>
      </c>
      <c r="G848">
        <f t="shared" si="510"/>
        <v>0</v>
      </c>
      <c r="H848">
        <f t="shared" si="511"/>
        <v>0</v>
      </c>
      <c r="I848">
        <f t="shared" si="512"/>
        <v>0</v>
      </c>
      <c r="J848">
        <f t="shared" si="513"/>
        <v>0</v>
      </c>
      <c r="K848">
        <f t="shared" si="514"/>
        <v>0</v>
      </c>
      <c r="L848">
        <f t="shared" si="515"/>
        <v>0</v>
      </c>
      <c r="M848">
        <f t="shared" si="516"/>
        <v>0</v>
      </c>
      <c r="N848">
        <f t="shared" si="517"/>
        <v>0</v>
      </c>
      <c r="O848">
        <f t="shared" si="518"/>
        <v>0</v>
      </c>
      <c r="P848">
        <f t="shared" si="519"/>
        <v>0</v>
      </c>
      <c r="Q848">
        <f t="shared" si="520"/>
        <v>0</v>
      </c>
      <c r="S848">
        <f t="shared" si="485"/>
        <v>0</v>
      </c>
      <c r="T848">
        <f t="shared" si="486"/>
        <v>0</v>
      </c>
      <c r="U848">
        <f t="shared" si="487"/>
        <v>0</v>
      </c>
      <c r="V848">
        <f t="shared" si="488"/>
        <v>0</v>
      </c>
      <c r="W848">
        <f t="shared" si="489"/>
        <v>0</v>
      </c>
      <c r="X848">
        <f t="shared" si="490"/>
        <v>0</v>
      </c>
      <c r="Y848">
        <f t="shared" si="491"/>
        <v>0</v>
      </c>
      <c r="Z848">
        <f t="shared" si="492"/>
        <v>0</v>
      </c>
      <c r="AA848">
        <f t="shared" si="493"/>
        <v>0</v>
      </c>
      <c r="AB848">
        <f t="shared" si="494"/>
        <v>0</v>
      </c>
      <c r="AC848">
        <f t="shared" si="495"/>
        <v>0</v>
      </c>
      <c r="AD848">
        <f t="shared" si="496"/>
        <v>0</v>
      </c>
      <c r="AF848">
        <f t="shared" si="497"/>
        <v>0</v>
      </c>
      <c r="AG848">
        <f t="shared" si="498"/>
        <v>0</v>
      </c>
      <c r="AH848">
        <f t="shared" si="499"/>
        <v>0</v>
      </c>
      <c r="AI848">
        <f t="shared" si="500"/>
        <v>0</v>
      </c>
      <c r="AJ848">
        <f t="shared" si="501"/>
        <v>0</v>
      </c>
      <c r="AK848">
        <f t="shared" si="502"/>
        <v>0</v>
      </c>
      <c r="AL848">
        <f t="shared" si="503"/>
        <v>0</v>
      </c>
      <c r="AM848">
        <f t="shared" si="504"/>
        <v>0</v>
      </c>
      <c r="AN848">
        <f t="shared" si="505"/>
        <v>0</v>
      </c>
      <c r="AO848">
        <f t="shared" si="506"/>
        <v>0</v>
      </c>
      <c r="AP848">
        <f t="shared" si="507"/>
        <v>0</v>
      </c>
      <c r="AQ848">
        <f t="shared" si="508"/>
        <v>0</v>
      </c>
    </row>
    <row r="849" spans="6:43" x14ac:dyDescent="0.45">
      <c r="F849">
        <f t="shared" si="509"/>
        <v>0</v>
      </c>
      <c r="G849">
        <f t="shared" si="510"/>
        <v>0</v>
      </c>
      <c r="H849">
        <f t="shared" si="511"/>
        <v>0</v>
      </c>
      <c r="I849">
        <f t="shared" si="512"/>
        <v>0</v>
      </c>
      <c r="J849">
        <f t="shared" si="513"/>
        <v>0</v>
      </c>
      <c r="K849">
        <f t="shared" si="514"/>
        <v>0</v>
      </c>
      <c r="L849">
        <f t="shared" si="515"/>
        <v>0</v>
      </c>
      <c r="M849">
        <f t="shared" si="516"/>
        <v>0</v>
      </c>
      <c r="N849">
        <f t="shared" si="517"/>
        <v>0</v>
      </c>
      <c r="O849">
        <f t="shared" si="518"/>
        <v>0</v>
      </c>
      <c r="P849">
        <f t="shared" si="519"/>
        <v>0</v>
      </c>
      <c r="Q849">
        <f t="shared" si="520"/>
        <v>0</v>
      </c>
      <c r="S849">
        <f t="shared" si="485"/>
        <v>0</v>
      </c>
      <c r="T849">
        <f t="shared" si="486"/>
        <v>0</v>
      </c>
      <c r="U849">
        <f t="shared" si="487"/>
        <v>0</v>
      </c>
      <c r="V849">
        <f t="shared" si="488"/>
        <v>0</v>
      </c>
      <c r="W849">
        <f t="shared" si="489"/>
        <v>0</v>
      </c>
      <c r="X849">
        <f t="shared" si="490"/>
        <v>0</v>
      </c>
      <c r="Y849">
        <f t="shared" si="491"/>
        <v>0</v>
      </c>
      <c r="Z849">
        <f t="shared" si="492"/>
        <v>0</v>
      </c>
      <c r="AA849">
        <f t="shared" si="493"/>
        <v>0</v>
      </c>
      <c r="AB849">
        <f t="shared" si="494"/>
        <v>0</v>
      </c>
      <c r="AC849">
        <f t="shared" si="495"/>
        <v>0</v>
      </c>
      <c r="AD849">
        <f t="shared" si="496"/>
        <v>0</v>
      </c>
      <c r="AF849">
        <f t="shared" si="497"/>
        <v>0</v>
      </c>
      <c r="AG849">
        <f t="shared" si="498"/>
        <v>0</v>
      </c>
      <c r="AH849">
        <f t="shared" si="499"/>
        <v>0</v>
      </c>
      <c r="AI849">
        <f t="shared" si="500"/>
        <v>0</v>
      </c>
      <c r="AJ849">
        <f t="shared" si="501"/>
        <v>0</v>
      </c>
      <c r="AK849">
        <f t="shared" si="502"/>
        <v>0</v>
      </c>
      <c r="AL849">
        <f t="shared" si="503"/>
        <v>0</v>
      </c>
      <c r="AM849">
        <f t="shared" si="504"/>
        <v>0</v>
      </c>
      <c r="AN849">
        <f t="shared" si="505"/>
        <v>0</v>
      </c>
      <c r="AO849">
        <f t="shared" si="506"/>
        <v>0</v>
      </c>
      <c r="AP849">
        <f t="shared" si="507"/>
        <v>0</v>
      </c>
      <c r="AQ849">
        <f t="shared" si="508"/>
        <v>0</v>
      </c>
    </row>
    <row r="850" spans="6:43" x14ac:dyDescent="0.45">
      <c r="F850">
        <f t="shared" si="509"/>
        <v>0</v>
      </c>
      <c r="G850">
        <f t="shared" si="510"/>
        <v>0</v>
      </c>
      <c r="H850">
        <f t="shared" si="511"/>
        <v>0</v>
      </c>
      <c r="I850">
        <f t="shared" si="512"/>
        <v>0</v>
      </c>
      <c r="J850">
        <f t="shared" si="513"/>
        <v>0</v>
      </c>
      <c r="K850">
        <f t="shared" si="514"/>
        <v>0</v>
      </c>
      <c r="L850">
        <f t="shared" si="515"/>
        <v>0</v>
      </c>
      <c r="M850">
        <f t="shared" si="516"/>
        <v>0</v>
      </c>
      <c r="N850">
        <f t="shared" si="517"/>
        <v>0</v>
      </c>
      <c r="O850">
        <f t="shared" si="518"/>
        <v>0</v>
      </c>
      <c r="P850">
        <f t="shared" si="519"/>
        <v>0</v>
      </c>
      <c r="Q850">
        <f t="shared" si="520"/>
        <v>0</v>
      </c>
      <c r="S850">
        <f t="shared" si="485"/>
        <v>0</v>
      </c>
      <c r="T850">
        <f t="shared" si="486"/>
        <v>0</v>
      </c>
      <c r="U850">
        <f t="shared" si="487"/>
        <v>0</v>
      </c>
      <c r="V850">
        <f t="shared" si="488"/>
        <v>0</v>
      </c>
      <c r="W850">
        <f t="shared" si="489"/>
        <v>0</v>
      </c>
      <c r="X850">
        <f t="shared" si="490"/>
        <v>0</v>
      </c>
      <c r="Y850">
        <f t="shared" si="491"/>
        <v>0</v>
      </c>
      <c r="Z850">
        <f t="shared" si="492"/>
        <v>0</v>
      </c>
      <c r="AA850">
        <f t="shared" si="493"/>
        <v>0</v>
      </c>
      <c r="AB850">
        <f t="shared" si="494"/>
        <v>0</v>
      </c>
      <c r="AC850">
        <f t="shared" si="495"/>
        <v>0</v>
      </c>
      <c r="AD850">
        <f t="shared" si="496"/>
        <v>0</v>
      </c>
      <c r="AF850">
        <f t="shared" si="497"/>
        <v>0</v>
      </c>
      <c r="AG850">
        <f t="shared" si="498"/>
        <v>0</v>
      </c>
      <c r="AH850">
        <f t="shared" si="499"/>
        <v>0</v>
      </c>
      <c r="AI850">
        <f t="shared" si="500"/>
        <v>0</v>
      </c>
      <c r="AJ850">
        <f t="shared" si="501"/>
        <v>0</v>
      </c>
      <c r="AK850">
        <f t="shared" si="502"/>
        <v>0</v>
      </c>
      <c r="AL850">
        <f t="shared" si="503"/>
        <v>0</v>
      </c>
      <c r="AM850">
        <f t="shared" si="504"/>
        <v>0</v>
      </c>
      <c r="AN850">
        <f t="shared" si="505"/>
        <v>0</v>
      </c>
      <c r="AO850">
        <f t="shared" si="506"/>
        <v>0</v>
      </c>
      <c r="AP850">
        <f t="shared" si="507"/>
        <v>0</v>
      </c>
      <c r="AQ850">
        <f t="shared" si="508"/>
        <v>0</v>
      </c>
    </row>
    <row r="851" spans="6:43" x14ac:dyDescent="0.45">
      <c r="F851">
        <f t="shared" si="509"/>
        <v>0</v>
      </c>
      <c r="G851">
        <f t="shared" si="510"/>
        <v>0</v>
      </c>
      <c r="H851">
        <f t="shared" si="511"/>
        <v>0</v>
      </c>
      <c r="I851">
        <f t="shared" si="512"/>
        <v>0</v>
      </c>
      <c r="J851">
        <f t="shared" si="513"/>
        <v>0</v>
      </c>
      <c r="K851">
        <f t="shared" si="514"/>
        <v>0</v>
      </c>
      <c r="L851">
        <f t="shared" si="515"/>
        <v>0</v>
      </c>
      <c r="M851">
        <f t="shared" si="516"/>
        <v>0</v>
      </c>
      <c r="N851">
        <f t="shared" si="517"/>
        <v>0</v>
      </c>
      <c r="O851">
        <f t="shared" si="518"/>
        <v>0</v>
      </c>
      <c r="P851">
        <f t="shared" si="519"/>
        <v>0</v>
      </c>
      <c r="Q851">
        <f t="shared" si="520"/>
        <v>0</v>
      </c>
      <c r="S851">
        <f t="shared" si="485"/>
        <v>0</v>
      </c>
      <c r="T851">
        <f t="shared" si="486"/>
        <v>0</v>
      </c>
      <c r="U851">
        <f t="shared" si="487"/>
        <v>0</v>
      </c>
      <c r="V851">
        <f t="shared" si="488"/>
        <v>0</v>
      </c>
      <c r="W851">
        <f t="shared" si="489"/>
        <v>0</v>
      </c>
      <c r="X851">
        <f t="shared" si="490"/>
        <v>0</v>
      </c>
      <c r="Y851">
        <f t="shared" si="491"/>
        <v>0</v>
      </c>
      <c r="Z851">
        <f t="shared" si="492"/>
        <v>0</v>
      </c>
      <c r="AA851">
        <f t="shared" si="493"/>
        <v>0</v>
      </c>
      <c r="AB851">
        <f t="shared" si="494"/>
        <v>0</v>
      </c>
      <c r="AC851">
        <f t="shared" si="495"/>
        <v>0</v>
      </c>
      <c r="AD851">
        <f t="shared" si="496"/>
        <v>0</v>
      </c>
      <c r="AF851">
        <f t="shared" si="497"/>
        <v>0</v>
      </c>
      <c r="AG851">
        <f t="shared" si="498"/>
        <v>0</v>
      </c>
      <c r="AH851">
        <f t="shared" si="499"/>
        <v>0</v>
      </c>
      <c r="AI851">
        <f t="shared" si="500"/>
        <v>0</v>
      </c>
      <c r="AJ851">
        <f t="shared" si="501"/>
        <v>0</v>
      </c>
      <c r="AK851">
        <f t="shared" si="502"/>
        <v>0</v>
      </c>
      <c r="AL851">
        <f t="shared" si="503"/>
        <v>0</v>
      </c>
      <c r="AM851">
        <f t="shared" si="504"/>
        <v>0</v>
      </c>
      <c r="AN851">
        <f t="shared" si="505"/>
        <v>0</v>
      </c>
      <c r="AO851">
        <f t="shared" si="506"/>
        <v>0</v>
      </c>
      <c r="AP851">
        <f t="shared" si="507"/>
        <v>0</v>
      </c>
      <c r="AQ851">
        <f t="shared" si="508"/>
        <v>0</v>
      </c>
    </row>
    <row r="852" spans="6:43" x14ac:dyDescent="0.45">
      <c r="F852">
        <f t="shared" si="509"/>
        <v>0</v>
      </c>
      <c r="G852">
        <f t="shared" si="510"/>
        <v>0</v>
      </c>
      <c r="H852">
        <f t="shared" si="511"/>
        <v>0</v>
      </c>
      <c r="I852">
        <f t="shared" si="512"/>
        <v>0</v>
      </c>
      <c r="J852">
        <f t="shared" si="513"/>
        <v>0</v>
      </c>
      <c r="K852">
        <f t="shared" si="514"/>
        <v>0</v>
      </c>
      <c r="L852">
        <f t="shared" si="515"/>
        <v>0</v>
      </c>
      <c r="M852">
        <f t="shared" si="516"/>
        <v>0</v>
      </c>
      <c r="N852">
        <f t="shared" si="517"/>
        <v>0</v>
      </c>
      <c r="O852">
        <f t="shared" si="518"/>
        <v>0</v>
      </c>
      <c r="P852">
        <f t="shared" si="519"/>
        <v>0</v>
      </c>
      <c r="Q852">
        <f t="shared" si="520"/>
        <v>0</v>
      </c>
      <c r="S852">
        <f t="shared" si="485"/>
        <v>0</v>
      </c>
      <c r="T852">
        <f t="shared" si="486"/>
        <v>0</v>
      </c>
      <c r="U852">
        <f t="shared" si="487"/>
        <v>0</v>
      </c>
      <c r="V852">
        <f t="shared" si="488"/>
        <v>0</v>
      </c>
      <c r="W852">
        <f t="shared" si="489"/>
        <v>0</v>
      </c>
      <c r="X852">
        <f t="shared" si="490"/>
        <v>0</v>
      </c>
      <c r="Y852">
        <f t="shared" si="491"/>
        <v>0</v>
      </c>
      <c r="Z852">
        <f t="shared" si="492"/>
        <v>0</v>
      </c>
      <c r="AA852">
        <f t="shared" si="493"/>
        <v>0</v>
      </c>
      <c r="AB852">
        <f t="shared" si="494"/>
        <v>0</v>
      </c>
      <c r="AC852">
        <f t="shared" si="495"/>
        <v>0</v>
      </c>
      <c r="AD852">
        <f t="shared" si="496"/>
        <v>0</v>
      </c>
      <c r="AF852">
        <f t="shared" si="497"/>
        <v>0</v>
      </c>
      <c r="AG852">
        <f t="shared" si="498"/>
        <v>0</v>
      </c>
      <c r="AH852">
        <f t="shared" si="499"/>
        <v>0</v>
      </c>
      <c r="AI852">
        <f t="shared" si="500"/>
        <v>0</v>
      </c>
      <c r="AJ852">
        <f t="shared" si="501"/>
        <v>0</v>
      </c>
      <c r="AK852">
        <f t="shared" si="502"/>
        <v>0</v>
      </c>
      <c r="AL852">
        <f t="shared" si="503"/>
        <v>0</v>
      </c>
      <c r="AM852">
        <f t="shared" si="504"/>
        <v>0</v>
      </c>
      <c r="AN852">
        <f t="shared" si="505"/>
        <v>0</v>
      </c>
      <c r="AO852">
        <f t="shared" si="506"/>
        <v>0</v>
      </c>
      <c r="AP852">
        <f t="shared" si="507"/>
        <v>0</v>
      </c>
      <c r="AQ852">
        <f t="shared" si="508"/>
        <v>0</v>
      </c>
    </row>
    <row r="853" spans="6:43" x14ac:dyDescent="0.45">
      <c r="F853">
        <f t="shared" si="509"/>
        <v>0</v>
      </c>
      <c r="G853">
        <f t="shared" si="510"/>
        <v>0</v>
      </c>
      <c r="H853">
        <f t="shared" si="511"/>
        <v>0</v>
      </c>
      <c r="I853">
        <f t="shared" si="512"/>
        <v>0</v>
      </c>
      <c r="J853">
        <f t="shared" si="513"/>
        <v>0</v>
      </c>
      <c r="K853">
        <f t="shared" si="514"/>
        <v>0</v>
      </c>
      <c r="L853">
        <f t="shared" si="515"/>
        <v>0</v>
      </c>
      <c r="M853">
        <f t="shared" si="516"/>
        <v>0</v>
      </c>
      <c r="N853">
        <f t="shared" si="517"/>
        <v>0</v>
      </c>
      <c r="O853">
        <f t="shared" si="518"/>
        <v>0</v>
      </c>
      <c r="P853">
        <f t="shared" si="519"/>
        <v>0</v>
      </c>
      <c r="Q853">
        <f t="shared" si="520"/>
        <v>0</v>
      </c>
      <c r="S853">
        <f t="shared" si="485"/>
        <v>0</v>
      </c>
      <c r="T853">
        <f t="shared" si="486"/>
        <v>0</v>
      </c>
      <c r="U853">
        <f t="shared" si="487"/>
        <v>0</v>
      </c>
      <c r="V853">
        <f t="shared" si="488"/>
        <v>0</v>
      </c>
      <c r="W853">
        <f t="shared" si="489"/>
        <v>0</v>
      </c>
      <c r="X853">
        <f t="shared" si="490"/>
        <v>0</v>
      </c>
      <c r="Y853">
        <f t="shared" si="491"/>
        <v>0</v>
      </c>
      <c r="Z853">
        <f t="shared" si="492"/>
        <v>0</v>
      </c>
      <c r="AA853">
        <f t="shared" si="493"/>
        <v>0</v>
      </c>
      <c r="AB853">
        <f t="shared" si="494"/>
        <v>0</v>
      </c>
      <c r="AC853">
        <f t="shared" si="495"/>
        <v>0</v>
      </c>
      <c r="AD853">
        <f t="shared" si="496"/>
        <v>0</v>
      </c>
      <c r="AF853">
        <f t="shared" si="497"/>
        <v>0</v>
      </c>
      <c r="AG853">
        <f t="shared" si="498"/>
        <v>0</v>
      </c>
      <c r="AH853">
        <f t="shared" si="499"/>
        <v>0</v>
      </c>
      <c r="AI853">
        <f t="shared" si="500"/>
        <v>0</v>
      </c>
      <c r="AJ853">
        <f t="shared" si="501"/>
        <v>0</v>
      </c>
      <c r="AK853">
        <f t="shared" si="502"/>
        <v>0</v>
      </c>
      <c r="AL853">
        <f t="shared" si="503"/>
        <v>0</v>
      </c>
      <c r="AM853">
        <f t="shared" si="504"/>
        <v>0</v>
      </c>
      <c r="AN853">
        <f t="shared" si="505"/>
        <v>0</v>
      </c>
      <c r="AO853">
        <f t="shared" si="506"/>
        <v>0</v>
      </c>
      <c r="AP853">
        <f t="shared" si="507"/>
        <v>0</v>
      </c>
      <c r="AQ853">
        <f t="shared" si="508"/>
        <v>0</v>
      </c>
    </row>
    <row r="854" spans="6:43" x14ac:dyDescent="0.45">
      <c r="F854">
        <f t="shared" si="509"/>
        <v>0</v>
      </c>
      <c r="G854">
        <f t="shared" si="510"/>
        <v>0</v>
      </c>
      <c r="H854">
        <f t="shared" si="511"/>
        <v>0</v>
      </c>
      <c r="I854">
        <f t="shared" si="512"/>
        <v>0</v>
      </c>
      <c r="J854">
        <f t="shared" si="513"/>
        <v>0</v>
      </c>
      <c r="K854">
        <f t="shared" si="514"/>
        <v>0</v>
      </c>
      <c r="L854">
        <f t="shared" si="515"/>
        <v>0</v>
      </c>
      <c r="M854">
        <f t="shared" si="516"/>
        <v>0</v>
      </c>
      <c r="N854">
        <f t="shared" si="517"/>
        <v>0</v>
      </c>
      <c r="O854">
        <f t="shared" si="518"/>
        <v>0</v>
      </c>
      <c r="P854">
        <f t="shared" si="519"/>
        <v>0</v>
      </c>
      <c r="Q854">
        <f t="shared" si="520"/>
        <v>0</v>
      </c>
      <c r="S854">
        <f t="shared" si="485"/>
        <v>0</v>
      </c>
      <c r="T854">
        <f t="shared" si="486"/>
        <v>0</v>
      </c>
      <c r="U854">
        <f t="shared" si="487"/>
        <v>0</v>
      </c>
      <c r="V854">
        <f t="shared" si="488"/>
        <v>0</v>
      </c>
      <c r="W854">
        <f t="shared" si="489"/>
        <v>0</v>
      </c>
      <c r="X854">
        <f t="shared" si="490"/>
        <v>0</v>
      </c>
      <c r="Y854">
        <f t="shared" si="491"/>
        <v>0</v>
      </c>
      <c r="Z854">
        <f t="shared" si="492"/>
        <v>0</v>
      </c>
      <c r="AA854">
        <f t="shared" si="493"/>
        <v>0</v>
      </c>
      <c r="AB854">
        <f t="shared" si="494"/>
        <v>0</v>
      </c>
      <c r="AC854">
        <f t="shared" si="495"/>
        <v>0</v>
      </c>
      <c r="AD854">
        <f t="shared" si="496"/>
        <v>0</v>
      </c>
      <c r="AF854">
        <f t="shared" si="497"/>
        <v>0</v>
      </c>
      <c r="AG854">
        <f t="shared" si="498"/>
        <v>0</v>
      </c>
      <c r="AH854">
        <f t="shared" si="499"/>
        <v>0</v>
      </c>
      <c r="AI854">
        <f t="shared" si="500"/>
        <v>0</v>
      </c>
      <c r="AJ854">
        <f t="shared" si="501"/>
        <v>0</v>
      </c>
      <c r="AK854">
        <f t="shared" si="502"/>
        <v>0</v>
      </c>
      <c r="AL854">
        <f t="shared" si="503"/>
        <v>0</v>
      </c>
      <c r="AM854">
        <f t="shared" si="504"/>
        <v>0</v>
      </c>
      <c r="AN854">
        <f t="shared" si="505"/>
        <v>0</v>
      </c>
      <c r="AO854">
        <f t="shared" si="506"/>
        <v>0</v>
      </c>
      <c r="AP854">
        <f t="shared" si="507"/>
        <v>0</v>
      </c>
      <c r="AQ854">
        <f t="shared" si="508"/>
        <v>0</v>
      </c>
    </row>
    <row r="855" spans="6:43" x14ac:dyDescent="0.45">
      <c r="F855">
        <f t="shared" si="509"/>
        <v>0</v>
      </c>
      <c r="G855">
        <f t="shared" si="510"/>
        <v>0</v>
      </c>
      <c r="H855">
        <f t="shared" si="511"/>
        <v>0</v>
      </c>
      <c r="I855">
        <f t="shared" si="512"/>
        <v>0</v>
      </c>
      <c r="J855">
        <f t="shared" si="513"/>
        <v>0</v>
      </c>
      <c r="K855">
        <f t="shared" si="514"/>
        <v>0</v>
      </c>
      <c r="L855">
        <f t="shared" si="515"/>
        <v>0</v>
      </c>
      <c r="M855">
        <f t="shared" si="516"/>
        <v>0</v>
      </c>
      <c r="N855">
        <f t="shared" si="517"/>
        <v>0</v>
      </c>
      <c r="O855">
        <f t="shared" si="518"/>
        <v>0</v>
      </c>
      <c r="P855">
        <f t="shared" si="519"/>
        <v>0</v>
      </c>
      <c r="Q855">
        <f t="shared" si="520"/>
        <v>0</v>
      </c>
      <c r="S855">
        <f t="shared" si="485"/>
        <v>0</v>
      </c>
      <c r="T855">
        <f t="shared" si="486"/>
        <v>0</v>
      </c>
      <c r="U855">
        <f t="shared" si="487"/>
        <v>0</v>
      </c>
      <c r="V855">
        <f t="shared" si="488"/>
        <v>0</v>
      </c>
      <c r="W855">
        <f t="shared" si="489"/>
        <v>0</v>
      </c>
      <c r="X855">
        <f t="shared" si="490"/>
        <v>0</v>
      </c>
      <c r="Y855">
        <f t="shared" si="491"/>
        <v>0</v>
      </c>
      <c r="Z855">
        <f t="shared" si="492"/>
        <v>0</v>
      </c>
      <c r="AA855">
        <f t="shared" si="493"/>
        <v>0</v>
      </c>
      <c r="AB855">
        <f t="shared" si="494"/>
        <v>0</v>
      </c>
      <c r="AC855">
        <f t="shared" si="495"/>
        <v>0</v>
      </c>
      <c r="AD855">
        <f t="shared" si="496"/>
        <v>0</v>
      </c>
      <c r="AF855">
        <f t="shared" si="497"/>
        <v>0</v>
      </c>
      <c r="AG855">
        <f t="shared" si="498"/>
        <v>0</v>
      </c>
      <c r="AH855">
        <f t="shared" si="499"/>
        <v>0</v>
      </c>
      <c r="AI855">
        <f t="shared" si="500"/>
        <v>0</v>
      </c>
      <c r="AJ855">
        <f t="shared" si="501"/>
        <v>0</v>
      </c>
      <c r="AK855">
        <f t="shared" si="502"/>
        <v>0</v>
      </c>
      <c r="AL855">
        <f t="shared" si="503"/>
        <v>0</v>
      </c>
      <c r="AM855">
        <f t="shared" si="504"/>
        <v>0</v>
      </c>
      <c r="AN855">
        <f t="shared" si="505"/>
        <v>0</v>
      </c>
      <c r="AO855">
        <f t="shared" si="506"/>
        <v>0</v>
      </c>
      <c r="AP855">
        <f t="shared" si="507"/>
        <v>0</v>
      </c>
      <c r="AQ855">
        <f t="shared" si="508"/>
        <v>0</v>
      </c>
    </row>
    <row r="856" spans="6:43" x14ac:dyDescent="0.45">
      <c r="F856">
        <f t="shared" si="509"/>
        <v>0</v>
      </c>
      <c r="G856">
        <f t="shared" si="510"/>
        <v>0</v>
      </c>
      <c r="H856">
        <f t="shared" si="511"/>
        <v>0</v>
      </c>
      <c r="I856">
        <f t="shared" si="512"/>
        <v>0</v>
      </c>
      <c r="J856">
        <f t="shared" si="513"/>
        <v>0</v>
      </c>
      <c r="K856">
        <f t="shared" si="514"/>
        <v>0</v>
      </c>
      <c r="L856">
        <f t="shared" si="515"/>
        <v>0</v>
      </c>
      <c r="M856">
        <f t="shared" si="516"/>
        <v>0</v>
      </c>
      <c r="N856">
        <f t="shared" si="517"/>
        <v>0</v>
      </c>
      <c r="O856">
        <f t="shared" si="518"/>
        <v>0</v>
      </c>
      <c r="P856">
        <f t="shared" si="519"/>
        <v>0</v>
      </c>
      <c r="Q856">
        <f t="shared" si="520"/>
        <v>0</v>
      </c>
      <c r="S856">
        <f t="shared" si="485"/>
        <v>0</v>
      </c>
      <c r="T856">
        <f t="shared" si="486"/>
        <v>0</v>
      </c>
      <c r="U856">
        <f t="shared" si="487"/>
        <v>0</v>
      </c>
      <c r="V856">
        <f t="shared" si="488"/>
        <v>0</v>
      </c>
      <c r="W856">
        <f t="shared" si="489"/>
        <v>0</v>
      </c>
      <c r="X856">
        <f t="shared" si="490"/>
        <v>0</v>
      </c>
      <c r="Y856">
        <f t="shared" si="491"/>
        <v>0</v>
      </c>
      <c r="Z856">
        <f t="shared" si="492"/>
        <v>0</v>
      </c>
      <c r="AA856">
        <f t="shared" si="493"/>
        <v>0</v>
      </c>
      <c r="AB856">
        <f t="shared" si="494"/>
        <v>0</v>
      </c>
      <c r="AC856">
        <f t="shared" si="495"/>
        <v>0</v>
      </c>
      <c r="AD856">
        <f t="shared" si="496"/>
        <v>0</v>
      </c>
      <c r="AF856">
        <f t="shared" si="497"/>
        <v>0</v>
      </c>
      <c r="AG856">
        <f t="shared" si="498"/>
        <v>0</v>
      </c>
      <c r="AH856">
        <f t="shared" si="499"/>
        <v>0</v>
      </c>
      <c r="AI856">
        <f t="shared" si="500"/>
        <v>0</v>
      </c>
      <c r="AJ856">
        <f t="shared" si="501"/>
        <v>0</v>
      </c>
      <c r="AK856">
        <f t="shared" si="502"/>
        <v>0</v>
      </c>
      <c r="AL856">
        <f t="shared" si="503"/>
        <v>0</v>
      </c>
      <c r="AM856">
        <f t="shared" si="504"/>
        <v>0</v>
      </c>
      <c r="AN856">
        <f t="shared" si="505"/>
        <v>0</v>
      </c>
      <c r="AO856">
        <f t="shared" si="506"/>
        <v>0</v>
      </c>
      <c r="AP856">
        <f t="shared" si="507"/>
        <v>0</v>
      </c>
      <c r="AQ856">
        <f t="shared" si="508"/>
        <v>0</v>
      </c>
    </row>
    <row r="857" spans="6:43" x14ac:dyDescent="0.45">
      <c r="F857">
        <f t="shared" si="509"/>
        <v>0</v>
      </c>
      <c r="G857">
        <f t="shared" si="510"/>
        <v>0</v>
      </c>
      <c r="H857">
        <f t="shared" si="511"/>
        <v>0</v>
      </c>
      <c r="I857">
        <f t="shared" si="512"/>
        <v>0</v>
      </c>
      <c r="J857">
        <f t="shared" si="513"/>
        <v>0</v>
      </c>
      <c r="K857">
        <f t="shared" si="514"/>
        <v>0</v>
      </c>
      <c r="L857">
        <f t="shared" si="515"/>
        <v>0</v>
      </c>
      <c r="M857">
        <f t="shared" si="516"/>
        <v>0</v>
      </c>
      <c r="N857">
        <f t="shared" si="517"/>
        <v>0</v>
      </c>
      <c r="O857">
        <f t="shared" si="518"/>
        <v>0</v>
      </c>
      <c r="P857">
        <f t="shared" si="519"/>
        <v>0</v>
      </c>
      <c r="Q857">
        <f t="shared" si="520"/>
        <v>0</v>
      </c>
      <c r="S857">
        <f t="shared" si="485"/>
        <v>0</v>
      </c>
      <c r="T857">
        <f t="shared" si="486"/>
        <v>0</v>
      </c>
      <c r="U857">
        <f t="shared" si="487"/>
        <v>0</v>
      </c>
      <c r="V857">
        <f t="shared" si="488"/>
        <v>0</v>
      </c>
      <c r="W857">
        <f t="shared" si="489"/>
        <v>0</v>
      </c>
      <c r="X857">
        <f t="shared" si="490"/>
        <v>0</v>
      </c>
      <c r="Y857">
        <f t="shared" si="491"/>
        <v>0</v>
      </c>
      <c r="Z857">
        <f t="shared" si="492"/>
        <v>0</v>
      </c>
      <c r="AA857">
        <f t="shared" si="493"/>
        <v>0</v>
      </c>
      <c r="AB857">
        <f t="shared" si="494"/>
        <v>0</v>
      </c>
      <c r="AC857">
        <f t="shared" si="495"/>
        <v>0</v>
      </c>
      <c r="AD857">
        <f t="shared" si="496"/>
        <v>0</v>
      </c>
      <c r="AF857">
        <f t="shared" si="497"/>
        <v>0</v>
      </c>
      <c r="AG857">
        <f t="shared" si="498"/>
        <v>0</v>
      </c>
      <c r="AH857">
        <f t="shared" si="499"/>
        <v>0</v>
      </c>
      <c r="AI857">
        <f t="shared" si="500"/>
        <v>0</v>
      </c>
      <c r="AJ857">
        <f t="shared" si="501"/>
        <v>0</v>
      </c>
      <c r="AK857">
        <f t="shared" si="502"/>
        <v>0</v>
      </c>
      <c r="AL857">
        <f t="shared" si="503"/>
        <v>0</v>
      </c>
      <c r="AM857">
        <f t="shared" si="504"/>
        <v>0</v>
      </c>
      <c r="AN857">
        <f t="shared" si="505"/>
        <v>0</v>
      </c>
      <c r="AO857">
        <f t="shared" si="506"/>
        <v>0</v>
      </c>
      <c r="AP857">
        <f t="shared" si="507"/>
        <v>0</v>
      </c>
      <c r="AQ857">
        <f t="shared" si="508"/>
        <v>0</v>
      </c>
    </row>
    <row r="858" spans="6:43" x14ac:dyDescent="0.45">
      <c r="F858">
        <f t="shared" si="509"/>
        <v>0</v>
      </c>
      <c r="G858">
        <f t="shared" si="510"/>
        <v>0</v>
      </c>
      <c r="H858">
        <f t="shared" si="511"/>
        <v>0</v>
      </c>
      <c r="I858">
        <f t="shared" si="512"/>
        <v>0</v>
      </c>
      <c r="J858">
        <f t="shared" si="513"/>
        <v>0</v>
      </c>
      <c r="K858">
        <f t="shared" si="514"/>
        <v>0</v>
      </c>
      <c r="L858">
        <f t="shared" si="515"/>
        <v>0</v>
      </c>
      <c r="M858">
        <f t="shared" si="516"/>
        <v>0</v>
      </c>
      <c r="N858">
        <f t="shared" si="517"/>
        <v>0</v>
      </c>
      <c r="O858">
        <f t="shared" si="518"/>
        <v>0</v>
      </c>
      <c r="P858">
        <f t="shared" si="519"/>
        <v>0</v>
      </c>
      <c r="Q858">
        <f t="shared" si="520"/>
        <v>0</v>
      </c>
      <c r="S858">
        <f t="shared" si="485"/>
        <v>0</v>
      </c>
      <c r="T858">
        <f t="shared" si="486"/>
        <v>0</v>
      </c>
      <c r="U858">
        <f t="shared" si="487"/>
        <v>0</v>
      </c>
      <c r="V858">
        <f t="shared" si="488"/>
        <v>0</v>
      </c>
      <c r="W858">
        <f t="shared" si="489"/>
        <v>0</v>
      </c>
      <c r="X858">
        <f t="shared" si="490"/>
        <v>0</v>
      </c>
      <c r="Y858">
        <f t="shared" si="491"/>
        <v>0</v>
      </c>
      <c r="Z858">
        <f t="shared" si="492"/>
        <v>0</v>
      </c>
      <c r="AA858">
        <f t="shared" si="493"/>
        <v>0</v>
      </c>
      <c r="AB858">
        <f t="shared" si="494"/>
        <v>0</v>
      </c>
      <c r="AC858">
        <f t="shared" si="495"/>
        <v>0</v>
      </c>
      <c r="AD858">
        <f t="shared" si="496"/>
        <v>0</v>
      </c>
      <c r="AF858">
        <f t="shared" si="497"/>
        <v>0</v>
      </c>
      <c r="AG858">
        <f t="shared" si="498"/>
        <v>0</v>
      </c>
      <c r="AH858">
        <f t="shared" si="499"/>
        <v>0</v>
      </c>
      <c r="AI858">
        <f t="shared" si="500"/>
        <v>0</v>
      </c>
      <c r="AJ858">
        <f t="shared" si="501"/>
        <v>0</v>
      </c>
      <c r="AK858">
        <f t="shared" si="502"/>
        <v>0</v>
      </c>
      <c r="AL858">
        <f t="shared" si="503"/>
        <v>0</v>
      </c>
      <c r="AM858">
        <f t="shared" si="504"/>
        <v>0</v>
      </c>
      <c r="AN858">
        <f t="shared" si="505"/>
        <v>0</v>
      </c>
      <c r="AO858">
        <f t="shared" si="506"/>
        <v>0</v>
      </c>
      <c r="AP858">
        <f t="shared" si="507"/>
        <v>0</v>
      </c>
      <c r="AQ858">
        <f t="shared" si="508"/>
        <v>0</v>
      </c>
    </row>
    <row r="859" spans="6:43" x14ac:dyDescent="0.45">
      <c r="F859">
        <f t="shared" si="509"/>
        <v>0</v>
      </c>
      <c r="G859">
        <f t="shared" si="510"/>
        <v>0</v>
      </c>
      <c r="H859">
        <f t="shared" si="511"/>
        <v>0</v>
      </c>
      <c r="I859">
        <f t="shared" si="512"/>
        <v>0</v>
      </c>
      <c r="J859">
        <f t="shared" si="513"/>
        <v>0</v>
      </c>
      <c r="K859">
        <f t="shared" si="514"/>
        <v>0</v>
      </c>
      <c r="L859">
        <f t="shared" si="515"/>
        <v>0</v>
      </c>
      <c r="M859">
        <f t="shared" si="516"/>
        <v>0</v>
      </c>
      <c r="N859">
        <f t="shared" si="517"/>
        <v>0</v>
      </c>
      <c r="O859">
        <f t="shared" si="518"/>
        <v>0</v>
      </c>
      <c r="P859">
        <f t="shared" si="519"/>
        <v>0</v>
      </c>
      <c r="Q859">
        <f t="shared" si="520"/>
        <v>0</v>
      </c>
      <c r="S859">
        <f t="shared" si="485"/>
        <v>0</v>
      </c>
      <c r="T859">
        <f t="shared" si="486"/>
        <v>0</v>
      </c>
      <c r="U859">
        <f t="shared" si="487"/>
        <v>0</v>
      </c>
      <c r="V859">
        <f t="shared" si="488"/>
        <v>0</v>
      </c>
      <c r="W859">
        <f t="shared" si="489"/>
        <v>0</v>
      </c>
      <c r="X859">
        <f t="shared" si="490"/>
        <v>0</v>
      </c>
      <c r="Y859">
        <f t="shared" si="491"/>
        <v>0</v>
      </c>
      <c r="Z859">
        <f t="shared" si="492"/>
        <v>0</v>
      </c>
      <c r="AA859">
        <f t="shared" si="493"/>
        <v>0</v>
      </c>
      <c r="AB859">
        <f t="shared" si="494"/>
        <v>0</v>
      </c>
      <c r="AC859">
        <f t="shared" si="495"/>
        <v>0</v>
      </c>
      <c r="AD859">
        <f t="shared" si="496"/>
        <v>0</v>
      </c>
      <c r="AF859">
        <f t="shared" si="497"/>
        <v>0</v>
      </c>
      <c r="AG859">
        <f t="shared" si="498"/>
        <v>0</v>
      </c>
      <c r="AH859">
        <f t="shared" si="499"/>
        <v>0</v>
      </c>
      <c r="AI859">
        <f t="shared" si="500"/>
        <v>0</v>
      </c>
      <c r="AJ859">
        <f t="shared" si="501"/>
        <v>0</v>
      </c>
      <c r="AK859">
        <f t="shared" si="502"/>
        <v>0</v>
      </c>
      <c r="AL859">
        <f t="shared" si="503"/>
        <v>0</v>
      </c>
      <c r="AM859">
        <f t="shared" si="504"/>
        <v>0</v>
      </c>
      <c r="AN859">
        <f t="shared" si="505"/>
        <v>0</v>
      </c>
      <c r="AO859">
        <f t="shared" si="506"/>
        <v>0</v>
      </c>
      <c r="AP859">
        <f t="shared" si="507"/>
        <v>0</v>
      </c>
      <c r="AQ859">
        <f t="shared" si="508"/>
        <v>0</v>
      </c>
    </row>
    <row r="860" spans="6:43" x14ac:dyDescent="0.45">
      <c r="F860">
        <f t="shared" si="509"/>
        <v>0</v>
      </c>
      <c r="G860">
        <f t="shared" si="510"/>
        <v>0</v>
      </c>
      <c r="H860">
        <f t="shared" si="511"/>
        <v>0</v>
      </c>
      <c r="I860">
        <f t="shared" si="512"/>
        <v>0</v>
      </c>
      <c r="J860">
        <f t="shared" si="513"/>
        <v>0</v>
      </c>
      <c r="K860">
        <f t="shared" si="514"/>
        <v>0</v>
      </c>
      <c r="L860">
        <f t="shared" si="515"/>
        <v>0</v>
      </c>
      <c r="M860">
        <f t="shared" si="516"/>
        <v>0</v>
      </c>
      <c r="N860">
        <f t="shared" si="517"/>
        <v>0</v>
      </c>
      <c r="O860">
        <f t="shared" si="518"/>
        <v>0</v>
      </c>
      <c r="P860">
        <f t="shared" si="519"/>
        <v>0</v>
      </c>
      <c r="Q860">
        <f t="shared" si="520"/>
        <v>0</v>
      </c>
      <c r="S860">
        <f t="shared" si="485"/>
        <v>0</v>
      </c>
      <c r="T860">
        <f t="shared" si="486"/>
        <v>0</v>
      </c>
      <c r="U860">
        <f t="shared" si="487"/>
        <v>0</v>
      </c>
      <c r="V860">
        <f t="shared" si="488"/>
        <v>0</v>
      </c>
      <c r="W860">
        <f t="shared" si="489"/>
        <v>0</v>
      </c>
      <c r="X860">
        <f t="shared" si="490"/>
        <v>0</v>
      </c>
      <c r="Y860">
        <f t="shared" si="491"/>
        <v>0</v>
      </c>
      <c r="Z860">
        <f t="shared" si="492"/>
        <v>0</v>
      </c>
      <c r="AA860">
        <f t="shared" si="493"/>
        <v>0</v>
      </c>
      <c r="AB860">
        <f t="shared" si="494"/>
        <v>0</v>
      </c>
      <c r="AC860">
        <f t="shared" si="495"/>
        <v>0</v>
      </c>
      <c r="AD860">
        <f t="shared" si="496"/>
        <v>0</v>
      </c>
      <c r="AF860">
        <f t="shared" si="497"/>
        <v>0</v>
      </c>
      <c r="AG860">
        <f t="shared" si="498"/>
        <v>0</v>
      </c>
      <c r="AH860">
        <f t="shared" si="499"/>
        <v>0</v>
      </c>
      <c r="AI860">
        <f t="shared" si="500"/>
        <v>0</v>
      </c>
      <c r="AJ860">
        <f t="shared" si="501"/>
        <v>0</v>
      </c>
      <c r="AK860">
        <f t="shared" si="502"/>
        <v>0</v>
      </c>
      <c r="AL860">
        <f t="shared" si="503"/>
        <v>0</v>
      </c>
      <c r="AM860">
        <f t="shared" si="504"/>
        <v>0</v>
      </c>
      <c r="AN860">
        <f t="shared" si="505"/>
        <v>0</v>
      </c>
      <c r="AO860">
        <f t="shared" si="506"/>
        <v>0</v>
      </c>
      <c r="AP860">
        <f t="shared" si="507"/>
        <v>0</v>
      </c>
      <c r="AQ860">
        <f t="shared" si="508"/>
        <v>0</v>
      </c>
    </row>
    <row r="861" spans="6:43" x14ac:dyDescent="0.45">
      <c r="F861">
        <f t="shared" si="509"/>
        <v>0</v>
      </c>
      <c r="G861">
        <f t="shared" si="510"/>
        <v>0</v>
      </c>
      <c r="H861">
        <f t="shared" si="511"/>
        <v>0</v>
      </c>
      <c r="I861">
        <f t="shared" si="512"/>
        <v>0</v>
      </c>
      <c r="J861">
        <f t="shared" si="513"/>
        <v>0</v>
      </c>
      <c r="K861">
        <f t="shared" si="514"/>
        <v>0</v>
      </c>
      <c r="L861">
        <f t="shared" si="515"/>
        <v>0</v>
      </c>
      <c r="M861">
        <f t="shared" si="516"/>
        <v>0</v>
      </c>
      <c r="N861">
        <f t="shared" si="517"/>
        <v>0</v>
      </c>
      <c r="O861">
        <f t="shared" si="518"/>
        <v>0</v>
      </c>
      <c r="P861">
        <f t="shared" si="519"/>
        <v>0</v>
      </c>
      <c r="Q861">
        <f t="shared" si="520"/>
        <v>0</v>
      </c>
      <c r="S861">
        <f t="shared" si="485"/>
        <v>0</v>
      </c>
      <c r="T861">
        <f t="shared" si="486"/>
        <v>0</v>
      </c>
      <c r="U861">
        <f t="shared" si="487"/>
        <v>0</v>
      </c>
      <c r="V861">
        <f t="shared" si="488"/>
        <v>0</v>
      </c>
      <c r="W861">
        <f t="shared" si="489"/>
        <v>0</v>
      </c>
      <c r="X861">
        <f t="shared" si="490"/>
        <v>0</v>
      </c>
      <c r="Y861">
        <f t="shared" si="491"/>
        <v>0</v>
      </c>
      <c r="Z861">
        <f t="shared" si="492"/>
        <v>0</v>
      </c>
      <c r="AA861">
        <f t="shared" si="493"/>
        <v>0</v>
      </c>
      <c r="AB861">
        <f t="shared" si="494"/>
        <v>0</v>
      </c>
      <c r="AC861">
        <f t="shared" si="495"/>
        <v>0</v>
      </c>
      <c r="AD861">
        <f t="shared" si="496"/>
        <v>0</v>
      </c>
      <c r="AF861">
        <f t="shared" si="497"/>
        <v>0</v>
      </c>
      <c r="AG861">
        <f t="shared" si="498"/>
        <v>0</v>
      </c>
      <c r="AH861">
        <f t="shared" si="499"/>
        <v>0</v>
      </c>
      <c r="AI861">
        <f t="shared" si="500"/>
        <v>0</v>
      </c>
      <c r="AJ861">
        <f t="shared" si="501"/>
        <v>0</v>
      </c>
      <c r="AK861">
        <f t="shared" si="502"/>
        <v>0</v>
      </c>
      <c r="AL861">
        <f t="shared" si="503"/>
        <v>0</v>
      </c>
      <c r="AM861">
        <f t="shared" si="504"/>
        <v>0</v>
      </c>
      <c r="AN861">
        <f t="shared" si="505"/>
        <v>0</v>
      </c>
      <c r="AO861">
        <f t="shared" si="506"/>
        <v>0</v>
      </c>
      <c r="AP861">
        <f t="shared" si="507"/>
        <v>0</v>
      </c>
      <c r="AQ861">
        <f t="shared" si="508"/>
        <v>0</v>
      </c>
    </row>
    <row r="862" spans="6:43" x14ac:dyDescent="0.45">
      <c r="F862">
        <f t="shared" si="509"/>
        <v>0</v>
      </c>
      <c r="G862">
        <f t="shared" si="510"/>
        <v>0</v>
      </c>
      <c r="H862">
        <f t="shared" si="511"/>
        <v>0</v>
      </c>
      <c r="I862">
        <f t="shared" si="512"/>
        <v>0</v>
      </c>
      <c r="J862">
        <f t="shared" si="513"/>
        <v>0</v>
      </c>
      <c r="K862">
        <f t="shared" si="514"/>
        <v>0</v>
      </c>
      <c r="L862">
        <f t="shared" si="515"/>
        <v>0</v>
      </c>
      <c r="M862">
        <f t="shared" si="516"/>
        <v>0</v>
      </c>
      <c r="N862">
        <f t="shared" si="517"/>
        <v>0</v>
      </c>
      <c r="O862">
        <f t="shared" si="518"/>
        <v>0</v>
      </c>
      <c r="P862">
        <f t="shared" si="519"/>
        <v>0</v>
      </c>
      <c r="Q862">
        <f t="shared" si="520"/>
        <v>0</v>
      </c>
      <c r="S862">
        <f t="shared" si="485"/>
        <v>0</v>
      </c>
      <c r="T862">
        <f t="shared" si="486"/>
        <v>0</v>
      </c>
      <c r="U862">
        <f t="shared" si="487"/>
        <v>0</v>
      </c>
      <c r="V862">
        <f t="shared" si="488"/>
        <v>0</v>
      </c>
      <c r="W862">
        <f t="shared" si="489"/>
        <v>0</v>
      </c>
      <c r="X862">
        <f t="shared" si="490"/>
        <v>0</v>
      </c>
      <c r="Y862">
        <f t="shared" si="491"/>
        <v>0</v>
      </c>
      <c r="Z862">
        <f t="shared" si="492"/>
        <v>0</v>
      </c>
      <c r="AA862">
        <f t="shared" si="493"/>
        <v>0</v>
      </c>
      <c r="AB862">
        <f t="shared" si="494"/>
        <v>0</v>
      </c>
      <c r="AC862">
        <f t="shared" si="495"/>
        <v>0</v>
      </c>
      <c r="AD862">
        <f t="shared" si="496"/>
        <v>0</v>
      </c>
      <c r="AF862">
        <f t="shared" si="497"/>
        <v>0</v>
      </c>
      <c r="AG862">
        <f t="shared" si="498"/>
        <v>0</v>
      </c>
      <c r="AH862">
        <f t="shared" si="499"/>
        <v>0</v>
      </c>
      <c r="AI862">
        <f t="shared" si="500"/>
        <v>0</v>
      </c>
      <c r="AJ862">
        <f t="shared" si="501"/>
        <v>0</v>
      </c>
      <c r="AK862">
        <f t="shared" si="502"/>
        <v>0</v>
      </c>
      <c r="AL862">
        <f t="shared" si="503"/>
        <v>0</v>
      </c>
      <c r="AM862">
        <f t="shared" si="504"/>
        <v>0</v>
      </c>
      <c r="AN862">
        <f t="shared" si="505"/>
        <v>0</v>
      </c>
      <c r="AO862">
        <f t="shared" si="506"/>
        <v>0</v>
      </c>
      <c r="AP862">
        <f t="shared" si="507"/>
        <v>0</v>
      </c>
      <c r="AQ862">
        <f t="shared" si="508"/>
        <v>0</v>
      </c>
    </row>
    <row r="863" spans="6:43" x14ac:dyDescent="0.45">
      <c r="F863">
        <f t="shared" si="509"/>
        <v>0</v>
      </c>
      <c r="G863">
        <f t="shared" si="510"/>
        <v>0</v>
      </c>
      <c r="H863">
        <f t="shared" si="511"/>
        <v>0</v>
      </c>
      <c r="I863">
        <f t="shared" si="512"/>
        <v>0</v>
      </c>
      <c r="J863">
        <f t="shared" si="513"/>
        <v>0</v>
      </c>
      <c r="K863">
        <f t="shared" si="514"/>
        <v>0</v>
      </c>
      <c r="L863">
        <f t="shared" si="515"/>
        <v>0</v>
      </c>
      <c r="M863">
        <f t="shared" si="516"/>
        <v>0</v>
      </c>
      <c r="N863">
        <f t="shared" si="517"/>
        <v>0</v>
      </c>
      <c r="O863">
        <f t="shared" si="518"/>
        <v>0</v>
      </c>
      <c r="P863">
        <f t="shared" si="519"/>
        <v>0</v>
      </c>
      <c r="Q863">
        <f t="shared" si="520"/>
        <v>0</v>
      </c>
      <c r="S863">
        <f t="shared" si="485"/>
        <v>0</v>
      </c>
      <c r="T863">
        <f t="shared" si="486"/>
        <v>0</v>
      </c>
      <c r="U863">
        <f t="shared" si="487"/>
        <v>0</v>
      </c>
      <c r="V863">
        <f t="shared" si="488"/>
        <v>0</v>
      </c>
      <c r="W863">
        <f t="shared" si="489"/>
        <v>0</v>
      </c>
      <c r="X863">
        <f t="shared" si="490"/>
        <v>0</v>
      </c>
      <c r="Y863">
        <f t="shared" si="491"/>
        <v>0</v>
      </c>
      <c r="Z863">
        <f t="shared" si="492"/>
        <v>0</v>
      </c>
      <c r="AA863">
        <f t="shared" si="493"/>
        <v>0</v>
      </c>
      <c r="AB863">
        <f t="shared" si="494"/>
        <v>0</v>
      </c>
      <c r="AC863">
        <f t="shared" si="495"/>
        <v>0</v>
      </c>
      <c r="AD863">
        <f t="shared" si="496"/>
        <v>0</v>
      </c>
      <c r="AF863">
        <f t="shared" si="497"/>
        <v>0</v>
      </c>
      <c r="AG863">
        <f t="shared" si="498"/>
        <v>0</v>
      </c>
      <c r="AH863">
        <f t="shared" si="499"/>
        <v>0</v>
      </c>
      <c r="AI863">
        <f t="shared" si="500"/>
        <v>0</v>
      </c>
      <c r="AJ863">
        <f t="shared" si="501"/>
        <v>0</v>
      </c>
      <c r="AK863">
        <f t="shared" si="502"/>
        <v>0</v>
      </c>
      <c r="AL863">
        <f t="shared" si="503"/>
        <v>0</v>
      </c>
      <c r="AM863">
        <f t="shared" si="504"/>
        <v>0</v>
      </c>
      <c r="AN863">
        <f t="shared" si="505"/>
        <v>0</v>
      </c>
      <c r="AO863">
        <f t="shared" si="506"/>
        <v>0</v>
      </c>
      <c r="AP863">
        <f t="shared" si="507"/>
        <v>0</v>
      </c>
      <c r="AQ863">
        <f t="shared" si="508"/>
        <v>0</v>
      </c>
    </row>
    <row r="864" spans="6:43" x14ac:dyDescent="0.45">
      <c r="F864">
        <f t="shared" si="509"/>
        <v>0</v>
      </c>
      <c r="G864">
        <f t="shared" si="510"/>
        <v>0</v>
      </c>
      <c r="H864">
        <f t="shared" si="511"/>
        <v>0</v>
      </c>
      <c r="I864">
        <f t="shared" si="512"/>
        <v>0</v>
      </c>
      <c r="J864">
        <f t="shared" si="513"/>
        <v>0</v>
      </c>
      <c r="K864">
        <f t="shared" si="514"/>
        <v>0</v>
      </c>
      <c r="L864">
        <f t="shared" si="515"/>
        <v>0</v>
      </c>
      <c r="M864">
        <f t="shared" si="516"/>
        <v>0</v>
      </c>
      <c r="N864">
        <f t="shared" si="517"/>
        <v>0</v>
      </c>
      <c r="O864">
        <f t="shared" si="518"/>
        <v>0</v>
      </c>
      <c r="P864">
        <f t="shared" si="519"/>
        <v>0</v>
      </c>
      <c r="Q864">
        <f t="shared" si="520"/>
        <v>0</v>
      </c>
      <c r="S864">
        <f t="shared" si="485"/>
        <v>0</v>
      </c>
      <c r="T864">
        <f t="shared" si="486"/>
        <v>0</v>
      </c>
      <c r="U864">
        <f t="shared" si="487"/>
        <v>0</v>
      </c>
      <c r="V864">
        <f t="shared" si="488"/>
        <v>0</v>
      </c>
      <c r="W864">
        <f t="shared" si="489"/>
        <v>0</v>
      </c>
      <c r="X864">
        <f t="shared" si="490"/>
        <v>0</v>
      </c>
      <c r="Y864">
        <f t="shared" si="491"/>
        <v>0</v>
      </c>
      <c r="Z864">
        <f t="shared" si="492"/>
        <v>0</v>
      </c>
      <c r="AA864">
        <f t="shared" si="493"/>
        <v>0</v>
      </c>
      <c r="AB864">
        <f t="shared" si="494"/>
        <v>0</v>
      </c>
      <c r="AC864">
        <f t="shared" si="495"/>
        <v>0</v>
      </c>
      <c r="AD864">
        <f t="shared" si="496"/>
        <v>0</v>
      </c>
      <c r="AF864">
        <f t="shared" si="497"/>
        <v>0</v>
      </c>
      <c r="AG864">
        <f t="shared" si="498"/>
        <v>0</v>
      </c>
      <c r="AH864">
        <f t="shared" si="499"/>
        <v>0</v>
      </c>
      <c r="AI864">
        <f t="shared" si="500"/>
        <v>0</v>
      </c>
      <c r="AJ864">
        <f t="shared" si="501"/>
        <v>0</v>
      </c>
      <c r="AK864">
        <f t="shared" si="502"/>
        <v>0</v>
      </c>
      <c r="AL864">
        <f t="shared" si="503"/>
        <v>0</v>
      </c>
      <c r="AM864">
        <f t="shared" si="504"/>
        <v>0</v>
      </c>
      <c r="AN864">
        <f t="shared" si="505"/>
        <v>0</v>
      </c>
      <c r="AO864">
        <f t="shared" si="506"/>
        <v>0</v>
      </c>
      <c r="AP864">
        <f t="shared" si="507"/>
        <v>0</v>
      </c>
      <c r="AQ864">
        <f t="shared" si="508"/>
        <v>0</v>
      </c>
    </row>
    <row r="865" spans="6:43" x14ac:dyDescent="0.45">
      <c r="F865">
        <f t="shared" si="509"/>
        <v>0</v>
      </c>
      <c r="G865">
        <f t="shared" si="510"/>
        <v>0</v>
      </c>
      <c r="H865">
        <f t="shared" si="511"/>
        <v>0</v>
      </c>
      <c r="I865">
        <f t="shared" si="512"/>
        <v>0</v>
      </c>
      <c r="J865">
        <f t="shared" si="513"/>
        <v>0</v>
      </c>
      <c r="K865">
        <f t="shared" si="514"/>
        <v>0</v>
      </c>
      <c r="L865">
        <f t="shared" si="515"/>
        <v>0</v>
      </c>
      <c r="M865">
        <f t="shared" si="516"/>
        <v>0</v>
      </c>
      <c r="N865">
        <f t="shared" si="517"/>
        <v>0</v>
      </c>
      <c r="O865">
        <f t="shared" si="518"/>
        <v>0</v>
      </c>
      <c r="P865">
        <f t="shared" si="519"/>
        <v>0</v>
      </c>
      <c r="Q865">
        <f t="shared" si="520"/>
        <v>0</v>
      </c>
      <c r="S865">
        <f t="shared" si="485"/>
        <v>0</v>
      </c>
      <c r="T865">
        <f t="shared" si="486"/>
        <v>0</v>
      </c>
      <c r="U865">
        <f t="shared" si="487"/>
        <v>0</v>
      </c>
      <c r="V865">
        <f t="shared" si="488"/>
        <v>0</v>
      </c>
      <c r="W865">
        <f t="shared" si="489"/>
        <v>0</v>
      </c>
      <c r="X865">
        <f t="shared" si="490"/>
        <v>0</v>
      </c>
      <c r="Y865">
        <f t="shared" si="491"/>
        <v>0</v>
      </c>
      <c r="Z865">
        <f t="shared" si="492"/>
        <v>0</v>
      </c>
      <c r="AA865">
        <f t="shared" si="493"/>
        <v>0</v>
      </c>
      <c r="AB865">
        <f t="shared" si="494"/>
        <v>0</v>
      </c>
      <c r="AC865">
        <f t="shared" si="495"/>
        <v>0</v>
      </c>
      <c r="AD865">
        <f t="shared" si="496"/>
        <v>0</v>
      </c>
      <c r="AF865">
        <f t="shared" si="497"/>
        <v>0</v>
      </c>
      <c r="AG865">
        <f t="shared" si="498"/>
        <v>0</v>
      </c>
      <c r="AH865">
        <f t="shared" si="499"/>
        <v>0</v>
      </c>
      <c r="AI865">
        <f t="shared" si="500"/>
        <v>0</v>
      </c>
      <c r="AJ865">
        <f t="shared" si="501"/>
        <v>0</v>
      </c>
      <c r="AK865">
        <f t="shared" si="502"/>
        <v>0</v>
      </c>
      <c r="AL865">
        <f t="shared" si="503"/>
        <v>0</v>
      </c>
      <c r="AM865">
        <f t="shared" si="504"/>
        <v>0</v>
      </c>
      <c r="AN865">
        <f t="shared" si="505"/>
        <v>0</v>
      </c>
      <c r="AO865">
        <f t="shared" si="506"/>
        <v>0</v>
      </c>
      <c r="AP865">
        <f t="shared" si="507"/>
        <v>0</v>
      </c>
      <c r="AQ865">
        <f t="shared" si="508"/>
        <v>0</v>
      </c>
    </row>
    <row r="866" spans="6:43" x14ac:dyDescent="0.45">
      <c r="F866">
        <f t="shared" si="509"/>
        <v>0</v>
      </c>
      <c r="G866">
        <f t="shared" si="510"/>
        <v>0</v>
      </c>
      <c r="H866">
        <f t="shared" si="511"/>
        <v>0</v>
      </c>
      <c r="I866">
        <f t="shared" si="512"/>
        <v>0</v>
      </c>
      <c r="J866">
        <f t="shared" si="513"/>
        <v>0</v>
      </c>
      <c r="K866">
        <f t="shared" si="514"/>
        <v>0</v>
      </c>
      <c r="L866">
        <f t="shared" si="515"/>
        <v>0</v>
      </c>
      <c r="M866">
        <f t="shared" si="516"/>
        <v>0</v>
      </c>
      <c r="N866">
        <f t="shared" si="517"/>
        <v>0</v>
      </c>
      <c r="O866">
        <f t="shared" si="518"/>
        <v>0</v>
      </c>
      <c r="P866">
        <f t="shared" si="519"/>
        <v>0</v>
      </c>
      <c r="Q866">
        <f t="shared" si="520"/>
        <v>0</v>
      </c>
      <c r="S866">
        <f t="shared" si="485"/>
        <v>0</v>
      </c>
      <c r="T866">
        <f t="shared" si="486"/>
        <v>0</v>
      </c>
      <c r="U866">
        <f t="shared" si="487"/>
        <v>0</v>
      </c>
      <c r="V866">
        <f t="shared" si="488"/>
        <v>0</v>
      </c>
      <c r="W866">
        <f t="shared" si="489"/>
        <v>0</v>
      </c>
      <c r="X866">
        <f t="shared" si="490"/>
        <v>0</v>
      </c>
      <c r="Y866">
        <f t="shared" si="491"/>
        <v>0</v>
      </c>
      <c r="Z866">
        <f t="shared" si="492"/>
        <v>0</v>
      </c>
      <c r="AA866">
        <f t="shared" si="493"/>
        <v>0</v>
      </c>
      <c r="AB866">
        <f t="shared" si="494"/>
        <v>0</v>
      </c>
      <c r="AC866">
        <f t="shared" si="495"/>
        <v>0</v>
      </c>
      <c r="AD866">
        <f t="shared" si="496"/>
        <v>0</v>
      </c>
      <c r="AF866">
        <f t="shared" si="497"/>
        <v>0</v>
      </c>
      <c r="AG866">
        <f t="shared" si="498"/>
        <v>0</v>
      </c>
      <c r="AH866">
        <f t="shared" si="499"/>
        <v>0</v>
      </c>
      <c r="AI866">
        <f t="shared" si="500"/>
        <v>0</v>
      </c>
      <c r="AJ866">
        <f t="shared" si="501"/>
        <v>0</v>
      </c>
      <c r="AK866">
        <f t="shared" si="502"/>
        <v>0</v>
      </c>
      <c r="AL866">
        <f t="shared" si="503"/>
        <v>0</v>
      </c>
      <c r="AM866">
        <f t="shared" si="504"/>
        <v>0</v>
      </c>
      <c r="AN866">
        <f t="shared" si="505"/>
        <v>0</v>
      </c>
      <c r="AO866">
        <f t="shared" si="506"/>
        <v>0</v>
      </c>
      <c r="AP866">
        <f t="shared" si="507"/>
        <v>0</v>
      </c>
      <c r="AQ866">
        <f t="shared" si="508"/>
        <v>0</v>
      </c>
    </row>
    <row r="867" spans="6:43" x14ac:dyDescent="0.45">
      <c r="F867">
        <f t="shared" si="509"/>
        <v>0</v>
      </c>
      <c r="G867">
        <f t="shared" si="510"/>
        <v>0</v>
      </c>
      <c r="H867">
        <f t="shared" si="511"/>
        <v>0</v>
      </c>
      <c r="I867">
        <f t="shared" si="512"/>
        <v>0</v>
      </c>
      <c r="J867">
        <f t="shared" si="513"/>
        <v>0</v>
      </c>
      <c r="K867">
        <f t="shared" si="514"/>
        <v>0</v>
      </c>
      <c r="L867">
        <f t="shared" si="515"/>
        <v>0</v>
      </c>
      <c r="M867">
        <f t="shared" si="516"/>
        <v>0</v>
      </c>
      <c r="N867">
        <f t="shared" si="517"/>
        <v>0</v>
      </c>
      <c r="O867">
        <f t="shared" si="518"/>
        <v>0</v>
      </c>
      <c r="P867">
        <f t="shared" si="519"/>
        <v>0</v>
      </c>
      <c r="Q867">
        <f t="shared" si="520"/>
        <v>0</v>
      </c>
      <c r="S867">
        <f t="shared" si="485"/>
        <v>0</v>
      </c>
      <c r="T867">
        <f t="shared" si="486"/>
        <v>0</v>
      </c>
      <c r="U867">
        <f t="shared" si="487"/>
        <v>0</v>
      </c>
      <c r="V867">
        <f t="shared" si="488"/>
        <v>0</v>
      </c>
      <c r="W867">
        <f t="shared" si="489"/>
        <v>0</v>
      </c>
      <c r="X867">
        <f t="shared" si="490"/>
        <v>0</v>
      </c>
      <c r="Y867">
        <f t="shared" si="491"/>
        <v>0</v>
      </c>
      <c r="Z867">
        <f t="shared" si="492"/>
        <v>0</v>
      </c>
      <c r="AA867">
        <f t="shared" si="493"/>
        <v>0</v>
      </c>
      <c r="AB867">
        <f t="shared" si="494"/>
        <v>0</v>
      </c>
      <c r="AC867">
        <f t="shared" si="495"/>
        <v>0</v>
      </c>
      <c r="AD867">
        <f t="shared" si="496"/>
        <v>0</v>
      </c>
      <c r="AF867">
        <f t="shared" si="497"/>
        <v>0</v>
      </c>
      <c r="AG867">
        <f t="shared" si="498"/>
        <v>0</v>
      </c>
      <c r="AH867">
        <f t="shared" si="499"/>
        <v>0</v>
      </c>
      <c r="AI867">
        <f t="shared" si="500"/>
        <v>0</v>
      </c>
      <c r="AJ867">
        <f t="shared" si="501"/>
        <v>0</v>
      </c>
      <c r="AK867">
        <f t="shared" si="502"/>
        <v>0</v>
      </c>
      <c r="AL867">
        <f t="shared" si="503"/>
        <v>0</v>
      </c>
      <c r="AM867">
        <f t="shared" si="504"/>
        <v>0</v>
      </c>
      <c r="AN867">
        <f t="shared" si="505"/>
        <v>0</v>
      </c>
      <c r="AO867">
        <f t="shared" si="506"/>
        <v>0</v>
      </c>
      <c r="AP867">
        <f t="shared" si="507"/>
        <v>0</v>
      </c>
      <c r="AQ867">
        <f t="shared" si="508"/>
        <v>0</v>
      </c>
    </row>
    <row r="868" spans="6:43" x14ac:dyDescent="0.45">
      <c r="F868">
        <f t="shared" si="509"/>
        <v>0</v>
      </c>
      <c r="G868">
        <f t="shared" si="510"/>
        <v>0</v>
      </c>
      <c r="H868">
        <f t="shared" si="511"/>
        <v>0</v>
      </c>
      <c r="I868">
        <f t="shared" si="512"/>
        <v>0</v>
      </c>
      <c r="J868">
        <f t="shared" si="513"/>
        <v>0</v>
      </c>
      <c r="K868">
        <f t="shared" si="514"/>
        <v>0</v>
      </c>
      <c r="L868">
        <f t="shared" si="515"/>
        <v>0</v>
      </c>
      <c r="M868">
        <f t="shared" si="516"/>
        <v>0</v>
      </c>
      <c r="N868">
        <f t="shared" si="517"/>
        <v>0</v>
      </c>
      <c r="O868">
        <f t="shared" si="518"/>
        <v>0</v>
      </c>
      <c r="P868">
        <f t="shared" si="519"/>
        <v>0</v>
      </c>
      <c r="Q868">
        <f t="shared" si="520"/>
        <v>0</v>
      </c>
      <c r="S868">
        <f t="shared" si="485"/>
        <v>0</v>
      </c>
      <c r="T868">
        <f t="shared" si="486"/>
        <v>0</v>
      </c>
      <c r="U868">
        <f t="shared" si="487"/>
        <v>0</v>
      </c>
      <c r="V868">
        <f t="shared" si="488"/>
        <v>0</v>
      </c>
      <c r="W868">
        <f t="shared" si="489"/>
        <v>0</v>
      </c>
      <c r="X868">
        <f t="shared" si="490"/>
        <v>0</v>
      </c>
      <c r="Y868">
        <f t="shared" si="491"/>
        <v>0</v>
      </c>
      <c r="Z868">
        <f t="shared" si="492"/>
        <v>0</v>
      </c>
      <c r="AA868">
        <f t="shared" si="493"/>
        <v>0</v>
      </c>
      <c r="AB868">
        <f t="shared" si="494"/>
        <v>0</v>
      </c>
      <c r="AC868">
        <f t="shared" si="495"/>
        <v>0</v>
      </c>
      <c r="AD868">
        <f t="shared" si="496"/>
        <v>0</v>
      </c>
      <c r="AF868">
        <f t="shared" si="497"/>
        <v>0</v>
      </c>
      <c r="AG868">
        <f t="shared" si="498"/>
        <v>0</v>
      </c>
      <c r="AH868">
        <f t="shared" si="499"/>
        <v>0</v>
      </c>
      <c r="AI868">
        <f t="shared" si="500"/>
        <v>0</v>
      </c>
      <c r="AJ868">
        <f t="shared" si="501"/>
        <v>0</v>
      </c>
      <c r="AK868">
        <f t="shared" si="502"/>
        <v>0</v>
      </c>
      <c r="AL868">
        <f t="shared" si="503"/>
        <v>0</v>
      </c>
      <c r="AM868">
        <f t="shared" si="504"/>
        <v>0</v>
      </c>
      <c r="AN868">
        <f t="shared" si="505"/>
        <v>0</v>
      </c>
      <c r="AO868">
        <f t="shared" si="506"/>
        <v>0</v>
      </c>
      <c r="AP868">
        <f t="shared" si="507"/>
        <v>0</v>
      </c>
      <c r="AQ868">
        <f t="shared" si="508"/>
        <v>0</v>
      </c>
    </row>
    <row r="869" spans="6:43" x14ac:dyDescent="0.45">
      <c r="F869">
        <f t="shared" si="509"/>
        <v>0</v>
      </c>
      <c r="G869">
        <f t="shared" si="510"/>
        <v>0</v>
      </c>
      <c r="H869">
        <f t="shared" si="511"/>
        <v>0</v>
      </c>
      <c r="I869">
        <f t="shared" si="512"/>
        <v>0</v>
      </c>
      <c r="J869">
        <f t="shared" si="513"/>
        <v>0</v>
      </c>
      <c r="K869">
        <f t="shared" si="514"/>
        <v>0</v>
      </c>
      <c r="L869">
        <f t="shared" si="515"/>
        <v>0</v>
      </c>
      <c r="M869">
        <f t="shared" si="516"/>
        <v>0</v>
      </c>
      <c r="N869">
        <f t="shared" si="517"/>
        <v>0</v>
      </c>
      <c r="O869">
        <f t="shared" si="518"/>
        <v>0</v>
      </c>
      <c r="P869">
        <f t="shared" si="519"/>
        <v>0</v>
      </c>
      <c r="Q869">
        <f t="shared" si="520"/>
        <v>0</v>
      </c>
      <c r="S869">
        <f t="shared" si="485"/>
        <v>0</v>
      </c>
      <c r="T869">
        <f t="shared" si="486"/>
        <v>0</v>
      </c>
      <c r="U869">
        <f t="shared" si="487"/>
        <v>0</v>
      </c>
      <c r="V869">
        <f t="shared" si="488"/>
        <v>0</v>
      </c>
      <c r="W869">
        <f t="shared" si="489"/>
        <v>0</v>
      </c>
      <c r="X869">
        <f t="shared" si="490"/>
        <v>0</v>
      </c>
      <c r="Y869">
        <f t="shared" si="491"/>
        <v>0</v>
      </c>
      <c r="Z869">
        <f t="shared" si="492"/>
        <v>0</v>
      </c>
      <c r="AA869">
        <f t="shared" si="493"/>
        <v>0</v>
      </c>
      <c r="AB869">
        <f t="shared" si="494"/>
        <v>0</v>
      </c>
      <c r="AC869">
        <f t="shared" si="495"/>
        <v>0</v>
      </c>
      <c r="AD869">
        <f t="shared" si="496"/>
        <v>0</v>
      </c>
      <c r="AF869">
        <f t="shared" si="497"/>
        <v>0</v>
      </c>
      <c r="AG869">
        <f t="shared" si="498"/>
        <v>0</v>
      </c>
      <c r="AH869">
        <f t="shared" si="499"/>
        <v>0</v>
      </c>
      <c r="AI869">
        <f t="shared" si="500"/>
        <v>0</v>
      </c>
      <c r="AJ869">
        <f t="shared" si="501"/>
        <v>0</v>
      </c>
      <c r="AK869">
        <f t="shared" si="502"/>
        <v>0</v>
      </c>
      <c r="AL869">
        <f t="shared" si="503"/>
        <v>0</v>
      </c>
      <c r="AM869">
        <f t="shared" si="504"/>
        <v>0</v>
      </c>
      <c r="AN869">
        <f t="shared" si="505"/>
        <v>0</v>
      </c>
      <c r="AO869">
        <f t="shared" si="506"/>
        <v>0</v>
      </c>
      <c r="AP869">
        <f t="shared" si="507"/>
        <v>0</v>
      </c>
      <c r="AQ869">
        <f t="shared" si="508"/>
        <v>0</v>
      </c>
    </row>
    <row r="870" spans="6:43" x14ac:dyDescent="0.45">
      <c r="F870">
        <f t="shared" si="509"/>
        <v>0</v>
      </c>
      <c r="G870">
        <f t="shared" si="510"/>
        <v>0</v>
      </c>
      <c r="H870">
        <f t="shared" si="511"/>
        <v>0</v>
      </c>
      <c r="I870">
        <f t="shared" si="512"/>
        <v>0</v>
      </c>
      <c r="J870">
        <f t="shared" si="513"/>
        <v>0</v>
      </c>
      <c r="K870">
        <f t="shared" si="514"/>
        <v>0</v>
      </c>
      <c r="L870">
        <f t="shared" si="515"/>
        <v>0</v>
      </c>
      <c r="M870">
        <f t="shared" si="516"/>
        <v>0</v>
      </c>
      <c r="N870">
        <f t="shared" si="517"/>
        <v>0</v>
      </c>
      <c r="O870">
        <f t="shared" si="518"/>
        <v>0</v>
      </c>
      <c r="P870">
        <f t="shared" si="519"/>
        <v>0</v>
      </c>
      <c r="Q870">
        <f t="shared" si="520"/>
        <v>0</v>
      </c>
      <c r="S870">
        <f t="shared" si="485"/>
        <v>0</v>
      </c>
      <c r="T870">
        <f t="shared" si="486"/>
        <v>0</v>
      </c>
      <c r="U870">
        <f t="shared" si="487"/>
        <v>0</v>
      </c>
      <c r="V870">
        <f t="shared" si="488"/>
        <v>0</v>
      </c>
      <c r="W870">
        <f t="shared" si="489"/>
        <v>0</v>
      </c>
      <c r="X870">
        <f t="shared" si="490"/>
        <v>0</v>
      </c>
      <c r="Y870">
        <f t="shared" si="491"/>
        <v>0</v>
      </c>
      <c r="Z870">
        <f t="shared" si="492"/>
        <v>0</v>
      </c>
      <c r="AA870">
        <f t="shared" si="493"/>
        <v>0</v>
      </c>
      <c r="AB870">
        <f t="shared" si="494"/>
        <v>0</v>
      </c>
      <c r="AC870">
        <f t="shared" si="495"/>
        <v>0</v>
      </c>
      <c r="AD870">
        <f t="shared" si="496"/>
        <v>0</v>
      </c>
      <c r="AF870">
        <f t="shared" si="497"/>
        <v>0</v>
      </c>
      <c r="AG870">
        <f t="shared" si="498"/>
        <v>0</v>
      </c>
      <c r="AH870">
        <f t="shared" si="499"/>
        <v>0</v>
      </c>
      <c r="AI870">
        <f t="shared" si="500"/>
        <v>0</v>
      </c>
      <c r="AJ870">
        <f t="shared" si="501"/>
        <v>0</v>
      </c>
      <c r="AK870">
        <f t="shared" si="502"/>
        <v>0</v>
      </c>
      <c r="AL870">
        <f t="shared" si="503"/>
        <v>0</v>
      </c>
      <c r="AM870">
        <f t="shared" si="504"/>
        <v>0</v>
      </c>
      <c r="AN870">
        <f t="shared" si="505"/>
        <v>0</v>
      </c>
      <c r="AO870">
        <f t="shared" si="506"/>
        <v>0</v>
      </c>
      <c r="AP870">
        <f t="shared" si="507"/>
        <v>0</v>
      </c>
      <c r="AQ870">
        <f t="shared" si="508"/>
        <v>0</v>
      </c>
    </row>
    <row r="871" spans="6:43" x14ac:dyDescent="0.45">
      <c r="F871">
        <f t="shared" si="509"/>
        <v>0</v>
      </c>
      <c r="G871">
        <f t="shared" si="510"/>
        <v>0</v>
      </c>
      <c r="H871">
        <f t="shared" si="511"/>
        <v>0</v>
      </c>
      <c r="I871">
        <f t="shared" si="512"/>
        <v>0</v>
      </c>
      <c r="J871">
        <f t="shared" si="513"/>
        <v>0</v>
      </c>
      <c r="K871">
        <f t="shared" si="514"/>
        <v>0</v>
      </c>
      <c r="L871">
        <f t="shared" si="515"/>
        <v>0</v>
      </c>
      <c r="M871">
        <f t="shared" si="516"/>
        <v>0</v>
      </c>
      <c r="N871">
        <f t="shared" si="517"/>
        <v>0</v>
      </c>
      <c r="O871">
        <f t="shared" si="518"/>
        <v>0</v>
      </c>
      <c r="P871">
        <f t="shared" si="519"/>
        <v>0</v>
      </c>
      <c r="Q871">
        <f t="shared" si="520"/>
        <v>0</v>
      </c>
      <c r="S871">
        <f t="shared" si="485"/>
        <v>0</v>
      </c>
      <c r="T871">
        <f t="shared" si="486"/>
        <v>0</v>
      </c>
      <c r="U871">
        <f t="shared" si="487"/>
        <v>0</v>
      </c>
      <c r="V871">
        <f t="shared" si="488"/>
        <v>0</v>
      </c>
      <c r="W871">
        <f t="shared" si="489"/>
        <v>0</v>
      </c>
      <c r="X871">
        <f t="shared" si="490"/>
        <v>0</v>
      </c>
      <c r="Y871">
        <f t="shared" si="491"/>
        <v>0</v>
      </c>
      <c r="Z871">
        <f t="shared" si="492"/>
        <v>0</v>
      </c>
      <c r="AA871">
        <f t="shared" si="493"/>
        <v>0</v>
      </c>
      <c r="AB871">
        <f t="shared" si="494"/>
        <v>0</v>
      </c>
      <c r="AC871">
        <f t="shared" si="495"/>
        <v>0</v>
      </c>
      <c r="AD871">
        <f t="shared" si="496"/>
        <v>0</v>
      </c>
      <c r="AF871">
        <f t="shared" si="497"/>
        <v>0</v>
      </c>
      <c r="AG871">
        <f t="shared" si="498"/>
        <v>0</v>
      </c>
      <c r="AH871">
        <f t="shared" si="499"/>
        <v>0</v>
      </c>
      <c r="AI871">
        <f t="shared" si="500"/>
        <v>0</v>
      </c>
      <c r="AJ871">
        <f t="shared" si="501"/>
        <v>0</v>
      </c>
      <c r="AK871">
        <f t="shared" si="502"/>
        <v>0</v>
      </c>
      <c r="AL871">
        <f t="shared" si="503"/>
        <v>0</v>
      </c>
      <c r="AM871">
        <f t="shared" si="504"/>
        <v>0</v>
      </c>
      <c r="AN871">
        <f t="shared" si="505"/>
        <v>0</v>
      </c>
      <c r="AO871">
        <f t="shared" si="506"/>
        <v>0</v>
      </c>
      <c r="AP871">
        <f t="shared" si="507"/>
        <v>0</v>
      </c>
      <c r="AQ871">
        <f t="shared" si="508"/>
        <v>0</v>
      </c>
    </row>
    <row r="872" spans="6:43" x14ac:dyDescent="0.45">
      <c r="F872">
        <f t="shared" si="509"/>
        <v>0</v>
      </c>
      <c r="G872">
        <f t="shared" si="510"/>
        <v>0</v>
      </c>
      <c r="H872">
        <f t="shared" si="511"/>
        <v>0</v>
      </c>
      <c r="I872">
        <f t="shared" si="512"/>
        <v>0</v>
      </c>
      <c r="J872">
        <f t="shared" si="513"/>
        <v>0</v>
      </c>
      <c r="K872">
        <f t="shared" si="514"/>
        <v>0</v>
      </c>
      <c r="L872">
        <f t="shared" si="515"/>
        <v>0</v>
      </c>
      <c r="M872">
        <f t="shared" si="516"/>
        <v>0</v>
      </c>
      <c r="N872">
        <f t="shared" si="517"/>
        <v>0</v>
      </c>
      <c r="O872">
        <f t="shared" si="518"/>
        <v>0</v>
      </c>
      <c r="P872">
        <f t="shared" si="519"/>
        <v>0</v>
      </c>
      <c r="Q872">
        <f t="shared" si="520"/>
        <v>0</v>
      </c>
      <c r="S872">
        <f t="shared" si="485"/>
        <v>0</v>
      </c>
      <c r="T872">
        <f t="shared" si="486"/>
        <v>0</v>
      </c>
      <c r="U872">
        <f t="shared" si="487"/>
        <v>0</v>
      </c>
      <c r="V872">
        <f t="shared" si="488"/>
        <v>0</v>
      </c>
      <c r="W872">
        <f t="shared" si="489"/>
        <v>0</v>
      </c>
      <c r="X872">
        <f t="shared" si="490"/>
        <v>0</v>
      </c>
      <c r="Y872">
        <f t="shared" si="491"/>
        <v>0</v>
      </c>
      <c r="Z872">
        <f t="shared" si="492"/>
        <v>0</v>
      </c>
      <c r="AA872">
        <f t="shared" si="493"/>
        <v>0</v>
      </c>
      <c r="AB872">
        <f t="shared" si="494"/>
        <v>0</v>
      </c>
      <c r="AC872">
        <f t="shared" si="495"/>
        <v>0</v>
      </c>
      <c r="AD872">
        <f t="shared" si="496"/>
        <v>0</v>
      </c>
      <c r="AF872">
        <f t="shared" si="497"/>
        <v>0</v>
      </c>
      <c r="AG872">
        <f t="shared" si="498"/>
        <v>0</v>
      </c>
      <c r="AH872">
        <f t="shared" si="499"/>
        <v>0</v>
      </c>
      <c r="AI872">
        <f t="shared" si="500"/>
        <v>0</v>
      </c>
      <c r="AJ872">
        <f t="shared" si="501"/>
        <v>0</v>
      </c>
      <c r="AK872">
        <f t="shared" si="502"/>
        <v>0</v>
      </c>
      <c r="AL872">
        <f t="shared" si="503"/>
        <v>0</v>
      </c>
      <c r="AM872">
        <f t="shared" si="504"/>
        <v>0</v>
      </c>
      <c r="AN872">
        <f t="shared" si="505"/>
        <v>0</v>
      </c>
      <c r="AO872">
        <f t="shared" si="506"/>
        <v>0</v>
      </c>
      <c r="AP872">
        <f t="shared" si="507"/>
        <v>0</v>
      </c>
      <c r="AQ872">
        <f t="shared" si="508"/>
        <v>0</v>
      </c>
    </row>
    <row r="873" spans="6:43" x14ac:dyDescent="0.45">
      <c r="F873">
        <f t="shared" si="509"/>
        <v>0</v>
      </c>
      <c r="G873">
        <f t="shared" si="510"/>
        <v>0</v>
      </c>
      <c r="H873">
        <f t="shared" si="511"/>
        <v>0</v>
      </c>
      <c r="I873">
        <f t="shared" si="512"/>
        <v>0</v>
      </c>
      <c r="J873">
        <f t="shared" si="513"/>
        <v>0</v>
      </c>
      <c r="K873">
        <f t="shared" si="514"/>
        <v>0</v>
      </c>
      <c r="L873">
        <f t="shared" si="515"/>
        <v>0</v>
      </c>
      <c r="M873">
        <f t="shared" si="516"/>
        <v>0</v>
      </c>
      <c r="N873">
        <f t="shared" si="517"/>
        <v>0</v>
      </c>
      <c r="O873">
        <f t="shared" si="518"/>
        <v>0</v>
      </c>
      <c r="P873">
        <f t="shared" si="519"/>
        <v>0</v>
      </c>
      <c r="Q873">
        <f t="shared" si="520"/>
        <v>0</v>
      </c>
      <c r="S873">
        <f t="shared" si="485"/>
        <v>0</v>
      </c>
      <c r="T873">
        <f t="shared" si="486"/>
        <v>0</v>
      </c>
      <c r="U873">
        <f t="shared" si="487"/>
        <v>0</v>
      </c>
      <c r="V873">
        <f t="shared" si="488"/>
        <v>0</v>
      </c>
      <c r="W873">
        <f t="shared" si="489"/>
        <v>0</v>
      </c>
      <c r="X873">
        <f t="shared" si="490"/>
        <v>0</v>
      </c>
      <c r="Y873">
        <f t="shared" si="491"/>
        <v>0</v>
      </c>
      <c r="Z873">
        <f t="shared" si="492"/>
        <v>0</v>
      </c>
      <c r="AA873">
        <f t="shared" si="493"/>
        <v>0</v>
      </c>
      <c r="AB873">
        <f t="shared" si="494"/>
        <v>0</v>
      </c>
      <c r="AC873">
        <f t="shared" si="495"/>
        <v>0</v>
      </c>
      <c r="AD873">
        <f t="shared" si="496"/>
        <v>0</v>
      </c>
      <c r="AF873">
        <f t="shared" si="497"/>
        <v>0</v>
      </c>
      <c r="AG873">
        <f t="shared" si="498"/>
        <v>0</v>
      </c>
      <c r="AH873">
        <f t="shared" si="499"/>
        <v>0</v>
      </c>
      <c r="AI873">
        <f t="shared" si="500"/>
        <v>0</v>
      </c>
      <c r="AJ873">
        <f t="shared" si="501"/>
        <v>0</v>
      </c>
      <c r="AK873">
        <f t="shared" si="502"/>
        <v>0</v>
      </c>
      <c r="AL873">
        <f t="shared" si="503"/>
        <v>0</v>
      </c>
      <c r="AM873">
        <f t="shared" si="504"/>
        <v>0</v>
      </c>
      <c r="AN873">
        <f t="shared" si="505"/>
        <v>0</v>
      </c>
      <c r="AO873">
        <f t="shared" si="506"/>
        <v>0</v>
      </c>
      <c r="AP873">
        <f t="shared" si="507"/>
        <v>0</v>
      </c>
      <c r="AQ873">
        <f t="shared" si="508"/>
        <v>0</v>
      </c>
    </row>
    <row r="874" spans="6:43" x14ac:dyDescent="0.45">
      <c r="F874">
        <f t="shared" si="509"/>
        <v>0</v>
      </c>
      <c r="G874">
        <f t="shared" si="510"/>
        <v>0</v>
      </c>
      <c r="H874">
        <f t="shared" si="511"/>
        <v>0</v>
      </c>
      <c r="I874">
        <f t="shared" si="512"/>
        <v>0</v>
      </c>
      <c r="J874">
        <f t="shared" si="513"/>
        <v>0</v>
      </c>
      <c r="K874">
        <f t="shared" si="514"/>
        <v>0</v>
      </c>
      <c r="L874">
        <f t="shared" si="515"/>
        <v>0</v>
      </c>
      <c r="M874">
        <f t="shared" si="516"/>
        <v>0</v>
      </c>
      <c r="N874">
        <f t="shared" si="517"/>
        <v>0</v>
      </c>
      <c r="O874">
        <f t="shared" si="518"/>
        <v>0</v>
      </c>
      <c r="P874">
        <f t="shared" si="519"/>
        <v>0</v>
      </c>
      <c r="Q874">
        <f t="shared" si="520"/>
        <v>0</v>
      </c>
      <c r="S874">
        <f t="shared" si="485"/>
        <v>0</v>
      </c>
      <c r="T874">
        <f t="shared" si="486"/>
        <v>0</v>
      </c>
      <c r="U874">
        <f t="shared" si="487"/>
        <v>0</v>
      </c>
      <c r="V874">
        <f t="shared" si="488"/>
        <v>0</v>
      </c>
      <c r="W874">
        <f t="shared" si="489"/>
        <v>0</v>
      </c>
      <c r="X874">
        <f t="shared" si="490"/>
        <v>0</v>
      </c>
      <c r="Y874">
        <f t="shared" si="491"/>
        <v>0</v>
      </c>
      <c r="Z874">
        <f t="shared" si="492"/>
        <v>0</v>
      </c>
      <c r="AA874">
        <f t="shared" si="493"/>
        <v>0</v>
      </c>
      <c r="AB874">
        <f t="shared" si="494"/>
        <v>0</v>
      </c>
      <c r="AC874">
        <f t="shared" si="495"/>
        <v>0</v>
      </c>
      <c r="AD874">
        <f t="shared" si="496"/>
        <v>0</v>
      </c>
      <c r="AF874">
        <f t="shared" si="497"/>
        <v>0</v>
      </c>
      <c r="AG874">
        <f t="shared" si="498"/>
        <v>0</v>
      </c>
      <c r="AH874">
        <f t="shared" si="499"/>
        <v>0</v>
      </c>
      <c r="AI874">
        <f t="shared" si="500"/>
        <v>0</v>
      </c>
      <c r="AJ874">
        <f t="shared" si="501"/>
        <v>0</v>
      </c>
      <c r="AK874">
        <f t="shared" si="502"/>
        <v>0</v>
      </c>
      <c r="AL874">
        <f t="shared" si="503"/>
        <v>0</v>
      </c>
      <c r="AM874">
        <f t="shared" si="504"/>
        <v>0</v>
      </c>
      <c r="AN874">
        <f t="shared" si="505"/>
        <v>0</v>
      </c>
      <c r="AO874">
        <f t="shared" si="506"/>
        <v>0</v>
      </c>
      <c r="AP874">
        <f t="shared" si="507"/>
        <v>0</v>
      </c>
      <c r="AQ874">
        <f t="shared" si="508"/>
        <v>0</v>
      </c>
    </row>
    <row r="875" spans="6:43" x14ac:dyDescent="0.45">
      <c r="F875">
        <f t="shared" si="509"/>
        <v>0</v>
      </c>
      <c r="G875">
        <f t="shared" si="510"/>
        <v>0</v>
      </c>
      <c r="H875">
        <f t="shared" si="511"/>
        <v>0</v>
      </c>
      <c r="I875">
        <f t="shared" si="512"/>
        <v>0</v>
      </c>
      <c r="J875">
        <f t="shared" si="513"/>
        <v>0</v>
      </c>
      <c r="K875">
        <f t="shared" si="514"/>
        <v>0</v>
      </c>
      <c r="L875">
        <f t="shared" si="515"/>
        <v>0</v>
      </c>
      <c r="M875">
        <f t="shared" si="516"/>
        <v>0</v>
      </c>
      <c r="N875">
        <f t="shared" si="517"/>
        <v>0</v>
      </c>
      <c r="O875">
        <f t="shared" si="518"/>
        <v>0</v>
      </c>
      <c r="P875">
        <f t="shared" si="519"/>
        <v>0</v>
      </c>
      <c r="Q875">
        <f t="shared" si="520"/>
        <v>0</v>
      </c>
      <c r="S875">
        <f t="shared" ref="S875:S938" si="521">IF(F875&gt;0,1,0)+S876</f>
        <v>0</v>
      </c>
      <c r="T875">
        <f t="shared" ref="T875:T938" si="522">IF(G875&gt;0,1,0)+T876</f>
        <v>0</v>
      </c>
      <c r="U875">
        <f t="shared" ref="U875:U938" si="523">IF(H875&gt;0,1,0)+U876</f>
        <v>0</v>
      </c>
      <c r="V875">
        <f t="shared" ref="V875:V938" si="524">IF(I875&gt;0,1,0)+V876</f>
        <v>0</v>
      </c>
      <c r="W875">
        <f t="shared" ref="W875:W938" si="525">IF(J875&gt;0,1,0)+W876</f>
        <v>0</v>
      </c>
      <c r="X875">
        <f t="shared" ref="X875:X938" si="526">IF(K875&gt;0,1,0)+X876</f>
        <v>0</v>
      </c>
      <c r="Y875">
        <f t="shared" ref="Y875:Y938" si="527">IF(L875&gt;0,1,0)+Y876</f>
        <v>0</v>
      </c>
      <c r="Z875">
        <f t="shared" ref="Z875:Z938" si="528">IF(M875&gt;0,1,0)+Z876</f>
        <v>0</v>
      </c>
      <c r="AA875">
        <f t="shared" ref="AA875:AA938" si="529">IF(N875&gt;0,1,0)+AA876</f>
        <v>0</v>
      </c>
      <c r="AB875">
        <f t="shared" ref="AB875:AB938" si="530">IF(O875&gt;0,1,0)+AB876</f>
        <v>0</v>
      </c>
      <c r="AC875">
        <f t="shared" ref="AC875:AC938" si="531">IF(P875&gt;0,1,0)+AC876</f>
        <v>0</v>
      </c>
      <c r="AD875">
        <f t="shared" ref="AD875:AD938" si="532">IF(Q875&gt;0,1,0)+AD876</f>
        <v>0</v>
      </c>
      <c r="AF875">
        <f t="shared" ref="AF875:AF938" si="533">IF(S875&lt;=$AT$1,F875,0)</f>
        <v>0</v>
      </c>
      <c r="AG875">
        <f t="shared" ref="AG875:AG938" si="534">IF(T875&lt;=$AT$1,G875,0)</f>
        <v>0</v>
      </c>
      <c r="AH875">
        <f t="shared" ref="AH875:AH938" si="535">IF(U875&lt;=$AT$1,H875,0)</f>
        <v>0</v>
      </c>
      <c r="AI875">
        <f t="shared" ref="AI875:AI938" si="536">IF(V875&lt;=$AT$1,I875,0)</f>
        <v>0</v>
      </c>
      <c r="AJ875">
        <f t="shared" ref="AJ875:AJ938" si="537">IF(W875&lt;=$AT$1,J875,0)</f>
        <v>0</v>
      </c>
      <c r="AK875">
        <f t="shared" ref="AK875:AK938" si="538">IF(X875&lt;=$AT$1,K875,0)</f>
        <v>0</v>
      </c>
      <c r="AL875">
        <f t="shared" ref="AL875:AL938" si="539">IF(Y875&lt;=$AT$1,L875,0)</f>
        <v>0</v>
      </c>
      <c r="AM875">
        <f t="shared" ref="AM875:AM938" si="540">IF(Z875&lt;=$AT$1,M875,0)</f>
        <v>0</v>
      </c>
      <c r="AN875">
        <f t="shared" ref="AN875:AN938" si="541">IF(AA875&lt;=$AT$1,N875,0)</f>
        <v>0</v>
      </c>
      <c r="AO875">
        <f t="shared" ref="AO875:AO938" si="542">IF(AB875&lt;=$AT$1,O875,0)</f>
        <v>0</v>
      </c>
      <c r="AP875">
        <f t="shared" ref="AP875:AP938" si="543">IF(AC875&lt;=$AT$1,P875,0)</f>
        <v>0</v>
      </c>
      <c r="AQ875">
        <f t="shared" ref="AQ875:AQ938" si="544">IF(AD875&lt;=$AT$1,Q875,0)</f>
        <v>0</v>
      </c>
    </row>
    <row r="876" spans="6:43" x14ac:dyDescent="0.45">
      <c r="F876">
        <f t="shared" si="509"/>
        <v>0</v>
      </c>
      <c r="G876">
        <f t="shared" si="510"/>
        <v>0</v>
      </c>
      <c r="H876">
        <f t="shared" si="511"/>
        <v>0</v>
      </c>
      <c r="I876">
        <f t="shared" si="512"/>
        <v>0</v>
      </c>
      <c r="J876">
        <f t="shared" si="513"/>
        <v>0</v>
      </c>
      <c r="K876">
        <f t="shared" si="514"/>
        <v>0</v>
      </c>
      <c r="L876">
        <f t="shared" si="515"/>
        <v>0</v>
      </c>
      <c r="M876">
        <f t="shared" si="516"/>
        <v>0</v>
      </c>
      <c r="N876">
        <f t="shared" si="517"/>
        <v>0</v>
      </c>
      <c r="O876">
        <f t="shared" si="518"/>
        <v>0</v>
      </c>
      <c r="P876">
        <f t="shared" si="519"/>
        <v>0</v>
      </c>
      <c r="Q876">
        <f t="shared" si="520"/>
        <v>0</v>
      </c>
      <c r="S876">
        <f t="shared" si="521"/>
        <v>0</v>
      </c>
      <c r="T876">
        <f t="shared" si="522"/>
        <v>0</v>
      </c>
      <c r="U876">
        <f t="shared" si="523"/>
        <v>0</v>
      </c>
      <c r="V876">
        <f t="shared" si="524"/>
        <v>0</v>
      </c>
      <c r="W876">
        <f t="shared" si="525"/>
        <v>0</v>
      </c>
      <c r="X876">
        <f t="shared" si="526"/>
        <v>0</v>
      </c>
      <c r="Y876">
        <f t="shared" si="527"/>
        <v>0</v>
      </c>
      <c r="Z876">
        <f t="shared" si="528"/>
        <v>0</v>
      </c>
      <c r="AA876">
        <f t="shared" si="529"/>
        <v>0</v>
      </c>
      <c r="AB876">
        <f t="shared" si="530"/>
        <v>0</v>
      </c>
      <c r="AC876">
        <f t="shared" si="531"/>
        <v>0</v>
      </c>
      <c r="AD876">
        <f t="shared" si="532"/>
        <v>0</v>
      </c>
      <c r="AF876">
        <f t="shared" si="533"/>
        <v>0</v>
      </c>
      <c r="AG876">
        <f t="shared" si="534"/>
        <v>0</v>
      </c>
      <c r="AH876">
        <f t="shared" si="535"/>
        <v>0</v>
      </c>
      <c r="AI876">
        <f t="shared" si="536"/>
        <v>0</v>
      </c>
      <c r="AJ876">
        <f t="shared" si="537"/>
        <v>0</v>
      </c>
      <c r="AK876">
        <f t="shared" si="538"/>
        <v>0</v>
      </c>
      <c r="AL876">
        <f t="shared" si="539"/>
        <v>0</v>
      </c>
      <c r="AM876">
        <f t="shared" si="540"/>
        <v>0</v>
      </c>
      <c r="AN876">
        <f t="shared" si="541"/>
        <v>0</v>
      </c>
      <c r="AO876">
        <f t="shared" si="542"/>
        <v>0</v>
      </c>
      <c r="AP876">
        <f t="shared" si="543"/>
        <v>0</v>
      </c>
      <c r="AQ876">
        <f t="shared" si="544"/>
        <v>0</v>
      </c>
    </row>
    <row r="877" spans="6:43" x14ac:dyDescent="0.45">
      <c r="F877">
        <f t="shared" si="509"/>
        <v>0</v>
      </c>
      <c r="G877">
        <f t="shared" si="510"/>
        <v>0</v>
      </c>
      <c r="H877">
        <f t="shared" si="511"/>
        <v>0</v>
      </c>
      <c r="I877">
        <f t="shared" si="512"/>
        <v>0</v>
      </c>
      <c r="J877">
        <f t="shared" si="513"/>
        <v>0</v>
      </c>
      <c r="K877">
        <f t="shared" si="514"/>
        <v>0</v>
      </c>
      <c r="L877">
        <f t="shared" si="515"/>
        <v>0</v>
      </c>
      <c r="M877">
        <f t="shared" si="516"/>
        <v>0</v>
      </c>
      <c r="N877">
        <f t="shared" si="517"/>
        <v>0</v>
      </c>
      <c r="O877">
        <f t="shared" si="518"/>
        <v>0</v>
      </c>
      <c r="P877">
        <f t="shared" si="519"/>
        <v>0</v>
      </c>
      <c r="Q877">
        <f t="shared" si="520"/>
        <v>0</v>
      </c>
      <c r="S877">
        <f t="shared" si="521"/>
        <v>0</v>
      </c>
      <c r="T877">
        <f t="shared" si="522"/>
        <v>0</v>
      </c>
      <c r="U877">
        <f t="shared" si="523"/>
        <v>0</v>
      </c>
      <c r="V877">
        <f t="shared" si="524"/>
        <v>0</v>
      </c>
      <c r="W877">
        <f t="shared" si="525"/>
        <v>0</v>
      </c>
      <c r="X877">
        <f t="shared" si="526"/>
        <v>0</v>
      </c>
      <c r="Y877">
        <f t="shared" si="527"/>
        <v>0</v>
      </c>
      <c r="Z877">
        <f t="shared" si="528"/>
        <v>0</v>
      </c>
      <c r="AA877">
        <f t="shared" si="529"/>
        <v>0</v>
      </c>
      <c r="AB877">
        <f t="shared" si="530"/>
        <v>0</v>
      </c>
      <c r="AC877">
        <f t="shared" si="531"/>
        <v>0</v>
      </c>
      <c r="AD877">
        <f t="shared" si="532"/>
        <v>0</v>
      </c>
      <c r="AF877">
        <f t="shared" si="533"/>
        <v>0</v>
      </c>
      <c r="AG877">
        <f t="shared" si="534"/>
        <v>0</v>
      </c>
      <c r="AH877">
        <f t="shared" si="535"/>
        <v>0</v>
      </c>
      <c r="AI877">
        <f t="shared" si="536"/>
        <v>0</v>
      </c>
      <c r="AJ877">
        <f t="shared" si="537"/>
        <v>0</v>
      </c>
      <c r="AK877">
        <f t="shared" si="538"/>
        <v>0</v>
      </c>
      <c r="AL877">
        <f t="shared" si="539"/>
        <v>0</v>
      </c>
      <c r="AM877">
        <f t="shared" si="540"/>
        <v>0</v>
      </c>
      <c r="AN877">
        <f t="shared" si="541"/>
        <v>0</v>
      </c>
      <c r="AO877">
        <f t="shared" si="542"/>
        <v>0</v>
      </c>
      <c r="AP877">
        <f t="shared" si="543"/>
        <v>0</v>
      </c>
      <c r="AQ877">
        <f t="shared" si="544"/>
        <v>0</v>
      </c>
    </row>
    <row r="878" spans="6:43" x14ac:dyDescent="0.45">
      <c r="F878">
        <f t="shared" si="509"/>
        <v>0</v>
      </c>
      <c r="G878">
        <f t="shared" si="510"/>
        <v>0</v>
      </c>
      <c r="H878">
        <f t="shared" si="511"/>
        <v>0</v>
      </c>
      <c r="I878">
        <f t="shared" si="512"/>
        <v>0</v>
      </c>
      <c r="J878">
        <f t="shared" si="513"/>
        <v>0</v>
      </c>
      <c r="K878">
        <f t="shared" si="514"/>
        <v>0</v>
      </c>
      <c r="L878">
        <f t="shared" si="515"/>
        <v>0</v>
      </c>
      <c r="M878">
        <f t="shared" si="516"/>
        <v>0</v>
      </c>
      <c r="N878">
        <f t="shared" si="517"/>
        <v>0</v>
      </c>
      <c r="O878">
        <f t="shared" si="518"/>
        <v>0</v>
      </c>
      <c r="P878">
        <f t="shared" si="519"/>
        <v>0</v>
      </c>
      <c r="Q878">
        <f t="shared" si="520"/>
        <v>0</v>
      </c>
      <c r="S878">
        <f t="shared" si="521"/>
        <v>0</v>
      </c>
      <c r="T878">
        <f t="shared" si="522"/>
        <v>0</v>
      </c>
      <c r="U878">
        <f t="shared" si="523"/>
        <v>0</v>
      </c>
      <c r="V878">
        <f t="shared" si="524"/>
        <v>0</v>
      </c>
      <c r="W878">
        <f t="shared" si="525"/>
        <v>0</v>
      </c>
      <c r="X878">
        <f t="shared" si="526"/>
        <v>0</v>
      </c>
      <c r="Y878">
        <f t="shared" si="527"/>
        <v>0</v>
      </c>
      <c r="Z878">
        <f t="shared" si="528"/>
        <v>0</v>
      </c>
      <c r="AA878">
        <f t="shared" si="529"/>
        <v>0</v>
      </c>
      <c r="AB878">
        <f t="shared" si="530"/>
        <v>0</v>
      </c>
      <c r="AC878">
        <f t="shared" si="531"/>
        <v>0</v>
      </c>
      <c r="AD878">
        <f t="shared" si="532"/>
        <v>0</v>
      </c>
      <c r="AF878">
        <f t="shared" si="533"/>
        <v>0</v>
      </c>
      <c r="AG878">
        <f t="shared" si="534"/>
        <v>0</v>
      </c>
      <c r="AH878">
        <f t="shared" si="535"/>
        <v>0</v>
      </c>
      <c r="AI878">
        <f t="shared" si="536"/>
        <v>0</v>
      </c>
      <c r="AJ878">
        <f t="shared" si="537"/>
        <v>0</v>
      </c>
      <c r="AK878">
        <f t="shared" si="538"/>
        <v>0</v>
      </c>
      <c r="AL878">
        <f t="shared" si="539"/>
        <v>0</v>
      </c>
      <c r="AM878">
        <f t="shared" si="540"/>
        <v>0</v>
      </c>
      <c r="AN878">
        <f t="shared" si="541"/>
        <v>0</v>
      </c>
      <c r="AO878">
        <f t="shared" si="542"/>
        <v>0</v>
      </c>
      <c r="AP878">
        <f t="shared" si="543"/>
        <v>0</v>
      </c>
      <c r="AQ878">
        <f t="shared" si="544"/>
        <v>0</v>
      </c>
    </row>
    <row r="879" spans="6:43" x14ac:dyDescent="0.45">
      <c r="F879">
        <f t="shared" si="509"/>
        <v>0</v>
      </c>
      <c r="G879">
        <f t="shared" si="510"/>
        <v>0</v>
      </c>
      <c r="H879">
        <f t="shared" si="511"/>
        <v>0</v>
      </c>
      <c r="I879">
        <f t="shared" si="512"/>
        <v>0</v>
      </c>
      <c r="J879">
        <f t="shared" si="513"/>
        <v>0</v>
      </c>
      <c r="K879">
        <f t="shared" si="514"/>
        <v>0</v>
      </c>
      <c r="L879">
        <f t="shared" si="515"/>
        <v>0</v>
      </c>
      <c r="M879">
        <f t="shared" si="516"/>
        <v>0</v>
      </c>
      <c r="N879">
        <f t="shared" si="517"/>
        <v>0</v>
      </c>
      <c r="O879">
        <f t="shared" si="518"/>
        <v>0</v>
      </c>
      <c r="P879">
        <f t="shared" si="519"/>
        <v>0</v>
      </c>
      <c r="Q879">
        <f t="shared" si="520"/>
        <v>0</v>
      </c>
      <c r="S879">
        <f t="shared" si="521"/>
        <v>0</v>
      </c>
      <c r="T879">
        <f t="shared" si="522"/>
        <v>0</v>
      </c>
      <c r="U879">
        <f t="shared" si="523"/>
        <v>0</v>
      </c>
      <c r="V879">
        <f t="shared" si="524"/>
        <v>0</v>
      </c>
      <c r="W879">
        <f t="shared" si="525"/>
        <v>0</v>
      </c>
      <c r="X879">
        <f t="shared" si="526"/>
        <v>0</v>
      </c>
      <c r="Y879">
        <f t="shared" si="527"/>
        <v>0</v>
      </c>
      <c r="Z879">
        <f t="shared" si="528"/>
        <v>0</v>
      </c>
      <c r="AA879">
        <f t="shared" si="529"/>
        <v>0</v>
      </c>
      <c r="AB879">
        <f t="shared" si="530"/>
        <v>0</v>
      </c>
      <c r="AC879">
        <f t="shared" si="531"/>
        <v>0</v>
      </c>
      <c r="AD879">
        <f t="shared" si="532"/>
        <v>0</v>
      </c>
      <c r="AF879">
        <f t="shared" si="533"/>
        <v>0</v>
      </c>
      <c r="AG879">
        <f t="shared" si="534"/>
        <v>0</v>
      </c>
      <c r="AH879">
        <f t="shared" si="535"/>
        <v>0</v>
      </c>
      <c r="AI879">
        <f t="shared" si="536"/>
        <v>0</v>
      </c>
      <c r="AJ879">
        <f t="shared" si="537"/>
        <v>0</v>
      </c>
      <c r="AK879">
        <f t="shared" si="538"/>
        <v>0</v>
      </c>
      <c r="AL879">
        <f t="shared" si="539"/>
        <v>0</v>
      </c>
      <c r="AM879">
        <f t="shared" si="540"/>
        <v>0</v>
      </c>
      <c r="AN879">
        <f t="shared" si="541"/>
        <v>0</v>
      </c>
      <c r="AO879">
        <f t="shared" si="542"/>
        <v>0</v>
      </c>
      <c r="AP879">
        <f t="shared" si="543"/>
        <v>0</v>
      </c>
      <c r="AQ879">
        <f t="shared" si="544"/>
        <v>0</v>
      </c>
    </row>
    <row r="880" spans="6:43" x14ac:dyDescent="0.45">
      <c r="F880">
        <f t="shared" si="509"/>
        <v>0</v>
      </c>
      <c r="G880">
        <f t="shared" si="510"/>
        <v>0</v>
      </c>
      <c r="H880">
        <f t="shared" si="511"/>
        <v>0</v>
      </c>
      <c r="I880">
        <f t="shared" si="512"/>
        <v>0</v>
      </c>
      <c r="J880">
        <f t="shared" si="513"/>
        <v>0</v>
      </c>
      <c r="K880">
        <f t="shared" si="514"/>
        <v>0</v>
      </c>
      <c r="L880">
        <f t="shared" si="515"/>
        <v>0</v>
      </c>
      <c r="M880">
        <f t="shared" si="516"/>
        <v>0</v>
      </c>
      <c r="N880">
        <f t="shared" si="517"/>
        <v>0</v>
      </c>
      <c r="O880">
        <f t="shared" si="518"/>
        <v>0</v>
      </c>
      <c r="P880">
        <f t="shared" si="519"/>
        <v>0</v>
      </c>
      <c r="Q880">
        <f t="shared" si="520"/>
        <v>0</v>
      </c>
      <c r="S880">
        <f t="shared" si="521"/>
        <v>0</v>
      </c>
      <c r="T880">
        <f t="shared" si="522"/>
        <v>0</v>
      </c>
      <c r="U880">
        <f t="shared" si="523"/>
        <v>0</v>
      </c>
      <c r="V880">
        <f t="shared" si="524"/>
        <v>0</v>
      </c>
      <c r="W880">
        <f t="shared" si="525"/>
        <v>0</v>
      </c>
      <c r="X880">
        <f t="shared" si="526"/>
        <v>0</v>
      </c>
      <c r="Y880">
        <f t="shared" si="527"/>
        <v>0</v>
      </c>
      <c r="Z880">
        <f t="shared" si="528"/>
        <v>0</v>
      </c>
      <c r="AA880">
        <f t="shared" si="529"/>
        <v>0</v>
      </c>
      <c r="AB880">
        <f t="shared" si="530"/>
        <v>0</v>
      </c>
      <c r="AC880">
        <f t="shared" si="531"/>
        <v>0</v>
      </c>
      <c r="AD880">
        <f t="shared" si="532"/>
        <v>0</v>
      </c>
      <c r="AF880">
        <f t="shared" si="533"/>
        <v>0</v>
      </c>
      <c r="AG880">
        <f t="shared" si="534"/>
        <v>0</v>
      </c>
      <c r="AH880">
        <f t="shared" si="535"/>
        <v>0</v>
      </c>
      <c r="AI880">
        <f t="shared" si="536"/>
        <v>0</v>
      </c>
      <c r="AJ880">
        <f t="shared" si="537"/>
        <v>0</v>
      </c>
      <c r="AK880">
        <f t="shared" si="538"/>
        <v>0</v>
      </c>
      <c r="AL880">
        <f t="shared" si="539"/>
        <v>0</v>
      </c>
      <c r="AM880">
        <f t="shared" si="540"/>
        <v>0</v>
      </c>
      <c r="AN880">
        <f t="shared" si="541"/>
        <v>0</v>
      </c>
      <c r="AO880">
        <f t="shared" si="542"/>
        <v>0</v>
      </c>
      <c r="AP880">
        <f t="shared" si="543"/>
        <v>0</v>
      </c>
      <c r="AQ880">
        <f t="shared" si="544"/>
        <v>0</v>
      </c>
    </row>
    <row r="881" spans="6:43" x14ac:dyDescent="0.45">
      <c r="F881">
        <f t="shared" si="509"/>
        <v>0</v>
      </c>
      <c r="G881">
        <f t="shared" si="510"/>
        <v>0</v>
      </c>
      <c r="H881">
        <f t="shared" si="511"/>
        <v>0</v>
      </c>
      <c r="I881">
        <f t="shared" si="512"/>
        <v>0</v>
      </c>
      <c r="J881">
        <f t="shared" si="513"/>
        <v>0</v>
      </c>
      <c r="K881">
        <f t="shared" si="514"/>
        <v>0</v>
      </c>
      <c r="L881">
        <f t="shared" si="515"/>
        <v>0</v>
      </c>
      <c r="M881">
        <f t="shared" si="516"/>
        <v>0</v>
      </c>
      <c r="N881">
        <f t="shared" si="517"/>
        <v>0</v>
      </c>
      <c r="O881">
        <f t="shared" si="518"/>
        <v>0</v>
      </c>
      <c r="P881">
        <f t="shared" si="519"/>
        <v>0</v>
      </c>
      <c r="Q881">
        <f t="shared" si="520"/>
        <v>0</v>
      </c>
      <c r="S881">
        <f t="shared" si="521"/>
        <v>0</v>
      </c>
      <c r="T881">
        <f t="shared" si="522"/>
        <v>0</v>
      </c>
      <c r="U881">
        <f t="shared" si="523"/>
        <v>0</v>
      </c>
      <c r="V881">
        <f t="shared" si="524"/>
        <v>0</v>
      </c>
      <c r="W881">
        <f t="shared" si="525"/>
        <v>0</v>
      </c>
      <c r="X881">
        <f t="shared" si="526"/>
        <v>0</v>
      </c>
      <c r="Y881">
        <f t="shared" si="527"/>
        <v>0</v>
      </c>
      <c r="Z881">
        <f t="shared" si="528"/>
        <v>0</v>
      </c>
      <c r="AA881">
        <f t="shared" si="529"/>
        <v>0</v>
      </c>
      <c r="AB881">
        <f t="shared" si="530"/>
        <v>0</v>
      </c>
      <c r="AC881">
        <f t="shared" si="531"/>
        <v>0</v>
      </c>
      <c r="AD881">
        <f t="shared" si="532"/>
        <v>0</v>
      </c>
      <c r="AF881">
        <f t="shared" si="533"/>
        <v>0</v>
      </c>
      <c r="AG881">
        <f t="shared" si="534"/>
        <v>0</v>
      </c>
      <c r="AH881">
        <f t="shared" si="535"/>
        <v>0</v>
      </c>
      <c r="AI881">
        <f t="shared" si="536"/>
        <v>0</v>
      </c>
      <c r="AJ881">
        <f t="shared" si="537"/>
        <v>0</v>
      </c>
      <c r="AK881">
        <f t="shared" si="538"/>
        <v>0</v>
      </c>
      <c r="AL881">
        <f t="shared" si="539"/>
        <v>0</v>
      </c>
      <c r="AM881">
        <f t="shared" si="540"/>
        <v>0</v>
      </c>
      <c r="AN881">
        <f t="shared" si="541"/>
        <v>0</v>
      </c>
      <c r="AO881">
        <f t="shared" si="542"/>
        <v>0</v>
      </c>
      <c r="AP881">
        <f t="shared" si="543"/>
        <v>0</v>
      </c>
      <c r="AQ881">
        <f t="shared" si="544"/>
        <v>0</v>
      </c>
    </row>
    <row r="882" spans="6:43" x14ac:dyDescent="0.45">
      <c r="F882">
        <f t="shared" si="509"/>
        <v>0</v>
      </c>
      <c r="G882">
        <f t="shared" si="510"/>
        <v>0</v>
      </c>
      <c r="H882">
        <f t="shared" si="511"/>
        <v>0</v>
      </c>
      <c r="I882">
        <f t="shared" si="512"/>
        <v>0</v>
      </c>
      <c r="J882">
        <f t="shared" si="513"/>
        <v>0</v>
      </c>
      <c r="K882">
        <f t="shared" si="514"/>
        <v>0</v>
      </c>
      <c r="L882">
        <f t="shared" si="515"/>
        <v>0</v>
      </c>
      <c r="M882">
        <f t="shared" si="516"/>
        <v>0</v>
      </c>
      <c r="N882">
        <f t="shared" si="517"/>
        <v>0</v>
      </c>
      <c r="O882">
        <f t="shared" si="518"/>
        <v>0</v>
      </c>
      <c r="P882">
        <f t="shared" si="519"/>
        <v>0</v>
      </c>
      <c r="Q882">
        <f t="shared" si="520"/>
        <v>0</v>
      </c>
      <c r="S882">
        <f t="shared" si="521"/>
        <v>0</v>
      </c>
      <c r="T882">
        <f t="shared" si="522"/>
        <v>0</v>
      </c>
      <c r="U882">
        <f t="shared" si="523"/>
        <v>0</v>
      </c>
      <c r="V882">
        <f t="shared" si="524"/>
        <v>0</v>
      </c>
      <c r="W882">
        <f t="shared" si="525"/>
        <v>0</v>
      </c>
      <c r="X882">
        <f t="shared" si="526"/>
        <v>0</v>
      </c>
      <c r="Y882">
        <f t="shared" si="527"/>
        <v>0</v>
      </c>
      <c r="Z882">
        <f t="shared" si="528"/>
        <v>0</v>
      </c>
      <c r="AA882">
        <f t="shared" si="529"/>
        <v>0</v>
      </c>
      <c r="AB882">
        <f t="shared" si="530"/>
        <v>0</v>
      </c>
      <c r="AC882">
        <f t="shared" si="531"/>
        <v>0</v>
      </c>
      <c r="AD882">
        <f t="shared" si="532"/>
        <v>0</v>
      </c>
      <c r="AF882">
        <f t="shared" si="533"/>
        <v>0</v>
      </c>
      <c r="AG882">
        <f t="shared" si="534"/>
        <v>0</v>
      </c>
      <c r="AH882">
        <f t="shared" si="535"/>
        <v>0</v>
      </c>
      <c r="AI882">
        <f t="shared" si="536"/>
        <v>0</v>
      </c>
      <c r="AJ882">
        <f t="shared" si="537"/>
        <v>0</v>
      </c>
      <c r="AK882">
        <f t="shared" si="538"/>
        <v>0</v>
      </c>
      <c r="AL882">
        <f t="shared" si="539"/>
        <v>0</v>
      </c>
      <c r="AM882">
        <f t="shared" si="540"/>
        <v>0</v>
      </c>
      <c r="AN882">
        <f t="shared" si="541"/>
        <v>0</v>
      </c>
      <c r="AO882">
        <f t="shared" si="542"/>
        <v>0</v>
      </c>
      <c r="AP882">
        <f t="shared" si="543"/>
        <v>0</v>
      </c>
      <c r="AQ882">
        <f t="shared" si="544"/>
        <v>0</v>
      </c>
    </row>
    <row r="883" spans="6:43" x14ac:dyDescent="0.45">
      <c r="F883">
        <f t="shared" si="509"/>
        <v>0</v>
      </c>
      <c r="G883">
        <f t="shared" si="510"/>
        <v>0</v>
      </c>
      <c r="H883">
        <f t="shared" si="511"/>
        <v>0</v>
      </c>
      <c r="I883">
        <f t="shared" si="512"/>
        <v>0</v>
      </c>
      <c r="J883">
        <f t="shared" si="513"/>
        <v>0</v>
      </c>
      <c r="K883">
        <f t="shared" si="514"/>
        <v>0</v>
      </c>
      <c r="L883">
        <f t="shared" si="515"/>
        <v>0</v>
      </c>
      <c r="M883">
        <f t="shared" si="516"/>
        <v>0</v>
      </c>
      <c r="N883">
        <f t="shared" si="517"/>
        <v>0</v>
      </c>
      <c r="O883">
        <f t="shared" si="518"/>
        <v>0</v>
      </c>
      <c r="P883">
        <f t="shared" si="519"/>
        <v>0</v>
      </c>
      <c r="Q883">
        <f t="shared" si="520"/>
        <v>0</v>
      </c>
      <c r="S883">
        <f t="shared" si="521"/>
        <v>0</v>
      </c>
      <c r="T883">
        <f t="shared" si="522"/>
        <v>0</v>
      </c>
      <c r="U883">
        <f t="shared" si="523"/>
        <v>0</v>
      </c>
      <c r="V883">
        <f t="shared" si="524"/>
        <v>0</v>
      </c>
      <c r="W883">
        <f t="shared" si="525"/>
        <v>0</v>
      </c>
      <c r="X883">
        <f t="shared" si="526"/>
        <v>0</v>
      </c>
      <c r="Y883">
        <f t="shared" si="527"/>
        <v>0</v>
      </c>
      <c r="Z883">
        <f t="shared" si="528"/>
        <v>0</v>
      </c>
      <c r="AA883">
        <f t="shared" si="529"/>
        <v>0</v>
      </c>
      <c r="AB883">
        <f t="shared" si="530"/>
        <v>0</v>
      </c>
      <c r="AC883">
        <f t="shared" si="531"/>
        <v>0</v>
      </c>
      <c r="AD883">
        <f t="shared" si="532"/>
        <v>0</v>
      </c>
      <c r="AF883">
        <f t="shared" si="533"/>
        <v>0</v>
      </c>
      <c r="AG883">
        <f t="shared" si="534"/>
        <v>0</v>
      </c>
      <c r="AH883">
        <f t="shared" si="535"/>
        <v>0</v>
      </c>
      <c r="AI883">
        <f t="shared" si="536"/>
        <v>0</v>
      </c>
      <c r="AJ883">
        <f t="shared" si="537"/>
        <v>0</v>
      </c>
      <c r="AK883">
        <f t="shared" si="538"/>
        <v>0</v>
      </c>
      <c r="AL883">
        <f t="shared" si="539"/>
        <v>0</v>
      </c>
      <c r="AM883">
        <f t="shared" si="540"/>
        <v>0</v>
      </c>
      <c r="AN883">
        <f t="shared" si="541"/>
        <v>0</v>
      </c>
      <c r="AO883">
        <f t="shared" si="542"/>
        <v>0</v>
      </c>
      <c r="AP883">
        <f t="shared" si="543"/>
        <v>0</v>
      </c>
      <c r="AQ883">
        <f t="shared" si="544"/>
        <v>0</v>
      </c>
    </row>
    <row r="884" spans="6:43" x14ac:dyDescent="0.45">
      <c r="F884">
        <f t="shared" si="509"/>
        <v>0</v>
      </c>
      <c r="G884">
        <f t="shared" si="510"/>
        <v>0</v>
      </c>
      <c r="H884">
        <f t="shared" si="511"/>
        <v>0</v>
      </c>
      <c r="I884">
        <f t="shared" si="512"/>
        <v>0</v>
      </c>
      <c r="J884">
        <f t="shared" si="513"/>
        <v>0</v>
      </c>
      <c r="K884">
        <f t="shared" si="514"/>
        <v>0</v>
      </c>
      <c r="L884">
        <f t="shared" si="515"/>
        <v>0</v>
      </c>
      <c r="M884">
        <f t="shared" si="516"/>
        <v>0</v>
      </c>
      <c r="N884">
        <f t="shared" si="517"/>
        <v>0</v>
      </c>
      <c r="O884">
        <f t="shared" si="518"/>
        <v>0</v>
      </c>
      <c r="P884">
        <f t="shared" si="519"/>
        <v>0</v>
      </c>
      <c r="Q884">
        <f t="shared" si="520"/>
        <v>0</v>
      </c>
      <c r="S884">
        <f t="shared" si="521"/>
        <v>0</v>
      </c>
      <c r="T884">
        <f t="shared" si="522"/>
        <v>0</v>
      </c>
      <c r="U884">
        <f t="shared" si="523"/>
        <v>0</v>
      </c>
      <c r="V884">
        <f t="shared" si="524"/>
        <v>0</v>
      </c>
      <c r="W884">
        <f t="shared" si="525"/>
        <v>0</v>
      </c>
      <c r="X884">
        <f t="shared" si="526"/>
        <v>0</v>
      </c>
      <c r="Y884">
        <f t="shared" si="527"/>
        <v>0</v>
      </c>
      <c r="Z884">
        <f t="shared" si="528"/>
        <v>0</v>
      </c>
      <c r="AA884">
        <f t="shared" si="529"/>
        <v>0</v>
      </c>
      <c r="AB884">
        <f t="shared" si="530"/>
        <v>0</v>
      </c>
      <c r="AC884">
        <f t="shared" si="531"/>
        <v>0</v>
      </c>
      <c r="AD884">
        <f t="shared" si="532"/>
        <v>0</v>
      </c>
      <c r="AF884">
        <f t="shared" si="533"/>
        <v>0</v>
      </c>
      <c r="AG884">
        <f t="shared" si="534"/>
        <v>0</v>
      </c>
      <c r="AH884">
        <f t="shared" si="535"/>
        <v>0</v>
      </c>
      <c r="AI884">
        <f t="shared" si="536"/>
        <v>0</v>
      </c>
      <c r="AJ884">
        <f t="shared" si="537"/>
        <v>0</v>
      </c>
      <c r="AK884">
        <f t="shared" si="538"/>
        <v>0</v>
      </c>
      <c r="AL884">
        <f t="shared" si="539"/>
        <v>0</v>
      </c>
      <c r="AM884">
        <f t="shared" si="540"/>
        <v>0</v>
      </c>
      <c r="AN884">
        <f t="shared" si="541"/>
        <v>0</v>
      </c>
      <c r="AO884">
        <f t="shared" si="542"/>
        <v>0</v>
      </c>
      <c r="AP884">
        <f t="shared" si="543"/>
        <v>0</v>
      </c>
      <c r="AQ884">
        <f t="shared" si="544"/>
        <v>0</v>
      </c>
    </row>
    <row r="885" spans="6:43" x14ac:dyDescent="0.45">
      <c r="F885">
        <f t="shared" si="509"/>
        <v>0</v>
      </c>
      <c r="G885">
        <f t="shared" si="510"/>
        <v>0</v>
      </c>
      <c r="H885">
        <f t="shared" si="511"/>
        <v>0</v>
      </c>
      <c r="I885">
        <f t="shared" si="512"/>
        <v>0</v>
      </c>
      <c r="J885">
        <f t="shared" si="513"/>
        <v>0</v>
      </c>
      <c r="K885">
        <f t="shared" si="514"/>
        <v>0</v>
      </c>
      <c r="L885">
        <f t="shared" si="515"/>
        <v>0</v>
      </c>
      <c r="M885">
        <f t="shared" si="516"/>
        <v>0</v>
      </c>
      <c r="N885">
        <f t="shared" si="517"/>
        <v>0</v>
      </c>
      <c r="O885">
        <f t="shared" si="518"/>
        <v>0</v>
      </c>
      <c r="P885">
        <f t="shared" si="519"/>
        <v>0</v>
      </c>
      <c r="Q885">
        <f t="shared" si="520"/>
        <v>0</v>
      </c>
      <c r="S885">
        <f t="shared" si="521"/>
        <v>0</v>
      </c>
      <c r="T885">
        <f t="shared" si="522"/>
        <v>0</v>
      </c>
      <c r="U885">
        <f t="shared" si="523"/>
        <v>0</v>
      </c>
      <c r="V885">
        <f t="shared" si="524"/>
        <v>0</v>
      </c>
      <c r="W885">
        <f t="shared" si="525"/>
        <v>0</v>
      </c>
      <c r="X885">
        <f t="shared" si="526"/>
        <v>0</v>
      </c>
      <c r="Y885">
        <f t="shared" si="527"/>
        <v>0</v>
      </c>
      <c r="Z885">
        <f t="shared" si="528"/>
        <v>0</v>
      </c>
      <c r="AA885">
        <f t="shared" si="529"/>
        <v>0</v>
      </c>
      <c r="AB885">
        <f t="shared" si="530"/>
        <v>0</v>
      </c>
      <c r="AC885">
        <f t="shared" si="531"/>
        <v>0</v>
      </c>
      <c r="AD885">
        <f t="shared" si="532"/>
        <v>0</v>
      </c>
      <c r="AF885">
        <f t="shared" si="533"/>
        <v>0</v>
      </c>
      <c r="AG885">
        <f t="shared" si="534"/>
        <v>0</v>
      </c>
      <c r="AH885">
        <f t="shared" si="535"/>
        <v>0</v>
      </c>
      <c r="AI885">
        <f t="shared" si="536"/>
        <v>0</v>
      </c>
      <c r="AJ885">
        <f t="shared" si="537"/>
        <v>0</v>
      </c>
      <c r="AK885">
        <f t="shared" si="538"/>
        <v>0</v>
      </c>
      <c r="AL885">
        <f t="shared" si="539"/>
        <v>0</v>
      </c>
      <c r="AM885">
        <f t="shared" si="540"/>
        <v>0</v>
      </c>
      <c r="AN885">
        <f t="shared" si="541"/>
        <v>0</v>
      </c>
      <c r="AO885">
        <f t="shared" si="542"/>
        <v>0</v>
      </c>
      <c r="AP885">
        <f t="shared" si="543"/>
        <v>0</v>
      </c>
      <c r="AQ885">
        <f t="shared" si="544"/>
        <v>0</v>
      </c>
    </row>
    <row r="886" spans="6:43" x14ac:dyDescent="0.45">
      <c r="F886">
        <f t="shared" si="509"/>
        <v>0</v>
      </c>
      <c r="G886">
        <f t="shared" si="510"/>
        <v>0</v>
      </c>
      <c r="H886">
        <f t="shared" si="511"/>
        <v>0</v>
      </c>
      <c r="I886">
        <f t="shared" si="512"/>
        <v>0</v>
      </c>
      <c r="J886">
        <f t="shared" si="513"/>
        <v>0</v>
      </c>
      <c r="K886">
        <f t="shared" si="514"/>
        <v>0</v>
      </c>
      <c r="L886">
        <f t="shared" si="515"/>
        <v>0</v>
      </c>
      <c r="M886">
        <f t="shared" si="516"/>
        <v>0</v>
      </c>
      <c r="N886">
        <f t="shared" si="517"/>
        <v>0</v>
      </c>
      <c r="O886">
        <f t="shared" si="518"/>
        <v>0</v>
      </c>
      <c r="P886">
        <f t="shared" si="519"/>
        <v>0</v>
      </c>
      <c r="Q886">
        <f t="shared" si="520"/>
        <v>0</v>
      </c>
      <c r="S886">
        <f t="shared" si="521"/>
        <v>0</v>
      </c>
      <c r="T886">
        <f t="shared" si="522"/>
        <v>0</v>
      </c>
      <c r="U886">
        <f t="shared" si="523"/>
        <v>0</v>
      </c>
      <c r="V886">
        <f t="shared" si="524"/>
        <v>0</v>
      </c>
      <c r="W886">
        <f t="shared" si="525"/>
        <v>0</v>
      </c>
      <c r="X886">
        <f t="shared" si="526"/>
        <v>0</v>
      </c>
      <c r="Y886">
        <f t="shared" si="527"/>
        <v>0</v>
      </c>
      <c r="Z886">
        <f t="shared" si="528"/>
        <v>0</v>
      </c>
      <c r="AA886">
        <f t="shared" si="529"/>
        <v>0</v>
      </c>
      <c r="AB886">
        <f t="shared" si="530"/>
        <v>0</v>
      </c>
      <c r="AC886">
        <f t="shared" si="531"/>
        <v>0</v>
      </c>
      <c r="AD886">
        <f t="shared" si="532"/>
        <v>0</v>
      </c>
      <c r="AF886">
        <f t="shared" si="533"/>
        <v>0</v>
      </c>
      <c r="AG886">
        <f t="shared" si="534"/>
        <v>0</v>
      </c>
      <c r="AH886">
        <f t="shared" si="535"/>
        <v>0</v>
      </c>
      <c r="AI886">
        <f t="shared" si="536"/>
        <v>0</v>
      </c>
      <c r="AJ886">
        <f t="shared" si="537"/>
        <v>0</v>
      </c>
      <c r="AK886">
        <f t="shared" si="538"/>
        <v>0</v>
      </c>
      <c r="AL886">
        <f t="shared" si="539"/>
        <v>0</v>
      </c>
      <c r="AM886">
        <f t="shared" si="540"/>
        <v>0</v>
      </c>
      <c r="AN886">
        <f t="shared" si="541"/>
        <v>0</v>
      </c>
      <c r="AO886">
        <f t="shared" si="542"/>
        <v>0</v>
      </c>
      <c r="AP886">
        <f t="shared" si="543"/>
        <v>0</v>
      </c>
      <c r="AQ886">
        <f t="shared" si="544"/>
        <v>0</v>
      </c>
    </row>
    <row r="887" spans="6:43" x14ac:dyDescent="0.45">
      <c r="F887">
        <f t="shared" si="509"/>
        <v>0</v>
      </c>
      <c r="G887">
        <f t="shared" si="510"/>
        <v>0</v>
      </c>
      <c r="H887">
        <f t="shared" si="511"/>
        <v>0</v>
      </c>
      <c r="I887">
        <f t="shared" si="512"/>
        <v>0</v>
      </c>
      <c r="J887">
        <f t="shared" si="513"/>
        <v>0</v>
      </c>
      <c r="K887">
        <f t="shared" si="514"/>
        <v>0</v>
      </c>
      <c r="L887">
        <f t="shared" si="515"/>
        <v>0</v>
      </c>
      <c r="M887">
        <f t="shared" si="516"/>
        <v>0</v>
      </c>
      <c r="N887">
        <f t="shared" si="517"/>
        <v>0</v>
      </c>
      <c r="O887">
        <f t="shared" si="518"/>
        <v>0</v>
      </c>
      <c r="P887">
        <f t="shared" si="519"/>
        <v>0</v>
      </c>
      <c r="Q887">
        <f t="shared" si="520"/>
        <v>0</v>
      </c>
      <c r="S887">
        <f t="shared" si="521"/>
        <v>0</v>
      </c>
      <c r="T887">
        <f t="shared" si="522"/>
        <v>0</v>
      </c>
      <c r="U887">
        <f t="shared" si="523"/>
        <v>0</v>
      </c>
      <c r="V887">
        <f t="shared" si="524"/>
        <v>0</v>
      </c>
      <c r="W887">
        <f t="shared" si="525"/>
        <v>0</v>
      </c>
      <c r="X887">
        <f t="shared" si="526"/>
        <v>0</v>
      </c>
      <c r="Y887">
        <f t="shared" si="527"/>
        <v>0</v>
      </c>
      <c r="Z887">
        <f t="shared" si="528"/>
        <v>0</v>
      </c>
      <c r="AA887">
        <f t="shared" si="529"/>
        <v>0</v>
      </c>
      <c r="AB887">
        <f t="shared" si="530"/>
        <v>0</v>
      </c>
      <c r="AC887">
        <f t="shared" si="531"/>
        <v>0</v>
      </c>
      <c r="AD887">
        <f t="shared" si="532"/>
        <v>0</v>
      </c>
      <c r="AF887">
        <f t="shared" si="533"/>
        <v>0</v>
      </c>
      <c r="AG887">
        <f t="shared" si="534"/>
        <v>0</v>
      </c>
      <c r="AH887">
        <f t="shared" si="535"/>
        <v>0</v>
      </c>
      <c r="AI887">
        <f t="shared" si="536"/>
        <v>0</v>
      </c>
      <c r="AJ887">
        <f t="shared" si="537"/>
        <v>0</v>
      </c>
      <c r="AK887">
        <f t="shared" si="538"/>
        <v>0</v>
      </c>
      <c r="AL887">
        <f t="shared" si="539"/>
        <v>0</v>
      </c>
      <c r="AM887">
        <f t="shared" si="540"/>
        <v>0</v>
      </c>
      <c r="AN887">
        <f t="shared" si="541"/>
        <v>0</v>
      </c>
      <c r="AO887">
        <f t="shared" si="542"/>
        <v>0</v>
      </c>
      <c r="AP887">
        <f t="shared" si="543"/>
        <v>0</v>
      </c>
      <c r="AQ887">
        <f t="shared" si="544"/>
        <v>0</v>
      </c>
    </row>
    <row r="888" spans="6:43" x14ac:dyDescent="0.45">
      <c r="F888">
        <f t="shared" si="509"/>
        <v>0</v>
      </c>
      <c r="G888">
        <f t="shared" si="510"/>
        <v>0</v>
      </c>
      <c r="H888">
        <f t="shared" si="511"/>
        <v>0</v>
      </c>
      <c r="I888">
        <f t="shared" si="512"/>
        <v>0</v>
      </c>
      <c r="J888">
        <f t="shared" si="513"/>
        <v>0</v>
      </c>
      <c r="K888">
        <f t="shared" si="514"/>
        <v>0</v>
      </c>
      <c r="L888">
        <f t="shared" si="515"/>
        <v>0</v>
      </c>
      <c r="M888">
        <f t="shared" si="516"/>
        <v>0</v>
      </c>
      <c r="N888">
        <f t="shared" si="517"/>
        <v>0</v>
      </c>
      <c r="O888">
        <f t="shared" si="518"/>
        <v>0</v>
      </c>
      <c r="P888">
        <f t="shared" si="519"/>
        <v>0</v>
      </c>
      <c r="Q888">
        <f t="shared" si="520"/>
        <v>0</v>
      </c>
      <c r="S888">
        <f t="shared" si="521"/>
        <v>0</v>
      </c>
      <c r="T888">
        <f t="shared" si="522"/>
        <v>0</v>
      </c>
      <c r="U888">
        <f t="shared" si="523"/>
        <v>0</v>
      </c>
      <c r="V888">
        <f t="shared" si="524"/>
        <v>0</v>
      </c>
      <c r="W888">
        <f t="shared" si="525"/>
        <v>0</v>
      </c>
      <c r="X888">
        <f t="shared" si="526"/>
        <v>0</v>
      </c>
      <c r="Y888">
        <f t="shared" si="527"/>
        <v>0</v>
      </c>
      <c r="Z888">
        <f t="shared" si="528"/>
        <v>0</v>
      </c>
      <c r="AA888">
        <f t="shared" si="529"/>
        <v>0</v>
      </c>
      <c r="AB888">
        <f t="shared" si="530"/>
        <v>0</v>
      </c>
      <c r="AC888">
        <f t="shared" si="531"/>
        <v>0</v>
      </c>
      <c r="AD888">
        <f t="shared" si="532"/>
        <v>0</v>
      </c>
      <c r="AF888">
        <f t="shared" si="533"/>
        <v>0</v>
      </c>
      <c r="AG888">
        <f t="shared" si="534"/>
        <v>0</v>
      </c>
      <c r="AH888">
        <f t="shared" si="535"/>
        <v>0</v>
      </c>
      <c r="AI888">
        <f t="shared" si="536"/>
        <v>0</v>
      </c>
      <c r="AJ888">
        <f t="shared" si="537"/>
        <v>0</v>
      </c>
      <c r="AK888">
        <f t="shared" si="538"/>
        <v>0</v>
      </c>
      <c r="AL888">
        <f t="shared" si="539"/>
        <v>0</v>
      </c>
      <c r="AM888">
        <f t="shared" si="540"/>
        <v>0</v>
      </c>
      <c r="AN888">
        <f t="shared" si="541"/>
        <v>0</v>
      </c>
      <c r="AO888">
        <f t="shared" si="542"/>
        <v>0</v>
      </c>
      <c r="AP888">
        <f t="shared" si="543"/>
        <v>0</v>
      </c>
      <c r="AQ888">
        <f t="shared" si="544"/>
        <v>0</v>
      </c>
    </row>
    <row r="889" spans="6:43" x14ac:dyDescent="0.45">
      <c r="F889">
        <f t="shared" si="509"/>
        <v>0</v>
      </c>
      <c r="G889">
        <f t="shared" si="510"/>
        <v>0</v>
      </c>
      <c r="H889">
        <f t="shared" si="511"/>
        <v>0</v>
      </c>
      <c r="I889">
        <f t="shared" si="512"/>
        <v>0</v>
      </c>
      <c r="J889">
        <f t="shared" si="513"/>
        <v>0</v>
      </c>
      <c r="K889">
        <f t="shared" si="514"/>
        <v>0</v>
      </c>
      <c r="L889">
        <f t="shared" si="515"/>
        <v>0</v>
      </c>
      <c r="M889">
        <f t="shared" si="516"/>
        <v>0</v>
      </c>
      <c r="N889">
        <f t="shared" si="517"/>
        <v>0</v>
      </c>
      <c r="O889">
        <f t="shared" si="518"/>
        <v>0</v>
      </c>
      <c r="P889">
        <f t="shared" si="519"/>
        <v>0</v>
      </c>
      <c r="Q889">
        <f t="shared" si="520"/>
        <v>0</v>
      </c>
      <c r="S889">
        <f t="shared" si="521"/>
        <v>0</v>
      </c>
      <c r="T889">
        <f t="shared" si="522"/>
        <v>0</v>
      </c>
      <c r="U889">
        <f t="shared" si="523"/>
        <v>0</v>
      </c>
      <c r="V889">
        <f t="shared" si="524"/>
        <v>0</v>
      </c>
      <c r="W889">
        <f t="shared" si="525"/>
        <v>0</v>
      </c>
      <c r="X889">
        <f t="shared" si="526"/>
        <v>0</v>
      </c>
      <c r="Y889">
        <f t="shared" si="527"/>
        <v>0</v>
      </c>
      <c r="Z889">
        <f t="shared" si="528"/>
        <v>0</v>
      </c>
      <c r="AA889">
        <f t="shared" si="529"/>
        <v>0</v>
      </c>
      <c r="AB889">
        <f t="shared" si="530"/>
        <v>0</v>
      </c>
      <c r="AC889">
        <f t="shared" si="531"/>
        <v>0</v>
      </c>
      <c r="AD889">
        <f t="shared" si="532"/>
        <v>0</v>
      </c>
      <c r="AF889">
        <f t="shared" si="533"/>
        <v>0</v>
      </c>
      <c r="AG889">
        <f t="shared" si="534"/>
        <v>0</v>
      </c>
      <c r="AH889">
        <f t="shared" si="535"/>
        <v>0</v>
      </c>
      <c r="AI889">
        <f t="shared" si="536"/>
        <v>0</v>
      </c>
      <c r="AJ889">
        <f t="shared" si="537"/>
        <v>0</v>
      </c>
      <c r="AK889">
        <f t="shared" si="538"/>
        <v>0</v>
      </c>
      <c r="AL889">
        <f t="shared" si="539"/>
        <v>0</v>
      </c>
      <c r="AM889">
        <f t="shared" si="540"/>
        <v>0</v>
      </c>
      <c r="AN889">
        <f t="shared" si="541"/>
        <v>0</v>
      </c>
      <c r="AO889">
        <f t="shared" si="542"/>
        <v>0</v>
      </c>
      <c r="AP889">
        <f t="shared" si="543"/>
        <v>0</v>
      </c>
      <c r="AQ889">
        <f t="shared" si="544"/>
        <v>0</v>
      </c>
    </row>
    <row r="890" spans="6:43" x14ac:dyDescent="0.45">
      <c r="F890">
        <f t="shared" si="509"/>
        <v>0</v>
      </c>
      <c r="G890">
        <f t="shared" si="510"/>
        <v>0</v>
      </c>
      <c r="H890">
        <f t="shared" si="511"/>
        <v>0</v>
      </c>
      <c r="I890">
        <f t="shared" si="512"/>
        <v>0</v>
      </c>
      <c r="J890">
        <f t="shared" si="513"/>
        <v>0</v>
      </c>
      <c r="K890">
        <f t="shared" si="514"/>
        <v>0</v>
      </c>
      <c r="L890">
        <f t="shared" si="515"/>
        <v>0</v>
      </c>
      <c r="M890">
        <f t="shared" si="516"/>
        <v>0</v>
      </c>
      <c r="N890">
        <f t="shared" si="517"/>
        <v>0</v>
      </c>
      <c r="O890">
        <f t="shared" si="518"/>
        <v>0</v>
      </c>
      <c r="P890">
        <f t="shared" si="519"/>
        <v>0</v>
      </c>
      <c r="Q890">
        <f t="shared" si="520"/>
        <v>0</v>
      </c>
      <c r="S890">
        <f t="shared" si="521"/>
        <v>0</v>
      </c>
      <c r="T890">
        <f t="shared" si="522"/>
        <v>0</v>
      </c>
      <c r="U890">
        <f t="shared" si="523"/>
        <v>0</v>
      </c>
      <c r="V890">
        <f t="shared" si="524"/>
        <v>0</v>
      </c>
      <c r="W890">
        <f t="shared" si="525"/>
        <v>0</v>
      </c>
      <c r="X890">
        <f t="shared" si="526"/>
        <v>0</v>
      </c>
      <c r="Y890">
        <f t="shared" si="527"/>
        <v>0</v>
      </c>
      <c r="Z890">
        <f t="shared" si="528"/>
        <v>0</v>
      </c>
      <c r="AA890">
        <f t="shared" si="529"/>
        <v>0</v>
      </c>
      <c r="AB890">
        <f t="shared" si="530"/>
        <v>0</v>
      </c>
      <c r="AC890">
        <f t="shared" si="531"/>
        <v>0</v>
      </c>
      <c r="AD890">
        <f t="shared" si="532"/>
        <v>0</v>
      </c>
      <c r="AF890">
        <f t="shared" si="533"/>
        <v>0</v>
      </c>
      <c r="AG890">
        <f t="shared" si="534"/>
        <v>0</v>
      </c>
      <c r="AH890">
        <f t="shared" si="535"/>
        <v>0</v>
      </c>
      <c r="AI890">
        <f t="shared" si="536"/>
        <v>0</v>
      </c>
      <c r="AJ890">
        <f t="shared" si="537"/>
        <v>0</v>
      </c>
      <c r="AK890">
        <f t="shared" si="538"/>
        <v>0</v>
      </c>
      <c r="AL890">
        <f t="shared" si="539"/>
        <v>0</v>
      </c>
      <c r="AM890">
        <f t="shared" si="540"/>
        <v>0</v>
      </c>
      <c r="AN890">
        <f t="shared" si="541"/>
        <v>0</v>
      </c>
      <c r="AO890">
        <f t="shared" si="542"/>
        <v>0</v>
      </c>
      <c r="AP890">
        <f t="shared" si="543"/>
        <v>0</v>
      </c>
      <c r="AQ890">
        <f t="shared" si="544"/>
        <v>0</v>
      </c>
    </row>
    <row r="891" spans="6:43" x14ac:dyDescent="0.45">
      <c r="F891">
        <f t="shared" si="509"/>
        <v>0</v>
      </c>
      <c r="G891">
        <f t="shared" si="510"/>
        <v>0</v>
      </c>
      <c r="H891">
        <f t="shared" si="511"/>
        <v>0</v>
      </c>
      <c r="I891">
        <f t="shared" si="512"/>
        <v>0</v>
      </c>
      <c r="J891">
        <f t="shared" si="513"/>
        <v>0</v>
      </c>
      <c r="K891">
        <f t="shared" si="514"/>
        <v>0</v>
      </c>
      <c r="L891">
        <f t="shared" si="515"/>
        <v>0</v>
      </c>
      <c r="M891">
        <f t="shared" si="516"/>
        <v>0</v>
      </c>
      <c r="N891">
        <f t="shared" si="517"/>
        <v>0</v>
      </c>
      <c r="O891">
        <f t="shared" si="518"/>
        <v>0</v>
      </c>
      <c r="P891">
        <f t="shared" si="519"/>
        <v>0</v>
      </c>
      <c r="Q891">
        <f t="shared" si="520"/>
        <v>0</v>
      </c>
      <c r="S891">
        <f t="shared" si="521"/>
        <v>0</v>
      </c>
      <c r="T891">
        <f t="shared" si="522"/>
        <v>0</v>
      </c>
      <c r="U891">
        <f t="shared" si="523"/>
        <v>0</v>
      </c>
      <c r="V891">
        <f t="shared" si="524"/>
        <v>0</v>
      </c>
      <c r="W891">
        <f t="shared" si="525"/>
        <v>0</v>
      </c>
      <c r="X891">
        <f t="shared" si="526"/>
        <v>0</v>
      </c>
      <c r="Y891">
        <f t="shared" si="527"/>
        <v>0</v>
      </c>
      <c r="Z891">
        <f t="shared" si="528"/>
        <v>0</v>
      </c>
      <c r="AA891">
        <f t="shared" si="529"/>
        <v>0</v>
      </c>
      <c r="AB891">
        <f t="shared" si="530"/>
        <v>0</v>
      </c>
      <c r="AC891">
        <f t="shared" si="531"/>
        <v>0</v>
      </c>
      <c r="AD891">
        <f t="shared" si="532"/>
        <v>0</v>
      </c>
      <c r="AF891">
        <f t="shared" si="533"/>
        <v>0</v>
      </c>
      <c r="AG891">
        <f t="shared" si="534"/>
        <v>0</v>
      </c>
      <c r="AH891">
        <f t="shared" si="535"/>
        <v>0</v>
      </c>
      <c r="AI891">
        <f t="shared" si="536"/>
        <v>0</v>
      </c>
      <c r="AJ891">
        <f t="shared" si="537"/>
        <v>0</v>
      </c>
      <c r="AK891">
        <f t="shared" si="538"/>
        <v>0</v>
      </c>
      <c r="AL891">
        <f t="shared" si="539"/>
        <v>0</v>
      </c>
      <c r="AM891">
        <f t="shared" si="540"/>
        <v>0</v>
      </c>
      <c r="AN891">
        <f t="shared" si="541"/>
        <v>0</v>
      </c>
      <c r="AO891">
        <f t="shared" si="542"/>
        <v>0</v>
      </c>
      <c r="AP891">
        <f t="shared" si="543"/>
        <v>0</v>
      </c>
      <c r="AQ891">
        <f t="shared" si="544"/>
        <v>0</v>
      </c>
    </row>
    <row r="892" spans="6:43" x14ac:dyDescent="0.45">
      <c r="F892">
        <f t="shared" si="509"/>
        <v>0</v>
      </c>
      <c r="G892">
        <f t="shared" si="510"/>
        <v>0</v>
      </c>
      <c r="H892">
        <f t="shared" si="511"/>
        <v>0</v>
      </c>
      <c r="I892">
        <f t="shared" si="512"/>
        <v>0</v>
      </c>
      <c r="J892">
        <f t="shared" si="513"/>
        <v>0</v>
      </c>
      <c r="K892">
        <f t="shared" si="514"/>
        <v>0</v>
      </c>
      <c r="L892">
        <f t="shared" si="515"/>
        <v>0</v>
      </c>
      <c r="M892">
        <f t="shared" si="516"/>
        <v>0</v>
      </c>
      <c r="N892">
        <f t="shared" si="517"/>
        <v>0</v>
      </c>
      <c r="O892">
        <f t="shared" si="518"/>
        <v>0</v>
      </c>
      <c r="P892">
        <f t="shared" si="519"/>
        <v>0</v>
      </c>
      <c r="Q892">
        <f t="shared" si="520"/>
        <v>0</v>
      </c>
      <c r="S892">
        <f t="shared" si="521"/>
        <v>0</v>
      </c>
      <c r="T892">
        <f t="shared" si="522"/>
        <v>0</v>
      </c>
      <c r="U892">
        <f t="shared" si="523"/>
        <v>0</v>
      </c>
      <c r="V892">
        <f t="shared" si="524"/>
        <v>0</v>
      </c>
      <c r="W892">
        <f t="shared" si="525"/>
        <v>0</v>
      </c>
      <c r="X892">
        <f t="shared" si="526"/>
        <v>0</v>
      </c>
      <c r="Y892">
        <f t="shared" si="527"/>
        <v>0</v>
      </c>
      <c r="Z892">
        <f t="shared" si="528"/>
        <v>0</v>
      </c>
      <c r="AA892">
        <f t="shared" si="529"/>
        <v>0</v>
      </c>
      <c r="AB892">
        <f t="shared" si="530"/>
        <v>0</v>
      </c>
      <c r="AC892">
        <f t="shared" si="531"/>
        <v>0</v>
      </c>
      <c r="AD892">
        <f t="shared" si="532"/>
        <v>0</v>
      </c>
      <c r="AF892">
        <f t="shared" si="533"/>
        <v>0</v>
      </c>
      <c r="AG892">
        <f t="shared" si="534"/>
        <v>0</v>
      </c>
      <c r="AH892">
        <f t="shared" si="535"/>
        <v>0</v>
      </c>
      <c r="AI892">
        <f t="shared" si="536"/>
        <v>0</v>
      </c>
      <c r="AJ892">
        <f t="shared" si="537"/>
        <v>0</v>
      </c>
      <c r="AK892">
        <f t="shared" si="538"/>
        <v>0</v>
      </c>
      <c r="AL892">
        <f t="shared" si="539"/>
        <v>0</v>
      </c>
      <c r="AM892">
        <f t="shared" si="540"/>
        <v>0</v>
      </c>
      <c r="AN892">
        <f t="shared" si="541"/>
        <v>0</v>
      </c>
      <c r="AO892">
        <f t="shared" si="542"/>
        <v>0</v>
      </c>
      <c r="AP892">
        <f t="shared" si="543"/>
        <v>0</v>
      </c>
      <c r="AQ892">
        <f t="shared" si="544"/>
        <v>0</v>
      </c>
    </row>
    <row r="893" spans="6:43" x14ac:dyDescent="0.45">
      <c r="F893">
        <f t="shared" si="509"/>
        <v>0</v>
      </c>
      <c r="G893">
        <f t="shared" si="510"/>
        <v>0</v>
      </c>
      <c r="H893">
        <f t="shared" si="511"/>
        <v>0</v>
      </c>
      <c r="I893">
        <f t="shared" si="512"/>
        <v>0</v>
      </c>
      <c r="J893">
        <f t="shared" si="513"/>
        <v>0</v>
      </c>
      <c r="K893">
        <f t="shared" si="514"/>
        <v>0</v>
      </c>
      <c r="L893">
        <f t="shared" si="515"/>
        <v>0</v>
      </c>
      <c r="M893">
        <f t="shared" si="516"/>
        <v>0</v>
      </c>
      <c r="N893">
        <f t="shared" si="517"/>
        <v>0</v>
      </c>
      <c r="O893">
        <f t="shared" si="518"/>
        <v>0</v>
      </c>
      <c r="P893">
        <f t="shared" si="519"/>
        <v>0</v>
      </c>
      <c r="Q893">
        <f t="shared" si="520"/>
        <v>0</v>
      </c>
      <c r="S893">
        <f t="shared" si="521"/>
        <v>0</v>
      </c>
      <c r="T893">
        <f t="shared" si="522"/>
        <v>0</v>
      </c>
      <c r="U893">
        <f t="shared" si="523"/>
        <v>0</v>
      </c>
      <c r="V893">
        <f t="shared" si="524"/>
        <v>0</v>
      </c>
      <c r="W893">
        <f t="shared" si="525"/>
        <v>0</v>
      </c>
      <c r="X893">
        <f t="shared" si="526"/>
        <v>0</v>
      </c>
      <c r="Y893">
        <f t="shared" si="527"/>
        <v>0</v>
      </c>
      <c r="Z893">
        <f t="shared" si="528"/>
        <v>0</v>
      </c>
      <c r="AA893">
        <f t="shared" si="529"/>
        <v>0</v>
      </c>
      <c r="AB893">
        <f t="shared" si="530"/>
        <v>0</v>
      </c>
      <c r="AC893">
        <f t="shared" si="531"/>
        <v>0</v>
      </c>
      <c r="AD893">
        <f t="shared" si="532"/>
        <v>0</v>
      </c>
      <c r="AF893">
        <f t="shared" si="533"/>
        <v>0</v>
      </c>
      <c r="AG893">
        <f t="shared" si="534"/>
        <v>0</v>
      </c>
      <c r="AH893">
        <f t="shared" si="535"/>
        <v>0</v>
      </c>
      <c r="AI893">
        <f t="shared" si="536"/>
        <v>0</v>
      </c>
      <c r="AJ893">
        <f t="shared" si="537"/>
        <v>0</v>
      </c>
      <c r="AK893">
        <f t="shared" si="538"/>
        <v>0</v>
      </c>
      <c r="AL893">
        <f t="shared" si="539"/>
        <v>0</v>
      </c>
      <c r="AM893">
        <f t="shared" si="540"/>
        <v>0</v>
      </c>
      <c r="AN893">
        <f t="shared" si="541"/>
        <v>0</v>
      </c>
      <c r="AO893">
        <f t="shared" si="542"/>
        <v>0</v>
      </c>
      <c r="AP893">
        <f t="shared" si="543"/>
        <v>0</v>
      </c>
      <c r="AQ893">
        <f t="shared" si="544"/>
        <v>0</v>
      </c>
    </row>
    <row r="894" spans="6:43" x14ac:dyDescent="0.45">
      <c r="F894">
        <f t="shared" si="509"/>
        <v>0</v>
      </c>
      <c r="G894">
        <f t="shared" si="510"/>
        <v>0</v>
      </c>
      <c r="H894">
        <f t="shared" si="511"/>
        <v>0</v>
      </c>
      <c r="I894">
        <f t="shared" si="512"/>
        <v>0</v>
      </c>
      <c r="J894">
        <f t="shared" si="513"/>
        <v>0</v>
      </c>
      <c r="K894">
        <f t="shared" si="514"/>
        <v>0</v>
      </c>
      <c r="L894">
        <f t="shared" si="515"/>
        <v>0</v>
      </c>
      <c r="M894">
        <f t="shared" si="516"/>
        <v>0</v>
      </c>
      <c r="N894">
        <f t="shared" si="517"/>
        <v>0</v>
      </c>
      <c r="O894">
        <f t="shared" si="518"/>
        <v>0</v>
      </c>
      <c r="P894">
        <f t="shared" si="519"/>
        <v>0</v>
      </c>
      <c r="Q894">
        <f t="shared" si="520"/>
        <v>0</v>
      </c>
      <c r="S894">
        <f t="shared" si="521"/>
        <v>0</v>
      </c>
      <c r="T894">
        <f t="shared" si="522"/>
        <v>0</v>
      </c>
      <c r="U894">
        <f t="shared" si="523"/>
        <v>0</v>
      </c>
      <c r="V894">
        <f t="shared" si="524"/>
        <v>0</v>
      </c>
      <c r="W894">
        <f t="shared" si="525"/>
        <v>0</v>
      </c>
      <c r="X894">
        <f t="shared" si="526"/>
        <v>0</v>
      </c>
      <c r="Y894">
        <f t="shared" si="527"/>
        <v>0</v>
      </c>
      <c r="Z894">
        <f t="shared" si="528"/>
        <v>0</v>
      </c>
      <c r="AA894">
        <f t="shared" si="529"/>
        <v>0</v>
      </c>
      <c r="AB894">
        <f t="shared" si="530"/>
        <v>0</v>
      </c>
      <c r="AC894">
        <f t="shared" si="531"/>
        <v>0</v>
      </c>
      <c r="AD894">
        <f t="shared" si="532"/>
        <v>0</v>
      </c>
      <c r="AF894">
        <f t="shared" si="533"/>
        <v>0</v>
      </c>
      <c r="AG894">
        <f t="shared" si="534"/>
        <v>0</v>
      </c>
      <c r="AH894">
        <f t="shared" si="535"/>
        <v>0</v>
      </c>
      <c r="AI894">
        <f t="shared" si="536"/>
        <v>0</v>
      </c>
      <c r="AJ894">
        <f t="shared" si="537"/>
        <v>0</v>
      </c>
      <c r="AK894">
        <f t="shared" si="538"/>
        <v>0</v>
      </c>
      <c r="AL894">
        <f t="shared" si="539"/>
        <v>0</v>
      </c>
      <c r="AM894">
        <f t="shared" si="540"/>
        <v>0</v>
      </c>
      <c r="AN894">
        <f t="shared" si="541"/>
        <v>0</v>
      </c>
      <c r="AO894">
        <f t="shared" si="542"/>
        <v>0</v>
      </c>
      <c r="AP894">
        <f t="shared" si="543"/>
        <v>0</v>
      </c>
      <c r="AQ894">
        <f t="shared" si="544"/>
        <v>0</v>
      </c>
    </row>
    <row r="895" spans="6:43" x14ac:dyDescent="0.45">
      <c r="F895">
        <f t="shared" si="509"/>
        <v>0</v>
      </c>
      <c r="G895">
        <f t="shared" si="510"/>
        <v>0</v>
      </c>
      <c r="H895">
        <f t="shared" si="511"/>
        <v>0</v>
      </c>
      <c r="I895">
        <f t="shared" si="512"/>
        <v>0</v>
      </c>
      <c r="J895">
        <f t="shared" si="513"/>
        <v>0</v>
      </c>
      <c r="K895">
        <f t="shared" si="514"/>
        <v>0</v>
      </c>
      <c r="L895">
        <f t="shared" si="515"/>
        <v>0</v>
      </c>
      <c r="M895">
        <f t="shared" si="516"/>
        <v>0</v>
      </c>
      <c r="N895">
        <f t="shared" si="517"/>
        <v>0</v>
      </c>
      <c r="O895">
        <f t="shared" si="518"/>
        <v>0</v>
      </c>
      <c r="P895">
        <f t="shared" si="519"/>
        <v>0</v>
      </c>
      <c r="Q895">
        <f t="shared" si="520"/>
        <v>0</v>
      </c>
      <c r="S895">
        <f t="shared" si="521"/>
        <v>0</v>
      </c>
      <c r="T895">
        <f t="shared" si="522"/>
        <v>0</v>
      </c>
      <c r="U895">
        <f t="shared" si="523"/>
        <v>0</v>
      </c>
      <c r="V895">
        <f t="shared" si="524"/>
        <v>0</v>
      </c>
      <c r="W895">
        <f t="shared" si="525"/>
        <v>0</v>
      </c>
      <c r="X895">
        <f t="shared" si="526"/>
        <v>0</v>
      </c>
      <c r="Y895">
        <f t="shared" si="527"/>
        <v>0</v>
      </c>
      <c r="Z895">
        <f t="shared" si="528"/>
        <v>0</v>
      </c>
      <c r="AA895">
        <f t="shared" si="529"/>
        <v>0</v>
      </c>
      <c r="AB895">
        <f t="shared" si="530"/>
        <v>0</v>
      </c>
      <c r="AC895">
        <f t="shared" si="531"/>
        <v>0</v>
      </c>
      <c r="AD895">
        <f t="shared" si="532"/>
        <v>0</v>
      </c>
      <c r="AF895">
        <f t="shared" si="533"/>
        <v>0</v>
      </c>
      <c r="AG895">
        <f t="shared" si="534"/>
        <v>0</v>
      </c>
      <c r="AH895">
        <f t="shared" si="535"/>
        <v>0</v>
      </c>
      <c r="AI895">
        <f t="shared" si="536"/>
        <v>0</v>
      </c>
      <c r="AJ895">
        <f t="shared" si="537"/>
        <v>0</v>
      </c>
      <c r="AK895">
        <f t="shared" si="538"/>
        <v>0</v>
      </c>
      <c r="AL895">
        <f t="shared" si="539"/>
        <v>0</v>
      </c>
      <c r="AM895">
        <f t="shared" si="540"/>
        <v>0</v>
      </c>
      <c r="AN895">
        <f t="shared" si="541"/>
        <v>0</v>
      </c>
      <c r="AO895">
        <f t="shared" si="542"/>
        <v>0</v>
      </c>
      <c r="AP895">
        <f t="shared" si="543"/>
        <v>0</v>
      </c>
      <c r="AQ895">
        <f t="shared" si="544"/>
        <v>0</v>
      </c>
    </row>
    <row r="896" spans="6:43" x14ac:dyDescent="0.45">
      <c r="F896">
        <f t="shared" si="509"/>
        <v>0</v>
      </c>
      <c r="G896">
        <f t="shared" si="510"/>
        <v>0</v>
      </c>
      <c r="H896">
        <f t="shared" si="511"/>
        <v>0</v>
      </c>
      <c r="I896">
        <f t="shared" si="512"/>
        <v>0</v>
      </c>
      <c r="J896">
        <f t="shared" si="513"/>
        <v>0</v>
      </c>
      <c r="K896">
        <f t="shared" si="514"/>
        <v>0</v>
      </c>
      <c r="L896">
        <f t="shared" si="515"/>
        <v>0</v>
      </c>
      <c r="M896">
        <f t="shared" si="516"/>
        <v>0</v>
      </c>
      <c r="N896">
        <f t="shared" si="517"/>
        <v>0</v>
      </c>
      <c r="O896">
        <f t="shared" si="518"/>
        <v>0</v>
      </c>
      <c r="P896">
        <f t="shared" si="519"/>
        <v>0</v>
      </c>
      <c r="Q896">
        <f t="shared" si="520"/>
        <v>0</v>
      </c>
      <c r="S896">
        <f t="shared" si="521"/>
        <v>0</v>
      </c>
      <c r="T896">
        <f t="shared" si="522"/>
        <v>0</v>
      </c>
      <c r="U896">
        <f t="shared" si="523"/>
        <v>0</v>
      </c>
      <c r="V896">
        <f t="shared" si="524"/>
        <v>0</v>
      </c>
      <c r="W896">
        <f t="shared" si="525"/>
        <v>0</v>
      </c>
      <c r="X896">
        <f t="shared" si="526"/>
        <v>0</v>
      </c>
      <c r="Y896">
        <f t="shared" si="527"/>
        <v>0</v>
      </c>
      <c r="Z896">
        <f t="shared" si="528"/>
        <v>0</v>
      </c>
      <c r="AA896">
        <f t="shared" si="529"/>
        <v>0</v>
      </c>
      <c r="AB896">
        <f t="shared" si="530"/>
        <v>0</v>
      </c>
      <c r="AC896">
        <f t="shared" si="531"/>
        <v>0</v>
      </c>
      <c r="AD896">
        <f t="shared" si="532"/>
        <v>0</v>
      </c>
      <c r="AF896">
        <f t="shared" si="533"/>
        <v>0</v>
      </c>
      <c r="AG896">
        <f t="shared" si="534"/>
        <v>0</v>
      </c>
      <c r="AH896">
        <f t="shared" si="535"/>
        <v>0</v>
      </c>
      <c r="AI896">
        <f t="shared" si="536"/>
        <v>0</v>
      </c>
      <c r="AJ896">
        <f t="shared" si="537"/>
        <v>0</v>
      </c>
      <c r="AK896">
        <f t="shared" si="538"/>
        <v>0</v>
      </c>
      <c r="AL896">
        <f t="shared" si="539"/>
        <v>0</v>
      </c>
      <c r="AM896">
        <f t="shared" si="540"/>
        <v>0</v>
      </c>
      <c r="AN896">
        <f t="shared" si="541"/>
        <v>0</v>
      </c>
      <c r="AO896">
        <f t="shared" si="542"/>
        <v>0</v>
      </c>
      <c r="AP896">
        <f t="shared" si="543"/>
        <v>0</v>
      </c>
      <c r="AQ896">
        <f t="shared" si="544"/>
        <v>0</v>
      </c>
    </row>
    <row r="897" spans="6:43" x14ac:dyDescent="0.45">
      <c r="F897">
        <f t="shared" si="509"/>
        <v>0</v>
      </c>
      <c r="G897">
        <f t="shared" si="510"/>
        <v>0</v>
      </c>
      <c r="H897">
        <f t="shared" si="511"/>
        <v>0</v>
      </c>
      <c r="I897">
        <f t="shared" si="512"/>
        <v>0</v>
      </c>
      <c r="J897">
        <f t="shared" si="513"/>
        <v>0</v>
      </c>
      <c r="K897">
        <f t="shared" si="514"/>
        <v>0</v>
      </c>
      <c r="L897">
        <f t="shared" si="515"/>
        <v>0</v>
      </c>
      <c r="M897">
        <f t="shared" si="516"/>
        <v>0</v>
      </c>
      <c r="N897">
        <f t="shared" si="517"/>
        <v>0</v>
      </c>
      <c r="O897">
        <f t="shared" si="518"/>
        <v>0</v>
      </c>
      <c r="P897">
        <f t="shared" si="519"/>
        <v>0</v>
      </c>
      <c r="Q897">
        <f t="shared" si="520"/>
        <v>0</v>
      </c>
      <c r="S897">
        <f t="shared" si="521"/>
        <v>0</v>
      </c>
      <c r="T897">
        <f t="shared" si="522"/>
        <v>0</v>
      </c>
      <c r="U897">
        <f t="shared" si="523"/>
        <v>0</v>
      </c>
      <c r="V897">
        <f t="shared" si="524"/>
        <v>0</v>
      </c>
      <c r="W897">
        <f t="shared" si="525"/>
        <v>0</v>
      </c>
      <c r="X897">
        <f t="shared" si="526"/>
        <v>0</v>
      </c>
      <c r="Y897">
        <f t="shared" si="527"/>
        <v>0</v>
      </c>
      <c r="Z897">
        <f t="shared" si="528"/>
        <v>0</v>
      </c>
      <c r="AA897">
        <f t="shared" si="529"/>
        <v>0</v>
      </c>
      <c r="AB897">
        <f t="shared" si="530"/>
        <v>0</v>
      </c>
      <c r="AC897">
        <f t="shared" si="531"/>
        <v>0</v>
      </c>
      <c r="AD897">
        <f t="shared" si="532"/>
        <v>0</v>
      </c>
      <c r="AF897">
        <f t="shared" si="533"/>
        <v>0</v>
      </c>
      <c r="AG897">
        <f t="shared" si="534"/>
        <v>0</v>
      </c>
      <c r="AH897">
        <f t="shared" si="535"/>
        <v>0</v>
      </c>
      <c r="AI897">
        <f t="shared" si="536"/>
        <v>0</v>
      </c>
      <c r="AJ897">
        <f t="shared" si="537"/>
        <v>0</v>
      </c>
      <c r="AK897">
        <f t="shared" si="538"/>
        <v>0</v>
      </c>
      <c r="AL897">
        <f t="shared" si="539"/>
        <v>0</v>
      </c>
      <c r="AM897">
        <f t="shared" si="540"/>
        <v>0</v>
      </c>
      <c r="AN897">
        <f t="shared" si="541"/>
        <v>0</v>
      </c>
      <c r="AO897">
        <f t="shared" si="542"/>
        <v>0</v>
      </c>
      <c r="AP897">
        <f t="shared" si="543"/>
        <v>0</v>
      </c>
      <c r="AQ897">
        <f t="shared" si="544"/>
        <v>0</v>
      </c>
    </row>
    <row r="898" spans="6:43" x14ac:dyDescent="0.45">
      <c r="F898">
        <f t="shared" si="509"/>
        <v>0</v>
      </c>
      <c r="G898">
        <f t="shared" si="510"/>
        <v>0</v>
      </c>
      <c r="H898">
        <f t="shared" si="511"/>
        <v>0</v>
      </c>
      <c r="I898">
        <f t="shared" si="512"/>
        <v>0</v>
      </c>
      <c r="J898">
        <f t="shared" si="513"/>
        <v>0</v>
      </c>
      <c r="K898">
        <f t="shared" si="514"/>
        <v>0</v>
      </c>
      <c r="L898">
        <f t="shared" si="515"/>
        <v>0</v>
      </c>
      <c r="M898">
        <f t="shared" si="516"/>
        <v>0</v>
      </c>
      <c r="N898">
        <f t="shared" si="517"/>
        <v>0</v>
      </c>
      <c r="O898">
        <f t="shared" si="518"/>
        <v>0</v>
      </c>
      <c r="P898">
        <f t="shared" si="519"/>
        <v>0</v>
      </c>
      <c r="Q898">
        <f t="shared" si="520"/>
        <v>0</v>
      </c>
      <c r="S898">
        <f t="shared" si="521"/>
        <v>0</v>
      </c>
      <c r="T898">
        <f t="shared" si="522"/>
        <v>0</v>
      </c>
      <c r="U898">
        <f t="shared" si="523"/>
        <v>0</v>
      </c>
      <c r="V898">
        <f t="shared" si="524"/>
        <v>0</v>
      </c>
      <c r="W898">
        <f t="shared" si="525"/>
        <v>0</v>
      </c>
      <c r="X898">
        <f t="shared" si="526"/>
        <v>0</v>
      </c>
      <c r="Y898">
        <f t="shared" si="527"/>
        <v>0</v>
      </c>
      <c r="Z898">
        <f t="shared" si="528"/>
        <v>0</v>
      </c>
      <c r="AA898">
        <f t="shared" si="529"/>
        <v>0</v>
      </c>
      <c r="AB898">
        <f t="shared" si="530"/>
        <v>0</v>
      </c>
      <c r="AC898">
        <f t="shared" si="531"/>
        <v>0</v>
      </c>
      <c r="AD898">
        <f t="shared" si="532"/>
        <v>0</v>
      </c>
      <c r="AF898">
        <f t="shared" si="533"/>
        <v>0</v>
      </c>
      <c r="AG898">
        <f t="shared" si="534"/>
        <v>0</v>
      </c>
      <c r="AH898">
        <f t="shared" si="535"/>
        <v>0</v>
      </c>
      <c r="AI898">
        <f t="shared" si="536"/>
        <v>0</v>
      </c>
      <c r="AJ898">
        <f t="shared" si="537"/>
        <v>0</v>
      </c>
      <c r="AK898">
        <f t="shared" si="538"/>
        <v>0</v>
      </c>
      <c r="AL898">
        <f t="shared" si="539"/>
        <v>0</v>
      </c>
      <c r="AM898">
        <f t="shared" si="540"/>
        <v>0</v>
      </c>
      <c r="AN898">
        <f t="shared" si="541"/>
        <v>0</v>
      </c>
      <c r="AO898">
        <f t="shared" si="542"/>
        <v>0</v>
      </c>
      <c r="AP898">
        <f t="shared" si="543"/>
        <v>0</v>
      </c>
      <c r="AQ898">
        <f t="shared" si="544"/>
        <v>0</v>
      </c>
    </row>
    <row r="899" spans="6:43" x14ac:dyDescent="0.45">
      <c r="F899">
        <f t="shared" si="509"/>
        <v>0</v>
      </c>
      <c r="G899">
        <f t="shared" si="510"/>
        <v>0</v>
      </c>
      <c r="H899">
        <f t="shared" si="511"/>
        <v>0</v>
      </c>
      <c r="I899">
        <f t="shared" si="512"/>
        <v>0</v>
      </c>
      <c r="J899">
        <f t="shared" si="513"/>
        <v>0</v>
      </c>
      <c r="K899">
        <f t="shared" si="514"/>
        <v>0</v>
      </c>
      <c r="L899">
        <f t="shared" si="515"/>
        <v>0</v>
      </c>
      <c r="M899">
        <f t="shared" si="516"/>
        <v>0</v>
      </c>
      <c r="N899">
        <f t="shared" si="517"/>
        <v>0</v>
      </c>
      <c r="O899">
        <f t="shared" si="518"/>
        <v>0</v>
      </c>
      <c r="P899">
        <f t="shared" si="519"/>
        <v>0</v>
      </c>
      <c r="Q899">
        <f t="shared" si="520"/>
        <v>0</v>
      </c>
      <c r="S899">
        <f t="shared" si="521"/>
        <v>0</v>
      </c>
      <c r="T899">
        <f t="shared" si="522"/>
        <v>0</v>
      </c>
      <c r="U899">
        <f t="shared" si="523"/>
        <v>0</v>
      </c>
      <c r="V899">
        <f t="shared" si="524"/>
        <v>0</v>
      </c>
      <c r="W899">
        <f t="shared" si="525"/>
        <v>0</v>
      </c>
      <c r="X899">
        <f t="shared" si="526"/>
        <v>0</v>
      </c>
      <c r="Y899">
        <f t="shared" si="527"/>
        <v>0</v>
      </c>
      <c r="Z899">
        <f t="shared" si="528"/>
        <v>0</v>
      </c>
      <c r="AA899">
        <f t="shared" si="529"/>
        <v>0</v>
      </c>
      <c r="AB899">
        <f t="shared" si="530"/>
        <v>0</v>
      </c>
      <c r="AC899">
        <f t="shared" si="531"/>
        <v>0</v>
      </c>
      <c r="AD899">
        <f t="shared" si="532"/>
        <v>0</v>
      </c>
      <c r="AF899">
        <f t="shared" si="533"/>
        <v>0</v>
      </c>
      <c r="AG899">
        <f t="shared" si="534"/>
        <v>0</v>
      </c>
      <c r="AH899">
        <f t="shared" si="535"/>
        <v>0</v>
      </c>
      <c r="AI899">
        <f t="shared" si="536"/>
        <v>0</v>
      </c>
      <c r="AJ899">
        <f t="shared" si="537"/>
        <v>0</v>
      </c>
      <c r="AK899">
        <f t="shared" si="538"/>
        <v>0</v>
      </c>
      <c r="AL899">
        <f t="shared" si="539"/>
        <v>0</v>
      </c>
      <c r="AM899">
        <f t="shared" si="540"/>
        <v>0</v>
      </c>
      <c r="AN899">
        <f t="shared" si="541"/>
        <v>0</v>
      </c>
      <c r="AO899">
        <f t="shared" si="542"/>
        <v>0</v>
      </c>
      <c r="AP899">
        <f t="shared" si="543"/>
        <v>0</v>
      </c>
      <c r="AQ899">
        <f t="shared" si="544"/>
        <v>0</v>
      </c>
    </row>
    <row r="900" spans="6:43" x14ac:dyDescent="0.45">
      <c r="F900">
        <f t="shared" si="509"/>
        <v>0</v>
      </c>
      <c r="G900">
        <f t="shared" si="510"/>
        <v>0</v>
      </c>
      <c r="H900">
        <f t="shared" si="511"/>
        <v>0</v>
      </c>
      <c r="I900">
        <f t="shared" si="512"/>
        <v>0</v>
      </c>
      <c r="J900">
        <f t="shared" si="513"/>
        <v>0</v>
      </c>
      <c r="K900">
        <f t="shared" si="514"/>
        <v>0</v>
      </c>
      <c r="L900">
        <f t="shared" si="515"/>
        <v>0</v>
      </c>
      <c r="M900">
        <f t="shared" si="516"/>
        <v>0</v>
      </c>
      <c r="N900">
        <f t="shared" si="517"/>
        <v>0</v>
      </c>
      <c r="O900">
        <f t="shared" si="518"/>
        <v>0</v>
      </c>
      <c r="P900">
        <f t="shared" si="519"/>
        <v>0</v>
      </c>
      <c r="Q900">
        <f t="shared" si="520"/>
        <v>0</v>
      </c>
      <c r="S900">
        <f t="shared" si="521"/>
        <v>0</v>
      </c>
      <c r="T900">
        <f t="shared" si="522"/>
        <v>0</v>
      </c>
      <c r="U900">
        <f t="shared" si="523"/>
        <v>0</v>
      </c>
      <c r="V900">
        <f t="shared" si="524"/>
        <v>0</v>
      </c>
      <c r="W900">
        <f t="shared" si="525"/>
        <v>0</v>
      </c>
      <c r="X900">
        <f t="shared" si="526"/>
        <v>0</v>
      </c>
      <c r="Y900">
        <f t="shared" si="527"/>
        <v>0</v>
      </c>
      <c r="Z900">
        <f t="shared" si="528"/>
        <v>0</v>
      </c>
      <c r="AA900">
        <f t="shared" si="529"/>
        <v>0</v>
      </c>
      <c r="AB900">
        <f t="shared" si="530"/>
        <v>0</v>
      </c>
      <c r="AC900">
        <f t="shared" si="531"/>
        <v>0</v>
      </c>
      <c r="AD900">
        <f t="shared" si="532"/>
        <v>0</v>
      </c>
      <c r="AF900">
        <f t="shared" si="533"/>
        <v>0</v>
      </c>
      <c r="AG900">
        <f t="shared" si="534"/>
        <v>0</v>
      </c>
      <c r="AH900">
        <f t="shared" si="535"/>
        <v>0</v>
      </c>
      <c r="AI900">
        <f t="shared" si="536"/>
        <v>0</v>
      </c>
      <c r="AJ900">
        <f t="shared" si="537"/>
        <v>0</v>
      </c>
      <c r="AK900">
        <f t="shared" si="538"/>
        <v>0</v>
      </c>
      <c r="AL900">
        <f t="shared" si="539"/>
        <v>0</v>
      </c>
      <c r="AM900">
        <f t="shared" si="540"/>
        <v>0</v>
      </c>
      <c r="AN900">
        <f t="shared" si="541"/>
        <v>0</v>
      </c>
      <c r="AO900">
        <f t="shared" si="542"/>
        <v>0</v>
      </c>
      <c r="AP900">
        <f t="shared" si="543"/>
        <v>0</v>
      </c>
      <c r="AQ900">
        <f t="shared" si="544"/>
        <v>0</v>
      </c>
    </row>
    <row r="901" spans="6:43" x14ac:dyDescent="0.45">
      <c r="F901">
        <f t="shared" si="509"/>
        <v>0</v>
      </c>
      <c r="G901">
        <f t="shared" si="510"/>
        <v>0</v>
      </c>
      <c r="H901">
        <f t="shared" si="511"/>
        <v>0</v>
      </c>
      <c r="I901">
        <f t="shared" si="512"/>
        <v>0</v>
      </c>
      <c r="J901">
        <f t="shared" si="513"/>
        <v>0</v>
      </c>
      <c r="K901">
        <f t="shared" si="514"/>
        <v>0</v>
      </c>
      <c r="L901">
        <f t="shared" si="515"/>
        <v>0</v>
      </c>
      <c r="M901">
        <f t="shared" si="516"/>
        <v>0</v>
      </c>
      <c r="N901">
        <f t="shared" si="517"/>
        <v>0</v>
      </c>
      <c r="O901">
        <f t="shared" si="518"/>
        <v>0</v>
      </c>
      <c r="P901">
        <f t="shared" si="519"/>
        <v>0</v>
      </c>
      <c r="Q901">
        <f t="shared" si="520"/>
        <v>0</v>
      </c>
      <c r="S901">
        <f t="shared" si="521"/>
        <v>0</v>
      </c>
      <c r="T901">
        <f t="shared" si="522"/>
        <v>0</v>
      </c>
      <c r="U901">
        <f t="shared" si="523"/>
        <v>0</v>
      </c>
      <c r="V901">
        <f t="shared" si="524"/>
        <v>0</v>
      </c>
      <c r="W901">
        <f t="shared" si="525"/>
        <v>0</v>
      </c>
      <c r="X901">
        <f t="shared" si="526"/>
        <v>0</v>
      </c>
      <c r="Y901">
        <f t="shared" si="527"/>
        <v>0</v>
      </c>
      <c r="Z901">
        <f t="shared" si="528"/>
        <v>0</v>
      </c>
      <c r="AA901">
        <f t="shared" si="529"/>
        <v>0</v>
      </c>
      <c r="AB901">
        <f t="shared" si="530"/>
        <v>0</v>
      </c>
      <c r="AC901">
        <f t="shared" si="531"/>
        <v>0</v>
      </c>
      <c r="AD901">
        <f t="shared" si="532"/>
        <v>0</v>
      </c>
      <c r="AF901">
        <f t="shared" si="533"/>
        <v>0</v>
      </c>
      <c r="AG901">
        <f t="shared" si="534"/>
        <v>0</v>
      </c>
      <c r="AH901">
        <f t="shared" si="535"/>
        <v>0</v>
      </c>
      <c r="AI901">
        <f t="shared" si="536"/>
        <v>0</v>
      </c>
      <c r="AJ901">
        <f t="shared" si="537"/>
        <v>0</v>
      </c>
      <c r="AK901">
        <f t="shared" si="538"/>
        <v>0</v>
      </c>
      <c r="AL901">
        <f t="shared" si="539"/>
        <v>0</v>
      </c>
      <c r="AM901">
        <f t="shared" si="540"/>
        <v>0</v>
      </c>
      <c r="AN901">
        <f t="shared" si="541"/>
        <v>0</v>
      </c>
      <c r="AO901">
        <f t="shared" si="542"/>
        <v>0</v>
      </c>
      <c r="AP901">
        <f t="shared" si="543"/>
        <v>0</v>
      </c>
      <c r="AQ901">
        <f t="shared" si="544"/>
        <v>0</v>
      </c>
    </row>
    <row r="902" spans="6:43" x14ac:dyDescent="0.45">
      <c r="F902">
        <f t="shared" si="509"/>
        <v>0</v>
      </c>
      <c r="G902">
        <f t="shared" si="510"/>
        <v>0</v>
      </c>
      <c r="H902">
        <f t="shared" si="511"/>
        <v>0</v>
      </c>
      <c r="I902">
        <f t="shared" si="512"/>
        <v>0</v>
      </c>
      <c r="J902">
        <f t="shared" si="513"/>
        <v>0</v>
      </c>
      <c r="K902">
        <f t="shared" si="514"/>
        <v>0</v>
      </c>
      <c r="L902">
        <f t="shared" si="515"/>
        <v>0</v>
      </c>
      <c r="M902">
        <f t="shared" si="516"/>
        <v>0</v>
      </c>
      <c r="N902">
        <f t="shared" si="517"/>
        <v>0</v>
      </c>
      <c r="O902">
        <f t="shared" si="518"/>
        <v>0</v>
      </c>
      <c r="P902">
        <f t="shared" si="519"/>
        <v>0</v>
      </c>
      <c r="Q902">
        <f t="shared" si="520"/>
        <v>0</v>
      </c>
      <c r="S902">
        <f t="shared" si="521"/>
        <v>0</v>
      </c>
      <c r="T902">
        <f t="shared" si="522"/>
        <v>0</v>
      </c>
      <c r="U902">
        <f t="shared" si="523"/>
        <v>0</v>
      </c>
      <c r="V902">
        <f t="shared" si="524"/>
        <v>0</v>
      </c>
      <c r="W902">
        <f t="shared" si="525"/>
        <v>0</v>
      </c>
      <c r="X902">
        <f t="shared" si="526"/>
        <v>0</v>
      </c>
      <c r="Y902">
        <f t="shared" si="527"/>
        <v>0</v>
      </c>
      <c r="Z902">
        <f t="shared" si="528"/>
        <v>0</v>
      </c>
      <c r="AA902">
        <f t="shared" si="529"/>
        <v>0</v>
      </c>
      <c r="AB902">
        <f t="shared" si="530"/>
        <v>0</v>
      </c>
      <c r="AC902">
        <f t="shared" si="531"/>
        <v>0</v>
      </c>
      <c r="AD902">
        <f t="shared" si="532"/>
        <v>0</v>
      </c>
      <c r="AF902">
        <f t="shared" si="533"/>
        <v>0</v>
      </c>
      <c r="AG902">
        <f t="shared" si="534"/>
        <v>0</v>
      </c>
      <c r="AH902">
        <f t="shared" si="535"/>
        <v>0</v>
      </c>
      <c r="AI902">
        <f t="shared" si="536"/>
        <v>0</v>
      </c>
      <c r="AJ902">
        <f t="shared" si="537"/>
        <v>0</v>
      </c>
      <c r="AK902">
        <f t="shared" si="538"/>
        <v>0</v>
      </c>
      <c r="AL902">
        <f t="shared" si="539"/>
        <v>0</v>
      </c>
      <c r="AM902">
        <f t="shared" si="540"/>
        <v>0</v>
      </c>
      <c r="AN902">
        <f t="shared" si="541"/>
        <v>0</v>
      </c>
      <c r="AO902">
        <f t="shared" si="542"/>
        <v>0</v>
      </c>
      <c r="AP902">
        <f t="shared" si="543"/>
        <v>0</v>
      </c>
      <c r="AQ902">
        <f t="shared" si="544"/>
        <v>0</v>
      </c>
    </row>
    <row r="903" spans="6:43" x14ac:dyDescent="0.45">
      <c r="F903">
        <f t="shared" si="509"/>
        <v>0</v>
      </c>
      <c r="G903">
        <f t="shared" si="510"/>
        <v>0</v>
      </c>
      <c r="H903">
        <f t="shared" si="511"/>
        <v>0</v>
      </c>
      <c r="I903">
        <f t="shared" si="512"/>
        <v>0</v>
      </c>
      <c r="J903">
        <f t="shared" si="513"/>
        <v>0</v>
      </c>
      <c r="K903">
        <f t="shared" si="514"/>
        <v>0</v>
      </c>
      <c r="L903">
        <f t="shared" si="515"/>
        <v>0</v>
      </c>
      <c r="M903">
        <f t="shared" si="516"/>
        <v>0</v>
      </c>
      <c r="N903">
        <f t="shared" si="517"/>
        <v>0</v>
      </c>
      <c r="O903">
        <f t="shared" si="518"/>
        <v>0</v>
      </c>
      <c r="P903">
        <f t="shared" si="519"/>
        <v>0</v>
      </c>
      <c r="Q903">
        <f t="shared" si="520"/>
        <v>0</v>
      </c>
      <c r="S903">
        <f t="shared" si="521"/>
        <v>0</v>
      </c>
      <c r="T903">
        <f t="shared" si="522"/>
        <v>0</v>
      </c>
      <c r="U903">
        <f t="shared" si="523"/>
        <v>0</v>
      </c>
      <c r="V903">
        <f t="shared" si="524"/>
        <v>0</v>
      </c>
      <c r="W903">
        <f t="shared" si="525"/>
        <v>0</v>
      </c>
      <c r="X903">
        <f t="shared" si="526"/>
        <v>0</v>
      </c>
      <c r="Y903">
        <f t="shared" si="527"/>
        <v>0</v>
      </c>
      <c r="Z903">
        <f t="shared" si="528"/>
        <v>0</v>
      </c>
      <c r="AA903">
        <f t="shared" si="529"/>
        <v>0</v>
      </c>
      <c r="AB903">
        <f t="shared" si="530"/>
        <v>0</v>
      </c>
      <c r="AC903">
        <f t="shared" si="531"/>
        <v>0</v>
      </c>
      <c r="AD903">
        <f t="shared" si="532"/>
        <v>0</v>
      </c>
      <c r="AF903">
        <f t="shared" si="533"/>
        <v>0</v>
      </c>
      <c r="AG903">
        <f t="shared" si="534"/>
        <v>0</v>
      </c>
      <c r="AH903">
        <f t="shared" si="535"/>
        <v>0</v>
      </c>
      <c r="AI903">
        <f t="shared" si="536"/>
        <v>0</v>
      </c>
      <c r="AJ903">
        <f t="shared" si="537"/>
        <v>0</v>
      </c>
      <c r="AK903">
        <f t="shared" si="538"/>
        <v>0</v>
      </c>
      <c r="AL903">
        <f t="shared" si="539"/>
        <v>0</v>
      </c>
      <c r="AM903">
        <f t="shared" si="540"/>
        <v>0</v>
      </c>
      <c r="AN903">
        <f t="shared" si="541"/>
        <v>0</v>
      </c>
      <c r="AO903">
        <f t="shared" si="542"/>
        <v>0</v>
      </c>
      <c r="AP903">
        <f t="shared" si="543"/>
        <v>0</v>
      </c>
      <c r="AQ903">
        <f t="shared" si="544"/>
        <v>0</v>
      </c>
    </row>
    <row r="904" spans="6:43" x14ac:dyDescent="0.45">
      <c r="F904">
        <f t="shared" si="509"/>
        <v>0</v>
      </c>
      <c r="G904">
        <f t="shared" si="510"/>
        <v>0</v>
      </c>
      <c r="H904">
        <f t="shared" si="511"/>
        <v>0</v>
      </c>
      <c r="I904">
        <f t="shared" si="512"/>
        <v>0</v>
      </c>
      <c r="J904">
        <f t="shared" si="513"/>
        <v>0</v>
      </c>
      <c r="K904">
        <f t="shared" si="514"/>
        <v>0</v>
      </c>
      <c r="L904">
        <f t="shared" si="515"/>
        <v>0</v>
      </c>
      <c r="M904">
        <f t="shared" si="516"/>
        <v>0</v>
      </c>
      <c r="N904">
        <f t="shared" si="517"/>
        <v>0</v>
      </c>
      <c r="O904">
        <f t="shared" si="518"/>
        <v>0</v>
      </c>
      <c r="P904">
        <f t="shared" si="519"/>
        <v>0</v>
      </c>
      <c r="Q904">
        <f t="shared" si="520"/>
        <v>0</v>
      </c>
      <c r="S904">
        <f t="shared" si="521"/>
        <v>0</v>
      </c>
      <c r="T904">
        <f t="shared" si="522"/>
        <v>0</v>
      </c>
      <c r="U904">
        <f t="shared" si="523"/>
        <v>0</v>
      </c>
      <c r="V904">
        <f t="shared" si="524"/>
        <v>0</v>
      </c>
      <c r="W904">
        <f t="shared" si="525"/>
        <v>0</v>
      </c>
      <c r="X904">
        <f t="shared" si="526"/>
        <v>0</v>
      </c>
      <c r="Y904">
        <f t="shared" si="527"/>
        <v>0</v>
      </c>
      <c r="Z904">
        <f t="shared" si="528"/>
        <v>0</v>
      </c>
      <c r="AA904">
        <f t="shared" si="529"/>
        <v>0</v>
      </c>
      <c r="AB904">
        <f t="shared" si="530"/>
        <v>0</v>
      </c>
      <c r="AC904">
        <f t="shared" si="531"/>
        <v>0</v>
      </c>
      <c r="AD904">
        <f t="shared" si="532"/>
        <v>0</v>
      </c>
      <c r="AF904">
        <f t="shared" si="533"/>
        <v>0</v>
      </c>
      <c r="AG904">
        <f t="shared" si="534"/>
        <v>0</v>
      </c>
      <c r="AH904">
        <f t="shared" si="535"/>
        <v>0</v>
      </c>
      <c r="AI904">
        <f t="shared" si="536"/>
        <v>0</v>
      </c>
      <c r="AJ904">
        <f t="shared" si="537"/>
        <v>0</v>
      </c>
      <c r="AK904">
        <f t="shared" si="538"/>
        <v>0</v>
      </c>
      <c r="AL904">
        <f t="shared" si="539"/>
        <v>0</v>
      </c>
      <c r="AM904">
        <f t="shared" si="540"/>
        <v>0</v>
      </c>
      <c r="AN904">
        <f t="shared" si="541"/>
        <v>0</v>
      </c>
      <c r="AO904">
        <f t="shared" si="542"/>
        <v>0</v>
      </c>
      <c r="AP904">
        <f t="shared" si="543"/>
        <v>0</v>
      </c>
      <c r="AQ904">
        <f t="shared" si="544"/>
        <v>0</v>
      </c>
    </row>
    <row r="905" spans="6:43" x14ac:dyDescent="0.45">
      <c r="F905">
        <f t="shared" si="509"/>
        <v>0</v>
      </c>
      <c r="G905">
        <f t="shared" si="510"/>
        <v>0</v>
      </c>
      <c r="H905">
        <f t="shared" si="511"/>
        <v>0</v>
      </c>
      <c r="I905">
        <f t="shared" si="512"/>
        <v>0</v>
      </c>
      <c r="J905">
        <f t="shared" si="513"/>
        <v>0</v>
      </c>
      <c r="K905">
        <f t="shared" si="514"/>
        <v>0</v>
      </c>
      <c r="L905">
        <f t="shared" si="515"/>
        <v>0</v>
      </c>
      <c r="M905">
        <f t="shared" si="516"/>
        <v>0</v>
      </c>
      <c r="N905">
        <f t="shared" si="517"/>
        <v>0</v>
      </c>
      <c r="O905">
        <f t="shared" si="518"/>
        <v>0</v>
      </c>
      <c r="P905">
        <f t="shared" si="519"/>
        <v>0</v>
      </c>
      <c r="Q905">
        <f t="shared" si="520"/>
        <v>0</v>
      </c>
      <c r="S905">
        <f t="shared" si="521"/>
        <v>0</v>
      </c>
      <c r="T905">
        <f t="shared" si="522"/>
        <v>0</v>
      </c>
      <c r="U905">
        <f t="shared" si="523"/>
        <v>0</v>
      </c>
      <c r="V905">
        <f t="shared" si="524"/>
        <v>0</v>
      </c>
      <c r="W905">
        <f t="shared" si="525"/>
        <v>0</v>
      </c>
      <c r="X905">
        <f t="shared" si="526"/>
        <v>0</v>
      </c>
      <c r="Y905">
        <f t="shared" si="527"/>
        <v>0</v>
      </c>
      <c r="Z905">
        <f t="shared" si="528"/>
        <v>0</v>
      </c>
      <c r="AA905">
        <f t="shared" si="529"/>
        <v>0</v>
      </c>
      <c r="AB905">
        <f t="shared" si="530"/>
        <v>0</v>
      </c>
      <c r="AC905">
        <f t="shared" si="531"/>
        <v>0</v>
      </c>
      <c r="AD905">
        <f t="shared" si="532"/>
        <v>0</v>
      </c>
      <c r="AF905">
        <f t="shared" si="533"/>
        <v>0</v>
      </c>
      <c r="AG905">
        <f t="shared" si="534"/>
        <v>0</v>
      </c>
      <c r="AH905">
        <f t="shared" si="535"/>
        <v>0</v>
      </c>
      <c r="AI905">
        <f t="shared" si="536"/>
        <v>0</v>
      </c>
      <c r="AJ905">
        <f t="shared" si="537"/>
        <v>0</v>
      </c>
      <c r="AK905">
        <f t="shared" si="538"/>
        <v>0</v>
      </c>
      <c r="AL905">
        <f t="shared" si="539"/>
        <v>0</v>
      </c>
      <c r="AM905">
        <f t="shared" si="540"/>
        <v>0</v>
      </c>
      <c r="AN905">
        <f t="shared" si="541"/>
        <v>0</v>
      </c>
      <c r="AO905">
        <f t="shared" si="542"/>
        <v>0</v>
      </c>
      <c r="AP905">
        <f t="shared" si="543"/>
        <v>0</v>
      </c>
      <c r="AQ905">
        <f t="shared" si="544"/>
        <v>0</v>
      </c>
    </row>
    <row r="906" spans="6:43" x14ac:dyDescent="0.45">
      <c r="F906">
        <f t="shared" si="509"/>
        <v>0</v>
      </c>
      <c r="G906">
        <f t="shared" si="510"/>
        <v>0</v>
      </c>
      <c r="H906">
        <f t="shared" si="511"/>
        <v>0</v>
      </c>
      <c r="I906">
        <f t="shared" si="512"/>
        <v>0</v>
      </c>
      <c r="J906">
        <f t="shared" si="513"/>
        <v>0</v>
      </c>
      <c r="K906">
        <f t="shared" si="514"/>
        <v>0</v>
      </c>
      <c r="L906">
        <f t="shared" si="515"/>
        <v>0</v>
      </c>
      <c r="M906">
        <f t="shared" si="516"/>
        <v>0</v>
      </c>
      <c r="N906">
        <f t="shared" si="517"/>
        <v>0</v>
      </c>
      <c r="O906">
        <f t="shared" si="518"/>
        <v>0</v>
      </c>
      <c r="P906">
        <f t="shared" si="519"/>
        <v>0</v>
      </c>
      <c r="Q906">
        <f t="shared" si="520"/>
        <v>0</v>
      </c>
      <c r="S906">
        <f t="shared" si="521"/>
        <v>0</v>
      </c>
      <c r="T906">
        <f t="shared" si="522"/>
        <v>0</v>
      </c>
      <c r="U906">
        <f t="shared" si="523"/>
        <v>0</v>
      </c>
      <c r="V906">
        <f t="shared" si="524"/>
        <v>0</v>
      </c>
      <c r="W906">
        <f t="shared" si="525"/>
        <v>0</v>
      </c>
      <c r="X906">
        <f t="shared" si="526"/>
        <v>0</v>
      </c>
      <c r="Y906">
        <f t="shared" si="527"/>
        <v>0</v>
      </c>
      <c r="Z906">
        <f t="shared" si="528"/>
        <v>0</v>
      </c>
      <c r="AA906">
        <f t="shared" si="529"/>
        <v>0</v>
      </c>
      <c r="AB906">
        <f t="shared" si="530"/>
        <v>0</v>
      </c>
      <c r="AC906">
        <f t="shared" si="531"/>
        <v>0</v>
      </c>
      <c r="AD906">
        <f t="shared" si="532"/>
        <v>0</v>
      </c>
      <c r="AF906">
        <f t="shared" si="533"/>
        <v>0</v>
      </c>
      <c r="AG906">
        <f t="shared" si="534"/>
        <v>0</v>
      </c>
      <c r="AH906">
        <f t="shared" si="535"/>
        <v>0</v>
      </c>
      <c r="AI906">
        <f t="shared" si="536"/>
        <v>0</v>
      </c>
      <c r="AJ906">
        <f t="shared" si="537"/>
        <v>0</v>
      </c>
      <c r="AK906">
        <f t="shared" si="538"/>
        <v>0</v>
      </c>
      <c r="AL906">
        <f t="shared" si="539"/>
        <v>0</v>
      </c>
      <c r="AM906">
        <f t="shared" si="540"/>
        <v>0</v>
      </c>
      <c r="AN906">
        <f t="shared" si="541"/>
        <v>0</v>
      </c>
      <c r="AO906">
        <f t="shared" si="542"/>
        <v>0</v>
      </c>
      <c r="AP906">
        <f t="shared" si="543"/>
        <v>0</v>
      </c>
      <c r="AQ906">
        <f t="shared" si="544"/>
        <v>0</v>
      </c>
    </row>
    <row r="907" spans="6:43" x14ac:dyDescent="0.45">
      <c r="F907">
        <f t="shared" si="509"/>
        <v>0</v>
      </c>
      <c r="G907">
        <f t="shared" si="510"/>
        <v>0</v>
      </c>
      <c r="H907">
        <f t="shared" si="511"/>
        <v>0</v>
      </c>
      <c r="I907">
        <f t="shared" si="512"/>
        <v>0</v>
      </c>
      <c r="J907">
        <f t="shared" si="513"/>
        <v>0</v>
      </c>
      <c r="K907">
        <f t="shared" si="514"/>
        <v>0</v>
      </c>
      <c r="L907">
        <f t="shared" si="515"/>
        <v>0</v>
      </c>
      <c r="M907">
        <f t="shared" si="516"/>
        <v>0</v>
      </c>
      <c r="N907">
        <f t="shared" si="517"/>
        <v>0</v>
      </c>
      <c r="O907">
        <f t="shared" si="518"/>
        <v>0</v>
      </c>
      <c r="P907">
        <f t="shared" si="519"/>
        <v>0</v>
      </c>
      <c r="Q907">
        <f t="shared" si="520"/>
        <v>0</v>
      </c>
      <c r="S907">
        <f t="shared" si="521"/>
        <v>0</v>
      </c>
      <c r="T907">
        <f t="shared" si="522"/>
        <v>0</v>
      </c>
      <c r="U907">
        <f t="shared" si="523"/>
        <v>0</v>
      </c>
      <c r="V907">
        <f t="shared" si="524"/>
        <v>0</v>
      </c>
      <c r="W907">
        <f t="shared" si="525"/>
        <v>0</v>
      </c>
      <c r="X907">
        <f t="shared" si="526"/>
        <v>0</v>
      </c>
      <c r="Y907">
        <f t="shared" si="527"/>
        <v>0</v>
      </c>
      <c r="Z907">
        <f t="shared" si="528"/>
        <v>0</v>
      </c>
      <c r="AA907">
        <f t="shared" si="529"/>
        <v>0</v>
      </c>
      <c r="AB907">
        <f t="shared" si="530"/>
        <v>0</v>
      </c>
      <c r="AC907">
        <f t="shared" si="531"/>
        <v>0</v>
      </c>
      <c r="AD907">
        <f t="shared" si="532"/>
        <v>0</v>
      </c>
      <c r="AF907">
        <f t="shared" si="533"/>
        <v>0</v>
      </c>
      <c r="AG907">
        <f t="shared" si="534"/>
        <v>0</v>
      </c>
      <c r="AH907">
        <f t="shared" si="535"/>
        <v>0</v>
      </c>
      <c r="AI907">
        <f t="shared" si="536"/>
        <v>0</v>
      </c>
      <c r="AJ907">
        <f t="shared" si="537"/>
        <v>0</v>
      </c>
      <c r="AK907">
        <f t="shared" si="538"/>
        <v>0</v>
      </c>
      <c r="AL907">
        <f t="shared" si="539"/>
        <v>0</v>
      </c>
      <c r="AM907">
        <f t="shared" si="540"/>
        <v>0</v>
      </c>
      <c r="AN907">
        <f t="shared" si="541"/>
        <v>0</v>
      </c>
      <c r="AO907">
        <f t="shared" si="542"/>
        <v>0</v>
      </c>
      <c r="AP907">
        <f t="shared" si="543"/>
        <v>0</v>
      </c>
      <c r="AQ907">
        <f t="shared" si="544"/>
        <v>0</v>
      </c>
    </row>
    <row r="908" spans="6:43" x14ac:dyDescent="0.45">
      <c r="F908">
        <f t="shared" ref="F908:F971" si="545">IF(D908="SPUR-01",E908,0)</f>
        <v>0</v>
      </c>
      <c r="G908">
        <f t="shared" ref="G908:G971" si="546">IF(D908="SPUR-02",E908,0)</f>
        <v>0</v>
      </c>
      <c r="H908">
        <f t="shared" ref="H908:H971" si="547">IF(D908="SPUR-03",E908,0)</f>
        <v>0</v>
      </c>
      <c r="I908">
        <f t="shared" ref="I908:I971" si="548">IF(D908="SPUR-04",E908,0)</f>
        <v>0</v>
      </c>
      <c r="J908">
        <f t="shared" ref="J908:J971" si="549">IF(D908="SPUR-05",E908,0)</f>
        <v>0</v>
      </c>
      <c r="K908">
        <f t="shared" ref="K908:K971" si="550">IF(D908="SPUR-06",E908,0)</f>
        <v>0</v>
      </c>
      <c r="L908">
        <f t="shared" ref="L908:L971" si="551">IF(D908="SPUR-07",E908,0)</f>
        <v>0</v>
      </c>
      <c r="M908">
        <f t="shared" ref="M908:M971" si="552">IF(D908="SPUR-08",E908,0)</f>
        <v>0</v>
      </c>
      <c r="N908">
        <f t="shared" ref="N908:N971" si="553">IF(D908="SPUR-09",E908,0)</f>
        <v>0</v>
      </c>
      <c r="O908">
        <f t="shared" ref="O908:O971" si="554">IF(D908="SPUR-10",E908,0)</f>
        <v>0</v>
      </c>
      <c r="P908">
        <f t="shared" ref="P908:P971" si="555">IF(D908="SPUR-SILO",E908,0)</f>
        <v>0</v>
      </c>
      <c r="Q908">
        <f t="shared" ref="Q908:Q971" si="556">IF(D908="SPUR-DB",E908,0)</f>
        <v>0</v>
      </c>
      <c r="S908">
        <f t="shared" si="521"/>
        <v>0</v>
      </c>
      <c r="T908">
        <f t="shared" si="522"/>
        <v>0</v>
      </c>
      <c r="U908">
        <f t="shared" si="523"/>
        <v>0</v>
      </c>
      <c r="V908">
        <f t="shared" si="524"/>
        <v>0</v>
      </c>
      <c r="W908">
        <f t="shared" si="525"/>
        <v>0</v>
      </c>
      <c r="X908">
        <f t="shared" si="526"/>
        <v>0</v>
      </c>
      <c r="Y908">
        <f t="shared" si="527"/>
        <v>0</v>
      </c>
      <c r="Z908">
        <f t="shared" si="528"/>
        <v>0</v>
      </c>
      <c r="AA908">
        <f t="shared" si="529"/>
        <v>0</v>
      </c>
      <c r="AB908">
        <f t="shared" si="530"/>
        <v>0</v>
      </c>
      <c r="AC908">
        <f t="shared" si="531"/>
        <v>0</v>
      </c>
      <c r="AD908">
        <f t="shared" si="532"/>
        <v>0</v>
      </c>
      <c r="AF908">
        <f t="shared" si="533"/>
        <v>0</v>
      </c>
      <c r="AG908">
        <f t="shared" si="534"/>
        <v>0</v>
      </c>
      <c r="AH908">
        <f t="shared" si="535"/>
        <v>0</v>
      </c>
      <c r="AI908">
        <f t="shared" si="536"/>
        <v>0</v>
      </c>
      <c r="AJ908">
        <f t="shared" si="537"/>
        <v>0</v>
      </c>
      <c r="AK908">
        <f t="shared" si="538"/>
        <v>0</v>
      </c>
      <c r="AL908">
        <f t="shared" si="539"/>
        <v>0</v>
      </c>
      <c r="AM908">
        <f t="shared" si="540"/>
        <v>0</v>
      </c>
      <c r="AN908">
        <f t="shared" si="541"/>
        <v>0</v>
      </c>
      <c r="AO908">
        <f t="shared" si="542"/>
        <v>0</v>
      </c>
      <c r="AP908">
        <f t="shared" si="543"/>
        <v>0</v>
      </c>
      <c r="AQ908">
        <f t="shared" si="544"/>
        <v>0</v>
      </c>
    </row>
    <row r="909" spans="6:43" x14ac:dyDescent="0.45">
      <c r="F909">
        <f t="shared" si="545"/>
        <v>0</v>
      </c>
      <c r="G909">
        <f t="shared" si="546"/>
        <v>0</v>
      </c>
      <c r="H909">
        <f t="shared" si="547"/>
        <v>0</v>
      </c>
      <c r="I909">
        <f t="shared" si="548"/>
        <v>0</v>
      </c>
      <c r="J909">
        <f t="shared" si="549"/>
        <v>0</v>
      </c>
      <c r="K909">
        <f t="shared" si="550"/>
        <v>0</v>
      </c>
      <c r="L909">
        <f t="shared" si="551"/>
        <v>0</v>
      </c>
      <c r="M909">
        <f t="shared" si="552"/>
        <v>0</v>
      </c>
      <c r="N909">
        <f t="shared" si="553"/>
        <v>0</v>
      </c>
      <c r="O909">
        <f t="shared" si="554"/>
        <v>0</v>
      </c>
      <c r="P909">
        <f t="shared" si="555"/>
        <v>0</v>
      </c>
      <c r="Q909">
        <f t="shared" si="556"/>
        <v>0</v>
      </c>
      <c r="S909">
        <f t="shared" si="521"/>
        <v>0</v>
      </c>
      <c r="T909">
        <f t="shared" si="522"/>
        <v>0</v>
      </c>
      <c r="U909">
        <f t="shared" si="523"/>
        <v>0</v>
      </c>
      <c r="V909">
        <f t="shared" si="524"/>
        <v>0</v>
      </c>
      <c r="W909">
        <f t="shared" si="525"/>
        <v>0</v>
      </c>
      <c r="X909">
        <f t="shared" si="526"/>
        <v>0</v>
      </c>
      <c r="Y909">
        <f t="shared" si="527"/>
        <v>0</v>
      </c>
      <c r="Z909">
        <f t="shared" si="528"/>
        <v>0</v>
      </c>
      <c r="AA909">
        <f t="shared" si="529"/>
        <v>0</v>
      </c>
      <c r="AB909">
        <f t="shared" si="530"/>
        <v>0</v>
      </c>
      <c r="AC909">
        <f t="shared" si="531"/>
        <v>0</v>
      </c>
      <c r="AD909">
        <f t="shared" si="532"/>
        <v>0</v>
      </c>
      <c r="AF909">
        <f t="shared" si="533"/>
        <v>0</v>
      </c>
      <c r="AG909">
        <f t="shared" si="534"/>
        <v>0</v>
      </c>
      <c r="AH909">
        <f t="shared" si="535"/>
        <v>0</v>
      </c>
      <c r="AI909">
        <f t="shared" si="536"/>
        <v>0</v>
      </c>
      <c r="AJ909">
        <f t="shared" si="537"/>
        <v>0</v>
      </c>
      <c r="AK909">
        <f t="shared" si="538"/>
        <v>0</v>
      </c>
      <c r="AL909">
        <f t="shared" si="539"/>
        <v>0</v>
      </c>
      <c r="AM909">
        <f t="shared" si="540"/>
        <v>0</v>
      </c>
      <c r="AN909">
        <f t="shared" si="541"/>
        <v>0</v>
      </c>
      <c r="AO909">
        <f t="shared" si="542"/>
        <v>0</v>
      </c>
      <c r="AP909">
        <f t="shared" si="543"/>
        <v>0</v>
      </c>
      <c r="AQ909">
        <f t="shared" si="544"/>
        <v>0</v>
      </c>
    </row>
    <row r="910" spans="6:43" x14ac:dyDescent="0.45">
      <c r="F910">
        <f t="shared" si="545"/>
        <v>0</v>
      </c>
      <c r="G910">
        <f t="shared" si="546"/>
        <v>0</v>
      </c>
      <c r="H910">
        <f t="shared" si="547"/>
        <v>0</v>
      </c>
      <c r="I910">
        <f t="shared" si="548"/>
        <v>0</v>
      </c>
      <c r="J910">
        <f t="shared" si="549"/>
        <v>0</v>
      </c>
      <c r="K910">
        <f t="shared" si="550"/>
        <v>0</v>
      </c>
      <c r="L910">
        <f t="shared" si="551"/>
        <v>0</v>
      </c>
      <c r="M910">
        <f t="shared" si="552"/>
        <v>0</v>
      </c>
      <c r="N910">
        <f t="shared" si="553"/>
        <v>0</v>
      </c>
      <c r="O910">
        <f t="shared" si="554"/>
        <v>0</v>
      </c>
      <c r="P910">
        <f t="shared" si="555"/>
        <v>0</v>
      </c>
      <c r="Q910">
        <f t="shared" si="556"/>
        <v>0</v>
      </c>
      <c r="S910">
        <f t="shared" si="521"/>
        <v>0</v>
      </c>
      <c r="T910">
        <f t="shared" si="522"/>
        <v>0</v>
      </c>
      <c r="U910">
        <f t="shared" si="523"/>
        <v>0</v>
      </c>
      <c r="V910">
        <f t="shared" si="524"/>
        <v>0</v>
      </c>
      <c r="W910">
        <f t="shared" si="525"/>
        <v>0</v>
      </c>
      <c r="X910">
        <f t="shared" si="526"/>
        <v>0</v>
      </c>
      <c r="Y910">
        <f t="shared" si="527"/>
        <v>0</v>
      </c>
      <c r="Z910">
        <f t="shared" si="528"/>
        <v>0</v>
      </c>
      <c r="AA910">
        <f t="shared" si="529"/>
        <v>0</v>
      </c>
      <c r="AB910">
        <f t="shared" si="530"/>
        <v>0</v>
      </c>
      <c r="AC910">
        <f t="shared" si="531"/>
        <v>0</v>
      </c>
      <c r="AD910">
        <f t="shared" si="532"/>
        <v>0</v>
      </c>
      <c r="AF910">
        <f t="shared" si="533"/>
        <v>0</v>
      </c>
      <c r="AG910">
        <f t="shared" si="534"/>
        <v>0</v>
      </c>
      <c r="AH910">
        <f t="shared" si="535"/>
        <v>0</v>
      </c>
      <c r="AI910">
        <f t="shared" si="536"/>
        <v>0</v>
      </c>
      <c r="AJ910">
        <f t="shared" si="537"/>
        <v>0</v>
      </c>
      <c r="AK910">
        <f t="shared" si="538"/>
        <v>0</v>
      </c>
      <c r="AL910">
        <f t="shared" si="539"/>
        <v>0</v>
      </c>
      <c r="AM910">
        <f t="shared" si="540"/>
        <v>0</v>
      </c>
      <c r="AN910">
        <f t="shared" si="541"/>
        <v>0</v>
      </c>
      <c r="AO910">
        <f t="shared" si="542"/>
        <v>0</v>
      </c>
      <c r="AP910">
        <f t="shared" si="543"/>
        <v>0</v>
      </c>
      <c r="AQ910">
        <f t="shared" si="544"/>
        <v>0</v>
      </c>
    </row>
    <row r="911" spans="6:43" x14ac:dyDescent="0.45">
      <c r="F911">
        <f t="shared" si="545"/>
        <v>0</v>
      </c>
      <c r="G911">
        <f t="shared" si="546"/>
        <v>0</v>
      </c>
      <c r="H911">
        <f t="shared" si="547"/>
        <v>0</v>
      </c>
      <c r="I911">
        <f t="shared" si="548"/>
        <v>0</v>
      </c>
      <c r="J911">
        <f t="shared" si="549"/>
        <v>0</v>
      </c>
      <c r="K911">
        <f t="shared" si="550"/>
        <v>0</v>
      </c>
      <c r="L911">
        <f t="shared" si="551"/>
        <v>0</v>
      </c>
      <c r="M911">
        <f t="shared" si="552"/>
        <v>0</v>
      </c>
      <c r="N911">
        <f t="shared" si="553"/>
        <v>0</v>
      </c>
      <c r="O911">
        <f t="shared" si="554"/>
        <v>0</v>
      </c>
      <c r="P911">
        <f t="shared" si="555"/>
        <v>0</v>
      </c>
      <c r="Q911">
        <f t="shared" si="556"/>
        <v>0</v>
      </c>
      <c r="S911">
        <f t="shared" si="521"/>
        <v>0</v>
      </c>
      <c r="T911">
        <f t="shared" si="522"/>
        <v>0</v>
      </c>
      <c r="U911">
        <f t="shared" si="523"/>
        <v>0</v>
      </c>
      <c r="V911">
        <f t="shared" si="524"/>
        <v>0</v>
      </c>
      <c r="W911">
        <f t="shared" si="525"/>
        <v>0</v>
      </c>
      <c r="X911">
        <f t="shared" si="526"/>
        <v>0</v>
      </c>
      <c r="Y911">
        <f t="shared" si="527"/>
        <v>0</v>
      </c>
      <c r="Z911">
        <f t="shared" si="528"/>
        <v>0</v>
      </c>
      <c r="AA911">
        <f t="shared" si="529"/>
        <v>0</v>
      </c>
      <c r="AB911">
        <f t="shared" si="530"/>
        <v>0</v>
      </c>
      <c r="AC911">
        <f t="shared" si="531"/>
        <v>0</v>
      </c>
      <c r="AD911">
        <f t="shared" si="532"/>
        <v>0</v>
      </c>
      <c r="AF911">
        <f t="shared" si="533"/>
        <v>0</v>
      </c>
      <c r="AG911">
        <f t="shared" si="534"/>
        <v>0</v>
      </c>
      <c r="AH911">
        <f t="shared" si="535"/>
        <v>0</v>
      </c>
      <c r="AI911">
        <f t="shared" si="536"/>
        <v>0</v>
      </c>
      <c r="AJ911">
        <f t="shared" si="537"/>
        <v>0</v>
      </c>
      <c r="AK911">
        <f t="shared" si="538"/>
        <v>0</v>
      </c>
      <c r="AL911">
        <f t="shared" si="539"/>
        <v>0</v>
      </c>
      <c r="AM911">
        <f t="shared" si="540"/>
        <v>0</v>
      </c>
      <c r="AN911">
        <f t="shared" si="541"/>
        <v>0</v>
      </c>
      <c r="AO911">
        <f t="shared" si="542"/>
        <v>0</v>
      </c>
      <c r="AP911">
        <f t="shared" si="543"/>
        <v>0</v>
      </c>
      <c r="AQ911">
        <f t="shared" si="544"/>
        <v>0</v>
      </c>
    </row>
    <row r="912" spans="6:43" x14ac:dyDescent="0.45">
      <c r="F912">
        <f t="shared" si="545"/>
        <v>0</v>
      </c>
      <c r="G912">
        <f t="shared" si="546"/>
        <v>0</v>
      </c>
      <c r="H912">
        <f t="shared" si="547"/>
        <v>0</v>
      </c>
      <c r="I912">
        <f t="shared" si="548"/>
        <v>0</v>
      </c>
      <c r="J912">
        <f t="shared" si="549"/>
        <v>0</v>
      </c>
      <c r="K912">
        <f t="shared" si="550"/>
        <v>0</v>
      </c>
      <c r="L912">
        <f t="shared" si="551"/>
        <v>0</v>
      </c>
      <c r="M912">
        <f t="shared" si="552"/>
        <v>0</v>
      </c>
      <c r="N912">
        <f t="shared" si="553"/>
        <v>0</v>
      </c>
      <c r="O912">
        <f t="shared" si="554"/>
        <v>0</v>
      </c>
      <c r="P912">
        <f t="shared" si="555"/>
        <v>0</v>
      </c>
      <c r="Q912">
        <f t="shared" si="556"/>
        <v>0</v>
      </c>
      <c r="S912">
        <f t="shared" si="521"/>
        <v>0</v>
      </c>
      <c r="T912">
        <f t="shared" si="522"/>
        <v>0</v>
      </c>
      <c r="U912">
        <f t="shared" si="523"/>
        <v>0</v>
      </c>
      <c r="V912">
        <f t="shared" si="524"/>
        <v>0</v>
      </c>
      <c r="W912">
        <f t="shared" si="525"/>
        <v>0</v>
      </c>
      <c r="X912">
        <f t="shared" si="526"/>
        <v>0</v>
      </c>
      <c r="Y912">
        <f t="shared" si="527"/>
        <v>0</v>
      </c>
      <c r="Z912">
        <f t="shared" si="528"/>
        <v>0</v>
      </c>
      <c r="AA912">
        <f t="shared" si="529"/>
        <v>0</v>
      </c>
      <c r="AB912">
        <f t="shared" si="530"/>
        <v>0</v>
      </c>
      <c r="AC912">
        <f t="shared" si="531"/>
        <v>0</v>
      </c>
      <c r="AD912">
        <f t="shared" si="532"/>
        <v>0</v>
      </c>
      <c r="AF912">
        <f t="shared" si="533"/>
        <v>0</v>
      </c>
      <c r="AG912">
        <f t="shared" si="534"/>
        <v>0</v>
      </c>
      <c r="AH912">
        <f t="shared" si="535"/>
        <v>0</v>
      </c>
      <c r="AI912">
        <f t="shared" si="536"/>
        <v>0</v>
      </c>
      <c r="AJ912">
        <f t="shared" si="537"/>
        <v>0</v>
      </c>
      <c r="AK912">
        <f t="shared" si="538"/>
        <v>0</v>
      </c>
      <c r="AL912">
        <f t="shared" si="539"/>
        <v>0</v>
      </c>
      <c r="AM912">
        <f t="shared" si="540"/>
        <v>0</v>
      </c>
      <c r="AN912">
        <f t="shared" si="541"/>
        <v>0</v>
      </c>
      <c r="AO912">
        <f t="shared" si="542"/>
        <v>0</v>
      </c>
      <c r="AP912">
        <f t="shared" si="543"/>
        <v>0</v>
      </c>
      <c r="AQ912">
        <f t="shared" si="544"/>
        <v>0</v>
      </c>
    </row>
    <row r="913" spans="6:43" x14ac:dyDescent="0.45">
      <c r="F913">
        <f t="shared" si="545"/>
        <v>0</v>
      </c>
      <c r="G913">
        <f t="shared" si="546"/>
        <v>0</v>
      </c>
      <c r="H913">
        <f t="shared" si="547"/>
        <v>0</v>
      </c>
      <c r="I913">
        <f t="shared" si="548"/>
        <v>0</v>
      </c>
      <c r="J913">
        <f t="shared" si="549"/>
        <v>0</v>
      </c>
      <c r="K913">
        <f t="shared" si="550"/>
        <v>0</v>
      </c>
      <c r="L913">
        <f t="shared" si="551"/>
        <v>0</v>
      </c>
      <c r="M913">
        <f t="shared" si="552"/>
        <v>0</v>
      </c>
      <c r="N913">
        <f t="shared" si="553"/>
        <v>0</v>
      </c>
      <c r="O913">
        <f t="shared" si="554"/>
        <v>0</v>
      </c>
      <c r="P913">
        <f t="shared" si="555"/>
        <v>0</v>
      </c>
      <c r="Q913">
        <f t="shared" si="556"/>
        <v>0</v>
      </c>
      <c r="S913">
        <f t="shared" si="521"/>
        <v>0</v>
      </c>
      <c r="T913">
        <f t="shared" si="522"/>
        <v>0</v>
      </c>
      <c r="U913">
        <f t="shared" si="523"/>
        <v>0</v>
      </c>
      <c r="V913">
        <f t="shared" si="524"/>
        <v>0</v>
      </c>
      <c r="W913">
        <f t="shared" si="525"/>
        <v>0</v>
      </c>
      <c r="X913">
        <f t="shared" si="526"/>
        <v>0</v>
      </c>
      <c r="Y913">
        <f t="shared" si="527"/>
        <v>0</v>
      </c>
      <c r="Z913">
        <f t="shared" si="528"/>
        <v>0</v>
      </c>
      <c r="AA913">
        <f t="shared" si="529"/>
        <v>0</v>
      </c>
      <c r="AB913">
        <f t="shared" si="530"/>
        <v>0</v>
      </c>
      <c r="AC913">
        <f t="shared" si="531"/>
        <v>0</v>
      </c>
      <c r="AD913">
        <f t="shared" si="532"/>
        <v>0</v>
      </c>
      <c r="AF913">
        <f t="shared" si="533"/>
        <v>0</v>
      </c>
      <c r="AG913">
        <f t="shared" si="534"/>
        <v>0</v>
      </c>
      <c r="AH913">
        <f t="shared" si="535"/>
        <v>0</v>
      </c>
      <c r="AI913">
        <f t="shared" si="536"/>
        <v>0</v>
      </c>
      <c r="AJ913">
        <f t="shared" si="537"/>
        <v>0</v>
      </c>
      <c r="AK913">
        <f t="shared" si="538"/>
        <v>0</v>
      </c>
      <c r="AL913">
        <f t="shared" si="539"/>
        <v>0</v>
      </c>
      <c r="AM913">
        <f t="shared" si="540"/>
        <v>0</v>
      </c>
      <c r="AN913">
        <f t="shared" si="541"/>
        <v>0</v>
      </c>
      <c r="AO913">
        <f t="shared" si="542"/>
        <v>0</v>
      </c>
      <c r="AP913">
        <f t="shared" si="543"/>
        <v>0</v>
      </c>
      <c r="AQ913">
        <f t="shared" si="544"/>
        <v>0</v>
      </c>
    </row>
    <row r="914" spans="6:43" x14ac:dyDescent="0.45">
      <c r="F914">
        <f t="shared" si="545"/>
        <v>0</v>
      </c>
      <c r="G914">
        <f t="shared" si="546"/>
        <v>0</v>
      </c>
      <c r="H914">
        <f t="shared" si="547"/>
        <v>0</v>
      </c>
      <c r="I914">
        <f t="shared" si="548"/>
        <v>0</v>
      </c>
      <c r="J914">
        <f t="shared" si="549"/>
        <v>0</v>
      </c>
      <c r="K914">
        <f t="shared" si="550"/>
        <v>0</v>
      </c>
      <c r="L914">
        <f t="shared" si="551"/>
        <v>0</v>
      </c>
      <c r="M914">
        <f t="shared" si="552"/>
        <v>0</v>
      </c>
      <c r="N914">
        <f t="shared" si="553"/>
        <v>0</v>
      </c>
      <c r="O914">
        <f t="shared" si="554"/>
        <v>0</v>
      </c>
      <c r="P914">
        <f t="shared" si="555"/>
        <v>0</v>
      </c>
      <c r="Q914">
        <f t="shared" si="556"/>
        <v>0</v>
      </c>
      <c r="S914">
        <f t="shared" si="521"/>
        <v>0</v>
      </c>
      <c r="T914">
        <f t="shared" si="522"/>
        <v>0</v>
      </c>
      <c r="U914">
        <f t="shared" si="523"/>
        <v>0</v>
      </c>
      <c r="V914">
        <f t="shared" si="524"/>
        <v>0</v>
      </c>
      <c r="W914">
        <f t="shared" si="525"/>
        <v>0</v>
      </c>
      <c r="X914">
        <f t="shared" si="526"/>
        <v>0</v>
      </c>
      <c r="Y914">
        <f t="shared" si="527"/>
        <v>0</v>
      </c>
      <c r="Z914">
        <f t="shared" si="528"/>
        <v>0</v>
      </c>
      <c r="AA914">
        <f t="shared" si="529"/>
        <v>0</v>
      </c>
      <c r="AB914">
        <f t="shared" si="530"/>
        <v>0</v>
      </c>
      <c r="AC914">
        <f t="shared" si="531"/>
        <v>0</v>
      </c>
      <c r="AD914">
        <f t="shared" si="532"/>
        <v>0</v>
      </c>
      <c r="AF914">
        <f t="shared" si="533"/>
        <v>0</v>
      </c>
      <c r="AG914">
        <f t="shared" si="534"/>
        <v>0</v>
      </c>
      <c r="AH914">
        <f t="shared" si="535"/>
        <v>0</v>
      </c>
      <c r="AI914">
        <f t="shared" si="536"/>
        <v>0</v>
      </c>
      <c r="AJ914">
        <f t="shared" si="537"/>
        <v>0</v>
      </c>
      <c r="AK914">
        <f t="shared" si="538"/>
        <v>0</v>
      </c>
      <c r="AL914">
        <f t="shared" si="539"/>
        <v>0</v>
      </c>
      <c r="AM914">
        <f t="shared" si="540"/>
        <v>0</v>
      </c>
      <c r="AN914">
        <f t="shared" si="541"/>
        <v>0</v>
      </c>
      <c r="AO914">
        <f t="shared" si="542"/>
        <v>0</v>
      </c>
      <c r="AP914">
        <f t="shared" si="543"/>
        <v>0</v>
      </c>
      <c r="AQ914">
        <f t="shared" si="544"/>
        <v>0</v>
      </c>
    </row>
    <row r="915" spans="6:43" x14ac:dyDescent="0.45">
      <c r="F915">
        <f t="shared" si="545"/>
        <v>0</v>
      </c>
      <c r="G915">
        <f t="shared" si="546"/>
        <v>0</v>
      </c>
      <c r="H915">
        <f t="shared" si="547"/>
        <v>0</v>
      </c>
      <c r="I915">
        <f t="shared" si="548"/>
        <v>0</v>
      </c>
      <c r="J915">
        <f t="shared" si="549"/>
        <v>0</v>
      </c>
      <c r="K915">
        <f t="shared" si="550"/>
        <v>0</v>
      </c>
      <c r="L915">
        <f t="shared" si="551"/>
        <v>0</v>
      </c>
      <c r="M915">
        <f t="shared" si="552"/>
        <v>0</v>
      </c>
      <c r="N915">
        <f t="shared" si="553"/>
        <v>0</v>
      </c>
      <c r="O915">
        <f t="shared" si="554"/>
        <v>0</v>
      </c>
      <c r="P915">
        <f t="shared" si="555"/>
        <v>0</v>
      </c>
      <c r="Q915">
        <f t="shared" si="556"/>
        <v>0</v>
      </c>
      <c r="S915">
        <f t="shared" si="521"/>
        <v>0</v>
      </c>
      <c r="T915">
        <f t="shared" si="522"/>
        <v>0</v>
      </c>
      <c r="U915">
        <f t="shared" si="523"/>
        <v>0</v>
      </c>
      <c r="V915">
        <f t="shared" si="524"/>
        <v>0</v>
      </c>
      <c r="W915">
        <f t="shared" si="525"/>
        <v>0</v>
      </c>
      <c r="X915">
        <f t="shared" si="526"/>
        <v>0</v>
      </c>
      <c r="Y915">
        <f t="shared" si="527"/>
        <v>0</v>
      </c>
      <c r="Z915">
        <f t="shared" si="528"/>
        <v>0</v>
      </c>
      <c r="AA915">
        <f t="shared" si="529"/>
        <v>0</v>
      </c>
      <c r="AB915">
        <f t="shared" si="530"/>
        <v>0</v>
      </c>
      <c r="AC915">
        <f t="shared" si="531"/>
        <v>0</v>
      </c>
      <c r="AD915">
        <f t="shared" si="532"/>
        <v>0</v>
      </c>
      <c r="AF915">
        <f t="shared" si="533"/>
        <v>0</v>
      </c>
      <c r="AG915">
        <f t="shared" si="534"/>
        <v>0</v>
      </c>
      <c r="AH915">
        <f t="shared" si="535"/>
        <v>0</v>
      </c>
      <c r="AI915">
        <f t="shared" si="536"/>
        <v>0</v>
      </c>
      <c r="AJ915">
        <f t="shared" si="537"/>
        <v>0</v>
      </c>
      <c r="AK915">
        <f t="shared" si="538"/>
        <v>0</v>
      </c>
      <c r="AL915">
        <f t="shared" si="539"/>
        <v>0</v>
      </c>
      <c r="AM915">
        <f t="shared" si="540"/>
        <v>0</v>
      </c>
      <c r="AN915">
        <f t="shared" si="541"/>
        <v>0</v>
      </c>
      <c r="AO915">
        <f t="shared" si="542"/>
        <v>0</v>
      </c>
      <c r="AP915">
        <f t="shared" si="543"/>
        <v>0</v>
      </c>
      <c r="AQ915">
        <f t="shared" si="544"/>
        <v>0</v>
      </c>
    </row>
    <row r="916" spans="6:43" x14ac:dyDescent="0.45">
      <c r="F916">
        <f t="shared" si="545"/>
        <v>0</v>
      </c>
      <c r="G916">
        <f t="shared" si="546"/>
        <v>0</v>
      </c>
      <c r="H916">
        <f t="shared" si="547"/>
        <v>0</v>
      </c>
      <c r="I916">
        <f t="shared" si="548"/>
        <v>0</v>
      </c>
      <c r="J916">
        <f t="shared" si="549"/>
        <v>0</v>
      </c>
      <c r="K916">
        <f t="shared" si="550"/>
        <v>0</v>
      </c>
      <c r="L916">
        <f t="shared" si="551"/>
        <v>0</v>
      </c>
      <c r="M916">
        <f t="shared" si="552"/>
        <v>0</v>
      </c>
      <c r="N916">
        <f t="shared" si="553"/>
        <v>0</v>
      </c>
      <c r="O916">
        <f t="shared" si="554"/>
        <v>0</v>
      </c>
      <c r="P916">
        <f t="shared" si="555"/>
        <v>0</v>
      </c>
      <c r="Q916">
        <f t="shared" si="556"/>
        <v>0</v>
      </c>
      <c r="S916">
        <f t="shared" si="521"/>
        <v>0</v>
      </c>
      <c r="T916">
        <f t="shared" si="522"/>
        <v>0</v>
      </c>
      <c r="U916">
        <f t="shared" si="523"/>
        <v>0</v>
      </c>
      <c r="V916">
        <f t="shared" si="524"/>
        <v>0</v>
      </c>
      <c r="W916">
        <f t="shared" si="525"/>
        <v>0</v>
      </c>
      <c r="X916">
        <f t="shared" si="526"/>
        <v>0</v>
      </c>
      <c r="Y916">
        <f t="shared" si="527"/>
        <v>0</v>
      </c>
      <c r="Z916">
        <f t="shared" si="528"/>
        <v>0</v>
      </c>
      <c r="AA916">
        <f t="shared" si="529"/>
        <v>0</v>
      </c>
      <c r="AB916">
        <f t="shared" si="530"/>
        <v>0</v>
      </c>
      <c r="AC916">
        <f t="shared" si="531"/>
        <v>0</v>
      </c>
      <c r="AD916">
        <f t="shared" si="532"/>
        <v>0</v>
      </c>
      <c r="AF916">
        <f t="shared" si="533"/>
        <v>0</v>
      </c>
      <c r="AG916">
        <f t="shared" si="534"/>
        <v>0</v>
      </c>
      <c r="AH916">
        <f t="shared" si="535"/>
        <v>0</v>
      </c>
      <c r="AI916">
        <f t="shared" si="536"/>
        <v>0</v>
      </c>
      <c r="AJ916">
        <f t="shared" si="537"/>
        <v>0</v>
      </c>
      <c r="AK916">
        <f t="shared" si="538"/>
        <v>0</v>
      </c>
      <c r="AL916">
        <f t="shared" si="539"/>
        <v>0</v>
      </c>
      <c r="AM916">
        <f t="shared" si="540"/>
        <v>0</v>
      </c>
      <c r="AN916">
        <f t="shared" si="541"/>
        <v>0</v>
      </c>
      <c r="AO916">
        <f t="shared" si="542"/>
        <v>0</v>
      </c>
      <c r="AP916">
        <f t="shared" si="543"/>
        <v>0</v>
      </c>
      <c r="AQ916">
        <f t="shared" si="544"/>
        <v>0</v>
      </c>
    </row>
    <row r="917" spans="6:43" x14ac:dyDescent="0.45">
      <c r="F917">
        <f t="shared" si="545"/>
        <v>0</v>
      </c>
      <c r="G917">
        <f t="shared" si="546"/>
        <v>0</v>
      </c>
      <c r="H917">
        <f t="shared" si="547"/>
        <v>0</v>
      </c>
      <c r="I917">
        <f t="shared" si="548"/>
        <v>0</v>
      </c>
      <c r="J917">
        <f t="shared" si="549"/>
        <v>0</v>
      </c>
      <c r="K917">
        <f t="shared" si="550"/>
        <v>0</v>
      </c>
      <c r="L917">
        <f t="shared" si="551"/>
        <v>0</v>
      </c>
      <c r="M917">
        <f t="shared" si="552"/>
        <v>0</v>
      </c>
      <c r="N917">
        <f t="shared" si="553"/>
        <v>0</v>
      </c>
      <c r="O917">
        <f t="shared" si="554"/>
        <v>0</v>
      </c>
      <c r="P917">
        <f t="shared" si="555"/>
        <v>0</v>
      </c>
      <c r="Q917">
        <f t="shared" si="556"/>
        <v>0</v>
      </c>
      <c r="S917">
        <f t="shared" si="521"/>
        <v>0</v>
      </c>
      <c r="T917">
        <f t="shared" si="522"/>
        <v>0</v>
      </c>
      <c r="U917">
        <f t="shared" si="523"/>
        <v>0</v>
      </c>
      <c r="V917">
        <f t="shared" si="524"/>
        <v>0</v>
      </c>
      <c r="W917">
        <f t="shared" si="525"/>
        <v>0</v>
      </c>
      <c r="X917">
        <f t="shared" si="526"/>
        <v>0</v>
      </c>
      <c r="Y917">
        <f t="shared" si="527"/>
        <v>0</v>
      </c>
      <c r="Z917">
        <f t="shared" si="528"/>
        <v>0</v>
      </c>
      <c r="AA917">
        <f t="shared" si="529"/>
        <v>0</v>
      </c>
      <c r="AB917">
        <f t="shared" si="530"/>
        <v>0</v>
      </c>
      <c r="AC917">
        <f t="shared" si="531"/>
        <v>0</v>
      </c>
      <c r="AD917">
        <f t="shared" si="532"/>
        <v>0</v>
      </c>
      <c r="AF917">
        <f t="shared" si="533"/>
        <v>0</v>
      </c>
      <c r="AG917">
        <f t="shared" si="534"/>
        <v>0</v>
      </c>
      <c r="AH917">
        <f t="shared" si="535"/>
        <v>0</v>
      </c>
      <c r="AI917">
        <f t="shared" si="536"/>
        <v>0</v>
      </c>
      <c r="AJ917">
        <f t="shared" si="537"/>
        <v>0</v>
      </c>
      <c r="AK917">
        <f t="shared" si="538"/>
        <v>0</v>
      </c>
      <c r="AL917">
        <f t="shared" si="539"/>
        <v>0</v>
      </c>
      <c r="AM917">
        <f t="shared" si="540"/>
        <v>0</v>
      </c>
      <c r="AN917">
        <f t="shared" si="541"/>
        <v>0</v>
      </c>
      <c r="AO917">
        <f t="shared" si="542"/>
        <v>0</v>
      </c>
      <c r="AP917">
        <f t="shared" si="543"/>
        <v>0</v>
      </c>
      <c r="AQ917">
        <f t="shared" si="544"/>
        <v>0</v>
      </c>
    </row>
    <row r="918" spans="6:43" x14ac:dyDescent="0.45">
      <c r="F918">
        <f t="shared" si="545"/>
        <v>0</v>
      </c>
      <c r="G918">
        <f t="shared" si="546"/>
        <v>0</v>
      </c>
      <c r="H918">
        <f t="shared" si="547"/>
        <v>0</v>
      </c>
      <c r="I918">
        <f t="shared" si="548"/>
        <v>0</v>
      </c>
      <c r="J918">
        <f t="shared" si="549"/>
        <v>0</v>
      </c>
      <c r="K918">
        <f t="shared" si="550"/>
        <v>0</v>
      </c>
      <c r="L918">
        <f t="shared" si="551"/>
        <v>0</v>
      </c>
      <c r="M918">
        <f t="shared" si="552"/>
        <v>0</v>
      </c>
      <c r="N918">
        <f t="shared" si="553"/>
        <v>0</v>
      </c>
      <c r="O918">
        <f t="shared" si="554"/>
        <v>0</v>
      </c>
      <c r="P918">
        <f t="shared" si="555"/>
        <v>0</v>
      </c>
      <c r="Q918">
        <f t="shared" si="556"/>
        <v>0</v>
      </c>
      <c r="S918">
        <f t="shared" si="521"/>
        <v>0</v>
      </c>
      <c r="T918">
        <f t="shared" si="522"/>
        <v>0</v>
      </c>
      <c r="U918">
        <f t="shared" si="523"/>
        <v>0</v>
      </c>
      <c r="V918">
        <f t="shared" si="524"/>
        <v>0</v>
      </c>
      <c r="W918">
        <f t="shared" si="525"/>
        <v>0</v>
      </c>
      <c r="X918">
        <f t="shared" si="526"/>
        <v>0</v>
      </c>
      <c r="Y918">
        <f t="shared" si="527"/>
        <v>0</v>
      </c>
      <c r="Z918">
        <f t="shared" si="528"/>
        <v>0</v>
      </c>
      <c r="AA918">
        <f t="shared" si="529"/>
        <v>0</v>
      </c>
      <c r="AB918">
        <f t="shared" si="530"/>
        <v>0</v>
      </c>
      <c r="AC918">
        <f t="shared" si="531"/>
        <v>0</v>
      </c>
      <c r="AD918">
        <f t="shared" si="532"/>
        <v>0</v>
      </c>
      <c r="AF918">
        <f t="shared" si="533"/>
        <v>0</v>
      </c>
      <c r="AG918">
        <f t="shared" si="534"/>
        <v>0</v>
      </c>
      <c r="AH918">
        <f t="shared" si="535"/>
        <v>0</v>
      </c>
      <c r="AI918">
        <f t="shared" si="536"/>
        <v>0</v>
      </c>
      <c r="AJ918">
        <f t="shared" si="537"/>
        <v>0</v>
      </c>
      <c r="AK918">
        <f t="shared" si="538"/>
        <v>0</v>
      </c>
      <c r="AL918">
        <f t="shared" si="539"/>
        <v>0</v>
      </c>
      <c r="AM918">
        <f t="shared" si="540"/>
        <v>0</v>
      </c>
      <c r="AN918">
        <f t="shared" si="541"/>
        <v>0</v>
      </c>
      <c r="AO918">
        <f t="shared" si="542"/>
        <v>0</v>
      </c>
      <c r="AP918">
        <f t="shared" si="543"/>
        <v>0</v>
      </c>
      <c r="AQ918">
        <f t="shared" si="544"/>
        <v>0</v>
      </c>
    </row>
    <row r="919" spans="6:43" x14ac:dyDescent="0.45">
      <c r="F919">
        <f t="shared" si="545"/>
        <v>0</v>
      </c>
      <c r="G919">
        <f t="shared" si="546"/>
        <v>0</v>
      </c>
      <c r="H919">
        <f t="shared" si="547"/>
        <v>0</v>
      </c>
      <c r="I919">
        <f t="shared" si="548"/>
        <v>0</v>
      </c>
      <c r="J919">
        <f t="shared" si="549"/>
        <v>0</v>
      </c>
      <c r="K919">
        <f t="shared" si="550"/>
        <v>0</v>
      </c>
      <c r="L919">
        <f t="shared" si="551"/>
        <v>0</v>
      </c>
      <c r="M919">
        <f t="shared" si="552"/>
        <v>0</v>
      </c>
      <c r="N919">
        <f t="shared" si="553"/>
        <v>0</v>
      </c>
      <c r="O919">
        <f t="shared" si="554"/>
        <v>0</v>
      </c>
      <c r="P919">
        <f t="shared" si="555"/>
        <v>0</v>
      </c>
      <c r="Q919">
        <f t="shared" si="556"/>
        <v>0</v>
      </c>
      <c r="S919">
        <f t="shared" si="521"/>
        <v>0</v>
      </c>
      <c r="T919">
        <f t="shared" si="522"/>
        <v>0</v>
      </c>
      <c r="U919">
        <f t="shared" si="523"/>
        <v>0</v>
      </c>
      <c r="V919">
        <f t="shared" si="524"/>
        <v>0</v>
      </c>
      <c r="W919">
        <f t="shared" si="525"/>
        <v>0</v>
      </c>
      <c r="X919">
        <f t="shared" si="526"/>
        <v>0</v>
      </c>
      <c r="Y919">
        <f t="shared" si="527"/>
        <v>0</v>
      </c>
      <c r="Z919">
        <f t="shared" si="528"/>
        <v>0</v>
      </c>
      <c r="AA919">
        <f t="shared" si="529"/>
        <v>0</v>
      </c>
      <c r="AB919">
        <f t="shared" si="530"/>
        <v>0</v>
      </c>
      <c r="AC919">
        <f t="shared" si="531"/>
        <v>0</v>
      </c>
      <c r="AD919">
        <f t="shared" si="532"/>
        <v>0</v>
      </c>
      <c r="AF919">
        <f t="shared" si="533"/>
        <v>0</v>
      </c>
      <c r="AG919">
        <f t="shared" si="534"/>
        <v>0</v>
      </c>
      <c r="AH919">
        <f t="shared" si="535"/>
        <v>0</v>
      </c>
      <c r="AI919">
        <f t="shared" si="536"/>
        <v>0</v>
      </c>
      <c r="AJ919">
        <f t="shared" si="537"/>
        <v>0</v>
      </c>
      <c r="AK919">
        <f t="shared" si="538"/>
        <v>0</v>
      </c>
      <c r="AL919">
        <f t="shared" si="539"/>
        <v>0</v>
      </c>
      <c r="AM919">
        <f t="shared" si="540"/>
        <v>0</v>
      </c>
      <c r="AN919">
        <f t="shared" si="541"/>
        <v>0</v>
      </c>
      <c r="AO919">
        <f t="shared" si="542"/>
        <v>0</v>
      </c>
      <c r="AP919">
        <f t="shared" si="543"/>
        <v>0</v>
      </c>
      <c r="AQ919">
        <f t="shared" si="544"/>
        <v>0</v>
      </c>
    </row>
    <row r="920" spans="6:43" x14ac:dyDescent="0.45">
      <c r="F920">
        <f t="shared" si="545"/>
        <v>0</v>
      </c>
      <c r="G920">
        <f t="shared" si="546"/>
        <v>0</v>
      </c>
      <c r="H920">
        <f t="shared" si="547"/>
        <v>0</v>
      </c>
      <c r="I920">
        <f t="shared" si="548"/>
        <v>0</v>
      </c>
      <c r="J920">
        <f t="shared" si="549"/>
        <v>0</v>
      </c>
      <c r="K920">
        <f t="shared" si="550"/>
        <v>0</v>
      </c>
      <c r="L920">
        <f t="shared" si="551"/>
        <v>0</v>
      </c>
      <c r="M920">
        <f t="shared" si="552"/>
        <v>0</v>
      </c>
      <c r="N920">
        <f t="shared" si="553"/>
        <v>0</v>
      </c>
      <c r="O920">
        <f t="shared" si="554"/>
        <v>0</v>
      </c>
      <c r="P920">
        <f t="shared" si="555"/>
        <v>0</v>
      </c>
      <c r="Q920">
        <f t="shared" si="556"/>
        <v>0</v>
      </c>
      <c r="S920">
        <f t="shared" si="521"/>
        <v>0</v>
      </c>
      <c r="T920">
        <f t="shared" si="522"/>
        <v>0</v>
      </c>
      <c r="U920">
        <f t="shared" si="523"/>
        <v>0</v>
      </c>
      <c r="V920">
        <f t="shared" si="524"/>
        <v>0</v>
      </c>
      <c r="W920">
        <f t="shared" si="525"/>
        <v>0</v>
      </c>
      <c r="X920">
        <f t="shared" si="526"/>
        <v>0</v>
      </c>
      <c r="Y920">
        <f t="shared" si="527"/>
        <v>0</v>
      </c>
      <c r="Z920">
        <f t="shared" si="528"/>
        <v>0</v>
      </c>
      <c r="AA920">
        <f t="shared" si="529"/>
        <v>0</v>
      </c>
      <c r="AB920">
        <f t="shared" si="530"/>
        <v>0</v>
      </c>
      <c r="AC920">
        <f t="shared" si="531"/>
        <v>0</v>
      </c>
      <c r="AD920">
        <f t="shared" si="532"/>
        <v>0</v>
      </c>
      <c r="AF920">
        <f t="shared" si="533"/>
        <v>0</v>
      </c>
      <c r="AG920">
        <f t="shared" si="534"/>
        <v>0</v>
      </c>
      <c r="AH920">
        <f t="shared" si="535"/>
        <v>0</v>
      </c>
      <c r="AI920">
        <f t="shared" si="536"/>
        <v>0</v>
      </c>
      <c r="AJ920">
        <f t="shared" si="537"/>
        <v>0</v>
      </c>
      <c r="AK920">
        <f t="shared" si="538"/>
        <v>0</v>
      </c>
      <c r="AL920">
        <f t="shared" si="539"/>
        <v>0</v>
      </c>
      <c r="AM920">
        <f t="shared" si="540"/>
        <v>0</v>
      </c>
      <c r="AN920">
        <f t="shared" si="541"/>
        <v>0</v>
      </c>
      <c r="AO920">
        <f t="shared" si="542"/>
        <v>0</v>
      </c>
      <c r="AP920">
        <f t="shared" si="543"/>
        <v>0</v>
      </c>
      <c r="AQ920">
        <f t="shared" si="544"/>
        <v>0</v>
      </c>
    </row>
    <row r="921" spans="6:43" x14ac:dyDescent="0.45">
      <c r="F921">
        <f t="shared" si="545"/>
        <v>0</v>
      </c>
      <c r="G921">
        <f t="shared" si="546"/>
        <v>0</v>
      </c>
      <c r="H921">
        <f t="shared" si="547"/>
        <v>0</v>
      </c>
      <c r="I921">
        <f t="shared" si="548"/>
        <v>0</v>
      </c>
      <c r="J921">
        <f t="shared" si="549"/>
        <v>0</v>
      </c>
      <c r="K921">
        <f t="shared" si="550"/>
        <v>0</v>
      </c>
      <c r="L921">
        <f t="shared" si="551"/>
        <v>0</v>
      </c>
      <c r="M921">
        <f t="shared" si="552"/>
        <v>0</v>
      </c>
      <c r="N921">
        <f t="shared" si="553"/>
        <v>0</v>
      </c>
      <c r="O921">
        <f t="shared" si="554"/>
        <v>0</v>
      </c>
      <c r="P921">
        <f t="shared" si="555"/>
        <v>0</v>
      </c>
      <c r="Q921">
        <f t="shared" si="556"/>
        <v>0</v>
      </c>
      <c r="S921">
        <f t="shared" si="521"/>
        <v>0</v>
      </c>
      <c r="T921">
        <f t="shared" si="522"/>
        <v>0</v>
      </c>
      <c r="U921">
        <f t="shared" si="523"/>
        <v>0</v>
      </c>
      <c r="V921">
        <f t="shared" si="524"/>
        <v>0</v>
      </c>
      <c r="W921">
        <f t="shared" si="525"/>
        <v>0</v>
      </c>
      <c r="X921">
        <f t="shared" si="526"/>
        <v>0</v>
      </c>
      <c r="Y921">
        <f t="shared" si="527"/>
        <v>0</v>
      </c>
      <c r="Z921">
        <f t="shared" si="528"/>
        <v>0</v>
      </c>
      <c r="AA921">
        <f t="shared" si="529"/>
        <v>0</v>
      </c>
      <c r="AB921">
        <f t="shared" si="530"/>
        <v>0</v>
      </c>
      <c r="AC921">
        <f t="shared" si="531"/>
        <v>0</v>
      </c>
      <c r="AD921">
        <f t="shared" si="532"/>
        <v>0</v>
      </c>
      <c r="AF921">
        <f t="shared" si="533"/>
        <v>0</v>
      </c>
      <c r="AG921">
        <f t="shared" si="534"/>
        <v>0</v>
      </c>
      <c r="AH921">
        <f t="shared" si="535"/>
        <v>0</v>
      </c>
      <c r="AI921">
        <f t="shared" si="536"/>
        <v>0</v>
      </c>
      <c r="AJ921">
        <f t="shared" si="537"/>
        <v>0</v>
      </c>
      <c r="AK921">
        <f t="shared" si="538"/>
        <v>0</v>
      </c>
      <c r="AL921">
        <f t="shared" si="539"/>
        <v>0</v>
      </c>
      <c r="AM921">
        <f t="shared" si="540"/>
        <v>0</v>
      </c>
      <c r="AN921">
        <f t="shared" si="541"/>
        <v>0</v>
      </c>
      <c r="AO921">
        <f t="shared" si="542"/>
        <v>0</v>
      </c>
      <c r="AP921">
        <f t="shared" si="543"/>
        <v>0</v>
      </c>
      <c r="AQ921">
        <f t="shared" si="544"/>
        <v>0</v>
      </c>
    </row>
    <row r="922" spans="6:43" x14ac:dyDescent="0.45">
      <c r="F922">
        <f t="shared" si="545"/>
        <v>0</v>
      </c>
      <c r="G922">
        <f t="shared" si="546"/>
        <v>0</v>
      </c>
      <c r="H922">
        <f t="shared" si="547"/>
        <v>0</v>
      </c>
      <c r="I922">
        <f t="shared" si="548"/>
        <v>0</v>
      </c>
      <c r="J922">
        <f t="shared" si="549"/>
        <v>0</v>
      </c>
      <c r="K922">
        <f t="shared" si="550"/>
        <v>0</v>
      </c>
      <c r="L922">
        <f t="shared" si="551"/>
        <v>0</v>
      </c>
      <c r="M922">
        <f t="shared" si="552"/>
        <v>0</v>
      </c>
      <c r="N922">
        <f t="shared" si="553"/>
        <v>0</v>
      </c>
      <c r="O922">
        <f t="shared" si="554"/>
        <v>0</v>
      </c>
      <c r="P922">
        <f t="shared" si="555"/>
        <v>0</v>
      </c>
      <c r="Q922">
        <f t="shared" si="556"/>
        <v>0</v>
      </c>
      <c r="S922">
        <f t="shared" si="521"/>
        <v>0</v>
      </c>
      <c r="T922">
        <f t="shared" si="522"/>
        <v>0</v>
      </c>
      <c r="U922">
        <f t="shared" si="523"/>
        <v>0</v>
      </c>
      <c r="V922">
        <f t="shared" si="524"/>
        <v>0</v>
      </c>
      <c r="W922">
        <f t="shared" si="525"/>
        <v>0</v>
      </c>
      <c r="X922">
        <f t="shared" si="526"/>
        <v>0</v>
      </c>
      <c r="Y922">
        <f t="shared" si="527"/>
        <v>0</v>
      </c>
      <c r="Z922">
        <f t="shared" si="528"/>
        <v>0</v>
      </c>
      <c r="AA922">
        <f t="shared" si="529"/>
        <v>0</v>
      </c>
      <c r="AB922">
        <f t="shared" si="530"/>
        <v>0</v>
      </c>
      <c r="AC922">
        <f t="shared" si="531"/>
        <v>0</v>
      </c>
      <c r="AD922">
        <f t="shared" si="532"/>
        <v>0</v>
      </c>
      <c r="AF922">
        <f t="shared" si="533"/>
        <v>0</v>
      </c>
      <c r="AG922">
        <f t="shared" si="534"/>
        <v>0</v>
      </c>
      <c r="AH922">
        <f t="shared" si="535"/>
        <v>0</v>
      </c>
      <c r="AI922">
        <f t="shared" si="536"/>
        <v>0</v>
      </c>
      <c r="AJ922">
        <f t="shared" si="537"/>
        <v>0</v>
      </c>
      <c r="AK922">
        <f t="shared" si="538"/>
        <v>0</v>
      </c>
      <c r="AL922">
        <f t="shared" si="539"/>
        <v>0</v>
      </c>
      <c r="AM922">
        <f t="shared" si="540"/>
        <v>0</v>
      </c>
      <c r="AN922">
        <f t="shared" si="541"/>
        <v>0</v>
      </c>
      <c r="AO922">
        <f t="shared" si="542"/>
        <v>0</v>
      </c>
      <c r="AP922">
        <f t="shared" si="543"/>
        <v>0</v>
      </c>
      <c r="AQ922">
        <f t="shared" si="544"/>
        <v>0</v>
      </c>
    </row>
    <row r="923" spans="6:43" x14ac:dyDescent="0.45">
      <c r="F923">
        <f t="shared" si="545"/>
        <v>0</v>
      </c>
      <c r="G923">
        <f t="shared" si="546"/>
        <v>0</v>
      </c>
      <c r="H923">
        <f t="shared" si="547"/>
        <v>0</v>
      </c>
      <c r="I923">
        <f t="shared" si="548"/>
        <v>0</v>
      </c>
      <c r="J923">
        <f t="shared" si="549"/>
        <v>0</v>
      </c>
      <c r="K923">
        <f t="shared" si="550"/>
        <v>0</v>
      </c>
      <c r="L923">
        <f t="shared" si="551"/>
        <v>0</v>
      </c>
      <c r="M923">
        <f t="shared" si="552"/>
        <v>0</v>
      </c>
      <c r="N923">
        <f t="shared" si="553"/>
        <v>0</v>
      </c>
      <c r="O923">
        <f t="shared" si="554"/>
        <v>0</v>
      </c>
      <c r="P923">
        <f t="shared" si="555"/>
        <v>0</v>
      </c>
      <c r="Q923">
        <f t="shared" si="556"/>
        <v>0</v>
      </c>
      <c r="S923">
        <f t="shared" si="521"/>
        <v>0</v>
      </c>
      <c r="T923">
        <f t="shared" si="522"/>
        <v>0</v>
      </c>
      <c r="U923">
        <f t="shared" si="523"/>
        <v>0</v>
      </c>
      <c r="V923">
        <f t="shared" si="524"/>
        <v>0</v>
      </c>
      <c r="W923">
        <f t="shared" si="525"/>
        <v>0</v>
      </c>
      <c r="X923">
        <f t="shared" si="526"/>
        <v>0</v>
      </c>
      <c r="Y923">
        <f t="shared" si="527"/>
        <v>0</v>
      </c>
      <c r="Z923">
        <f t="shared" si="528"/>
        <v>0</v>
      </c>
      <c r="AA923">
        <f t="shared" si="529"/>
        <v>0</v>
      </c>
      <c r="AB923">
        <f t="shared" si="530"/>
        <v>0</v>
      </c>
      <c r="AC923">
        <f t="shared" si="531"/>
        <v>0</v>
      </c>
      <c r="AD923">
        <f t="shared" si="532"/>
        <v>0</v>
      </c>
      <c r="AF923">
        <f t="shared" si="533"/>
        <v>0</v>
      </c>
      <c r="AG923">
        <f t="shared" si="534"/>
        <v>0</v>
      </c>
      <c r="AH923">
        <f t="shared" si="535"/>
        <v>0</v>
      </c>
      <c r="AI923">
        <f t="shared" si="536"/>
        <v>0</v>
      </c>
      <c r="AJ923">
        <f t="shared" si="537"/>
        <v>0</v>
      </c>
      <c r="AK923">
        <f t="shared" si="538"/>
        <v>0</v>
      </c>
      <c r="AL923">
        <f t="shared" si="539"/>
        <v>0</v>
      </c>
      <c r="AM923">
        <f t="shared" si="540"/>
        <v>0</v>
      </c>
      <c r="AN923">
        <f t="shared" si="541"/>
        <v>0</v>
      </c>
      <c r="AO923">
        <f t="shared" si="542"/>
        <v>0</v>
      </c>
      <c r="AP923">
        <f t="shared" si="543"/>
        <v>0</v>
      </c>
      <c r="AQ923">
        <f t="shared" si="544"/>
        <v>0</v>
      </c>
    </row>
    <row r="924" spans="6:43" x14ac:dyDescent="0.45">
      <c r="F924">
        <f t="shared" si="545"/>
        <v>0</v>
      </c>
      <c r="G924">
        <f t="shared" si="546"/>
        <v>0</v>
      </c>
      <c r="H924">
        <f t="shared" si="547"/>
        <v>0</v>
      </c>
      <c r="I924">
        <f t="shared" si="548"/>
        <v>0</v>
      </c>
      <c r="J924">
        <f t="shared" si="549"/>
        <v>0</v>
      </c>
      <c r="K924">
        <f t="shared" si="550"/>
        <v>0</v>
      </c>
      <c r="L924">
        <f t="shared" si="551"/>
        <v>0</v>
      </c>
      <c r="M924">
        <f t="shared" si="552"/>
        <v>0</v>
      </c>
      <c r="N924">
        <f t="shared" si="553"/>
        <v>0</v>
      </c>
      <c r="O924">
        <f t="shared" si="554"/>
        <v>0</v>
      </c>
      <c r="P924">
        <f t="shared" si="555"/>
        <v>0</v>
      </c>
      <c r="Q924">
        <f t="shared" si="556"/>
        <v>0</v>
      </c>
      <c r="S924">
        <f t="shared" si="521"/>
        <v>0</v>
      </c>
      <c r="T924">
        <f t="shared" si="522"/>
        <v>0</v>
      </c>
      <c r="U924">
        <f t="shared" si="523"/>
        <v>0</v>
      </c>
      <c r="V924">
        <f t="shared" si="524"/>
        <v>0</v>
      </c>
      <c r="W924">
        <f t="shared" si="525"/>
        <v>0</v>
      </c>
      <c r="X924">
        <f t="shared" si="526"/>
        <v>0</v>
      </c>
      <c r="Y924">
        <f t="shared" si="527"/>
        <v>0</v>
      </c>
      <c r="Z924">
        <f t="shared" si="528"/>
        <v>0</v>
      </c>
      <c r="AA924">
        <f t="shared" si="529"/>
        <v>0</v>
      </c>
      <c r="AB924">
        <f t="shared" si="530"/>
        <v>0</v>
      </c>
      <c r="AC924">
        <f t="shared" si="531"/>
        <v>0</v>
      </c>
      <c r="AD924">
        <f t="shared" si="532"/>
        <v>0</v>
      </c>
      <c r="AF924">
        <f t="shared" si="533"/>
        <v>0</v>
      </c>
      <c r="AG924">
        <f t="shared" si="534"/>
        <v>0</v>
      </c>
      <c r="AH924">
        <f t="shared" si="535"/>
        <v>0</v>
      </c>
      <c r="AI924">
        <f t="shared" si="536"/>
        <v>0</v>
      </c>
      <c r="AJ924">
        <f t="shared" si="537"/>
        <v>0</v>
      </c>
      <c r="AK924">
        <f t="shared" si="538"/>
        <v>0</v>
      </c>
      <c r="AL924">
        <f t="shared" si="539"/>
        <v>0</v>
      </c>
      <c r="AM924">
        <f t="shared" si="540"/>
        <v>0</v>
      </c>
      <c r="AN924">
        <f t="shared" si="541"/>
        <v>0</v>
      </c>
      <c r="AO924">
        <f t="shared" si="542"/>
        <v>0</v>
      </c>
      <c r="AP924">
        <f t="shared" si="543"/>
        <v>0</v>
      </c>
      <c r="AQ924">
        <f t="shared" si="544"/>
        <v>0</v>
      </c>
    </row>
    <row r="925" spans="6:43" x14ac:dyDescent="0.45">
      <c r="F925">
        <f t="shared" si="545"/>
        <v>0</v>
      </c>
      <c r="G925">
        <f t="shared" si="546"/>
        <v>0</v>
      </c>
      <c r="H925">
        <f t="shared" si="547"/>
        <v>0</v>
      </c>
      <c r="I925">
        <f t="shared" si="548"/>
        <v>0</v>
      </c>
      <c r="J925">
        <f t="shared" si="549"/>
        <v>0</v>
      </c>
      <c r="K925">
        <f t="shared" si="550"/>
        <v>0</v>
      </c>
      <c r="L925">
        <f t="shared" si="551"/>
        <v>0</v>
      </c>
      <c r="M925">
        <f t="shared" si="552"/>
        <v>0</v>
      </c>
      <c r="N925">
        <f t="shared" si="553"/>
        <v>0</v>
      </c>
      <c r="O925">
        <f t="shared" si="554"/>
        <v>0</v>
      </c>
      <c r="P925">
        <f t="shared" si="555"/>
        <v>0</v>
      </c>
      <c r="Q925">
        <f t="shared" si="556"/>
        <v>0</v>
      </c>
      <c r="S925">
        <f t="shared" si="521"/>
        <v>0</v>
      </c>
      <c r="T925">
        <f t="shared" si="522"/>
        <v>0</v>
      </c>
      <c r="U925">
        <f t="shared" si="523"/>
        <v>0</v>
      </c>
      <c r="V925">
        <f t="shared" si="524"/>
        <v>0</v>
      </c>
      <c r="W925">
        <f t="shared" si="525"/>
        <v>0</v>
      </c>
      <c r="X925">
        <f t="shared" si="526"/>
        <v>0</v>
      </c>
      <c r="Y925">
        <f t="shared" si="527"/>
        <v>0</v>
      </c>
      <c r="Z925">
        <f t="shared" si="528"/>
        <v>0</v>
      </c>
      <c r="AA925">
        <f t="shared" si="529"/>
        <v>0</v>
      </c>
      <c r="AB925">
        <f t="shared" si="530"/>
        <v>0</v>
      </c>
      <c r="AC925">
        <f t="shared" si="531"/>
        <v>0</v>
      </c>
      <c r="AD925">
        <f t="shared" si="532"/>
        <v>0</v>
      </c>
      <c r="AF925">
        <f t="shared" si="533"/>
        <v>0</v>
      </c>
      <c r="AG925">
        <f t="shared" si="534"/>
        <v>0</v>
      </c>
      <c r="AH925">
        <f t="shared" si="535"/>
        <v>0</v>
      </c>
      <c r="AI925">
        <f t="shared" si="536"/>
        <v>0</v>
      </c>
      <c r="AJ925">
        <f t="shared" si="537"/>
        <v>0</v>
      </c>
      <c r="AK925">
        <f t="shared" si="538"/>
        <v>0</v>
      </c>
      <c r="AL925">
        <f t="shared" si="539"/>
        <v>0</v>
      </c>
      <c r="AM925">
        <f t="shared" si="540"/>
        <v>0</v>
      </c>
      <c r="AN925">
        <f t="shared" si="541"/>
        <v>0</v>
      </c>
      <c r="AO925">
        <f t="shared" si="542"/>
        <v>0</v>
      </c>
      <c r="AP925">
        <f t="shared" si="543"/>
        <v>0</v>
      </c>
      <c r="AQ925">
        <f t="shared" si="544"/>
        <v>0</v>
      </c>
    </row>
    <row r="926" spans="6:43" x14ac:dyDescent="0.45">
      <c r="F926">
        <f t="shared" si="545"/>
        <v>0</v>
      </c>
      <c r="G926">
        <f t="shared" si="546"/>
        <v>0</v>
      </c>
      <c r="H926">
        <f t="shared" si="547"/>
        <v>0</v>
      </c>
      <c r="I926">
        <f t="shared" si="548"/>
        <v>0</v>
      </c>
      <c r="J926">
        <f t="shared" si="549"/>
        <v>0</v>
      </c>
      <c r="K926">
        <f t="shared" si="550"/>
        <v>0</v>
      </c>
      <c r="L926">
        <f t="shared" si="551"/>
        <v>0</v>
      </c>
      <c r="M926">
        <f t="shared" si="552"/>
        <v>0</v>
      </c>
      <c r="N926">
        <f t="shared" si="553"/>
        <v>0</v>
      </c>
      <c r="O926">
        <f t="shared" si="554"/>
        <v>0</v>
      </c>
      <c r="P926">
        <f t="shared" si="555"/>
        <v>0</v>
      </c>
      <c r="Q926">
        <f t="shared" si="556"/>
        <v>0</v>
      </c>
      <c r="S926">
        <f t="shared" si="521"/>
        <v>0</v>
      </c>
      <c r="T926">
        <f t="shared" si="522"/>
        <v>0</v>
      </c>
      <c r="U926">
        <f t="shared" si="523"/>
        <v>0</v>
      </c>
      <c r="V926">
        <f t="shared" si="524"/>
        <v>0</v>
      </c>
      <c r="W926">
        <f t="shared" si="525"/>
        <v>0</v>
      </c>
      <c r="X926">
        <f t="shared" si="526"/>
        <v>0</v>
      </c>
      <c r="Y926">
        <f t="shared" si="527"/>
        <v>0</v>
      </c>
      <c r="Z926">
        <f t="shared" si="528"/>
        <v>0</v>
      </c>
      <c r="AA926">
        <f t="shared" si="529"/>
        <v>0</v>
      </c>
      <c r="AB926">
        <f t="shared" si="530"/>
        <v>0</v>
      </c>
      <c r="AC926">
        <f t="shared" si="531"/>
        <v>0</v>
      </c>
      <c r="AD926">
        <f t="shared" si="532"/>
        <v>0</v>
      </c>
      <c r="AF926">
        <f t="shared" si="533"/>
        <v>0</v>
      </c>
      <c r="AG926">
        <f t="shared" si="534"/>
        <v>0</v>
      </c>
      <c r="AH926">
        <f t="shared" si="535"/>
        <v>0</v>
      </c>
      <c r="AI926">
        <f t="shared" si="536"/>
        <v>0</v>
      </c>
      <c r="AJ926">
        <f t="shared" si="537"/>
        <v>0</v>
      </c>
      <c r="AK926">
        <f t="shared" si="538"/>
        <v>0</v>
      </c>
      <c r="AL926">
        <f t="shared" si="539"/>
        <v>0</v>
      </c>
      <c r="AM926">
        <f t="shared" si="540"/>
        <v>0</v>
      </c>
      <c r="AN926">
        <f t="shared" si="541"/>
        <v>0</v>
      </c>
      <c r="AO926">
        <f t="shared" si="542"/>
        <v>0</v>
      </c>
      <c r="AP926">
        <f t="shared" si="543"/>
        <v>0</v>
      </c>
      <c r="AQ926">
        <f t="shared" si="544"/>
        <v>0</v>
      </c>
    </row>
    <row r="927" spans="6:43" x14ac:dyDescent="0.45">
      <c r="F927">
        <f t="shared" si="545"/>
        <v>0</v>
      </c>
      <c r="G927">
        <f t="shared" si="546"/>
        <v>0</v>
      </c>
      <c r="H927">
        <f t="shared" si="547"/>
        <v>0</v>
      </c>
      <c r="I927">
        <f t="shared" si="548"/>
        <v>0</v>
      </c>
      <c r="J927">
        <f t="shared" si="549"/>
        <v>0</v>
      </c>
      <c r="K927">
        <f t="shared" si="550"/>
        <v>0</v>
      </c>
      <c r="L927">
        <f t="shared" si="551"/>
        <v>0</v>
      </c>
      <c r="M927">
        <f t="shared" si="552"/>
        <v>0</v>
      </c>
      <c r="N927">
        <f t="shared" si="553"/>
        <v>0</v>
      </c>
      <c r="O927">
        <f t="shared" si="554"/>
        <v>0</v>
      </c>
      <c r="P927">
        <f t="shared" si="555"/>
        <v>0</v>
      </c>
      <c r="Q927">
        <f t="shared" si="556"/>
        <v>0</v>
      </c>
      <c r="S927">
        <f t="shared" si="521"/>
        <v>0</v>
      </c>
      <c r="T927">
        <f t="shared" si="522"/>
        <v>0</v>
      </c>
      <c r="U927">
        <f t="shared" si="523"/>
        <v>0</v>
      </c>
      <c r="V927">
        <f t="shared" si="524"/>
        <v>0</v>
      </c>
      <c r="W927">
        <f t="shared" si="525"/>
        <v>0</v>
      </c>
      <c r="X927">
        <f t="shared" si="526"/>
        <v>0</v>
      </c>
      <c r="Y927">
        <f t="shared" si="527"/>
        <v>0</v>
      </c>
      <c r="Z927">
        <f t="shared" si="528"/>
        <v>0</v>
      </c>
      <c r="AA927">
        <f t="shared" si="529"/>
        <v>0</v>
      </c>
      <c r="AB927">
        <f t="shared" si="530"/>
        <v>0</v>
      </c>
      <c r="AC927">
        <f t="shared" si="531"/>
        <v>0</v>
      </c>
      <c r="AD927">
        <f t="shared" si="532"/>
        <v>0</v>
      </c>
      <c r="AF927">
        <f t="shared" si="533"/>
        <v>0</v>
      </c>
      <c r="AG927">
        <f t="shared" si="534"/>
        <v>0</v>
      </c>
      <c r="AH927">
        <f t="shared" si="535"/>
        <v>0</v>
      </c>
      <c r="AI927">
        <f t="shared" si="536"/>
        <v>0</v>
      </c>
      <c r="AJ927">
        <f t="shared" si="537"/>
        <v>0</v>
      </c>
      <c r="AK927">
        <f t="shared" si="538"/>
        <v>0</v>
      </c>
      <c r="AL927">
        <f t="shared" si="539"/>
        <v>0</v>
      </c>
      <c r="AM927">
        <f t="shared" si="540"/>
        <v>0</v>
      </c>
      <c r="AN927">
        <f t="shared" si="541"/>
        <v>0</v>
      </c>
      <c r="AO927">
        <f t="shared" si="542"/>
        <v>0</v>
      </c>
      <c r="AP927">
        <f t="shared" si="543"/>
        <v>0</v>
      </c>
      <c r="AQ927">
        <f t="shared" si="544"/>
        <v>0</v>
      </c>
    </row>
    <row r="928" spans="6:43" x14ac:dyDescent="0.45">
      <c r="F928">
        <f t="shared" si="545"/>
        <v>0</v>
      </c>
      <c r="G928">
        <f t="shared" si="546"/>
        <v>0</v>
      </c>
      <c r="H928">
        <f t="shared" si="547"/>
        <v>0</v>
      </c>
      <c r="I928">
        <f t="shared" si="548"/>
        <v>0</v>
      </c>
      <c r="J928">
        <f t="shared" si="549"/>
        <v>0</v>
      </c>
      <c r="K928">
        <f t="shared" si="550"/>
        <v>0</v>
      </c>
      <c r="L928">
        <f t="shared" si="551"/>
        <v>0</v>
      </c>
      <c r="M928">
        <f t="shared" si="552"/>
        <v>0</v>
      </c>
      <c r="N928">
        <f t="shared" si="553"/>
        <v>0</v>
      </c>
      <c r="O928">
        <f t="shared" si="554"/>
        <v>0</v>
      </c>
      <c r="P928">
        <f t="shared" si="555"/>
        <v>0</v>
      </c>
      <c r="Q928">
        <f t="shared" si="556"/>
        <v>0</v>
      </c>
      <c r="S928">
        <f t="shared" si="521"/>
        <v>0</v>
      </c>
      <c r="T928">
        <f t="shared" si="522"/>
        <v>0</v>
      </c>
      <c r="U928">
        <f t="shared" si="523"/>
        <v>0</v>
      </c>
      <c r="V928">
        <f t="shared" si="524"/>
        <v>0</v>
      </c>
      <c r="W928">
        <f t="shared" si="525"/>
        <v>0</v>
      </c>
      <c r="X928">
        <f t="shared" si="526"/>
        <v>0</v>
      </c>
      <c r="Y928">
        <f t="shared" si="527"/>
        <v>0</v>
      </c>
      <c r="Z928">
        <f t="shared" si="528"/>
        <v>0</v>
      </c>
      <c r="AA928">
        <f t="shared" si="529"/>
        <v>0</v>
      </c>
      <c r="AB928">
        <f t="shared" si="530"/>
        <v>0</v>
      </c>
      <c r="AC928">
        <f t="shared" si="531"/>
        <v>0</v>
      </c>
      <c r="AD928">
        <f t="shared" si="532"/>
        <v>0</v>
      </c>
      <c r="AF928">
        <f t="shared" si="533"/>
        <v>0</v>
      </c>
      <c r="AG928">
        <f t="shared" si="534"/>
        <v>0</v>
      </c>
      <c r="AH928">
        <f t="shared" si="535"/>
        <v>0</v>
      </c>
      <c r="AI928">
        <f t="shared" si="536"/>
        <v>0</v>
      </c>
      <c r="AJ928">
        <f t="shared" si="537"/>
        <v>0</v>
      </c>
      <c r="AK928">
        <f t="shared" si="538"/>
        <v>0</v>
      </c>
      <c r="AL928">
        <f t="shared" si="539"/>
        <v>0</v>
      </c>
      <c r="AM928">
        <f t="shared" si="540"/>
        <v>0</v>
      </c>
      <c r="AN928">
        <f t="shared" si="541"/>
        <v>0</v>
      </c>
      <c r="AO928">
        <f t="shared" si="542"/>
        <v>0</v>
      </c>
      <c r="AP928">
        <f t="shared" si="543"/>
        <v>0</v>
      </c>
      <c r="AQ928">
        <f t="shared" si="544"/>
        <v>0</v>
      </c>
    </row>
    <row r="929" spans="6:43" x14ac:dyDescent="0.45">
      <c r="F929">
        <f t="shared" si="545"/>
        <v>0</v>
      </c>
      <c r="G929">
        <f t="shared" si="546"/>
        <v>0</v>
      </c>
      <c r="H929">
        <f t="shared" si="547"/>
        <v>0</v>
      </c>
      <c r="I929">
        <f t="shared" si="548"/>
        <v>0</v>
      </c>
      <c r="J929">
        <f t="shared" si="549"/>
        <v>0</v>
      </c>
      <c r="K929">
        <f t="shared" si="550"/>
        <v>0</v>
      </c>
      <c r="L929">
        <f t="shared" si="551"/>
        <v>0</v>
      </c>
      <c r="M929">
        <f t="shared" si="552"/>
        <v>0</v>
      </c>
      <c r="N929">
        <f t="shared" si="553"/>
        <v>0</v>
      </c>
      <c r="O929">
        <f t="shared" si="554"/>
        <v>0</v>
      </c>
      <c r="P929">
        <f t="shared" si="555"/>
        <v>0</v>
      </c>
      <c r="Q929">
        <f t="shared" si="556"/>
        <v>0</v>
      </c>
      <c r="S929">
        <f t="shared" si="521"/>
        <v>0</v>
      </c>
      <c r="T929">
        <f t="shared" si="522"/>
        <v>0</v>
      </c>
      <c r="U929">
        <f t="shared" si="523"/>
        <v>0</v>
      </c>
      <c r="V929">
        <f t="shared" si="524"/>
        <v>0</v>
      </c>
      <c r="W929">
        <f t="shared" si="525"/>
        <v>0</v>
      </c>
      <c r="X929">
        <f t="shared" si="526"/>
        <v>0</v>
      </c>
      <c r="Y929">
        <f t="shared" si="527"/>
        <v>0</v>
      </c>
      <c r="Z929">
        <f t="shared" si="528"/>
        <v>0</v>
      </c>
      <c r="AA929">
        <f t="shared" si="529"/>
        <v>0</v>
      </c>
      <c r="AB929">
        <f t="shared" si="530"/>
        <v>0</v>
      </c>
      <c r="AC929">
        <f t="shared" si="531"/>
        <v>0</v>
      </c>
      <c r="AD929">
        <f t="shared" si="532"/>
        <v>0</v>
      </c>
      <c r="AF929">
        <f t="shared" si="533"/>
        <v>0</v>
      </c>
      <c r="AG929">
        <f t="shared" si="534"/>
        <v>0</v>
      </c>
      <c r="AH929">
        <f t="shared" si="535"/>
        <v>0</v>
      </c>
      <c r="AI929">
        <f t="shared" si="536"/>
        <v>0</v>
      </c>
      <c r="AJ929">
        <f t="shared" si="537"/>
        <v>0</v>
      </c>
      <c r="AK929">
        <f t="shared" si="538"/>
        <v>0</v>
      </c>
      <c r="AL929">
        <f t="shared" si="539"/>
        <v>0</v>
      </c>
      <c r="AM929">
        <f t="shared" si="540"/>
        <v>0</v>
      </c>
      <c r="AN929">
        <f t="shared" si="541"/>
        <v>0</v>
      </c>
      <c r="AO929">
        <f t="shared" si="542"/>
        <v>0</v>
      </c>
      <c r="AP929">
        <f t="shared" si="543"/>
        <v>0</v>
      </c>
      <c r="AQ929">
        <f t="shared" si="544"/>
        <v>0</v>
      </c>
    </row>
    <row r="930" spans="6:43" x14ac:dyDescent="0.45">
      <c r="F930">
        <f t="shared" si="545"/>
        <v>0</v>
      </c>
      <c r="G930">
        <f t="shared" si="546"/>
        <v>0</v>
      </c>
      <c r="H930">
        <f t="shared" si="547"/>
        <v>0</v>
      </c>
      <c r="I930">
        <f t="shared" si="548"/>
        <v>0</v>
      </c>
      <c r="J930">
        <f t="shared" si="549"/>
        <v>0</v>
      </c>
      <c r="K930">
        <f t="shared" si="550"/>
        <v>0</v>
      </c>
      <c r="L930">
        <f t="shared" si="551"/>
        <v>0</v>
      </c>
      <c r="M930">
        <f t="shared" si="552"/>
        <v>0</v>
      </c>
      <c r="N930">
        <f t="shared" si="553"/>
        <v>0</v>
      </c>
      <c r="O930">
        <f t="shared" si="554"/>
        <v>0</v>
      </c>
      <c r="P930">
        <f t="shared" si="555"/>
        <v>0</v>
      </c>
      <c r="Q930">
        <f t="shared" si="556"/>
        <v>0</v>
      </c>
      <c r="S930">
        <f t="shared" si="521"/>
        <v>0</v>
      </c>
      <c r="T930">
        <f t="shared" si="522"/>
        <v>0</v>
      </c>
      <c r="U930">
        <f t="shared" si="523"/>
        <v>0</v>
      </c>
      <c r="V930">
        <f t="shared" si="524"/>
        <v>0</v>
      </c>
      <c r="W930">
        <f t="shared" si="525"/>
        <v>0</v>
      </c>
      <c r="X930">
        <f t="shared" si="526"/>
        <v>0</v>
      </c>
      <c r="Y930">
        <f t="shared" si="527"/>
        <v>0</v>
      </c>
      <c r="Z930">
        <f t="shared" si="528"/>
        <v>0</v>
      </c>
      <c r="AA930">
        <f t="shared" si="529"/>
        <v>0</v>
      </c>
      <c r="AB930">
        <f t="shared" si="530"/>
        <v>0</v>
      </c>
      <c r="AC930">
        <f t="shared" si="531"/>
        <v>0</v>
      </c>
      <c r="AD930">
        <f t="shared" si="532"/>
        <v>0</v>
      </c>
      <c r="AF930">
        <f t="shared" si="533"/>
        <v>0</v>
      </c>
      <c r="AG930">
        <f t="shared" si="534"/>
        <v>0</v>
      </c>
      <c r="AH930">
        <f t="shared" si="535"/>
        <v>0</v>
      </c>
      <c r="AI930">
        <f t="shared" si="536"/>
        <v>0</v>
      </c>
      <c r="AJ930">
        <f t="shared" si="537"/>
        <v>0</v>
      </c>
      <c r="AK930">
        <f t="shared" si="538"/>
        <v>0</v>
      </c>
      <c r="AL930">
        <f t="shared" si="539"/>
        <v>0</v>
      </c>
      <c r="AM930">
        <f t="shared" si="540"/>
        <v>0</v>
      </c>
      <c r="AN930">
        <f t="shared" si="541"/>
        <v>0</v>
      </c>
      <c r="AO930">
        <f t="shared" si="542"/>
        <v>0</v>
      </c>
      <c r="AP930">
        <f t="shared" si="543"/>
        <v>0</v>
      </c>
      <c r="AQ930">
        <f t="shared" si="544"/>
        <v>0</v>
      </c>
    </row>
    <row r="931" spans="6:43" x14ac:dyDescent="0.45">
      <c r="F931">
        <f t="shared" si="545"/>
        <v>0</v>
      </c>
      <c r="G931">
        <f t="shared" si="546"/>
        <v>0</v>
      </c>
      <c r="H931">
        <f t="shared" si="547"/>
        <v>0</v>
      </c>
      <c r="I931">
        <f t="shared" si="548"/>
        <v>0</v>
      </c>
      <c r="J931">
        <f t="shared" si="549"/>
        <v>0</v>
      </c>
      <c r="K931">
        <f t="shared" si="550"/>
        <v>0</v>
      </c>
      <c r="L931">
        <f t="shared" si="551"/>
        <v>0</v>
      </c>
      <c r="M931">
        <f t="shared" si="552"/>
        <v>0</v>
      </c>
      <c r="N931">
        <f t="shared" si="553"/>
        <v>0</v>
      </c>
      <c r="O931">
        <f t="shared" si="554"/>
        <v>0</v>
      </c>
      <c r="P931">
        <f t="shared" si="555"/>
        <v>0</v>
      </c>
      <c r="Q931">
        <f t="shared" si="556"/>
        <v>0</v>
      </c>
      <c r="S931">
        <f t="shared" si="521"/>
        <v>0</v>
      </c>
      <c r="T931">
        <f t="shared" si="522"/>
        <v>0</v>
      </c>
      <c r="U931">
        <f t="shared" si="523"/>
        <v>0</v>
      </c>
      <c r="V931">
        <f t="shared" si="524"/>
        <v>0</v>
      </c>
      <c r="W931">
        <f t="shared" si="525"/>
        <v>0</v>
      </c>
      <c r="X931">
        <f t="shared" si="526"/>
        <v>0</v>
      </c>
      <c r="Y931">
        <f t="shared" si="527"/>
        <v>0</v>
      </c>
      <c r="Z931">
        <f t="shared" si="528"/>
        <v>0</v>
      </c>
      <c r="AA931">
        <f t="shared" si="529"/>
        <v>0</v>
      </c>
      <c r="AB931">
        <f t="shared" si="530"/>
        <v>0</v>
      </c>
      <c r="AC931">
        <f t="shared" si="531"/>
        <v>0</v>
      </c>
      <c r="AD931">
        <f t="shared" si="532"/>
        <v>0</v>
      </c>
      <c r="AF931">
        <f t="shared" si="533"/>
        <v>0</v>
      </c>
      <c r="AG931">
        <f t="shared" si="534"/>
        <v>0</v>
      </c>
      <c r="AH931">
        <f t="shared" si="535"/>
        <v>0</v>
      </c>
      <c r="AI931">
        <f t="shared" si="536"/>
        <v>0</v>
      </c>
      <c r="AJ931">
        <f t="shared" si="537"/>
        <v>0</v>
      </c>
      <c r="AK931">
        <f t="shared" si="538"/>
        <v>0</v>
      </c>
      <c r="AL931">
        <f t="shared" si="539"/>
        <v>0</v>
      </c>
      <c r="AM931">
        <f t="shared" si="540"/>
        <v>0</v>
      </c>
      <c r="AN931">
        <f t="shared" si="541"/>
        <v>0</v>
      </c>
      <c r="AO931">
        <f t="shared" si="542"/>
        <v>0</v>
      </c>
      <c r="AP931">
        <f t="shared" si="543"/>
        <v>0</v>
      </c>
      <c r="AQ931">
        <f t="shared" si="544"/>
        <v>0</v>
      </c>
    </row>
    <row r="932" spans="6:43" x14ac:dyDescent="0.45">
      <c r="F932">
        <f t="shared" si="545"/>
        <v>0</v>
      </c>
      <c r="G932">
        <f t="shared" si="546"/>
        <v>0</v>
      </c>
      <c r="H932">
        <f t="shared" si="547"/>
        <v>0</v>
      </c>
      <c r="I932">
        <f t="shared" si="548"/>
        <v>0</v>
      </c>
      <c r="J932">
        <f t="shared" si="549"/>
        <v>0</v>
      </c>
      <c r="K932">
        <f t="shared" si="550"/>
        <v>0</v>
      </c>
      <c r="L932">
        <f t="shared" si="551"/>
        <v>0</v>
      </c>
      <c r="M932">
        <f t="shared" si="552"/>
        <v>0</v>
      </c>
      <c r="N932">
        <f t="shared" si="553"/>
        <v>0</v>
      </c>
      <c r="O932">
        <f t="shared" si="554"/>
        <v>0</v>
      </c>
      <c r="P932">
        <f t="shared" si="555"/>
        <v>0</v>
      </c>
      <c r="Q932">
        <f t="shared" si="556"/>
        <v>0</v>
      </c>
      <c r="S932">
        <f t="shared" si="521"/>
        <v>0</v>
      </c>
      <c r="T932">
        <f t="shared" si="522"/>
        <v>0</v>
      </c>
      <c r="U932">
        <f t="shared" si="523"/>
        <v>0</v>
      </c>
      <c r="V932">
        <f t="shared" si="524"/>
        <v>0</v>
      </c>
      <c r="W932">
        <f t="shared" si="525"/>
        <v>0</v>
      </c>
      <c r="X932">
        <f t="shared" si="526"/>
        <v>0</v>
      </c>
      <c r="Y932">
        <f t="shared" si="527"/>
        <v>0</v>
      </c>
      <c r="Z932">
        <f t="shared" si="528"/>
        <v>0</v>
      </c>
      <c r="AA932">
        <f t="shared" si="529"/>
        <v>0</v>
      </c>
      <c r="AB932">
        <f t="shared" si="530"/>
        <v>0</v>
      </c>
      <c r="AC932">
        <f t="shared" si="531"/>
        <v>0</v>
      </c>
      <c r="AD932">
        <f t="shared" si="532"/>
        <v>0</v>
      </c>
      <c r="AF932">
        <f t="shared" si="533"/>
        <v>0</v>
      </c>
      <c r="AG932">
        <f t="shared" si="534"/>
        <v>0</v>
      </c>
      <c r="AH932">
        <f t="shared" si="535"/>
        <v>0</v>
      </c>
      <c r="AI932">
        <f t="shared" si="536"/>
        <v>0</v>
      </c>
      <c r="AJ932">
        <f t="shared" si="537"/>
        <v>0</v>
      </c>
      <c r="AK932">
        <f t="shared" si="538"/>
        <v>0</v>
      </c>
      <c r="AL932">
        <f t="shared" si="539"/>
        <v>0</v>
      </c>
      <c r="AM932">
        <f t="shared" si="540"/>
        <v>0</v>
      </c>
      <c r="AN932">
        <f t="shared" si="541"/>
        <v>0</v>
      </c>
      <c r="AO932">
        <f t="shared" si="542"/>
        <v>0</v>
      </c>
      <c r="AP932">
        <f t="shared" si="543"/>
        <v>0</v>
      </c>
      <c r="AQ932">
        <f t="shared" si="544"/>
        <v>0</v>
      </c>
    </row>
    <row r="933" spans="6:43" x14ac:dyDescent="0.45">
      <c r="F933">
        <f t="shared" si="545"/>
        <v>0</v>
      </c>
      <c r="G933">
        <f t="shared" si="546"/>
        <v>0</v>
      </c>
      <c r="H933">
        <f t="shared" si="547"/>
        <v>0</v>
      </c>
      <c r="I933">
        <f t="shared" si="548"/>
        <v>0</v>
      </c>
      <c r="J933">
        <f t="shared" si="549"/>
        <v>0</v>
      </c>
      <c r="K933">
        <f t="shared" si="550"/>
        <v>0</v>
      </c>
      <c r="L933">
        <f t="shared" si="551"/>
        <v>0</v>
      </c>
      <c r="M933">
        <f t="shared" si="552"/>
        <v>0</v>
      </c>
      <c r="N933">
        <f t="shared" si="553"/>
        <v>0</v>
      </c>
      <c r="O933">
        <f t="shared" si="554"/>
        <v>0</v>
      </c>
      <c r="P933">
        <f t="shared" si="555"/>
        <v>0</v>
      </c>
      <c r="Q933">
        <f t="shared" si="556"/>
        <v>0</v>
      </c>
      <c r="S933">
        <f t="shared" si="521"/>
        <v>0</v>
      </c>
      <c r="T933">
        <f t="shared" si="522"/>
        <v>0</v>
      </c>
      <c r="U933">
        <f t="shared" si="523"/>
        <v>0</v>
      </c>
      <c r="V933">
        <f t="shared" si="524"/>
        <v>0</v>
      </c>
      <c r="W933">
        <f t="shared" si="525"/>
        <v>0</v>
      </c>
      <c r="X933">
        <f t="shared" si="526"/>
        <v>0</v>
      </c>
      <c r="Y933">
        <f t="shared" si="527"/>
        <v>0</v>
      </c>
      <c r="Z933">
        <f t="shared" si="528"/>
        <v>0</v>
      </c>
      <c r="AA933">
        <f t="shared" si="529"/>
        <v>0</v>
      </c>
      <c r="AB933">
        <f t="shared" si="530"/>
        <v>0</v>
      </c>
      <c r="AC933">
        <f t="shared" si="531"/>
        <v>0</v>
      </c>
      <c r="AD933">
        <f t="shared" si="532"/>
        <v>0</v>
      </c>
      <c r="AF933">
        <f t="shared" si="533"/>
        <v>0</v>
      </c>
      <c r="AG933">
        <f t="shared" si="534"/>
        <v>0</v>
      </c>
      <c r="AH933">
        <f t="shared" si="535"/>
        <v>0</v>
      </c>
      <c r="AI933">
        <f t="shared" si="536"/>
        <v>0</v>
      </c>
      <c r="AJ933">
        <f t="shared" si="537"/>
        <v>0</v>
      </c>
      <c r="AK933">
        <f t="shared" si="538"/>
        <v>0</v>
      </c>
      <c r="AL933">
        <f t="shared" si="539"/>
        <v>0</v>
      </c>
      <c r="AM933">
        <f t="shared" si="540"/>
        <v>0</v>
      </c>
      <c r="AN933">
        <f t="shared" si="541"/>
        <v>0</v>
      </c>
      <c r="AO933">
        <f t="shared" si="542"/>
        <v>0</v>
      </c>
      <c r="AP933">
        <f t="shared" si="543"/>
        <v>0</v>
      </c>
      <c r="AQ933">
        <f t="shared" si="544"/>
        <v>0</v>
      </c>
    </row>
    <row r="934" spans="6:43" x14ac:dyDescent="0.45">
      <c r="F934">
        <f t="shared" si="545"/>
        <v>0</v>
      </c>
      <c r="G934">
        <f t="shared" si="546"/>
        <v>0</v>
      </c>
      <c r="H934">
        <f t="shared" si="547"/>
        <v>0</v>
      </c>
      <c r="I934">
        <f t="shared" si="548"/>
        <v>0</v>
      </c>
      <c r="J934">
        <f t="shared" si="549"/>
        <v>0</v>
      </c>
      <c r="K934">
        <f t="shared" si="550"/>
        <v>0</v>
      </c>
      <c r="L934">
        <f t="shared" si="551"/>
        <v>0</v>
      </c>
      <c r="M934">
        <f t="shared" si="552"/>
        <v>0</v>
      </c>
      <c r="N934">
        <f t="shared" si="553"/>
        <v>0</v>
      </c>
      <c r="O934">
        <f t="shared" si="554"/>
        <v>0</v>
      </c>
      <c r="P934">
        <f t="shared" si="555"/>
        <v>0</v>
      </c>
      <c r="Q934">
        <f t="shared" si="556"/>
        <v>0</v>
      </c>
      <c r="S934">
        <f t="shared" si="521"/>
        <v>0</v>
      </c>
      <c r="T934">
        <f t="shared" si="522"/>
        <v>0</v>
      </c>
      <c r="U934">
        <f t="shared" si="523"/>
        <v>0</v>
      </c>
      <c r="V934">
        <f t="shared" si="524"/>
        <v>0</v>
      </c>
      <c r="W934">
        <f t="shared" si="525"/>
        <v>0</v>
      </c>
      <c r="X934">
        <f t="shared" si="526"/>
        <v>0</v>
      </c>
      <c r="Y934">
        <f t="shared" si="527"/>
        <v>0</v>
      </c>
      <c r="Z934">
        <f t="shared" si="528"/>
        <v>0</v>
      </c>
      <c r="AA934">
        <f t="shared" si="529"/>
        <v>0</v>
      </c>
      <c r="AB934">
        <f t="shared" si="530"/>
        <v>0</v>
      </c>
      <c r="AC934">
        <f t="shared" si="531"/>
        <v>0</v>
      </c>
      <c r="AD934">
        <f t="shared" si="532"/>
        <v>0</v>
      </c>
      <c r="AF934">
        <f t="shared" si="533"/>
        <v>0</v>
      </c>
      <c r="AG934">
        <f t="shared" si="534"/>
        <v>0</v>
      </c>
      <c r="AH934">
        <f t="shared" si="535"/>
        <v>0</v>
      </c>
      <c r="AI934">
        <f t="shared" si="536"/>
        <v>0</v>
      </c>
      <c r="AJ934">
        <f t="shared" si="537"/>
        <v>0</v>
      </c>
      <c r="AK934">
        <f t="shared" si="538"/>
        <v>0</v>
      </c>
      <c r="AL934">
        <f t="shared" si="539"/>
        <v>0</v>
      </c>
      <c r="AM934">
        <f t="shared" si="540"/>
        <v>0</v>
      </c>
      <c r="AN934">
        <f t="shared" si="541"/>
        <v>0</v>
      </c>
      <c r="AO934">
        <f t="shared" si="542"/>
        <v>0</v>
      </c>
      <c r="AP934">
        <f t="shared" si="543"/>
        <v>0</v>
      </c>
      <c r="AQ934">
        <f t="shared" si="544"/>
        <v>0</v>
      </c>
    </row>
    <row r="935" spans="6:43" x14ac:dyDescent="0.45">
      <c r="F935">
        <f t="shared" si="545"/>
        <v>0</v>
      </c>
      <c r="G935">
        <f t="shared" si="546"/>
        <v>0</v>
      </c>
      <c r="H935">
        <f t="shared" si="547"/>
        <v>0</v>
      </c>
      <c r="I935">
        <f t="shared" si="548"/>
        <v>0</v>
      </c>
      <c r="J935">
        <f t="shared" si="549"/>
        <v>0</v>
      </c>
      <c r="K935">
        <f t="shared" si="550"/>
        <v>0</v>
      </c>
      <c r="L935">
        <f t="shared" si="551"/>
        <v>0</v>
      </c>
      <c r="M935">
        <f t="shared" si="552"/>
        <v>0</v>
      </c>
      <c r="N935">
        <f t="shared" si="553"/>
        <v>0</v>
      </c>
      <c r="O935">
        <f t="shared" si="554"/>
        <v>0</v>
      </c>
      <c r="P935">
        <f t="shared" si="555"/>
        <v>0</v>
      </c>
      <c r="Q935">
        <f t="shared" si="556"/>
        <v>0</v>
      </c>
      <c r="S935">
        <f t="shared" si="521"/>
        <v>0</v>
      </c>
      <c r="T935">
        <f t="shared" si="522"/>
        <v>0</v>
      </c>
      <c r="U935">
        <f t="shared" si="523"/>
        <v>0</v>
      </c>
      <c r="V935">
        <f t="shared" si="524"/>
        <v>0</v>
      </c>
      <c r="W935">
        <f t="shared" si="525"/>
        <v>0</v>
      </c>
      <c r="X935">
        <f t="shared" si="526"/>
        <v>0</v>
      </c>
      <c r="Y935">
        <f t="shared" si="527"/>
        <v>0</v>
      </c>
      <c r="Z935">
        <f t="shared" si="528"/>
        <v>0</v>
      </c>
      <c r="AA935">
        <f t="shared" si="529"/>
        <v>0</v>
      </c>
      <c r="AB935">
        <f t="shared" si="530"/>
        <v>0</v>
      </c>
      <c r="AC935">
        <f t="shared" si="531"/>
        <v>0</v>
      </c>
      <c r="AD935">
        <f t="shared" si="532"/>
        <v>0</v>
      </c>
      <c r="AF935">
        <f t="shared" si="533"/>
        <v>0</v>
      </c>
      <c r="AG935">
        <f t="shared" si="534"/>
        <v>0</v>
      </c>
      <c r="AH935">
        <f t="shared" si="535"/>
        <v>0</v>
      </c>
      <c r="AI935">
        <f t="shared" si="536"/>
        <v>0</v>
      </c>
      <c r="AJ935">
        <f t="shared" si="537"/>
        <v>0</v>
      </c>
      <c r="AK935">
        <f t="shared" si="538"/>
        <v>0</v>
      </c>
      <c r="AL935">
        <f t="shared" si="539"/>
        <v>0</v>
      </c>
      <c r="AM935">
        <f t="shared" si="540"/>
        <v>0</v>
      </c>
      <c r="AN935">
        <f t="shared" si="541"/>
        <v>0</v>
      </c>
      <c r="AO935">
        <f t="shared" si="542"/>
        <v>0</v>
      </c>
      <c r="AP935">
        <f t="shared" si="543"/>
        <v>0</v>
      </c>
      <c r="AQ935">
        <f t="shared" si="544"/>
        <v>0</v>
      </c>
    </row>
    <row r="936" spans="6:43" x14ac:dyDescent="0.45">
      <c r="F936">
        <f t="shared" si="545"/>
        <v>0</v>
      </c>
      <c r="G936">
        <f t="shared" si="546"/>
        <v>0</v>
      </c>
      <c r="H936">
        <f t="shared" si="547"/>
        <v>0</v>
      </c>
      <c r="I936">
        <f t="shared" si="548"/>
        <v>0</v>
      </c>
      <c r="J936">
        <f t="shared" si="549"/>
        <v>0</v>
      </c>
      <c r="K936">
        <f t="shared" si="550"/>
        <v>0</v>
      </c>
      <c r="L936">
        <f t="shared" si="551"/>
        <v>0</v>
      </c>
      <c r="M936">
        <f t="shared" si="552"/>
        <v>0</v>
      </c>
      <c r="N936">
        <f t="shared" si="553"/>
        <v>0</v>
      </c>
      <c r="O936">
        <f t="shared" si="554"/>
        <v>0</v>
      </c>
      <c r="P936">
        <f t="shared" si="555"/>
        <v>0</v>
      </c>
      <c r="Q936">
        <f t="shared" si="556"/>
        <v>0</v>
      </c>
      <c r="S936">
        <f t="shared" si="521"/>
        <v>0</v>
      </c>
      <c r="T936">
        <f t="shared" si="522"/>
        <v>0</v>
      </c>
      <c r="U936">
        <f t="shared" si="523"/>
        <v>0</v>
      </c>
      <c r="V936">
        <f t="shared" si="524"/>
        <v>0</v>
      </c>
      <c r="W936">
        <f t="shared" si="525"/>
        <v>0</v>
      </c>
      <c r="X936">
        <f t="shared" si="526"/>
        <v>0</v>
      </c>
      <c r="Y936">
        <f t="shared" si="527"/>
        <v>0</v>
      </c>
      <c r="Z936">
        <f t="shared" si="528"/>
        <v>0</v>
      </c>
      <c r="AA936">
        <f t="shared" si="529"/>
        <v>0</v>
      </c>
      <c r="AB936">
        <f t="shared" si="530"/>
        <v>0</v>
      </c>
      <c r="AC936">
        <f t="shared" si="531"/>
        <v>0</v>
      </c>
      <c r="AD936">
        <f t="shared" si="532"/>
        <v>0</v>
      </c>
      <c r="AF936">
        <f t="shared" si="533"/>
        <v>0</v>
      </c>
      <c r="AG936">
        <f t="shared" si="534"/>
        <v>0</v>
      </c>
      <c r="AH936">
        <f t="shared" si="535"/>
        <v>0</v>
      </c>
      <c r="AI936">
        <f t="shared" si="536"/>
        <v>0</v>
      </c>
      <c r="AJ936">
        <f t="shared" si="537"/>
        <v>0</v>
      </c>
      <c r="AK936">
        <f t="shared" si="538"/>
        <v>0</v>
      </c>
      <c r="AL936">
        <f t="shared" si="539"/>
        <v>0</v>
      </c>
      <c r="AM936">
        <f t="shared" si="540"/>
        <v>0</v>
      </c>
      <c r="AN936">
        <f t="shared" si="541"/>
        <v>0</v>
      </c>
      <c r="AO936">
        <f t="shared" si="542"/>
        <v>0</v>
      </c>
      <c r="AP936">
        <f t="shared" si="543"/>
        <v>0</v>
      </c>
      <c r="AQ936">
        <f t="shared" si="544"/>
        <v>0</v>
      </c>
    </row>
    <row r="937" spans="6:43" x14ac:dyDescent="0.45">
      <c r="F937">
        <f t="shared" si="545"/>
        <v>0</v>
      </c>
      <c r="G937">
        <f t="shared" si="546"/>
        <v>0</v>
      </c>
      <c r="H937">
        <f t="shared" si="547"/>
        <v>0</v>
      </c>
      <c r="I937">
        <f t="shared" si="548"/>
        <v>0</v>
      </c>
      <c r="J937">
        <f t="shared" si="549"/>
        <v>0</v>
      </c>
      <c r="K937">
        <f t="shared" si="550"/>
        <v>0</v>
      </c>
      <c r="L937">
        <f t="shared" si="551"/>
        <v>0</v>
      </c>
      <c r="M937">
        <f t="shared" si="552"/>
        <v>0</v>
      </c>
      <c r="N937">
        <f t="shared" si="553"/>
        <v>0</v>
      </c>
      <c r="O937">
        <f t="shared" si="554"/>
        <v>0</v>
      </c>
      <c r="P937">
        <f t="shared" si="555"/>
        <v>0</v>
      </c>
      <c r="Q937">
        <f t="shared" si="556"/>
        <v>0</v>
      </c>
      <c r="S937">
        <f t="shared" si="521"/>
        <v>0</v>
      </c>
      <c r="T937">
        <f t="shared" si="522"/>
        <v>0</v>
      </c>
      <c r="U937">
        <f t="shared" si="523"/>
        <v>0</v>
      </c>
      <c r="V937">
        <f t="shared" si="524"/>
        <v>0</v>
      </c>
      <c r="W937">
        <f t="shared" si="525"/>
        <v>0</v>
      </c>
      <c r="X937">
        <f t="shared" si="526"/>
        <v>0</v>
      </c>
      <c r="Y937">
        <f t="shared" si="527"/>
        <v>0</v>
      </c>
      <c r="Z937">
        <f t="shared" si="528"/>
        <v>0</v>
      </c>
      <c r="AA937">
        <f t="shared" si="529"/>
        <v>0</v>
      </c>
      <c r="AB937">
        <f t="shared" si="530"/>
        <v>0</v>
      </c>
      <c r="AC937">
        <f t="shared" si="531"/>
        <v>0</v>
      </c>
      <c r="AD937">
        <f t="shared" si="532"/>
        <v>0</v>
      </c>
      <c r="AF937">
        <f t="shared" si="533"/>
        <v>0</v>
      </c>
      <c r="AG937">
        <f t="shared" si="534"/>
        <v>0</v>
      </c>
      <c r="AH937">
        <f t="shared" si="535"/>
        <v>0</v>
      </c>
      <c r="AI937">
        <f t="shared" si="536"/>
        <v>0</v>
      </c>
      <c r="AJ937">
        <f t="shared" si="537"/>
        <v>0</v>
      </c>
      <c r="AK937">
        <f t="shared" si="538"/>
        <v>0</v>
      </c>
      <c r="AL937">
        <f t="shared" si="539"/>
        <v>0</v>
      </c>
      <c r="AM937">
        <f t="shared" si="540"/>
        <v>0</v>
      </c>
      <c r="AN937">
        <f t="shared" si="541"/>
        <v>0</v>
      </c>
      <c r="AO937">
        <f t="shared" si="542"/>
        <v>0</v>
      </c>
      <c r="AP937">
        <f t="shared" si="543"/>
        <v>0</v>
      </c>
      <c r="AQ937">
        <f t="shared" si="544"/>
        <v>0</v>
      </c>
    </row>
    <row r="938" spans="6:43" x14ac:dyDescent="0.45">
      <c r="F938">
        <f t="shared" si="545"/>
        <v>0</v>
      </c>
      <c r="G938">
        <f t="shared" si="546"/>
        <v>0</v>
      </c>
      <c r="H938">
        <f t="shared" si="547"/>
        <v>0</v>
      </c>
      <c r="I938">
        <f t="shared" si="548"/>
        <v>0</v>
      </c>
      <c r="J938">
        <f t="shared" si="549"/>
        <v>0</v>
      </c>
      <c r="K938">
        <f t="shared" si="550"/>
        <v>0</v>
      </c>
      <c r="L938">
        <f t="shared" si="551"/>
        <v>0</v>
      </c>
      <c r="M938">
        <f t="shared" si="552"/>
        <v>0</v>
      </c>
      <c r="N938">
        <f t="shared" si="553"/>
        <v>0</v>
      </c>
      <c r="O938">
        <f t="shared" si="554"/>
        <v>0</v>
      </c>
      <c r="P938">
        <f t="shared" si="555"/>
        <v>0</v>
      </c>
      <c r="Q938">
        <f t="shared" si="556"/>
        <v>0</v>
      </c>
      <c r="S938">
        <f t="shared" si="521"/>
        <v>0</v>
      </c>
      <c r="T938">
        <f t="shared" si="522"/>
        <v>0</v>
      </c>
      <c r="U938">
        <f t="shared" si="523"/>
        <v>0</v>
      </c>
      <c r="V938">
        <f t="shared" si="524"/>
        <v>0</v>
      </c>
      <c r="W938">
        <f t="shared" si="525"/>
        <v>0</v>
      </c>
      <c r="X938">
        <f t="shared" si="526"/>
        <v>0</v>
      </c>
      <c r="Y938">
        <f t="shared" si="527"/>
        <v>0</v>
      </c>
      <c r="Z938">
        <f t="shared" si="528"/>
        <v>0</v>
      </c>
      <c r="AA938">
        <f t="shared" si="529"/>
        <v>0</v>
      </c>
      <c r="AB938">
        <f t="shared" si="530"/>
        <v>0</v>
      </c>
      <c r="AC938">
        <f t="shared" si="531"/>
        <v>0</v>
      </c>
      <c r="AD938">
        <f t="shared" si="532"/>
        <v>0</v>
      </c>
      <c r="AF938">
        <f t="shared" si="533"/>
        <v>0</v>
      </c>
      <c r="AG938">
        <f t="shared" si="534"/>
        <v>0</v>
      </c>
      <c r="AH938">
        <f t="shared" si="535"/>
        <v>0</v>
      </c>
      <c r="AI938">
        <f t="shared" si="536"/>
        <v>0</v>
      </c>
      <c r="AJ938">
        <f t="shared" si="537"/>
        <v>0</v>
      </c>
      <c r="AK938">
        <f t="shared" si="538"/>
        <v>0</v>
      </c>
      <c r="AL938">
        <f t="shared" si="539"/>
        <v>0</v>
      </c>
      <c r="AM938">
        <f t="shared" si="540"/>
        <v>0</v>
      </c>
      <c r="AN938">
        <f t="shared" si="541"/>
        <v>0</v>
      </c>
      <c r="AO938">
        <f t="shared" si="542"/>
        <v>0</v>
      </c>
      <c r="AP938">
        <f t="shared" si="543"/>
        <v>0</v>
      </c>
      <c r="AQ938">
        <f t="shared" si="544"/>
        <v>0</v>
      </c>
    </row>
    <row r="939" spans="6:43" x14ac:dyDescent="0.45">
      <c r="F939">
        <f t="shared" si="545"/>
        <v>0</v>
      </c>
      <c r="G939">
        <f t="shared" si="546"/>
        <v>0</v>
      </c>
      <c r="H939">
        <f t="shared" si="547"/>
        <v>0</v>
      </c>
      <c r="I939">
        <f t="shared" si="548"/>
        <v>0</v>
      </c>
      <c r="J939">
        <f t="shared" si="549"/>
        <v>0</v>
      </c>
      <c r="K939">
        <f t="shared" si="550"/>
        <v>0</v>
      </c>
      <c r="L939">
        <f t="shared" si="551"/>
        <v>0</v>
      </c>
      <c r="M939">
        <f t="shared" si="552"/>
        <v>0</v>
      </c>
      <c r="N939">
        <f t="shared" si="553"/>
        <v>0</v>
      </c>
      <c r="O939">
        <f t="shared" si="554"/>
        <v>0</v>
      </c>
      <c r="P939">
        <f t="shared" si="555"/>
        <v>0</v>
      </c>
      <c r="Q939">
        <f t="shared" si="556"/>
        <v>0</v>
      </c>
      <c r="S939">
        <f t="shared" ref="S939:S1002" si="557">IF(F939&gt;0,1,0)+S940</f>
        <v>0</v>
      </c>
      <c r="T939">
        <f t="shared" ref="T939:T1002" si="558">IF(G939&gt;0,1,0)+T940</f>
        <v>0</v>
      </c>
      <c r="U939">
        <f t="shared" ref="U939:U1002" si="559">IF(H939&gt;0,1,0)+U940</f>
        <v>0</v>
      </c>
      <c r="V939">
        <f t="shared" ref="V939:V1002" si="560">IF(I939&gt;0,1,0)+V940</f>
        <v>0</v>
      </c>
      <c r="W939">
        <f t="shared" ref="W939:W1002" si="561">IF(J939&gt;0,1,0)+W940</f>
        <v>0</v>
      </c>
      <c r="X939">
        <f t="shared" ref="X939:X1002" si="562">IF(K939&gt;0,1,0)+X940</f>
        <v>0</v>
      </c>
      <c r="Y939">
        <f t="shared" ref="Y939:Y1002" si="563">IF(L939&gt;0,1,0)+Y940</f>
        <v>0</v>
      </c>
      <c r="Z939">
        <f t="shared" ref="Z939:Z1002" si="564">IF(M939&gt;0,1,0)+Z940</f>
        <v>0</v>
      </c>
      <c r="AA939">
        <f t="shared" ref="AA939:AA1002" si="565">IF(N939&gt;0,1,0)+AA940</f>
        <v>0</v>
      </c>
      <c r="AB939">
        <f t="shared" ref="AB939:AB1002" si="566">IF(O939&gt;0,1,0)+AB940</f>
        <v>0</v>
      </c>
      <c r="AC939">
        <f t="shared" ref="AC939:AC1002" si="567">IF(P939&gt;0,1,0)+AC940</f>
        <v>0</v>
      </c>
      <c r="AD939">
        <f t="shared" ref="AD939:AD1002" si="568">IF(Q939&gt;0,1,0)+AD940</f>
        <v>0</v>
      </c>
      <c r="AF939">
        <f t="shared" ref="AF939:AF1002" si="569">IF(S939&lt;=$AT$1,F939,0)</f>
        <v>0</v>
      </c>
      <c r="AG939">
        <f t="shared" ref="AG939:AG1002" si="570">IF(T939&lt;=$AT$1,G939,0)</f>
        <v>0</v>
      </c>
      <c r="AH939">
        <f t="shared" ref="AH939:AH1002" si="571">IF(U939&lt;=$AT$1,H939,0)</f>
        <v>0</v>
      </c>
      <c r="AI939">
        <f t="shared" ref="AI939:AI1002" si="572">IF(V939&lt;=$AT$1,I939,0)</f>
        <v>0</v>
      </c>
      <c r="AJ939">
        <f t="shared" ref="AJ939:AJ1002" si="573">IF(W939&lt;=$AT$1,J939,0)</f>
        <v>0</v>
      </c>
      <c r="AK939">
        <f t="shared" ref="AK939:AK1002" si="574">IF(X939&lt;=$AT$1,K939,0)</f>
        <v>0</v>
      </c>
      <c r="AL939">
        <f t="shared" ref="AL939:AL1002" si="575">IF(Y939&lt;=$AT$1,L939,0)</f>
        <v>0</v>
      </c>
      <c r="AM939">
        <f t="shared" ref="AM939:AM1002" si="576">IF(Z939&lt;=$AT$1,M939,0)</f>
        <v>0</v>
      </c>
      <c r="AN939">
        <f t="shared" ref="AN939:AN1002" si="577">IF(AA939&lt;=$AT$1,N939,0)</f>
        <v>0</v>
      </c>
      <c r="AO939">
        <f t="shared" ref="AO939:AO1002" si="578">IF(AB939&lt;=$AT$1,O939,0)</f>
        <v>0</v>
      </c>
      <c r="AP939">
        <f t="shared" ref="AP939:AP1002" si="579">IF(AC939&lt;=$AT$1,P939,0)</f>
        <v>0</v>
      </c>
      <c r="AQ939">
        <f t="shared" ref="AQ939:AQ1002" si="580">IF(AD939&lt;=$AT$1,Q939,0)</f>
        <v>0</v>
      </c>
    </row>
    <row r="940" spans="6:43" x14ac:dyDescent="0.45">
      <c r="F940">
        <f t="shared" si="545"/>
        <v>0</v>
      </c>
      <c r="G940">
        <f t="shared" si="546"/>
        <v>0</v>
      </c>
      <c r="H940">
        <f t="shared" si="547"/>
        <v>0</v>
      </c>
      <c r="I940">
        <f t="shared" si="548"/>
        <v>0</v>
      </c>
      <c r="J940">
        <f t="shared" si="549"/>
        <v>0</v>
      </c>
      <c r="K940">
        <f t="shared" si="550"/>
        <v>0</v>
      </c>
      <c r="L940">
        <f t="shared" si="551"/>
        <v>0</v>
      </c>
      <c r="M940">
        <f t="shared" si="552"/>
        <v>0</v>
      </c>
      <c r="N940">
        <f t="shared" si="553"/>
        <v>0</v>
      </c>
      <c r="O940">
        <f t="shared" si="554"/>
        <v>0</v>
      </c>
      <c r="P940">
        <f t="shared" si="555"/>
        <v>0</v>
      </c>
      <c r="Q940">
        <f t="shared" si="556"/>
        <v>0</v>
      </c>
      <c r="S940">
        <f t="shared" si="557"/>
        <v>0</v>
      </c>
      <c r="T940">
        <f t="shared" si="558"/>
        <v>0</v>
      </c>
      <c r="U940">
        <f t="shared" si="559"/>
        <v>0</v>
      </c>
      <c r="V940">
        <f t="shared" si="560"/>
        <v>0</v>
      </c>
      <c r="W940">
        <f t="shared" si="561"/>
        <v>0</v>
      </c>
      <c r="X940">
        <f t="shared" si="562"/>
        <v>0</v>
      </c>
      <c r="Y940">
        <f t="shared" si="563"/>
        <v>0</v>
      </c>
      <c r="Z940">
        <f t="shared" si="564"/>
        <v>0</v>
      </c>
      <c r="AA940">
        <f t="shared" si="565"/>
        <v>0</v>
      </c>
      <c r="AB940">
        <f t="shared" si="566"/>
        <v>0</v>
      </c>
      <c r="AC940">
        <f t="shared" si="567"/>
        <v>0</v>
      </c>
      <c r="AD940">
        <f t="shared" si="568"/>
        <v>0</v>
      </c>
      <c r="AF940">
        <f t="shared" si="569"/>
        <v>0</v>
      </c>
      <c r="AG940">
        <f t="shared" si="570"/>
        <v>0</v>
      </c>
      <c r="AH940">
        <f t="shared" si="571"/>
        <v>0</v>
      </c>
      <c r="AI940">
        <f t="shared" si="572"/>
        <v>0</v>
      </c>
      <c r="AJ940">
        <f t="shared" si="573"/>
        <v>0</v>
      </c>
      <c r="AK940">
        <f t="shared" si="574"/>
        <v>0</v>
      </c>
      <c r="AL940">
        <f t="shared" si="575"/>
        <v>0</v>
      </c>
      <c r="AM940">
        <f t="shared" si="576"/>
        <v>0</v>
      </c>
      <c r="AN940">
        <f t="shared" si="577"/>
        <v>0</v>
      </c>
      <c r="AO940">
        <f t="shared" si="578"/>
        <v>0</v>
      </c>
      <c r="AP940">
        <f t="shared" si="579"/>
        <v>0</v>
      </c>
      <c r="AQ940">
        <f t="shared" si="580"/>
        <v>0</v>
      </c>
    </row>
    <row r="941" spans="6:43" x14ac:dyDescent="0.45">
      <c r="F941">
        <f t="shared" si="545"/>
        <v>0</v>
      </c>
      <c r="G941">
        <f t="shared" si="546"/>
        <v>0</v>
      </c>
      <c r="H941">
        <f t="shared" si="547"/>
        <v>0</v>
      </c>
      <c r="I941">
        <f t="shared" si="548"/>
        <v>0</v>
      </c>
      <c r="J941">
        <f t="shared" si="549"/>
        <v>0</v>
      </c>
      <c r="K941">
        <f t="shared" si="550"/>
        <v>0</v>
      </c>
      <c r="L941">
        <f t="shared" si="551"/>
        <v>0</v>
      </c>
      <c r="M941">
        <f t="shared" si="552"/>
        <v>0</v>
      </c>
      <c r="N941">
        <f t="shared" si="553"/>
        <v>0</v>
      </c>
      <c r="O941">
        <f t="shared" si="554"/>
        <v>0</v>
      </c>
      <c r="P941">
        <f t="shared" si="555"/>
        <v>0</v>
      </c>
      <c r="Q941">
        <f t="shared" si="556"/>
        <v>0</v>
      </c>
      <c r="S941">
        <f t="shared" si="557"/>
        <v>0</v>
      </c>
      <c r="T941">
        <f t="shared" si="558"/>
        <v>0</v>
      </c>
      <c r="U941">
        <f t="shared" si="559"/>
        <v>0</v>
      </c>
      <c r="V941">
        <f t="shared" si="560"/>
        <v>0</v>
      </c>
      <c r="W941">
        <f t="shared" si="561"/>
        <v>0</v>
      </c>
      <c r="X941">
        <f t="shared" si="562"/>
        <v>0</v>
      </c>
      <c r="Y941">
        <f t="shared" si="563"/>
        <v>0</v>
      </c>
      <c r="Z941">
        <f t="shared" si="564"/>
        <v>0</v>
      </c>
      <c r="AA941">
        <f t="shared" si="565"/>
        <v>0</v>
      </c>
      <c r="AB941">
        <f t="shared" si="566"/>
        <v>0</v>
      </c>
      <c r="AC941">
        <f t="shared" si="567"/>
        <v>0</v>
      </c>
      <c r="AD941">
        <f t="shared" si="568"/>
        <v>0</v>
      </c>
      <c r="AF941">
        <f t="shared" si="569"/>
        <v>0</v>
      </c>
      <c r="AG941">
        <f t="shared" si="570"/>
        <v>0</v>
      </c>
      <c r="AH941">
        <f t="shared" si="571"/>
        <v>0</v>
      </c>
      <c r="AI941">
        <f t="shared" si="572"/>
        <v>0</v>
      </c>
      <c r="AJ941">
        <f t="shared" si="573"/>
        <v>0</v>
      </c>
      <c r="AK941">
        <f t="shared" si="574"/>
        <v>0</v>
      </c>
      <c r="AL941">
        <f t="shared" si="575"/>
        <v>0</v>
      </c>
      <c r="AM941">
        <f t="shared" si="576"/>
        <v>0</v>
      </c>
      <c r="AN941">
        <f t="shared" si="577"/>
        <v>0</v>
      </c>
      <c r="AO941">
        <f t="shared" si="578"/>
        <v>0</v>
      </c>
      <c r="AP941">
        <f t="shared" si="579"/>
        <v>0</v>
      </c>
      <c r="AQ941">
        <f t="shared" si="580"/>
        <v>0</v>
      </c>
    </row>
    <row r="942" spans="6:43" x14ac:dyDescent="0.45">
      <c r="F942">
        <f t="shared" si="545"/>
        <v>0</v>
      </c>
      <c r="G942">
        <f t="shared" si="546"/>
        <v>0</v>
      </c>
      <c r="H942">
        <f t="shared" si="547"/>
        <v>0</v>
      </c>
      <c r="I942">
        <f t="shared" si="548"/>
        <v>0</v>
      </c>
      <c r="J942">
        <f t="shared" si="549"/>
        <v>0</v>
      </c>
      <c r="K942">
        <f t="shared" si="550"/>
        <v>0</v>
      </c>
      <c r="L942">
        <f t="shared" si="551"/>
        <v>0</v>
      </c>
      <c r="M942">
        <f t="shared" si="552"/>
        <v>0</v>
      </c>
      <c r="N942">
        <f t="shared" si="553"/>
        <v>0</v>
      </c>
      <c r="O942">
        <f t="shared" si="554"/>
        <v>0</v>
      </c>
      <c r="P942">
        <f t="shared" si="555"/>
        <v>0</v>
      </c>
      <c r="Q942">
        <f t="shared" si="556"/>
        <v>0</v>
      </c>
      <c r="S942">
        <f t="shared" si="557"/>
        <v>0</v>
      </c>
      <c r="T942">
        <f t="shared" si="558"/>
        <v>0</v>
      </c>
      <c r="U942">
        <f t="shared" si="559"/>
        <v>0</v>
      </c>
      <c r="V942">
        <f t="shared" si="560"/>
        <v>0</v>
      </c>
      <c r="W942">
        <f t="shared" si="561"/>
        <v>0</v>
      </c>
      <c r="X942">
        <f t="shared" si="562"/>
        <v>0</v>
      </c>
      <c r="Y942">
        <f t="shared" si="563"/>
        <v>0</v>
      </c>
      <c r="Z942">
        <f t="shared" si="564"/>
        <v>0</v>
      </c>
      <c r="AA942">
        <f t="shared" si="565"/>
        <v>0</v>
      </c>
      <c r="AB942">
        <f t="shared" si="566"/>
        <v>0</v>
      </c>
      <c r="AC942">
        <f t="shared" si="567"/>
        <v>0</v>
      </c>
      <c r="AD942">
        <f t="shared" si="568"/>
        <v>0</v>
      </c>
      <c r="AF942">
        <f t="shared" si="569"/>
        <v>0</v>
      </c>
      <c r="AG942">
        <f t="shared" si="570"/>
        <v>0</v>
      </c>
      <c r="AH942">
        <f t="shared" si="571"/>
        <v>0</v>
      </c>
      <c r="AI942">
        <f t="shared" si="572"/>
        <v>0</v>
      </c>
      <c r="AJ942">
        <f t="shared" si="573"/>
        <v>0</v>
      </c>
      <c r="AK942">
        <f t="shared" si="574"/>
        <v>0</v>
      </c>
      <c r="AL942">
        <f t="shared" si="575"/>
        <v>0</v>
      </c>
      <c r="AM942">
        <f t="shared" si="576"/>
        <v>0</v>
      </c>
      <c r="AN942">
        <f t="shared" si="577"/>
        <v>0</v>
      </c>
      <c r="AO942">
        <f t="shared" si="578"/>
        <v>0</v>
      </c>
      <c r="AP942">
        <f t="shared" si="579"/>
        <v>0</v>
      </c>
      <c r="AQ942">
        <f t="shared" si="580"/>
        <v>0</v>
      </c>
    </row>
    <row r="943" spans="6:43" x14ac:dyDescent="0.45">
      <c r="F943">
        <f t="shared" si="545"/>
        <v>0</v>
      </c>
      <c r="G943">
        <f t="shared" si="546"/>
        <v>0</v>
      </c>
      <c r="H943">
        <f t="shared" si="547"/>
        <v>0</v>
      </c>
      <c r="I943">
        <f t="shared" si="548"/>
        <v>0</v>
      </c>
      <c r="J943">
        <f t="shared" si="549"/>
        <v>0</v>
      </c>
      <c r="K943">
        <f t="shared" si="550"/>
        <v>0</v>
      </c>
      <c r="L943">
        <f t="shared" si="551"/>
        <v>0</v>
      </c>
      <c r="M943">
        <f t="shared" si="552"/>
        <v>0</v>
      </c>
      <c r="N943">
        <f t="shared" si="553"/>
        <v>0</v>
      </c>
      <c r="O943">
        <f t="shared" si="554"/>
        <v>0</v>
      </c>
      <c r="P943">
        <f t="shared" si="555"/>
        <v>0</v>
      </c>
      <c r="Q943">
        <f t="shared" si="556"/>
        <v>0</v>
      </c>
      <c r="S943">
        <f t="shared" si="557"/>
        <v>0</v>
      </c>
      <c r="T943">
        <f t="shared" si="558"/>
        <v>0</v>
      </c>
      <c r="U943">
        <f t="shared" si="559"/>
        <v>0</v>
      </c>
      <c r="V943">
        <f t="shared" si="560"/>
        <v>0</v>
      </c>
      <c r="W943">
        <f t="shared" si="561"/>
        <v>0</v>
      </c>
      <c r="X943">
        <f t="shared" si="562"/>
        <v>0</v>
      </c>
      <c r="Y943">
        <f t="shared" si="563"/>
        <v>0</v>
      </c>
      <c r="Z943">
        <f t="shared" si="564"/>
        <v>0</v>
      </c>
      <c r="AA943">
        <f t="shared" si="565"/>
        <v>0</v>
      </c>
      <c r="AB943">
        <f t="shared" si="566"/>
        <v>0</v>
      </c>
      <c r="AC943">
        <f t="shared" si="567"/>
        <v>0</v>
      </c>
      <c r="AD943">
        <f t="shared" si="568"/>
        <v>0</v>
      </c>
      <c r="AF943">
        <f t="shared" si="569"/>
        <v>0</v>
      </c>
      <c r="AG943">
        <f t="shared" si="570"/>
        <v>0</v>
      </c>
      <c r="AH943">
        <f t="shared" si="571"/>
        <v>0</v>
      </c>
      <c r="AI943">
        <f t="shared" si="572"/>
        <v>0</v>
      </c>
      <c r="AJ943">
        <f t="shared" si="573"/>
        <v>0</v>
      </c>
      <c r="AK943">
        <f t="shared" si="574"/>
        <v>0</v>
      </c>
      <c r="AL943">
        <f t="shared" si="575"/>
        <v>0</v>
      </c>
      <c r="AM943">
        <f t="shared" si="576"/>
        <v>0</v>
      </c>
      <c r="AN943">
        <f t="shared" si="577"/>
        <v>0</v>
      </c>
      <c r="AO943">
        <f t="shared" si="578"/>
        <v>0</v>
      </c>
      <c r="AP943">
        <f t="shared" si="579"/>
        <v>0</v>
      </c>
      <c r="AQ943">
        <f t="shared" si="580"/>
        <v>0</v>
      </c>
    </row>
    <row r="944" spans="6:43" x14ac:dyDescent="0.45">
      <c r="F944">
        <f t="shared" si="545"/>
        <v>0</v>
      </c>
      <c r="G944">
        <f t="shared" si="546"/>
        <v>0</v>
      </c>
      <c r="H944">
        <f t="shared" si="547"/>
        <v>0</v>
      </c>
      <c r="I944">
        <f t="shared" si="548"/>
        <v>0</v>
      </c>
      <c r="J944">
        <f t="shared" si="549"/>
        <v>0</v>
      </c>
      <c r="K944">
        <f t="shared" si="550"/>
        <v>0</v>
      </c>
      <c r="L944">
        <f t="shared" si="551"/>
        <v>0</v>
      </c>
      <c r="M944">
        <f t="shared" si="552"/>
        <v>0</v>
      </c>
      <c r="N944">
        <f t="shared" si="553"/>
        <v>0</v>
      </c>
      <c r="O944">
        <f t="shared" si="554"/>
        <v>0</v>
      </c>
      <c r="P944">
        <f t="shared" si="555"/>
        <v>0</v>
      </c>
      <c r="Q944">
        <f t="shared" si="556"/>
        <v>0</v>
      </c>
      <c r="S944">
        <f t="shared" si="557"/>
        <v>0</v>
      </c>
      <c r="T944">
        <f t="shared" si="558"/>
        <v>0</v>
      </c>
      <c r="U944">
        <f t="shared" si="559"/>
        <v>0</v>
      </c>
      <c r="V944">
        <f t="shared" si="560"/>
        <v>0</v>
      </c>
      <c r="W944">
        <f t="shared" si="561"/>
        <v>0</v>
      </c>
      <c r="X944">
        <f t="shared" si="562"/>
        <v>0</v>
      </c>
      <c r="Y944">
        <f t="shared" si="563"/>
        <v>0</v>
      </c>
      <c r="Z944">
        <f t="shared" si="564"/>
        <v>0</v>
      </c>
      <c r="AA944">
        <f t="shared" si="565"/>
        <v>0</v>
      </c>
      <c r="AB944">
        <f t="shared" si="566"/>
        <v>0</v>
      </c>
      <c r="AC944">
        <f t="shared" si="567"/>
        <v>0</v>
      </c>
      <c r="AD944">
        <f t="shared" si="568"/>
        <v>0</v>
      </c>
      <c r="AF944">
        <f t="shared" si="569"/>
        <v>0</v>
      </c>
      <c r="AG944">
        <f t="shared" si="570"/>
        <v>0</v>
      </c>
      <c r="AH944">
        <f t="shared" si="571"/>
        <v>0</v>
      </c>
      <c r="AI944">
        <f t="shared" si="572"/>
        <v>0</v>
      </c>
      <c r="AJ944">
        <f t="shared" si="573"/>
        <v>0</v>
      </c>
      <c r="AK944">
        <f t="shared" si="574"/>
        <v>0</v>
      </c>
      <c r="AL944">
        <f t="shared" si="575"/>
        <v>0</v>
      </c>
      <c r="AM944">
        <f t="shared" si="576"/>
        <v>0</v>
      </c>
      <c r="AN944">
        <f t="shared" si="577"/>
        <v>0</v>
      </c>
      <c r="AO944">
        <f t="shared" si="578"/>
        <v>0</v>
      </c>
      <c r="AP944">
        <f t="shared" si="579"/>
        <v>0</v>
      </c>
      <c r="AQ944">
        <f t="shared" si="580"/>
        <v>0</v>
      </c>
    </row>
    <row r="945" spans="6:43" x14ac:dyDescent="0.45">
      <c r="F945">
        <f t="shared" si="545"/>
        <v>0</v>
      </c>
      <c r="G945">
        <f t="shared" si="546"/>
        <v>0</v>
      </c>
      <c r="H945">
        <f t="shared" si="547"/>
        <v>0</v>
      </c>
      <c r="I945">
        <f t="shared" si="548"/>
        <v>0</v>
      </c>
      <c r="J945">
        <f t="shared" si="549"/>
        <v>0</v>
      </c>
      <c r="K945">
        <f t="shared" si="550"/>
        <v>0</v>
      </c>
      <c r="L945">
        <f t="shared" si="551"/>
        <v>0</v>
      </c>
      <c r="M945">
        <f t="shared" si="552"/>
        <v>0</v>
      </c>
      <c r="N945">
        <f t="shared" si="553"/>
        <v>0</v>
      </c>
      <c r="O945">
        <f t="shared" si="554"/>
        <v>0</v>
      </c>
      <c r="P945">
        <f t="shared" si="555"/>
        <v>0</v>
      </c>
      <c r="Q945">
        <f t="shared" si="556"/>
        <v>0</v>
      </c>
      <c r="S945">
        <f t="shared" si="557"/>
        <v>0</v>
      </c>
      <c r="T945">
        <f t="shared" si="558"/>
        <v>0</v>
      </c>
      <c r="U945">
        <f t="shared" si="559"/>
        <v>0</v>
      </c>
      <c r="V945">
        <f t="shared" si="560"/>
        <v>0</v>
      </c>
      <c r="W945">
        <f t="shared" si="561"/>
        <v>0</v>
      </c>
      <c r="X945">
        <f t="shared" si="562"/>
        <v>0</v>
      </c>
      <c r="Y945">
        <f t="shared" si="563"/>
        <v>0</v>
      </c>
      <c r="Z945">
        <f t="shared" si="564"/>
        <v>0</v>
      </c>
      <c r="AA945">
        <f t="shared" si="565"/>
        <v>0</v>
      </c>
      <c r="AB945">
        <f t="shared" si="566"/>
        <v>0</v>
      </c>
      <c r="AC945">
        <f t="shared" si="567"/>
        <v>0</v>
      </c>
      <c r="AD945">
        <f t="shared" si="568"/>
        <v>0</v>
      </c>
      <c r="AF945">
        <f t="shared" si="569"/>
        <v>0</v>
      </c>
      <c r="AG945">
        <f t="shared" si="570"/>
        <v>0</v>
      </c>
      <c r="AH945">
        <f t="shared" si="571"/>
        <v>0</v>
      </c>
      <c r="AI945">
        <f t="shared" si="572"/>
        <v>0</v>
      </c>
      <c r="AJ945">
        <f t="shared" si="573"/>
        <v>0</v>
      </c>
      <c r="AK945">
        <f t="shared" si="574"/>
        <v>0</v>
      </c>
      <c r="AL945">
        <f t="shared" si="575"/>
        <v>0</v>
      </c>
      <c r="AM945">
        <f t="shared" si="576"/>
        <v>0</v>
      </c>
      <c r="AN945">
        <f t="shared" si="577"/>
        <v>0</v>
      </c>
      <c r="AO945">
        <f t="shared" si="578"/>
        <v>0</v>
      </c>
      <c r="AP945">
        <f t="shared" si="579"/>
        <v>0</v>
      </c>
      <c r="AQ945">
        <f t="shared" si="580"/>
        <v>0</v>
      </c>
    </row>
    <row r="946" spans="6:43" x14ac:dyDescent="0.45">
      <c r="F946">
        <f t="shared" si="545"/>
        <v>0</v>
      </c>
      <c r="G946">
        <f t="shared" si="546"/>
        <v>0</v>
      </c>
      <c r="H946">
        <f t="shared" si="547"/>
        <v>0</v>
      </c>
      <c r="I946">
        <f t="shared" si="548"/>
        <v>0</v>
      </c>
      <c r="J946">
        <f t="shared" si="549"/>
        <v>0</v>
      </c>
      <c r="K946">
        <f t="shared" si="550"/>
        <v>0</v>
      </c>
      <c r="L946">
        <f t="shared" si="551"/>
        <v>0</v>
      </c>
      <c r="M946">
        <f t="shared" si="552"/>
        <v>0</v>
      </c>
      <c r="N946">
        <f t="shared" si="553"/>
        <v>0</v>
      </c>
      <c r="O946">
        <f t="shared" si="554"/>
        <v>0</v>
      </c>
      <c r="P946">
        <f t="shared" si="555"/>
        <v>0</v>
      </c>
      <c r="Q946">
        <f t="shared" si="556"/>
        <v>0</v>
      </c>
      <c r="S946">
        <f t="shared" si="557"/>
        <v>0</v>
      </c>
      <c r="T946">
        <f t="shared" si="558"/>
        <v>0</v>
      </c>
      <c r="U946">
        <f t="shared" si="559"/>
        <v>0</v>
      </c>
      <c r="V946">
        <f t="shared" si="560"/>
        <v>0</v>
      </c>
      <c r="W946">
        <f t="shared" si="561"/>
        <v>0</v>
      </c>
      <c r="X946">
        <f t="shared" si="562"/>
        <v>0</v>
      </c>
      <c r="Y946">
        <f t="shared" si="563"/>
        <v>0</v>
      </c>
      <c r="Z946">
        <f t="shared" si="564"/>
        <v>0</v>
      </c>
      <c r="AA946">
        <f t="shared" si="565"/>
        <v>0</v>
      </c>
      <c r="AB946">
        <f t="shared" si="566"/>
        <v>0</v>
      </c>
      <c r="AC946">
        <f t="shared" si="567"/>
        <v>0</v>
      </c>
      <c r="AD946">
        <f t="shared" si="568"/>
        <v>0</v>
      </c>
      <c r="AF946">
        <f t="shared" si="569"/>
        <v>0</v>
      </c>
      <c r="AG946">
        <f t="shared" si="570"/>
        <v>0</v>
      </c>
      <c r="AH946">
        <f t="shared" si="571"/>
        <v>0</v>
      </c>
      <c r="AI946">
        <f t="shared" si="572"/>
        <v>0</v>
      </c>
      <c r="AJ946">
        <f t="shared" si="573"/>
        <v>0</v>
      </c>
      <c r="AK946">
        <f t="shared" si="574"/>
        <v>0</v>
      </c>
      <c r="AL946">
        <f t="shared" si="575"/>
        <v>0</v>
      </c>
      <c r="AM946">
        <f t="shared" si="576"/>
        <v>0</v>
      </c>
      <c r="AN946">
        <f t="shared" si="577"/>
        <v>0</v>
      </c>
      <c r="AO946">
        <f t="shared" si="578"/>
        <v>0</v>
      </c>
      <c r="AP946">
        <f t="shared" si="579"/>
        <v>0</v>
      </c>
      <c r="AQ946">
        <f t="shared" si="580"/>
        <v>0</v>
      </c>
    </row>
    <row r="947" spans="6:43" x14ac:dyDescent="0.45">
      <c r="F947">
        <f t="shared" si="545"/>
        <v>0</v>
      </c>
      <c r="G947">
        <f t="shared" si="546"/>
        <v>0</v>
      </c>
      <c r="H947">
        <f t="shared" si="547"/>
        <v>0</v>
      </c>
      <c r="I947">
        <f t="shared" si="548"/>
        <v>0</v>
      </c>
      <c r="J947">
        <f t="shared" si="549"/>
        <v>0</v>
      </c>
      <c r="K947">
        <f t="shared" si="550"/>
        <v>0</v>
      </c>
      <c r="L947">
        <f t="shared" si="551"/>
        <v>0</v>
      </c>
      <c r="M947">
        <f t="shared" si="552"/>
        <v>0</v>
      </c>
      <c r="N947">
        <f t="shared" si="553"/>
        <v>0</v>
      </c>
      <c r="O947">
        <f t="shared" si="554"/>
        <v>0</v>
      </c>
      <c r="P947">
        <f t="shared" si="555"/>
        <v>0</v>
      </c>
      <c r="Q947">
        <f t="shared" si="556"/>
        <v>0</v>
      </c>
      <c r="S947">
        <f t="shared" si="557"/>
        <v>0</v>
      </c>
      <c r="T947">
        <f t="shared" si="558"/>
        <v>0</v>
      </c>
      <c r="U947">
        <f t="shared" si="559"/>
        <v>0</v>
      </c>
      <c r="V947">
        <f t="shared" si="560"/>
        <v>0</v>
      </c>
      <c r="W947">
        <f t="shared" si="561"/>
        <v>0</v>
      </c>
      <c r="X947">
        <f t="shared" si="562"/>
        <v>0</v>
      </c>
      <c r="Y947">
        <f t="shared" si="563"/>
        <v>0</v>
      </c>
      <c r="Z947">
        <f t="shared" si="564"/>
        <v>0</v>
      </c>
      <c r="AA947">
        <f t="shared" si="565"/>
        <v>0</v>
      </c>
      <c r="AB947">
        <f t="shared" si="566"/>
        <v>0</v>
      </c>
      <c r="AC947">
        <f t="shared" si="567"/>
        <v>0</v>
      </c>
      <c r="AD947">
        <f t="shared" si="568"/>
        <v>0</v>
      </c>
      <c r="AF947">
        <f t="shared" si="569"/>
        <v>0</v>
      </c>
      <c r="AG947">
        <f t="shared" si="570"/>
        <v>0</v>
      </c>
      <c r="AH947">
        <f t="shared" si="571"/>
        <v>0</v>
      </c>
      <c r="AI947">
        <f t="shared" si="572"/>
        <v>0</v>
      </c>
      <c r="AJ947">
        <f t="shared" si="573"/>
        <v>0</v>
      </c>
      <c r="AK947">
        <f t="shared" si="574"/>
        <v>0</v>
      </c>
      <c r="AL947">
        <f t="shared" si="575"/>
        <v>0</v>
      </c>
      <c r="AM947">
        <f t="shared" si="576"/>
        <v>0</v>
      </c>
      <c r="AN947">
        <f t="shared" si="577"/>
        <v>0</v>
      </c>
      <c r="AO947">
        <f t="shared" si="578"/>
        <v>0</v>
      </c>
      <c r="AP947">
        <f t="shared" si="579"/>
        <v>0</v>
      </c>
      <c r="AQ947">
        <f t="shared" si="580"/>
        <v>0</v>
      </c>
    </row>
    <row r="948" spans="6:43" x14ac:dyDescent="0.45">
      <c r="F948">
        <f t="shared" si="545"/>
        <v>0</v>
      </c>
      <c r="G948">
        <f t="shared" si="546"/>
        <v>0</v>
      </c>
      <c r="H948">
        <f t="shared" si="547"/>
        <v>0</v>
      </c>
      <c r="I948">
        <f t="shared" si="548"/>
        <v>0</v>
      </c>
      <c r="J948">
        <f t="shared" si="549"/>
        <v>0</v>
      </c>
      <c r="K948">
        <f t="shared" si="550"/>
        <v>0</v>
      </c>
      <c r="L948">
        <f t="shared" si="551"/>
        <v>0</v>
      </c>
      <c r="M948">
        <f t="shared" si="552"/>
        <v>0</v>
      </c>
      <c r="N948">
        <f t="shared" si="553"/>
        <v>0</v>
      </c>
      <c r="O948">
        <f t="shared" si="554"/>
        <v>0</v>
      </c>
      <c r="P948">
        <f t="shared" si="555"/>
        <v>0</v>
      </c>
      <c r="Q948">
        <f t="shared" si="556"/>
        <v>0</v>
      </c>
      <c r="S948">
        <f t="shared" si="557"/>
        <v>0</v>
      </c>
      <c r="T948">
        <f t="shared" si="558"/>
        <v>0</v>
      </c>
      <c r="U948">
        <f t="shared" si="559"/>
        <v>0</v>
      </c>
      <c r="V948">
        <f t="shared" si="560"/>
        <v>0</v>
      </c>
      <c r="W948">
        <f t="shared" si="561"/>
        <v>0</v>
      </c>
      <c r="X948">
        <f t="shared" si="562"/>
        <v>0</v>
      </c>
      <c r="Y948">
        <f t="shared" si="563"/>
        <v>0</v>
      </c>
      <c r="Z948">
        <f t="shared" si="564"/>
        <v>0</v>
      </c>
      <c r="AA948">
        <f t="shared" si="565"/>
        <v>0</v>
      </c>
      <c r="AB948">
        <f t="shared" si="566"/>
        <v>0</v>
      </c>
      <c r="AC948">
        <f t="shared" si="567"/>
        <v>0</v>
      </c>
      <c r="AD948">
        <f t="shared" si="568"/>
        <v>0</v>
      </c>
      <c r="AF948">
        <f t="shared" si="569"/>
        <v>0</v>
      </c>
      <c r="AG948">
        <f t="shared" si="570"/>
        <v>0</v>
      </c>
      <c r="AH948">
        <f t="shared" si="571"/>
        <v>0</v>
      </c>
      <c r="AI948">
        <f t="shared" si="572"/>
        <v>0</v>
      </c>
      <c r="AJ948">
        <f t="shared" si="573"/>
        <v>0</v>
      </c>
      <c r="AK948">
        <f t="shared" si="574"/>
        <v>0</v>
      </c>
      <c r="AL948">
        <f t="shared" si="575"/>
        <v>0</v>
      </c>
      <c r="AM948">
        <f t="shared" si="576"/>
        <v>0</v>
      </c>
      <c r="AN948">
        <f t="shared" si="577"/>
        <v>0</v>
      </c>
      <c r="AO948">
        <f t="shared" si="578"/>
        <v>0</v>
      </c>
      <c r="AP948">
        <f t="shared" si="579"/>
        <v>0</v>
      </c>
      <c r="AQ948">
        <f t="shared" si="580"/>
        <v>0</v>
      </c>
    </row>
    <row r="949" spans="6:43" x14ac:dyDescent="0.45">
      <c r="F949">
        <f t="shared" si="545"/>
        <v>0</v>
      </c>
      <c r="G949">
        <f t="shared" si="546"/>
        <v>0</v>
      </c>
      <c r="H949">
        <f t="shared" si="547"/>
        <v>0</v>
      </c>
      <c r="I949">
        <f t="shared" si="548"/>
        <v>0</v>
      </c>
      <c r="J949">
        <f t="shared" si="549"/>
        <v>0</v>
      </c>
      <c r="K949">
        <f t="shared" si="550"/>
        <v>0</v>
      </c>
      <c r="L949">
        <f t="shared" si="551"/>
        <v>0</v>
      </c>
      <c r="M949">
        <f t="shared" si="552"/>
        <v>0</v>
      </c>
      <c r="N949">
        <f t="shared" si="553"/>
        <v>0</v>
      </c>
      <c r="O949">
        <f t="shared" si="554"/>
        <v>0</v>
      </c>
      <c r="P949">
        <f t="shared" si="555"/>
        <v>0</v>
      </c>
      <c r="Q949">
        <f t="shared" si="556"/>
        <v>0</v>
      </c>
      <c r="S949">
        <f t="shared" si="557"/>
        <v>0</v>
      </c>
      <c r="T949">
        <f t="shared" si="558"/>
        <v>0</v>
      </c>
      <c r="U949">
        <f t="shared" si="559"/>
        <v>0</v>
      </c>
      <c r="V949">
        <f t="shared" si="560"/>
        <v>0</v>
      </c>
      <c r="W949">
        <f t="shared" si="561"/>
        <v>0</v>
      </c>
      <c r="X949">
        <f t="shared" si="562"/>
        <v>0</v>
      </c>
      <c r="Y949">
        <f t="shared" si="563"/>
        <v>0</v>
      </c>
      <c r="Z949">
        <f t="shared" si="564"/>
        <v>0</v>
      </c>
      <c r="AA949">
        <f t="shared" si="565"/>
        <v>0</v>
      </c>
      <c r="AB949">
        <f t="shared" si="566"/>
        <v>0</v>
      </c>
      <c r="AC949">
        <f t="shared" si="567"/>
        <v>0</v>
      </c>
      <c r="AD949">
        <f t="shared" si="568"/>
        <v>0</v>
      </c>
      <c r="AF949">
        <f t="shared" si="569"/>
        <v>0</v>
      </c>
      <c r="AG949">
        <f t="shared" si="570"/>
        <v>0</v>
      </c>
      <c r="AH949">
        <f t="shared" si="571"/>
        <v>0</v>
      </c>
      <c r="AI949">
        <f t="shared" si="572"/>
        <v>0</v>
      </c>
      <c r="AJ949">
        <f t="shared" si="573"/>
        <v>0</v>
      </c>
      <c r="AK949">
        <f t="shared" si="574"/>
        <v>0</v>
      </c>
      <c r="AL949">
        <f t="shared" si="575"/>
        <v>0</v>
      </c>
      <c r="AM949">
        <f t="shared" si="576"/>
        <v>0</v>
      </c>
      <c r="AN949">
        <f t="shared" si="577"/>
        <v>0</v>
      </c>
      <c r="AO949">
        <f t="shared" si="578"/>
        <v>0</v>
      </c>
      <c r="AP949">
        <f t="shared" si="579"/>
        <v>0</v>
      </c>
      <c r="AQ949">
        <f t="shared" si="580"/>
        <v>0</v>
      </c>
    </row>
    <row r="950" spans="6:43" x14ac:dyDescent="0.45">
      <c r="F950">
        <f t="shared" si="545"/>
        <v>0</v>
      </c>
      <c r="G950">
        <f t="shared" si="546"/>
        <v>0</v>
      </c>
      <c r="H950">
        <f t="shared" si="547"/>
        <v>0</v>
      </c>
      <c r="I950">
        <f t="shared" si="548"/>
        <v>0</v>
      </c>
      <c r="J950">
        <f t="shared" si="549"/>
        <v>0</v>
      </c>
      <c r="K950">
        <f t="shared" si="550"/>
        <v>0</v>
      </c>
      <c r="L950">
        <f t="shared" si="551"/>
        <v>0</v>
      </c>
      <c r="M950">
        <f t="shared" si="552"/>
        <v>0</v>
      </c>
      <c r="N950">
        <f t="shared" si="553"/>
        <v>0</v>
      </c>
      <c r="O950">
        <f t="shared" si="554"/>
        <v>0</v>
      </c>
      <c r="P950">
        <f t="shared" si="555"/>
        <v>0</v>
      </c>
      <c r="Q950">
        <f t="shared" si="556"/>
        <v>0</v>
      </c>
      <c r="S950">
        <f t="shared" si="557"/>
        <v>0</v>
      </c>
      <c r="T950">
        <f t="shared" si="558"/>
        <v>0</v>
      </c>
      <c r="U950">
        <f t="shared" si="559"/>
        <v>0</v>
      </c>
      <c r="V950">
        <f t="shared" si="560"/>
        <v>0</v>
      </c>
      <c r="W950">
        <f t="shared" si="561"/>
        <v>0</v>
      </c>
      <c r="X950">
        <f t="shared" si="562"/>
        <v>0</v>
      </c>
      <c r="Y950">
        <f t="shared" si="563"/>
        <v>0</v>
      </c>
      <c r="Z950">
        <f t="shared" si="564"/>
        <v>0</v>
      </c>
      <c r="AA950">
        <f t="shared" si="565"/>
        <v>0</v>
      </c>
      <c r="AB950">
        <f t="shared" si="566"/>
        <v>0</v>
      </c>
      <c r="AC950">
        <f t="shared" si="567"/>
        <v>0</v>
      </c>
      <c r="AD950">
        <f t="shared" si="568"/>
        <v>0</v>
      </c>
      <c r="AF950">
        <f t="shared" si="569"/>
        <v>0</v>
      </c>
      <c r="AG950">
        <f t="shared" si="570"/>
        <v>0</v>
      </c>
      <c r="AH950">
        <f t="shared" si="571"/>
        <v>0</v>
      </c>
      <c r="AI950">
        <f t="shared" si="572"/>
        <v>0</v>
      </c>
      <c r="AJ950">
        <f t="shared" si="573"/>
        <v>0</v>
      </c>
      <c r="AK950">
        <f t="shared" si="574"/>
        <v>0</v>
      </c>
      <c r="AL950">
        <f t="shared" si="575"/>
        <v>0</v>
      </c>
      <c r="AM950">
        <f t="shared" si="576"/>
        <v>0</v>
      </c>
      <c r="AN950">
        <f t="shared" si="577"/>
        <v>0</v>
      </c>
      <c r="AO950">
        <f t="shared" si="578"/>
        <v>0</v>
      </c>
      <c r="AP950">
        <f t="shared" si="579"/>
        <v>0</v>
      </c>
      <c r="AQ950">
        <f t="shared" si="580"/>
        <v>0</v>
      </c>
    </row>
    <row r="951" spans="6:43" x14ac:dyDescent="0.45">
      <c r="F951">
        <f t="shared" si="545"/>
        <v>0</v>
      </c>
      <c r="G951">
        <f t="shared" si="546"/>
        <v>0</v>
      </c>
      <c r="H951">
        <f t="shared" si="547"/>
        <v>0</v>
      </c>
      <c r="I951">
        <f t="shared" si="548"/>
        <v>0</v>
      </c>
      <c r="J951">
        <f t="shared" si="549"/>
        <v>0</v>
      </c>
      <c r="K951">
        <f t="shared" si="550"/>
        <v>0</v>
      </c>
      <c r="L951">
        <f t="shared" si="551"/>
        <v>0</v>
      </c>
      <c r="M951">
        <f t="shared" si="552"/>
        <v>0</v>
      </c>
      <c r="N951">
        <f t="shared" si="553"/>
        <v>0</v>
      </c>
      <c r="O951">
        <f t="shared" si="554"/>
        <v>0</v>
      </c>
      <c r="P951">
        <f t="shared" si="555"/>
        <v>0</v>
      </c>
      <c r="Q951">
        <f t="shared" si="556"/>
        <v>0</v>
      </c>
      <c r="S951">
        <f t="shared" si="557"/>
        <v>0</v>
      </c>
      <c r="T951">
        <f t="shared" si="558"/>
        <v>0</v>
      </c>
      <c r="U951">
        <f t="shared" si="559"/>
        <v>0</v>
      </c>
      <c r="V951">
        <f t="shared" si="560"/>
        <v>0</v>
      </c>
      <c r="W951">
        <f t="shared" si="561"/>
        <v>0</v>
      </c>
      <c r="X951">
        <f t="shared" si="562"/>
        <v>0</v>
      </c>
      <c r="Y951">
        <f t="shared" si="563"/>
        <v>0</v>
      </c>
      <c r="Z951">
        <f t="shared" si="564"/>
        <v>0</v>
      </c>
      <c r="AA951">
        <f t="shared" si="565"/>
        <v>0</v>
      </c>
      <c r="AB951">
        <f t="shared" si="566"/>
        <v>0</v>
      </c>
      <c r="AC951">
        <f t="shared" si="567"/>
        <v>0</v>
      </c>
      <c r="AD951">
        <f t="shared" si="568"/>
        <v>0</v>
      </c>
      <c r="AF951">
        <f t="shared" si="569"/>
        <v>0</v>
      </c>
      <c r="AG951">
        <f t="shared" si="570"/>
        <v>0</v>
      </c>
      <c r="AH951">
        <f t="shared" si="571"/>
        <v>0</v>
      </c>
      <c r="AI951">
        <f t="shared" si="572"/>
        <v>0</v>
      </c>
      <c r="AJ951">
        <f t="shared" si="573"/>
        <v>0</v>
      </c>
      <c r="AK951">
        <f t="shared" si="574"/>
        <v>0</v>
      </c>
      <c r="AL951">
        <f t="shared" si="575"/>
        <v>0</v>
      </c>
      <c r="AM951">
        <f t="shared" si="576"/>
        <v>0</v>
      </c>
      <c r="AN951">
        <f t="shared" si="577"/>
        <v>0</v>
      </c>
      <c r="AO951">
        <f t="shared" si="578"/>
        <v>0</v>
      </c>
      <c r="AP951">
        <f t="shared" si="579"/>
        <v>0</v>
      </c>
      <c r="AQ951">
        <f t="shared" si="580"/>
        <v>0</v>
      </c>
    </row>
    <row r="952" spans="6:43" x14ac:dyDescent="0.45">
      <c r="F952">
        <f t="shared" si="545"/>
        <v>0</v>
      </c>
      <c r="G952">
        <f t="shared" si="546"/>
        <v>0</v>
      </c>
      <c r="H952">
        <f t="shared" si="547"/>
        <v>0</v>
      </c>
      <c r="I952">
        <f t="shared" si="548"/>
        <v>0</v>
      </c>
      <c r="J952">
        <f t="shared" si="549"/>
        <v>0</v>
      </c>
      <c r="K952">
        <f t="shared" si="550"/>
        <v>0</v>
      </c>
      <c r="L952">
        <f t="shared" si="551"/>
        <v>0</v>
      </c>
      <c r="M952">
        <f t="shared" si="552"/>
        <v>0</v>
      </c>
      <c r="N952">
        <f t="shared" si="553"/>
        <v>0</v>
      </c>
      <c r="O952">
        <f t="shared" si="554"/>
        <v>0</v>
      </c>
      <c r="P952">
        <f t="shared" si="555"/>
        <v>0</v>
      </c>
      <c r="Q952">
        <f t="shared" si="556"/>
        <v>0</v>
      </c>
      <c r="S952">
        <f t="shared" si="557"/>
        <v>0</v>
      </c>
      <c r="T952">
        <f t="shared" si="558"/>
        <v>0</v>
      </c>
      <c r="U952">
        <f t="shared" si="559"/>
        <v>0</v>
      </c>
      <c r="V952">
        <f t="shared" si="560"/>
        <v>0</v>
      </c>
      <c r="W952">
        <f t="shared" si="561"/>
        <v>0</v>
      </c>
      <c r="X952">
        <f t="shared" si="562"/>
        <v>0</v>
      </c>
      <c r="Y952">
        <f t="shared" si="563"/>
        <v>0</v>
      </c>
      <c r="Z952">
        <f t="shared" si="564"/>
        <v>0</v>
      </c>
      <c r="AA952">
        <f t="shared" si="565"/>
        <v>0</v>
      </c>
      <c r="AB952">
        <f t="shared" si="566"/>
        <v>0</v>
      </c>
      <c r="AC952">
        <f t="shared" si="567"/>
        <v>0</v>
      </c>
      <c r="AD952">
        <f t="shared" si="568"/>
        <v>0</v>
      </c>
      <c r="AF952">
        <f t="shared" si="569"/>
        <v>0</v>
      </c>
      <c r="AG952">
        <f t="shared" si="570"/>
        <v>0</v>
      </c>
      <c r="AH952">
        <f t="shared" si="571"/>
        <v>0</v>
      </c>
      <c r="AI952">
        <f t="shared" si="572"/>
        <v>0</v>
      </c>
      <c r="AJ952">
        <f t="shared" si="573"/>
        <v>0</v>
      </c>
      <c r="AK952">
        <f t="shared" si="574"/>
        <v>0</v>
      </c>
      <c r="AL952">
        <f t="shared" si="575"/>
        <v>0</v>
      </c>
      <c r="AM952">
        <f t="shared" si="576"/>
        <v>0</v>
      </c>
      <c r="AN952">
        <f t="shared" si="577"/>
        <v>0</v>
      </c>
      <c r="AO952">
        <f t="shared" si="578"/>
        <v>0</v>
      </c>
      <c r="AP952">
        <f t="shared" si="579"/>
        <v>0</v>
      </c>
      <c r="AQ952">
        <f t="shared" si="580"/>
        <v>0</v>
      </c>
    </row>
    <row r="953" spans="6:43" x14ac:dyDescent="0.45">
      <c r="F953">
        <f t="shared" si="545"/>
        <v>0</v>
      </c>
      <c r="G953">
        <f t="shared" si="546"/>
        <v>0</v>
      </c>
      <c r="H953">
        <f t="shared" si="547"/>
        <v>0</v>
      </c>
      <c r="I953">
        <f t="shared" si="548"/>
        <v>0</v>
      </c>
      <c r="J953">
        <f t="shared" si="549"/>
        <v>0</v>
      </c>
      <c r="K953">
        <f t="shared" si="550"/>
        <v>0</v>
      </c>
      <c r="L953">
        <f t="shared" si="551"/>
        <v>0</v>
      </c>
      <c r="M953">
        <f t="shared" si="552"/>
        <v>0</v>
      </c>
      <c r="N953">
        <f t="shared" si="553"/>
        <v>0</v>
      </c>
      <c r="O953">
        <f t="shared" si="554"/>
        <v>0</v>
      </c>
      <c r="P953">
        <f t="shared" si="555"/>
        <v>0</v>
      </c>
      <c r="Q953">
        <f t="shared" si="556"/>
        <v>0</v>
      </c>
      <c r="S953">
        <f t="shared" si="557"/>
        <v>0</v>
      </c>
      <c r="T953">
        <f t="shared" si="558"/>
        <v>0</v>
      </c>
      <c r="U953">
        <f t="shared" si="559"/>
        <v>0</v>
      </c>
      <c r="V953">
        <f t="shared" si="560"/>
        <v>0</v>
      </c>
      <c r="W953">
        <f t="shared" si="561"/>
        <v>0</v>
      </c>
      <c r="X953">
        <f t="shared" si="562"/>
        <v>0</v>
      </c>
      <c r="Y953">
        <f t="shared" si="563"/>
        <v>0</v>
      </c>
      <c r="Z953">
        <f t="shared" si="564"/>
        <v>0</v>
      </c>
      <c r="AA953">
        <f t="shared" si="565"/>
        <v>0</v>
      </c>
      <c r="AB953">
        <f t="shared" si="566"/>
        <v>0</v>
      </c>
      <c r="AC953">
        <f t="shared" si="567"/>
        <v>0</v>
      </c>
      <c r="AD953">
        <f t="shared" si="568"/>
        <v>0</v>
      </c>
      <c r="AF953">
        <f t="shared" si="569"/>
        <v>0</v>
      </c>
      <c r="AG953">
        <f t="shared" si="570"/>
        <v>0</v>
      </c>
      <c r="AH953">
        <f t="shared" si="571"/>
        <v>0</v>
      </c>
      <c r="AI953">
        <f t="shared" si="572"/>
        <v>0</v>
      </c>
      <c r="AJ953">
        <f t="shared" si="573"/>
        <v>0</v>
      </c>
      <c r="AK953">
        <f t="shared" si="574"/>
        <v>0</v>
      </c>
      <c r="AL953">
        <f t="shared" si="575"/>
        <v>0</v>
      </c>
      <c r="AM953">
        <f t="shared" si="576"/>
        <v>0</v>
      </c>
      <c r="AN953">
        <f t="shared" si="577"/>
        <v>0</v>
      </c>
      <c r="AO953">
        <f t="shared" si="578"/>
        <v>0</v>
      </c>
      <c r="AP953">
        <f t="shared" si="579"/>
        <v>0</v>
      </c>
      <c r="AQ953">
        <f t="shared" si="580"/>
        <v>0</v>
      </c>
    </row>
    <row r="954" spans="6:43" x14ac:dyDescent="0.45">
      <c r="F954">
        <f t="shared" si="545"/>
        <v>0</v>
      </c>
      <c r="G954">
        <f t="shared" si="546"/>
        <v>0</v>
      </c>
      <c r="H954">
        <f t="shared" si="547"/>
        <v>0</v>
      </c>
      <c r="I954">
        <f t="shared" si="548"/>
        <v>0</v>
      </c>
      <c r="J954">
        <f t="shared" si="549"/>
        <v>0</v>
      </c>
      <c r="K954">
        <f t="shared" si="550"/>
        <v>0</v>
      </c>
      <c r="L954">
        <f t="shared" si="551"/>
        <v>0</v>
      </c>
      <c r="M954">
        <f t="shared" si="552"/>
        <v>0</v>
      </c>
      <c r="N954">
        <f t="shared" si="553"/>
        <v>0</v>
      </c>
      <c r="O954">
        <f t="shared" si="554"/>
        <v>0</v>
      </c>
      <c r="P954">
        <f t="shared" si="555"/>
        <v>0</v>
      </c>
      <c r="Q954">
        <f t="shared" si="556"/>
        <v>0</v>
      </c>
      <c r="S954">
        <f t="shared" si="557"/>
        <v>0</v>
      </c>
      <c r="T954">
        <f t="shared" si="558"/>
        <v>0</v>
      </c>
      <c r="U954">
        <f t="shared" si="559"/>
        <v>0</v>
      </c>
      <c r="V954">
        <f t="shared" si="560"/>
        <v>0</v>
      </c>
      <c r="W954">
        <f t="shared" si="561"/>
        <v>0</v>
      </c>
      <c r="X954">
        <f t="shared" si="562"/>
        <v>0</v>
      </c>
      <c r="Y954">
        <f t="shared" si="563"/>
        <v>0</v>
      </c>
      <c r="Z954">
        <f t="shared" si="564"/>
        <v>0</v>
      </c>
      <c r="AA954">
        <f t="shared" si="565"/>
        <v>0</v>
      </c>
      <c r="AB954">
        <f t="shared" si="566"/>
        <v>0</v>
      </c>
      <c r="AC954">
        <f t="shared" si="567"/>
        <v>0</v>
      </c>
      <c r="AD954">
        <f t="shared" si="568"/>
        <v>0</v>
      </c>
      <c r="AF954">
        <f t="shared" si="569"/>
        <v>0</v>
      </c>
      <c r="AG954">
        <f t="shared" si="570"/>
        <v>0</v>
      </c>
      <c r="AH954">
        <f t="shared" si="571"/>
        <v>0</v>
      </c>
      <c r="AI954">
        <f t="shared" si="572"/>
        <v>0</v>
      </c>
      <c r="AJ954">
        <f t="shared" si="573"/>
        <v>0</v>
      </c>
      <c r="AK954">
        <f t="shared" si="574"/>
        <v>0</v>
      </c>
      <c r="AL954">
        <f t="shared" si="575"/>
        <v>0</v>
      </c>
      <c r="AM954">
        <f t="shared" si="576"/>
        <v>0</v>
      </c>
      <c r="AN954">
        <f t="shared" si="577"/>
        <v>0</v>
      </c>
      <c r="AO954">
        <f t="shared" si="578"/>
        <v>0</v>
      </c>
      <c r="AP954">
        <f t="shared" si="579"/>
        <v>0</v>
      </c>
      <c r="AQ954">
        <f t="shared" si="580"/>
        <v>0</v>
      </c>
    </row>
    <row r="955" spans="6:43" x14ac:dyDescent="0.45">
      <c r="F955">
        <f t="shared" si="545"/>
        <v>0</v>
      </c>
      <c r="G955">
        <f t="shared" si="546"/>
        <v>0</v>
      </c>
      <c r="H955">
        <f t="shared" si="547"/>
        <v>0</v>
      </c>
      <c r="I955">
        <f t="shared" si="548"/>
        <v>0</v>
      </c>
      <c r="J955">
        <f t="shared" si="549"/>
        <v>0</v>
      </c>
      <c r="K955">
        <f t="shared" si="550"/>
        <v>0</v>
      </c>
      <c r="L955">
        <f t="shared" si="551"/>
        <v>0</v>
      </c>
      <c r="M955">
        <f t="shared" si="552"/>
        <v>0</v>
      </c>
      <c r="N955">
        <f t="shared" si="553"/>
        <v>0</v>
      </c>
      <c r="O955">
        <f t="shared" si="554"/>
        <v>0</v>
      </c>
      <c r="P955">
        <f t="shared" si="555"/>
        <v>0</v>
      </c>
      <c r="Q955">
        <f t="shared" si="556"/>
        <v>0</v>
      </c>
      <c r="S955">
        <f t="shared" si="557"/>
        <v>0</v>
      </c>
      <c r="T955">
        <f t="shared" si="558"/>
        <v>0</v>
      </c>
      <c r="U955">
        <f t="shared" si="559"/>
        <v>0</v>
      </c>
      <c r="V955">
        <f t="shared" si="560"/>
        <v>0</v>
      </c>
      <c r="W955">
        <f t="shared" si="561"/>
        <v>0</v>
      </c>
      <c r="X955">
        <f t="shared" si="562"/>
        <v>0</v>
      </c>
      <c r="Y955">
        <f t="shared" si="563"/>
        <v>0</v>
      </c>
      <c r="Z955">
        <f t="shared" si="564"/>
        <v>0</v>
      </c>
      <c r="AA955">
        <f t="shared" si="565"/>
        <v>0</v>
      </c>
      <c r="AB955">
        <f t="shared" si="566"/>
        <v>0</v>
      </c>
      <c r="AC955">
        <f t="shared" si="567"/>
        <v>0</v>
      </c>
      <c r="AD955">
        <f t="shared" si="568"/>
        <v>0</v>
      </c>
      <c r="AF955">
        <f t="shared" si="569"/>
        <v>0</v>
      </c>
      <c r="AG955">
        <f t="shared" si="570"/>
        <v>0</v>
      </c>
      <c r="AH955">
        <f t="shared" si="571"/>
        <v>0</v>
      </c>
      <c r="AI955">
        <f t="shared" si="572"/>
        <v>0</v>
      </c>
      <c r="AJ955">
        <f t="shared" si="573"/>
        <v>0</v>
      </c>
      <c r="AK955">
        <f t="shared" si="574"/>
        <v>0</v>
      </c>
      <c r="AL955">
        <f t="shared" si="575"/>
        <v>0</v>
      </c>
      <c r="AM955">
        <f t="shared" si="576"/>
        <v>0</v>
      </c>
      <c r="AN955">
        <f t="shared" si="577"/>
        <v>0</v>
      </c>
      <c r="AO955">
        <f t="shared" si="578"/>
        <v>0</v>
      </c>
      <c r="AP955">
        <f t="shared" si="579"/>
        <v>0</v>
      </c>
      <c r="AQ955">
        <f t="shared" si="580"/>
        <v>0</v>
      </c>
    </row>
    <row r="956" spans="6:43" x14ac:dyDescent="0.45">
      <c r="F956">
        <f t="shared" si="545"/>
        <v>0</v>
      </c>
      <c r="G956">
        <f t="shared" si="546"/>
        <v>0</v>
      </c>
      <c r="H956">
        <f t="shared" si="547"/>
        <v>0</v>
      </c>
      <c r="I956">
        <f t="shared" si="548"/>
        <v>0</v>
      </c>
      <c r="J956">
        <f t="shared" si="549"/>
        <v>0</v>
      </c>
      <c r="K956">
        <f t="shared" si="550"/>
        <v>0</v>
      </c>
      <c r="L956">
        <f t="shared" si="551"/>
        <v>0</v>
      </c>
      <c r="M956">
        <f t="shared" si="552"/>
        <v>0</v>
      </c>
      <c r="N956">
        <f t="shared" si="553"/>
        <v>0</v>
      </c>
      <c r="O956">
        <f t="shared" si="554"/>
        <v>0</v>
      </c>
      <c r="P956">
        <f t="shared" si="555"/>
        <v>0</v>
      </c>
      <c r="Q956">
        <f t="shared" si="556"/>
        <v>0</v>
      </c>
      <c r="S956">
        <f t="shared" si="557"/>
        <v>0</v>
      </c>
      <c r="T956">
        <f t="shared" si="558"/>
        <v>0</v>
      </c>
      <c r="U956">
        <f t="shared" si="559"/>
        <v>0</v>
      </c>
      <c r="V956">
        <f t="shared" si="560"/>
        <v>0</v>
      </c>
      <c r="W956">
        <f t="shared" si="561"/>
        <v>0</v>
      </c>
      <c r="X956">
        <f t="shared" si="562"/>
        <v>0</v>
      </c>
      <c r="Y956">
        <f t="shared" si="563"/>
        <v>0</v>
      </c>
      <c r="Z956">
        <f t="shared" si="564"/>
        <v>0</v>
      </c>
      <c r="AA956">
        <f t="shared" si="565"/>
        <v>0</v>
      </c>
      <c r="AB956">
        <f t="shared" si="566"/>
        <v>0</v>
      </c>
      <c r="AC956">
        <f t="shared" si="567"/>
        <v>0</v>
      </c>
      <c r="AD956">
        <f t="shared" si="568"/>
        <v>0</v>
      </c>
      <c r="AF956">
        <f t="shared" si="569"/>
        <v>0</v>
      </c>
      <c r="AG956">
        <f t="shared" si="570"/>
        <v>0</v>
      </c>
      <c r="AH956">
        <f t="shared" si="571"/>
        <v>0</v>
      </c>
      <c r="AI956">
        <f t="shared" si="572"/>
        <v>0</v>
      </c>
      <c r="AJ956">
        <f t="shared" si="573"/>
        <v>0</v>
      </c>
      <c r="AK956">
        <f t="shared" si="574"/>
        <v>0</v>
      </c>
      <c r="AL956">
        <f t="shared" si="575"/>
        <v>0</v>
      </c>
      <c r="AM956">
        <f t="shared" si="576"/>
        <v>0</v>
      </c>
      <c r="AN956">
        <f t="shared" si="577"/>
        <v>0</v>
      </c>
      <c r="AO956">
        <f t="shared" si="578"/>
        <v>0</v>
      </c>
      <c r="AP956">
        <f t="shared" si="579"/>
        <v>0</v>
      </c>
      <c r="AQ956">
        <f t="shared" si="580"/>
        <v>0</v>
      </c>
    </row>
    <row r="957" spans="6:43" x14ac:dyDescent="0.45">
      <c r="F957">
        <f t="shared" si="545"/>
        <v>0</v>
      </c>
      <c r="G957">
        <f t="shared" si="546"/>
        <v>0</v>
      </c>
      <c r="H957">
        <f t="shared" si="547"/>
        <v>0</v>
      </c>
      <c r="I957">
        <f t="shared" si="548"/>
        <v>0</v>
      </c>
      <c r="J957">
        <f t="shared" si="549"/>
        <v>0</v>
      </c>
      <c r="K957">
        <f t="shared" si="550"/>
        <v>0</v>
      </c>
      <c r="L957">
        <f t="shared" si="551"/>
        <v>0</v>
      </c>
      <c r="M957">
        <f t="shared" si="552"/>
        <v>0</v>
      </c>
      <c r="N957">
        <f t="shared" si="553"/>
        <v>0</v>
      </c>
      <c r="O957">
        <f t="shared" si="554"/>
        <v>0</v>
      </c>
      <c r="P957">
        <f t="shared" si="555"/>
        <v>0</v>
      </c>
      <c r="Q957">
        <f t="shared" si="556"/>
        <v>0</v>
      </c>
      <c r="S957">
        <f t="shared" si="557"/>
        <v>0</v>
      </c>
      <c r="T957">
        <f t="shared" si="558"/>
        <v>0</v>
      </c>
      <c r="U957">
        <f t="shared" si="559"/>
        <v>0</v>
      </c>
      <c r="V957">
        <f t="shared" si="560"/>
        <v>0</v>
      </c>
      <c r="W957">
        <f t="shared" si="561"/>
        <v>0</v>
      </c>
      <c r="X957">
        <f t="shared" si="562"/>
        <v>0</v>
      </c>
      <c r="Y957">
        <f t="shared" si="563"/>
        <v>0</v>
      </c>
      <c r="Z957">
        <f t="shared" si="564"/>
        <v>0</v>
      </c>
      <c r="AA957">
        <f t="shared" si="565"/>
        <v>0</v>
      </c>
      <c r="AB957">
        <f t="shared" si="566"/>
        <v>0</v>
      </c>
      <c r="AC957">
        <f t="shared" si="567"/>
        <v>0</v>
      </c>
      <c r="AD957">
        <f t="shared" si="568"/>
        <v>0</v>
      </c>
      <c r="AF957">
        <f t="shared" si="569"/>
        <v>0</v>
      </c>
      <c r="AG957">
        <f t="shared" si="570"/>
        <v>0</v>
      </c>
      <c r="AH957">
        <f t="shared" si="571"/>
        <v>0</v>
      </c>
      <c r="AI957">
        <f t="shared" si="572"/>
        <v>0</v>
      </c>
      <c r="AJ957">
        <f t="shared" si="573"/>
        <v>0</v>
      </c>
      <c r="AK957">
        <f t="shared" si="574"/>
        <v>0</v>
      </c>
      <c r="AL957">
        <f t="shared" si="575"/>
        <v>0</v>
      </c>
      <c r="AM957">
        <f t="shared" si="576"/>
        <v>0</v>
      </c>
      <c r="AN957">
        <f t="shared" si="577"/>
        <v>0</v>
      </c>
      <c r="AO957">
        <f t="shared" si="578"/>
        <v>0</v>
      </c>
      <c r="AP957">
        <f t="shared" si="579"/>
        <v>0</v>
      </c>
      <c r="AQ957">
        <f t="shared" si="580"/>
        <v>0</v>
      </c>
    </row>
    <row r="958" spans="6:43" x14ac:dyDescent="0.45">
      <c r="F958">
        <f t="shared" si="545"/>
        <v>0</v>
      </c>
      <c r="G958">
        <f t="shared" si="546"/>
        <v>0</v>
      </c>
      <c r="H958">
        <f t="shared" si="547"/>
        <v>0</v>
      </c>
      <c r="I958">
        <f t="shared" si="548"/>
        <v>0</v>
      </c>
      <c r="J958">
        <f t="shared" si="549"/>
        <v>0</v>
      </c>
      <c r="K958">
        <f t="shared" si="550"/>
        <v>0</v>
      </c>
      <c r="L958">
        <f t="shared" si="551"/>
        <v>0</v>
      </c>
      <c r="M958">
        <f t="shared" si="552"/>
        <v>0</v>
      </c>
      <c r="N958">
        <f t="shared" si="553"/>
        <v>0</v>
      </c>
      <c r="O958">
        <f t="shared" si="554"/>
        <v>0</v>
      </c>
      <c r="P958">
        <f t="shared" si="555"/>
        <v>0</v>
      </c>
      <c r="Q958">
        <f t="shared" si="556"/>
        <v>0</v>
      </c>
      <c r="S958">
        <f t="shared" si="557"/>
        <v>0</v>
      </c>
      <c r="T958">
        <f t="shared" si="558"/>
        <v>0</v>
      </c>
      <c r="U958">
        <f t="shared" si="559"/>
        <v>0</v>
      </c>
      <c r="V958">
        <f t="shared" si="560"/>
        <v>0</v>
      </c>
      <c r="W958">
        <f t="shared" si="561"/>
        <v>0</v>
      </c>
      <c r="X958">
        <f t="shared" si="562"/>
        <v>0</v>
      </c>
      <c r="Y958">
        <f t="shared" si="563"/>
        <v>0</v>
      </c>
      <c r="Z958">
        <f t="shared" si="564"/>
        <v>0</v>
      </c>
      <c r="AA958">
        <f t="shared" si="565"/>
        <v>0</v>
      </c>
      <c r="AB958">
        <f t="shared" si="566"/>
        <v>0</v>
      </c>
      <c r="AC958">
        <f t="shared" si="567"/>
        <v>0</v>
      </c>
      <c r="AD958">
        <f t="shared" si="568"/>
        <v>0</v>
      </c>
      <c r="AF958">
        <f t="shared" si="569"/>
        <v>0</v>
      </c>
      <c r="AG958">
        <f t="shared" si="570"/>
        <v>0</v>
      </c>
      <c r="AH958">
        <f t="shared" si="571"/>
        <v>0</v>
      </c>
      <c r="AI958">
        <f t="shared" si="572"/>
        <v>0</v>
      </c>
      <c r="AJ958">
        <f t="shared" si="573"/>
        <v>0</v>
      </c>
      <c r="AK958">
        <f t="shared" si="574"/>
        <v>0</v>
      </c>
      <c r="AL958">
        <f t="shared" si="575"/>
        <v>0</v>
      </c>
      <c r="AM958">
        <f t="shared" si="576"/>
        <v>0</v>
      </c>
      <c r="AN958">
        <f t="shared" si="577"/>
        <v>0</v>
      </c>
      <c r="AO958">
        <f t="shared" si="578"/>
        <v>0</v>
      </c>
      <c r="AP958">
        <f t="shared" si="579"/>
        <v>0</v>
      </c>
      <c r="AQ958">
        <f t="shared" si="580"/>
        <v>0</v>
      </c>
    </row>
    <row r="959" spans="6:43" x14ac:dyDescent="0.45">
      <c r="F959">
        <f t="shared" si="545"/>
        <v>0</v>
      </c>
      <c r="G959">
        <f t="shared" si="546"/>
        <v>0</v>
      </c>
      <c r="H959">
        <f t="shared" si="547"/>
        <v>0</v>
      </c>
      <c r="I959">
        <f t="shared" si="548"/>
        <v>0</v>
      </c>
      <c r="J959">
        <f t="shared" si="549"/>
        <v>0</v>
      </c>
      <c r="K959">
        <f t="shared" si="550"/>
        <v>0</v>
      </c>
      <c r="L959">
        <f t="shared" si="551"/>
        <v>0</v>
      </c>
      <c r="M959">
        <f t="shared" si="552"/>
        <v>0</v>
      </c>
      <c r="N959">
        <f t="shared" si="553"/>
        <v>0</v>
      </c>
      <c r="O959">
        <f t="shared" si="554"/>
        <v>0</v>
      </c>
      <c r="P959">
        <f t="shared" si="555"/>
        <v>0</v>
      </c>
      <c r="Q959">
        <f t="shared" si="556"/>
        <v>0</v>
      </c>
      <c r="S959">
        <f t="shared" si="557"/>
        <v>0</v>
      </c>
      <c r="T959">
        <f t="shared" si="558"/>
        <v>0</v>
      </c>
      <c r="U959">
        <f t="shared" si="559"/>
        <v>0</v>
      </c>
      <c r="V959">
        <f t="shared" si="560"/>
        <v>0</v>
      </c>
      <c r="W959">
        <f t="shared" si="561"/>
        <v>0</v>
      </c>
      <c r="X959">
        <f t="shared" si="562"/>
        <v>0</v>
      </c>
      <c r="Y959">
        <f t="shared" si="563"/>
        <v>0</v>
      </c>
      <c r="Z959">
        <f t="shared" si="564"/>
        <v>0</v>
      </c>
      <c r="AA959">
        <f t="shared" si="565"/>
        <v>0</v>
      </c>
      <c r="AB959">
        <f t="shared" si="566"/>
        <v>0</v>
      </c>
      <c r="AC959">
        <f t="shared" si="567"/>
        <v>0</v>
      </c>
      <c r="AD959">
        <f t="shared" si="568"/>
        <v>0</v>
      </c>
      <c r="AF959">
        <f t="shared" si="569"/>
        <v>0</v>
      </c>
      <c r="AG959">
        <f t="shared" si="570"/>
        <v>0</v>
      </c>
      <c r="AH959">
        <f t="shared" si="571"/>
        <v>0</v>
      </c>
      <c r="AI959">
        <f t="shared" si="572"/>
        <v>0</v>
      </c>
      <c r="AJ959">
        <f t="shared" si="573"/>
        <v>0</v>
      </c>
      <c r="AK959">
        <f t="shared" si="574"/>
        <v>0</v>
      </c>
      <c r="AL959">
        <f t="shared" si="575"/>
        <v>0</v>
      </c>
      <c r="AM959">
        <f t="shared" si="576"/>
        <v>0</v>
      </c>
      <c r="AN959">
        <f t="shared" si="577"/>
        <v>0</v>
      </c>
      <c r="AO959">
        <f t="shared" si="578"/>
        <v>0</v>
      </c>
      <c r="AP959">
        <f t="shared" si="579"/>
        <v>0</v>
      </c>
      <c r="AQ959">
        <f t="shared" si="580"/>
        <v>0</v>
      </c>
    </row>
    <row r="960" spans="6:43" x14ac:dyDescent="0.45">
      <c r="F960">
        <f t="shared" si="545"/>
        <v>0</v>
      </c>
      <c r="G960">
        <f t="shared" si="546"/>
        <v>0</v>
      </c>
      <c r="H960">
        <f t="shared" si="547"/>
        <v>0</v>
      </c>
      <c r="I960">
        <f t="shared" si="548"/>
        <v>0</v>
      </c>
      <c r="J960">
        <f t="shared" si="549"/>
        <v>0</v>
      </c>
      <c r="K960">
        <f t="shared" si="550"/>
        <v>0</v>
      </c>
      <c r="L960">
        <f t="shared" si="551"/>
        <v>0</v>
      </c>
      <c r="M960">
        <f t="shared" si="552"/>
        <v>0</v>
      </c>
      <c r="N960">
        <f t="shared" si="553"/>
        <v>0</v>
      </c>
      <c r="O960">
        <f t="shared" si="554"/>
        <v>0</v>
      </c>
      <c r="P960">
        <f t="shared" si="555"/>
        <v>0</v>
      </c>
      <c r="Q960">
        <f t="shared" si="556"/>
        <v>0</v>
      </c>
      <c r="S960">
        <f t="shared" si="557"/>
        <v>0</v>
      </c>
      <c r="T960">
        <f t="shared" si="558"/>
        <v>0</v>
      </c>
      <c r="U960">
        <f t="shared" si="559"/>
        <v>0</v>
      </c>
      <c r="V960">
        <f t="shared" si="560"/>
        <v>0</v>
      </c>
      <c r="W960">
        <f t="shared" si="561"/>
        <v>0</v>
      </c>
      <c r="X960">
        <f t="shared" si="562"/>
        <v>0</v>
      </c>
      <c r="Y960">
        <f t="shared" si="563"/>
        <v>0</v>
      </c>
      <c r="Z960">
        <f t="shared" si="564"/>
        <v>0</v>
      </c>
      <c r="AA960">
        <f t="shared" si="565"/>
        <v>0</v>
      </c>
      <c r="AB960">
        <f t="shared" si="566"/>
        <v>0</v>
      </c>
      <c r="AC960">
        <f t="shared" si="567"/>
        <v>0</v>
      </c>
      <c r="AD960">
        <f t="shared" si="568"/>
        <v>0</v>
      </c>
      <c r="AF960">
        <f t="shared" si="569"/>
        <v>0</v>
      </c>
      <c r="AG960">
        <f t="shared" si="570"/>
        <v>0</v>
      </c>
      <c r="AH960">
        <f t="shared" si="571"/>
        <v>0</v>
      </c>
      <c r="AI960">
        <f t="shared" si="572"/>
        <v>0</v>
      </c>
      <c r="AJ960">
        <f t="shared" si="573"/>
        <v>0</v>
      </c>
      <c r="AK960">
        <f t="shared" si="574"/>
        <v>0</v>
      </c>
      <c r="AL960">
        <f t="shared" si="575"/>
        <v>0</v>
      </c>
      <c r="AM960">
        <f t="shared" si="576"/>
        <v>0</v>
      </c>
      <c r="AN960">
        <f t="shared" si="577"/>
        <v>0</v>
      </c>
      <c r="AO960">
        <f t="shared" si="578"/>
        <v>0</v>
      </c>
      <c r="AP960">
        <f t="shared" si="579"/>
        <v>0</v>
      </c>
      <c r="AQ960">
        <f t="shared" si="580"/>
        <v>0</v>
      </c>
    </row>
    <row r="961" spans="6:43" x14ac:dyDescent="0.45">
      <c r="F961">
        <f t="shared" si="545"/>
        <v>0</v>
      </c>
      <c r="G961">
        <f t="shared" si="546"/>
        <v>0</v>
      </c>
      <c r="H961">
        <f t="shared" si="547"/>
        <v>0</v>
      </c>
      <c r="I961">
        <f t="shared" si="548"/>
        <v>0</v>
      </c>
      <c r="J961">
        <f t="shared" si="549"/>
        <v>0</v>
      </c>
      <c r="K961">
        <f t="shared" si="550"/>
        <v>0</v>
      </c>
      <c r="L961">
        <f t="shared" si="551"/>
        <v>0</v>
      </c>
      <c r="M961">
        <f t="shared" si="552"/>
        <v>0</v>
      </c>
      <c r="N961">
        <f t="shared" si="553"/>
        <v>0</v>
      </c>
      <c r="O961">
        <f t="shared" si="554"/>
        <v>0</v>
      </c>
      <c r="P961">
        <f t="shared" si="555"/>
        <v>0</v>
      </c>
      <c r="Q961">
        <f t="shared" si="556"/>
        <v>0</v>
      </c>
      <c r="S961">
        <f t="shared" si="557"/>
        <v>0</v>
      </c>
      <c r="T961">
        <f t="shared" si="558"/>
        <v>0</v>
      </c>
      <c r="U961">
        <f t="shared" si="559"/>
        <v>0</v>
      </c>
      <c r="V961">
        <f t="shared" si="560"/>
        <v>0</v>
      </c>
      <c r="W961">
        <f t="shared" si="561"/>
        <v>0</v>
      </c>
      <c r="X961">
        <f t="shared" si="562"/>
        <v>0</v>
      </c>
      <c r="Y961">
        <f t="shared" si="563"/>
        <v>0</v>
      </c>
      <c r="Z961">
        <f t="shared" si="564"/>
        <v>0</v>
      </c>
      <c r="AA961">
        <f t="shared" si="565"/>
        <v>0</v>
      </c>
      <c r="AB961">
        <f t="shared" si="566"/>
        <v>0</v>
      </c>
      <c r="AC961">
        <f t="shared" si="567"/>
        <v>0</v>
      </c>
      <c r="AD961">
        <f t="shared" si="568"/>
        <v>0</v>
      </c>
      <c r="AF961">
        <f t="shared" si="569"/>
        <v>0</v>
      </c>
      <c r="AG961">
        <f t="shared" si="570"/>
        <v>0</v>
      </c>
      <c r="AH961">
        <f t="shared" si="571"/>
        <v>0</v>
      </c>
      <c r="AI961">
        <f t="shared" si="572"/>
        <v>0</v>
      </c>
      <c r="AJ961">
        <f t="shared" si="573"/>
        <v>0</v>
      </c>
      <c r="AK961">
        <f t="shared" si="574"/>
        <v>0</v>
      </c>
      <c r="AL961">
        <f t="shared" si="575"/>
        <v>0</v>
      </c>
      <c r="AM961">
        <f t="shared" si="576"/>
        <v>0</v>
      </c>
      <c r="AN961">
        <f t="shared" si="577"/>
        <v>0</v>
      </c>
      <c r="AO961">
        <f t="shared" si="578"/>
        <v>0</v>
      </c>
      <c r="AP961">
        <f t="shared" si="579"/>
        <v>0</v>
      </c>
      <c r="AQ961">
        <f t="shared" si="580"/>
        <v>0</v>
      </c>
    </row>
    <row r="962" spans="6:43" x14ac:dyDescent="0.45">
      <c r="F962">
        <f t="shared" si="545"/>
        <v>0</v>
      </c>
      <c r="G962">
        <f t="shared" si="546"/>
        <v>0</v>
      </c>
      <c r="H962">
        <f t="shared" si="547"/>
        <v>0</v>
      </c>
      <c r="I962">
        <f t="shared" si="548"/>
        <v>0</v>
      </c>
      <c r="J962">
        <f t="shared" si="549"/>
        <v>0</v>
      </c>
      <c r="K962">
        <f t="shared" si="550"/>
        <v>0</v>
      </c>
      <c r="L962">
        <f t="shared" si="551"/>
        <v>0</v>
      </c>
      <c r="M962">
        <f t="shared" si="552"/>
        <v>0</v>
      </c>
      <c r="N962">
        <f t="shared" si="553"/>
        <v>0</v>
      </c>
      <c r="O962">
        <f t="shared" si="554"/>
        <v>0</v>
      </c>
      <c r="P962">
        <f t="shared" si="555"/>
        <v>0</v>
      </c>
      <c r="Q962">
        <f t="shared" si="556"/>
        <v>0</v>
      </c>
      <c r="S962">
        <f t="shared" si="557"/>
        <v>0</v>
      </c>
      <c r="T962">
        <f t="shared" si="558"/>
        <v>0</v>
      </c>
      <c r="U962">
        <f t="shared" si="559"/>
        <v>0</v>
      </c>
      <c r="V962">
        <f t="shared" si="560"/>
        <v>0</v>
      </c>
      <c r="W962">
        <f t="shared" si="561"/>
        <v>0</v>
      </c>
      <c r="X962">
        <f t="shared" si="562"/>
        <v>0</v>
      </c>
      <c r="Y962">
        <f t="shared" si="563"/>
        <v>0</v>
      </c>
      <c r="Z962">
        <f t="shared" si="564"/>
        <v>0</v>
      </c>
      <c r="AA962">
        <f t="shared" si="565"/>
        <v>0</v>
      </c>
      <c r="AB962">
        <f t="shared" si="566"/>
        <v>0</v>
      </c>
      <c r="AC962">
        <f t="shared" si="567"/>
        <v>0</v>
      </c>
      <c r="AD962">
        <f t="shared" si="568"/>
        <v>0</v>
      </c>
      <c r="AF962">
        <f t="shared" si="569"/>
        <v>0</v>
      </c>
      <c r="AG962">
        <f t="shared" si="570"/>
        <v>0</v>
      </c>
      <c r="AH962">
        <f t="shared" si="571"/>
        <v>0</v>
      </c>
      <c r="AI962">
        <f t="shared" si="572"/>
        <v>0</v>
      </c>
      <c r="AJ962">
        <f t="shared" si="573"/>
        <v>0</v>
      </c>
      <c r="AK962">
        <f t="shared" si="574"/>
        <v>0</v>
      </c>
      <c r="AL962">
        <f t="shared" si="575"/>
        <v>0</v>
      </c>
      <c r="AM962">
        <f t="shared" si="576"/>
        <v>0</v>
      </c>
      <c r="AN962">
        <f t="shared" si="577"/>
        <v>0</v>
      </c>
      <c r="AO962">
        <f t="shared" si="578"/>
        <v>0</v>
      </c>
      <c r="AP962">
        <f t="shared" si="579"/>
        <v>0</v>
      </c>
      <c r="AQ962">
        <f t="shared" si="580"/>
        <v>0</v>
      </c>
    </row>
    <row r="963" spans="6:43" x14ac:dyDescent="0.45">
      <c r="F963">
        <f t="shared" si="545"/>
        <v>0</v>
      </c>
      <c r="G963">
        <f t="shared" si="546"/>
        <v>0</v>
      </c>
      <c r="H963">
        <f t="shared" si="547"/>
        <v>0</v>
      </c>
      <c r="I963">
        <f t="shared" si="548"/>
        <v>0</v>
      </c>
      <c r="J963">
        <f t="shared" si="549"/>
        <v>0</v>
      </c>
      <c r="K963">
        <f t="shared" si="550"/>
        <v>0</v>
      </c>
      <c r="L963">
        <f t="shared" si="551"/>
        <v>0</v>
      </c>
      <c r="M963">
        <f t="shared" si="552"/>
        <v>0</v>
      </c>
      <c r="N963">
        <f t="shared" si="553"/>
        <v>0</v>
      </c>
      <c r="O963">
        <f t="shared" si="554"/>
        <v>0</v>
      </c>
      <c r="P963">
        <f t="shared" si="555"/>
        <v>0</v>
      </c>
      <c r="Q963">
        <f t="shared" si="556"/>
        <v>0</v>
      </c>
      <c r="S963">
        <f t="shared" si="557"/>
        <v>0</v>
      </c>
      <c r="T963">
        <f t="shared" si="558"/>
        <v>0</v>
      </c>
      <c r="U963">
        <f t="shared" si="559"/>
        <v>0</v>
      </c>
      <c r="V963">
        <f t="shared" si="560"/>
        <v>0</v>
      </c>
      <c r="W963">
        <f t="shared" si="561"/>
        <v>0</v>
      </c>
      <c r="X963">
        <f t="shared" si="562"/>
        <v>0</v>
      </c>
      <c r="Y963">
        <f t="shared" si="563"/>
        <v>0</v>
      </c>
      <c r="Z963">
        <f t="shared" si="564"/>
        <v>0</v>
      </c>
      <c r="AA963">
        <f t="shared" si="565"/>
        <v>0</v>
      </c>
      <c r="AB963">
        <f t="shared" si="566"/>
        <v>0</v>
      </c>
      <c r="AC963">
        <f t="shared" si="567"/>
        <v>0</v>
      </c>
      <c r="AD963">
        <f t="shared" si="568"/>
        <v>0</v>
      </c>
      <c r="AF963">
        <f t="shared" si="569"/>
        <v>0</v>
      </c>
      <c r="AG963">
        <f t="shared" si="570"/>
        <v>0</v>
      </c>
      <c r="AH963">
        <f t="shared" si="571"/>
        <v>0</v>
      </c>
      <c r="AI963">
        <f t="shared" si="572"/>
        <v>0</v>
      </c>
      <c r="AJ963">
        <f t="shared" si="573"/>
        <v>0</v>
      </c>
      <c r="AK963">
        <f t="shared" si="574"/>
        <v>0</v>
      </c>
      <c r="AL963">
        <f t="shared" si="575"/>
        <v>0</v>
      </c>
      <c r="AM963">
        <f t="shared" si="576"/>
        <v>0</v>
      </c>
      <c r="AN963">
        <f t="shared" si="577"/>
        <v>0</v>
      </c>
      <c r="AO963">
        <f t="shared" si="578"/>
        <v>0</v>
      </c>
      <c r="AP963">
        <f t="shared" si="579"/>
        <v>0</v>
      </c>
      <c r="AQ963">
        <f t="shared" si="580"/>
        <v>0</v>
      </c>
    </row>
    <row r="964" spans="6:43" x14ac:dyDescent="0.45">
      <c r="F964">
        <f t="shared" si="545"/>
        <v>0</v>
      </c>
      <c r="G964">
        <f t="shared" si="546"/>
        <v>0</v>
      </c>
      <c r="H964">
        <f t="shared" si="547"/>
        <v>0</v>
      </c>
      <c r="I964">
        <f t="shared" si="548"/>
        <v>0</v>
      </c>
      <c r="J964">
        <f t="shared" si="549"/>
        <v>0</v>
      </c>
      <c r="K964">
        <f t="shared" si="550"/>
        <v>0</v>
      </c>
      <c r="L964">
        <f t="shared" si="551"/>
        <v>0</v>
      </c>
      <c r="M964">
        <f t="shared" si="552"/>
        <v>0</v>
      </c>
      <c r="N964">
        <f t="shared" si="553"/>
        <v>0</v>
      </c>
      <c r="O964">
        <f t="shared" si="554"/>
        <v>0</v>
      </c>
      <c r="P964">
        <f t="shared" si="555"/>
        <v>0</v>
      </c>
      <c r="Q964">
        <f t="shared" si="556"/>
        <v>0</v>
      </c>
      <c r="S964">
        <f t="shared" si="557"/>
        <v>0</v>
      </c>
      <c r="T964">
        <f t="shared" si="558"/>
        <v>0</v>
      </c>
      <c r="U964">
        <f t="shared" si="559"/>
        <v>0</v>
      </c>
      <c r="V964">
        <f t="shared" si="560"/>
        <v>0</v>
      </c>
      <c r="W964">
        <f t="shared" si="561"/>
        <v>0</v>
      </c>
      <c r="X964">
        <f t="shared" si="562"/>
        <v>0</v>
      </c>
      <c r="Y964">
        <f t="shared" si="563"/>
        <v>0</v>
      </c>
      <c r="Z964">
        <f t="shared" si="564"/>
        <v>0</v>
      </c>
      <c r="AA964">
        <f t="shared" si="565"/>
        <v>0</v>
      </c>
      <c r="AB964">
        <f t="shared" si="566"/>
        <v>0</v>
      </c>
      <c r="AC964">
        <f t="shared" si="567"/>
        <v>0</v>
      </c>
      <c r="AD964">
        <f t="shared" si="568"/>
        <v>0</v>
      </c>
      <c r="AF964">
        <f t="shared" si="569"/>
        <v>0</v>
      </c>
      <c r="AG964">
        <f t="shared" si="570"/>
        <v>0</v>
      </c>
      <c r="AH964">
        <f t="shared" si="571"/>
        <v>0</v>
      </c>
      <c r="AI964">
        <f t="shared" si="572"/>
        <v>0</v>
      </c>
      <c r="AJ964">
        <f t="shared" si="573"/>
        <v>0</v>
      </c>
      <c r="AK964">
        <f t="shared" si="574"/>
        <v>0</v>
      </c>
      <c r="AL964">
        <f t="shared" si="575"/>
        <v>0</v>
      </c>
      <c r="AM964">
        <f t="shared" si="576"/>
        <v>0</v>
      </c>
      <c r="AN964">
        <f t="shared" si="577"/>
        <v>0</v>
      </c>
      <c r="AO964">
        <f t="shared" si="578"/>
        <v>0</v>
      </c>
      <c r="AP964">
        <f t="shared" si="579"/>
        <v>0</v>
      </c>
      <c r="AQ964">
        <f t="shared" si="580"/>
        <v>0</v>
      </c>
    </row>
    <row r="965" spans="6:43" x14ac:dyDescent="0.45">
      <c r="F965">
        <f t="shared" si="545"/>
        <v>0</v>
      </c>
      <c r="G965">
        <f t="shared" si="546"/>
        <v>0</v>
      </c>
      <c r="H965">
        <f t="shared" si="547"/>
        <v>0</v>
      </c>
      <c r="I965">
        <f t="shared" si="548"/>
        <v>0</v>
      </c>
      <c r="J965">
        <f t="shared" si="549"/>
        <v>0</v>
      </c>
      <c r="K965">
        <f t="shared" si="550"/>
        <v>0</v>
      </c>
      <c r="L965">
        <f t="shared" si="551"/>
        <v>0</v>
      </c>
      <c r="M965">
        <f t="shared" si="552"/>
        <v>0</v>
      </c>
      <c r="N965">
        <f t="shared" si="553"/>
        <v>0</v>
      </c>
      <c r="O965">
        <f t="shared" si="554"/>
        <v>0</v>
      </c>
      <c r="P965">
        <f t="shared" si="555"/>
        <v>0</v>
      </c>
      <c r="Q965">
        <f t="shared" si="556"/>
        <v>0</v>
      </c>
      <c r="S965">
        <f t="shared" si="557"/>
        <v>0</v>
      </c>
      <c r="T965">
        <f t="shared" si="558"/>
        <v>0</v>
      </c>
      <c r="U965">
        <f t="shared" si="559"/>
        <v>0</v>
      </c>
      <c r="V965">
        <f t="shared" si="560"/>
        <v>0</v>
      </c>
      <c r="W965">
        <f t="shared" si="561"/>
        <v>0</v>
      </c>
      <c r="X965">
        <f t="shared" si="562"/>
        <v>0</v>
      </c>
      <c r="Y965">
        <f t="shared" si="563"/>
        <v>0</v>
      </c>
      <c r="Z965">
        <f t="shared" si="564"/>
        <v>0</v>
      </c>
      <c r="AA965">
        <f t="shared" si="565"/>
        <v>0</v>
      </c>
      <c r="AB965">
        <f t="shared" si="566"/>
        <v>0</v>
      </c>
      <c r="AC965">
        <f t="shared" si="567"/>
        <v>0</v>
      </c>
      <c r="AD965">
        <f t="shared" si="568"/>
        <v>0</v>
      </c>
      <c r="AF965">
        <f t="shared" si="569"/>
        <v>0</v>
      </c>
      <c r="AG965">
        <f t="shared" si="570"/>
        <v>0</v>
      </c>
      <c r="AH965">
        <f t="shared" si="571"/>
        <v>0</v>
      </c>
      <c r="AI965">
        <f t="shared" si="572"/>
        <v>0</v>
      </c>
      <c r="AJ965">
        <f t="shared" si="573"/>
        <v>0</v>
      </c>
      <c r="AK965">
        <f t="shared" si="574"/>
        <v>0</v>
      </c>
      <c r="AL965">
        <f t="shared" si="575"/>
        <v>0</v>
      </c>
      <c r="AM965">
        <f t="shared" si="576"/>
        <v>0</v>
      </c>
      <c r="AN965">
        <f t="shared" si="577"/>
        <v>0</v>
      </c>
      <c r="AO965">
        <f t="shared" si="578"/>
        <v>0</v>
      </c>
      <c r="AP965">
        <f t="shared" si="579"/>
        <v>0</v>
      </c>
      <c r="AQ965">
        <f t="shared" si="580"/>
        <v>0</v>
      </c>
    </row>
    <row r="966" spans="6:43" x14ac:dyDescent="0.45">
      <c r="F966">
        <f t="shared" si="545"/>
        <v>0</v>
      </c>
      <c r="G966">
        <f t="shared" si="546"/>
        <v>0</v>
      </c>
      <c r="H966">
        <f t="shared" si="547"/>
        <v>0</v>
      </c>
      <c r="I966">
        <f t="shared" si="548"/>
        <v>0</v>
      </c>
      <c r="J966">
        <f t="shared" si="549"/>
        <v>0</v>
      </c>
      <c r="K966">
        <f t="shared" si="550"/>
        <v>0</v>
      </c>
      <c r="L966">
        <f t="shared" si="551"/>
        <v>0</v>
      </c>
      <c r="M966">
        <f t="shared" si="552"/>
        <v>0</v>
      </c>
      <c r="N966">
        <f t="shared" si="553"/>
        <v>0</v>
      </c>
      <c r="O966">
        <f t="shared" si="554"/>
        <v>0</v>
      </c>
      <c r="P966">
        <f t="shared" si="555"/>
        <v>0</v>
      </c>
      <c r="Q966">
        <f t="shared" si="556"/>
        <v>0</v>
      </c>
      <c r="S966">
        <f t="shared" si="557"/>
        <v>0</v>
      </c>
      <c r="T966">
        <f t="shared" si="558"/>
        <v>0</v>
      </c>
      <c r="U966">
        <f t="shared" si="559"/>
        <v>0</v>
      </c>
      <c r="V966">
        <f t="shared" si="560"/>
        <v>0</v>
      </c>
      <c r="W966">
        <f t="shared" si="561"/>
        <v>0</v>
      </c>
      <c r="X966">
        <f t="shared" si="562"/>
        <v>0</v>
      </c>
      <c r="Y966">
        <f t="shared" si="563"/>
        <v>0</v>
      </c>
      <c r="Z966">
        <f t="shared" si="564"/>
        <v>0</v>
      </c>
      <c r="AA966">
        <f t="shared" si="565"/>
        <v>0</v>
      </c>
      <c r="AB966">
        <f t="shared" si="566"/>
        <v>0</v>
      </c>
      <c r="AC966">
        <f t="shared" si="567"/>
        <v>0</v>
      </c>
      <c r="AD966">
        <f t="shared" si="568"/>
        <v>0</v>
      </c>
      <c r="AF966">
        <f t="shared" si="569"/>
        <v>0</v>
      </c>
      <c r="AG966">
        <f t="shared" si="570"/>
        <v>0</v>
      </c>
      <c r="AH966">
        <f t="shared" si="571"/>
        <v>0</v>
      </c>
      <c r="AI966">
        <f t="shared" si="572"/>
        <v>0</v>
      </c>
      <c r="AJ966">
        <f t="shared" si="573"/>
        <v>0</v>
      </c>
      <c r="AK966">
        <f t="shared" si="574"/>
        <v>0</v>
      </c>
      <c r="AL966">
        <f t="shared" si="575"/>
        <v>0</v>
      </c>
      <c r="AM966">
        <f t="shared" si="576"/>
        <v>0</v>
      </c>
      <c r="AN966">
        <f t="shared" si="577"/>
        <v>0</v>
      </c>
      <c r="AO966">
        <f t="shared" si="578"/>
        <v>0</v>
      </c>
      <c r="AP966">
        <f t="shared" si="579"/>
        <v>0</v>
      </c>
      <c r="AQ966">
        <f t="shared" si="580"/>
        <v>0</v>
      </c>
    </row>
    <row r="967" spans="6:43" x14ac:dyDescent="0.45">
      <c r="F967">
        <f t="shared" si="545"/>
        <v>0</v>
      </c>
      <c r="G967">
        <f t="shared" si="546"/>
        <v>0</v>
      </c>
      <c r="H967">
        <f t="shared" si="547"/>
        <v>0</v>
      </c>
      <c r="I967">
        <f t="shared" si="548"/>
        <v>0</v>
      </c>
      <c r="J967">
        <f t="shared" si="549"/>
        <v>0</v>
      </c>
      <c r="K967">
        <f t="shared" si="550"/>
        <v>0</v>
      </c>
      <c r="L967">
        <f t="shared" si="551"/>
        <v>0</v>
      </c>
      <c r="M967">
        <f t="shared" si="552"/>
        <v>0</v>
      </c>
      <c r="N967">
        <f t="shared" si="553"/>
        <v>0</v>
      </c>
      <c r="O967">
        <f t="shared" si="554"/>
        <v>0</v>
      </c>
      <c r="P967">
        <f t="shared" si="555"/>
        <v>0</v>
      </c>
      <c r="Q967">
        <f t="shared" si="556"/>
        <v>0</v>
      </c>
      <c r="S967">
        <f t="shared" si="557"/>
        <v>0</v>
      </c>
      <c r="T967">
        <f t="shared" si="558"/>
        <v>0</v>
      </c>
      <c r="U967">
        <f t="shared" si="559"/>
        <v>0</v>
      </c>
      <c r="V967">
        <f t="shared" si="560"/>
        <v>0</v>
      </c>
      <c r="W967">
        <f t="shared" si="561"/>
        <v>0</v>
      </c>
      <c r="X967">
        <f t="shared" si="562"/>
        <v>0</v>
      </c>
      <c r="Y967">
        <f t="shared" si="563"/>
        <v>0</v>
      </c>
      <c r="Z967">
        <f t="shared" si="564"/>
        <v>0</v>
      </c>
      <c r="AA967">
        <f t="shared" si="565"/>
        <v>0</v>
      </c>
      <c r="AB967">
        <f t="shared" si="566"/>
        <v>0</v>
      </c>
      <c r="AC967">
        <f t="shared" si="567"/>
        <v>0</v>
      </c>
      <c r="AD967">
        <f t="shared" si="568"/>
        <v>0</v>
      </c>
      <c r="AF967">
        <f t="shared" si="569"/>
        <v>0</v>
      </c>
      <c r="AG967">
        <f t="shared" si="570"/>
        <v>0</v>
      </c>
      <c r="AH967">
        <f t="shared" si="571"/>
        <v>0</v>
      </c>
      <c r="AI967">
        <f t="shared" si="572"/>
        <v>0</v>
      </c>
      <c r="AJ967">
        <f t="shared" si="573"/>
        <v>0</v>
      </c>
      <c r="AK967">
        <f t="shared" si="574"/>
        <v>0</v>
      </c>
      <c r="AL967">
        <f t="shared" si="575"/>
        <v>0</v>
      </c>
      <c r="AM967">
        <f t="shared" si="576"/>
        <v>0</v>
      </c>
      <c r="AN967">
        <f t="shared" si="577"/>
        <v>0</v>
      </c>
      <c r="AO967">
        <f t="shared" si="578"/>
        <v>0</v>
      </c>
      <c r="AP967">
        <f t="shared" si="579"/>
        <v>0</v>
      </c>
      <c r="AQ967">
        <f t="shared" si="580"/>
        <v>0</v>
      </c>
    </row>
    <row r="968" spans="6:43" x14ac:dyDescent="0.45">
      <c r="F968">
        <f t="shared" si="545"/>
        <v>0</v>
      </c>
      <c r="G968">
        <f t="shared" si="546"/>
        <v>0</v>
      </c>
      <c r="H968">
        <f t="shared" si="547"/>
        <v>0</v>
      </c>
      <c r="I968">
        <f t="shared" si="548"/>
        <v>0</v>
      </c>
      <c r="J968">
        <f t="shared" si="549"/>
        <v>0</v>
      </c>
      <c r="K968">
        <f t="shared" si="550"/>
        <v>0</v>
      </c>
      <c r="L968">
        <f t="shared" si="551"/>
        <v>0</v>
      </c>
      <c r="M968">
        <f t="shared" si="552"/>
        <v>0</v>
      </c>
      <c r="N968">
        <f t="shared" si="553"/>
        <v>0</v>
      </c>
      <c r="O968">
        <f t="shared" si="554"/>
        <v>0</v>
      </c>
      <c r="P968">
        <f t="shared" si="555"/>
        <v>0</v>
      </c>
      <c r="Q968">
        <f t="shared" si="556"/>
        <v>0</v>
      </c>
      <c r="S968">
        <f t="shared" si="557"/>
        <v>0</v>
      </c>
      <c r="T968">
        <f t="shared" si="558"/>
        <v>0</v>
      </c>
      <c r="U968">
        <f t="shared" si="559"/>
        <v>0</v>
      </c>
      <c r="V968">
        <f t="shared" si="560"/>
        <v>0</v>
      </c>
      <c r="W968">
        <f t="shared" si="561"/>
        <v>0</v>
      </c>
      <c r="X968">
        <f t="shared" si="562"/>
        <v>0</v>
      </c>
      <c r="Y968">
        <f t="shared" si="563"/>
        <v>0</v>
      </c>
      <c r="Z968">
        <f t="shared" si="564"/>
        <v>0</v>
      </c>
      <c r="AA968">
        <f t="shared" si="565"/>
        <v>0</v>
      </c>
      <c r="AB968">
        <f t="shared" si="566"/>
        <v>0</v>
      </c>
      <c r="AC968">
        <f t="shared" si="567"/>
        <v>0</v>
      </c>
      <c r="AD968">
        <f t="shared" si="568"/>
        <v>0</v>
      </c>
      <c r="AF968">
        <f t="shared" si="569"/>
        <v>0</v>
      </c>
      <c r="AG968">
        <f t="shared" si="570"/>
        <v>0</v>
      </c>
      <c r="AH968">
        <f t="shared" si="571"/>
        <v>0</v>
      </c>
      <c r="AI968">
        <f t="shared" si="572"/>
        <v>0</v>
      </c>
      <c r="AJ968">
        <f t="shared" si="573"/>
        <v>0</v>
      </c>
      <c r="AK968">
        <f t="shared" si="574"/>
        <v>0</v>
      </c>
      <c r="AL968">
        <f t="shared" si="575"/>
        <v>0</v>
      </c>
      <c r="AM968">
        <f t="shared" si="576"/>
        <v>0</v>
      </c>
      <c r="AN968">
        <f t="shared" si="577"/>
        <v>0</v>
      </c>
      <c r="AO968">
        <f t="shared" si="578"/>
        <v>0</v>
      </c>
      <c r="AP968">
        <f t="shared" si="579"/>
        <v>0</v>
      </c>
      <c r="AQ968">
        <f t="shared" si="580"/>
        <v>0</v>
      </c>
    </row>
    <row r="969" spans="6:43" x14ac:dyDescent="0.45">
      <c r="F969">
        <f t="shared" si="545"/>
        <v>0</v>
      </c>
      <c r="G969">
        <f t="shared" si="546"/>
        <v>0</v>
      </c>
      <c r="H969">
        <f t="shared" si="547"/>
        <v>0</v>
      </c>
      <c r="I969">
        <f t="shared" si="548"/>
        <v>0</v>
      </c>
      <c r="J969">
        <f t="shared" si="549"/>
        <v>0</v>
      </c>
      <c r="K969">
        <f t="shared" si="550"/>
        <v>0</v>
      </c>
      <c r="L969">
        <f t="shared" si="551"/>
        <v>0</v>
      </c>
      <c r="M969">
        <f t="shared" si="552"/>
        <v>0</v>
      </c>
      <c r="N969">
        <f t="shared" si="553"/>
        <v>0</v>
      </c>
      <c r="O969">
        <f t="shared" si="554"/>
        <v>0</v>
      </c>
      <c r="P969">
        <f t="shared" si="555"/>
        <v>0</v>
      </c>
      <c r="Q969">
        <f t="shared" si="556"/>
        <v>0</v>
      </c>
      <c r="S969">
        <f t="shared" si="557"/>
        <v>0</v>
      </c>
      <c r="T969">
        <f t="shared" si="558"/>
        <v>0</v>
      </c>
      <c r="U969">
        <f t="shared" si="559"/>
        <v>0</v>
      </c>
      <c r="V969">
        <f t="shared" si="560"/>
        <v>0</v>
      </c>
      <c r="W969">
        <f t="shared" si="561"/>
        <v>0</v>
      </c>
      <c r="X969">
        <f t="shared" si="562"/>
        <v>0</v>
      </c>
      <c r="Y969">
        <f t="shared" si="563"/>
        <v>0</v>
      </c>
      <c r="Z969">
        <f t="shared" si="564"/>
        <v>0</v>
      </c>
      <c r="AA969">
        <f t="shared" si="565"/>
        <v>0</v>
      </c>
      <c r="AB969">
        <f t="shared" si="566"/>
        <v>0</v>
      </c>
      <c r="AC969">
        <f t="shared" si="567"/>
        <v>0</v>
      </c>
      <c r="AD969">
        <f t="shared" si="568"/>
        <v>0</v>
      </c>
      <c r="AF969">
        <f t="shared" si="569"/>
        <v>0</v>
      </c>
      <c r="AG969">
        <f t="shared" si="570"/>
        <v>0</v>
      </c>
      <c r="AH969">
        <f t="shared" si="571"/>
        <v>0</v>
      </c>
      <c r="AI969">
        <f t="shared" si="572"/>
        <v>0</v>
      </c>
      <c r="AJ969">
        <f t="shared" si="573"/>
        <v>0</v>
      </c>
      <c r="AK969">
        <f t="shared" si="574"/>
        <v>0</v>
      </c>
      <c r="AL969">
        <f t="shared" si="575"/>
        <v>0</v>
      </c>
      <c r="AM969">
        <f t="shared" si="576"/>
        <v>0</v>
      </c>
      <c r="AN969">
        <f t="shared" si="577"/>
        <v>0</v>
      </c>
      <c r="AO969">
        <f t="shared" si="578"/>
        <v>0</v>
      </c>
      <c r="AP969">
        <f t="shared" si="579"/>
        <v>0</v>
      </c>
      <c r="AQ969">
        <f t="shared" si="580"/>
        <v>0</v>
      </c>
    </row>
    <row r="970" spans="6:43" x14ac:dyDescent="0.45">
      <c r="F970">
        <f t="shared" si="545"/>
        <v>0</v>
      </c>
      <c r="G970">
        <f t="shared" si="546"/>
        <v>0</v>
      </c>
      <c r="H970">
        <f t="shared" si="547"/>
        <v>0</v>
      </c>
      <c r="I970">
        <f t="shared" si="548"/>
        <v>0</v>
      </c>
      <c r="J970">
        <f t="shared" si="549"/>
        <v>0</v>
      </c>
      <c r="K970">
        <f t="shared" si="550"/>
        <v>0</v>
      </c>
      <c r="L970">
        <f t="shared" si="551"/>
        <v>0</v>
      </c>
      <c r="M970">
        <f t="shared" si="552"/>
        <v>0</v>
      </c>
      <c r="N970">
        <f t="shared" si="553"/>
        <v>0</v>
      </c>
      <c r="O970">
        <f t="shared" si="554"/>
        <v>0</v>
      </c>
      <c r="P970">
        <f t="shared" si="555"/>
        <v>0</v>
      </c>
      <c r="Q970">
        <f t="shared" si="556"/>
        <v>0</v>
      </c>
      <c r="S970">
        <f t="shared" si="557"/>
        <v>0</v>
      </c>
      <c r="T970">
        <f t="shared" si="558"/>
        <v>0</v>
      </c>
      <c r="U970">
        <f t="shared" si="559"/>
        <v>0</v>
      </c>
      <c r="V970">
        <f t="shared" si="560"/>
        <v>0</v>
      </c>
      <c r="W970">
        <f t="shared" si="561"/>
        <v>0</v>
      </c>
      <c r="X970">
        <f t="shared" si="562"/>
        <v>0</v>
      </c>
      <c r="Y970">
        <f t="shared" si="563"/>
        <v>0</v>
      </c>
      <c r="Z970">
        <f t="shared" si="564"/>
        <v>0</v>
      </c>
      <c r="AA970">
        <f t="shared" si="565"/>
        <v>0</v>
      </c>
      <c r="AB970">
        <f t="shared" si="566"/>
        <v>0</v>
      </c>
      <c r="AC970">
        <f t="shared" si="567"/>
        <v>0</v>
      </c>
      <c r="AD970">
        <f t="shared" si="568"/>
        <v>0</v>
      </c>
      <c r="AF970">
        <f t="shared" si="569"/>
        <v>0</v>
      </c>
      <c r="AG970">
        <f t="shared" si="570"/>
        <v>0</v>
      </c>
      <c r="AH970">
        <f t="shared" si="571"/>
        <v>0</v>
      </c>
      <c r="AI970">
        <f t="shared" si="572"/>
        <v>0</v>
      </c>
      <c r="AJ970">
        <f t="shared" si="573"/>
        <v>0</v>
      </c>
      <c r="AK970">
        <f t="shared" si="574"/>
        <v>0</v>
      </c>
      <c r="AL970">
        <f t="shared" si="575"/>
        <v>0</v>
      </c>
      <c r="AM970">
        <f t="shared" si="576"/>
        <v>0</v>
      </c>
      <c r="AN970">
        <f t="shared" si="577"/>
        <v>0</v>
      </c>
      <c r="AO970">
        <f t="shared" si="578"/>
        <v>0</v>
      </c>
      <c r="AP970">
        <f t="shared" si="579"/>
        <v>0</v>
      </c>
      <c r="AQ970">
        <f t="shared" si="580"/>
        <v>0</v>
      </c>
    </row>
    <row r="971" spans="6:43" x14ac:dyDescent="0.45">
      <c r="F971">
        <f t="shared" si="545"/>
        <v>0</v>
      </c>
      <c r="G971">
        <f t="shared" si="546"/>
        <v>0</v>
      </c>
      <c r="H971">
        <f t="shared" si="547"/>
        <v>0</v>
      </c>
      <c r="I971">
        <f t="shared" si="548"/>
        <v>0</v>
      </c>
      <c r="J971">
        <f t="shared" si="549"/>
        <v>0</v>
      </c>
      <c r="K971">
        <f t="shared" si="550"/>
        <v>0</v>
      </c>
      <c r="L971">
        <f t="shared" si="551"/>
        <v>0</v>
      </c>
      <c r="M971">
        <f t="shared" si="552"/>
        <v>0</v>
      </c>
      <c r="N971">
        <f t="shared" si="553"/>
        <v>0</v>
      </c>
      <c r="O971">
        <f t="shared" si="554"/>
        <v>0</v>
      </c>
      <c r="P971">
        <f t="shared" si="555"/>
        <v>0</v>
      </c>
      <c r="Q971">
        <f t="shared" si="556"/>
        <v>0</v>
      </c>
      <c r="S971">
        <f t="shared" si="557"/>
        <v>0</v>
      </c>
      <c r="T971">
        <f t="shared" si="558"/>
        <v>0</v>
      </c>
      <c r="U971">
        <f t="shared" si="559"/>
        <v>0</v>
      </c>
      <c r="V971">
        <f t="shared" si="560"/>
        <v>0</v>
      </c>
      <c r="W971">
        <f t="shared" si="561"/>
        <v>0</v>
      </c>
      <c r="X971">
        <f t="shared" si="562"/>
        <v>0</v>
      </c>
      <c r="Y971">
        <f t="shared" si="563"/>
        <v>0</v>
      </c>
      <c r="Z971">
        <f t="shared" si="564"/>
        <v>0</v>
      </c>
      <c r="AA971">
        <f t="shared" si="565"/>
        <v>0</v>
      </c>
      <c r="AB971">
        <f t="shared" si="566"/>
        <v>0</v>
      </c>
      <c r="AC971">
        <f t="shared" si="567"/>
        <v>0</v>
      </c>
      <c r="AD971">
        <f t="shared" si="568"/>
        <v>0</v>
      </c>
      <c r="AF971">
        <f t="shared" si="569"/>
        <v>0</v>
      </c>
      <c r="AG971">
        <f t="shared" si="570"/>
        <v>0</v>
      </c>
      <c r="AH971">
        <f t="shared" si="571"/>
        <v>0</v>
      </c>
      <c r="AI971">
        <f t="shared" si="572"/>
        <v>0</v>
      </c>
      <c r="AJ971">
        <f t="shared" si="573"/>
        <v>0</v>
      </c>
      <c r="AK971">
        <f t="shared" si="574"/>
        <v>0</v>
      </c>
      <c r="AL971">
        <f t="shared" si="575"/>
        <v>0</v>
      </c>
      <c r="AM971">
        <f t="shared" si="576"/>
        <v>0</v>
      </c>
      <c r="AN971">
        <f t="shared" si="577"/>
        <v>0</v>
      </c>
      <c r="AO971">
        <f t="shared" si="578"/>
        <v>0</v>
      </c>
      <c r="AP971">
        <f t="shared" si="579"/>
        <v>0</v>
      </c>
      <c r="AQ971">
        <f t="shared" si="580"/>
        <v>0</v>
      </c>
    </row>
    <row r="972" spans="6:43" x14ac:dyDescent="0.45">
      <c r="F972">
        <f t="shared" ref="F972:F1035" si="581">IF(D972="SPUR-01",E972,0)</f>
        <v>0</v>
      </c>
      <c r="G972">
        <f t="shared" ref="G972:G1035" si="582">IF(D972="SPUR-02",E972,0)</f>
        <v>0</v>
      </c>
      <c r="H972">
        <f t="shared" ref="H972:H1035" si="583">IF(D972="SPUR-03",E972,0)</f>
        <v>0</v>
      </c>
      <c r="I972">
        <f t="shared" ref="I972:I1035" si="584">IF(D972="SPUR-04",E972,0)</f>
        <v>0</v>
      </c>
      <c r="J972">
        <f t="shared" ref="J972:J1035" si="585">IF(D972="SPUR-05",E972,0)</f>
        <v>0</v>
      </c>
      <c r="K972">
        <f t="shared" ref="K972:K1035" si="586">IF(D972="SPUR-06",E972,0)</f>
        <v>0</v>
      </c>
      <c r="L972">
        <f t="shared" ref="L972:L1035" si="587">IF(D972="SPUR-07",E972,0)</f>
        <v>0</v>
      </c>
      <c r="M972">
        <f t="shared" ref="M972:M1035" si="588">IF(D972="SPUR-08",E972,0)</f>
        <v>0</v>
      </c>
      <c r="N972">
        <f t="shared" ref="N972:N1035" si="589">IF(D972="SPUR-09",E972,0)</f>
        <v>0</v>
      </c>
      <c r="O972">
        <f t="shared" ref="O972:O1035" si="590">IF(D972="SPUR-10",E972,0)</f>
        <v>0</v>
      </c>
      <c r="P972">
        <f t="shared" ref="P972:P1035" si="591">IF(D972="SPUR-SILO",E972,0)</f>
        <v>0</v>
      </c>
      <c r="Q972">
        <f t="shared" ref="Q972:Q1035" si="592">IF(D972="SPUR-DB",E972,0)</f>
        <v>0</v>
      </c>
      <c r="S972">
        <f t="shared" si="557"/>
        <v>0</v>
      </c>
      <c r="T972">
        <f t="shared" si="558"/>
        <v>0</v>
      </c>
      <c r="U972">
        <f t="shared" si="559"/>
        <v>0</v>
      </c>
      <c r="V972">
        <f t="shared" si="560"/>
        <v>0</v>
      </c>
      <c r="W972">
        <f t="shared" si="561"/>
        <v>0</v>
      </c>
      <c r="X972">
        <f t="shared" si="562"/>
        <v>0</v>
      </c>
      <c r="Y972">
        <f t="shared" si="563"/>
        <v>0</v>
      </c>
      <c r="Z972">
        <f t="shared" si="564"/>
        <v>0</v>
      </c>
      <c r="AA972">
        <f t="shared" si="565"/>
        <v>0</v>
      </c>
      <c r="AB972">
        <f t="shared" si="566"/>
        <v>0</v>
      </c>
      <c r="AC972">
        <f t="shared" si="567"/>
        <v>0</v>
      </c>
      <c r="AD972">
        <f t="shared" si="568"/>
        <v>0</v>
      </c>
      <c r="AF972">
        <f t="shared" si="569"/>
        <v>0</v>
      </c>
      <c r="AG972">
        <f t="shared" si="570"/>
        <v>0</v>
      </c>
      <c r="AH972">
        <f t="shared" si="571"/>
        <v>0</v>
      </c>
      <c r="AI972">
        <f t="shared" si="572"/>
        <v>0</v>
      </c>
      <c r="AJ972">
        <f t="shared" si="573"/>
        <v>0</v>
      </c>
      <c r="AK972">
        <f t="shared" si="574"/>
        <v>0</v>
      </c>
      <c r="AL972">
        <f t="shared" si="575"/>
        <v>0</v>
      </c>
      <c r="AM972">
        <f t="shared" si="576"/>
        <v>0</v>
      </c>
      <c r="AN972">
        <f t="shared" si="577"/>
        <v>0</v>
      </c>
      <c r="AO972">
        <f t="shared" si="578"/>
        <v>0</v>
      </c>
      <c r="AP972">
        <f t="shared" si="579"/>
        <v>0</v>
      </c>
      <c r="AQ972">
        <f t="shared" si="580"/>
        <v>0</v>
      </c>
    </row>
    <row r="973" spans="6:43" x14ac:dyDescent="0.45">
      <c r="F973">
        <f t="shared" si="581"/>
        <v>0</v>
      </c>
      <c r="G973">
        <f t="shared" si="582"/>
        <v>0</v>
      </c>
      <c r="H973">
        <f t="shared" si="583"/>
        <v>0</v>
      </c>
      <c r="I973">
        <f t="shared" si="584"/>
        <v>0</v>
      </c>
      <c r="J973">
        <f t="shared" si="585"/>
        <v>0</v>
      </c>
      <c r="K973">
        <f t="shared" si="586"/>
        <v>0</v>
      </c>
      <c r="L973">
        <f t="shared" si="587"/>
        <v>0</v>
      </c>
      <c r="M973">
        <f t="shared" si="588"/>
        <v>0</v>
      </c>
      <c r="N973">
        <f t="shared" si="589"/>
        <v>0</v>
      </c>
      <c r="O973">
        <f t="shared" si="590"/>
        <v>0</v>
      </c>
      <c r="P973">
        <f t="shared" si="591"/>
        <v>0</v>
      </c>
      <c r="Q973">
        <f t="shared" si="592"/>
        <v>0</v>
      </c>
      <c r="S973">
        <f t="shared" si="557"/>
        <v>0</v>
      </c>
      <c r="T973">
        <f t="shared" si="558"/>
        <v>0</v>
      </c>
      <c r="U973">
        <f t="shared" si="559"/>
        <v>0</v>
      </c>
      <c r="V973">
        <f t="shared" si="560"/>
        <v>0</v>
      </c>
      <c r="W973">
        <f t="shared" si="561"/>
        <v>0</v>
      </c>
      <c r="X973">
        <f t="shared" si="562"/>
        <v>0</v>
      </c>
      <c r="Y973">
        <f t="shared" si="563"/>
        <v>0</v>
      </c>
      <c r="Z973">
        <f t="shared" si="564"/>
        <v>0</v>
      </c>
      <c r="AA973">
        <f t="shared" si="565"/>
        <v>0</v>
      </c>
      <c r="AB973">
        <f t="shared" si="566"/>
        <v>0</v>
      </c>
      <c r="AC973">
        <f t="shared" si="567"/>
        <v>0</v>
      </c>
      <c r="AD973">
        <f t="shared" si="568"/>
        <v>0</v>
      </c>
      <c r="AF973">
        <f t="shared" si="569"/>
        <v>0</v>
      </c>
      <c r="AG973">
        <f t="shared" si="570"/>
        <v>0</v>
      </c>
      <c r="AH973">
        <f t="shared" si="571"/>
        <v>0</v>
      </c>
      <c r="AI973">
        <f t="shared" si="572"/>
        <v>0</v>
      </c>
      <c r="AJ973">
        <f t="shared" si="573"/>
        <v>0</v>
      </c>
      <c r="AK973">
        <f t="shared" si="574"/>
        <v>0</v>
      </c>
      <c r="AL973">
        <f t="shared" si="575"/>
        <v>0</v>
      </c>
      <c r="AM973">
        <f t="shared" si="576"/>
        <v>0</v>
      </c>
      <c r="AN973">
        <f t="shared" si="577"/>
        <v>0</v>
      </c>
      <c r="AO973">
        <f t="shared" si="578"/>
        <v>0</v>
      </c>
      <c r="AP973">
        <f t="shared" si="579"/>
        <v>0</v>
      </c>
      <c r="AQ973">
        <f t="shared" si="580"/>
        <v>0</v>
      </c>
    </row>
    <row r="974" spans="6:43" x14ac:dyDescent="0.45">
      <c r="F974">
        <f t="shared" si="581"/>
        <v>0</v>
      </c>
      <c r="G974">
        <f t="shared" si="582"/>
        <v>0</v>
      </c>
      <c r="H974">
        <f t="shared" si="583"/>
        <v>0</v>
      </c>
      <c r="I974">
        <f t="shared" si="584"/>
        <v>0</v>
      </c>
      <c r="J974">
        <f t="shared" si="585"/>
        <v>0</v>
      </c>
      <c r="K974">
        <f t="shared" si="586"/>
        <v>0</v>
      </c>
      <c r="L974">
        <f t="shared" si="587"/>
        <v>0</v>
      </c>
      <c r="M974">
        <f t="shared" si="588"/>
        <v>0</v>
      </c>
      <c r="N974">
        <f t="shared" si="589"/>
        <v>0</v>
      </c>
      <c r="O974">
        <f t="shared" si="590"/>
        <v>0</v>
      </c>
      <c r="P974">
        <f t="shared" si="591"/>
        <v>0</v>
      </c>
      <c r="Q974">
        <f t="shared" si="592"/>
        <v>0</v>
      </c>
      <c r="S974">
        <f t="shared" si="557"/>
        <v>0</v>
      </c>
      <c r="T974">
        <f t="shared" si="558"/>
        <v>0</v>
      </c>
      <c r="U974">
        <f t="shared" si="559"/>
        <v>0</v>
      </c>
      <c r="V974">
        <f t="shared" si="560"/>
        <v>0</v>
      </c>
      <c r="W974">
        <f t="shared" si="561"/>
        <v>0</v>
      </c>
      <c r="X974">
        <f t="shared" si="562"/>
        <v>0</v>
      </c>
      <c r="Y974">
        <f t="shared" si="563"/>
        <v>0</v>
      </c>
      <c r="Z974">
        <f t="shared" si="564"/>
        <v>0</v>
      </c>
      <c r="AA974">
        <f t="shared" si="565"/>
        <v>0</v>
      </c>
      <c r="AB974">
        <f t="shared" si="566"/>
        <v>0</v>
      </c>
      <c r="AC974">
        <f t="shared" si="567"/>
        <v>0</v>
      </c>
      <c r="AD974">
        <f t="shared" si="568"/>
        <v>0</v>
      </c>
      <c r="AF974">
        <f t="shared" si="569"/>
        <v>0</v>
      </c>
      <c r="AG974">
        <f t="shared" si="570"/>
        <v>0</v>
      </c>
      <c r="AH974">
        <f t="shared" si="571"/>
        <v>0</v>
      </c>
      <c r="AI974">
        <f t="shared" si="572"/>
        <v>0</v>
      </c>
      <c r="AJ974">
        <f t="shared" si="573"/>
        <v>0</v>
      </c>
      <c r="AK974">
        <f t="shared" si="574"/>
        <v>0</v>
      </c>
      <c r="AL974">
        <f t="shared" si="575"/>
        <v>0</v>
      </c>
      <c r="AM974">
        <f t="shared" si="576"/>
        <v>0</v>
      </c>
      <c r="AN974">
        <f t="shared" si="577"/>
        <v>0</v>
      </c>
      <c r="AO974">
        <f t="shared" si="578"/>
        <v>0</v>
      </c>
      <c r="AP974">
        <f t="shared" si="579"/>
        <v>0</v>
      </c>
      <c r="AQ974">
        <f t="shared" si="580"/>
        <v>0</v>
      </c>
    </row>
    <row r="975" spans="6:43" x14ac:dyDescent="0.45">
      <c r="F975">
        <f t="shared" si="581"/>
        <v>0</v>
      </c>
      <c r="G975">
        <f t="shared" si="582"/>
        <v>0</v>
      </c>
      <c r="H975">
        <f t="shared" si="583"/>
        <v>0</v>
      </c>
      <c r="I975">
        <f t="shared" si="584"/>
        <v>0</v>
      </c>
      <c r="J975">
        <f t="shared" si="585"/>
        <v>0</v>
      </c>
      <c r="K975">
        <f t="shared" si="586"/>
        <v>0</v>
      </c>
      <c r="L975">
        <f t="shared" si="587"/>
        <v>0</v>
      </c>
      <c r="M975">
        <f t="shared" si="588"/>
        <v>0</v>
      </c>
      <c r="N975">
        <f t="shared" si="589"/>
        <v>0</v>
      </c>
      <c r="O975">
        <f t="shared" si="590"/>
        <v>0</v>
      </c>
      <c r="P975">
        <f t="shared" si="591"/>
        <v>0</v>
      </c>
      <c r="Q975">
        <f t="shared" si="592"/>
        <v>0</v>
      </c>
      <c r="S975">
        <f t="shared" si="557"/>
        <v>0</v>
      </c>
      <c r="T975">
        <f t="shared" si="558"/>
        <v>0</v>
      </c>
      <c r="U975">
        <f t="shared" si="559"/>
        <v>0</v>
      </c>
      <c r="V975">
        <f t="shared" si="560"/>
        <v>0</v>
      </c>
      <c r="W975">
        <f t="shared" si="561"/>
        <v>0</v>
      </c>
      <c r="X975">
        <f t="shared" si="562"/>
        <v>0</v>
      </c>
      <c r="Y975">
        <f t="shared" si="563"/>
        <v>0</v>
      </c>
      <c r="Z975">
        <f t="shared" si="564"/>
        <v>0</v>
      </c>
      <c r="AA975">
        <f t="shared" si="565"/>
        <v>0</v>
      </c>
      <c r="AB975">
        <f t="shared" si="566"/>
        <v>0</v>
      </c>
      <c r="AC975">
        <f t="shared" si="567"/>
        <v>0</v>
      </c>
      <c r="AD975">
        <f t="shared" si="568"/>
        <v>0</v>
      </c>
      <c r="AF975">
        <f t="shared" si="569"/>
        <v>0</v>
      </c>
      <c r="AG975">
        <f t="shared" si="570"/>
        <v>0</v>
      </c>
      <c r="AH975">
        <f t="shared" si="571"/>
        <v>0</v>
      </c>
      <c r="AI975">
        <f t="shared" si="572"/>
        <v>0</v>
      </c>
      <c r="AJ975">
        <f t="shared" si="573"/>
        <v>0</v>
      </c>
      <c r="AK975">
        <f t="shared" si="574"/>
        <v>0</v>
      </c>
      <c r="AL975">
        <f t="shared" si="575"/>
        <v>0</v>
      </c>
      <c r="AM975">
        <f t="shared" si="576"/>
        <v>0</v>
      </c>
      <c r="AN975">
        <f t="shared" si="577"/>
        <v>0</v>
      </c>
      <c r="AO975">
        <f t="shared" si="578"/>
        <v>0</v>
      </c>
      <c r="AP975">
        <f t="shared" si="579"/>
        <v>0</v>
      </c>
      <c r="AQ975">
        <f t="shared" si="580"/>
        <v>0</v>
      </c>
    </row>
    <row r="976" spans="6:43" x14ac:dyDescent="0.45">
      <c r="F976">
        <f t="shared" si="581"/>
        <v>0</v>
      </c>
      <c r="G976">
        <f t="shared" si="582"/>
        <v>0</v>
      </c>
      <c r="H976">
        <f t="shared" si="583"/>
        <v>0</v>
      </c>
      <c r="I976">
        <f t="shared" si="584"/>
        <v>0</v>
      </c>
      <c r="J976">
        <f t="shared" si="585"/>
        <v>0</v>
      </c>
      <c r="K976">
        <f t="shared" si="586"/>
        <v>0</v>
      </c>
      <c r="L976">
        <f t="shared" si="587"/>
        <v>0</v>
      </c>
      <c r="M976">
        <f t="shared" si="588"/>
        <v>0</v>
      </c>
      <c r="N976">
        <f t="shared" si="589"/>
        <v>0</v>
      </c>
      <c r="O976">
        <f t="shared" si="590"/>
        <v>0</v>
      </c>
      <c r="P976">
        <f t="shared" si="591"/>
        <v>0</v>
      </c>
      <c r="Q976">
        <f t="shared" si="592"/>
        <v>0</v>
      </c>
      <c r="S976">
        <f t="shared" si="557"/>
        <v>0</v>
      </c>
      <c r="T976">
        <f t="shared" si="558"/>
        <v>0</v>
      </c>
      <c r="U976">
        <f t="shared" si="559"/>
        <v>0</v>
      </c>
      <c r="V976">
        <f t="shared" si="560"/>
        <v>0</v>
      </c>
      <c r="W976">
        <f t="shared" si="561"/>
        <v>0</v>
      </c>
      <c r="X976">
        <f t="shared" si="562"/>
        <v>0</v>
      </c>
      <c r="Y976">
        <f t="shared" si="563"/>
        <v>0</v>
      </c>
      <c r="Z976">
        <f t="shared" si="564"/>
        <v>0</v>
      </c>
      <c r="AA976">
        <f t="shared" si="565"/>
        <v>0</v>
      </c>
      <c r="AB976">
        <f t="shared" si="566"/>
        <v>0</v>
      </c>
      <c r="AC976">
        <f t="shared" si="567"/>
        <v>0</v>
      </c>
      <c r="AD976">
        <f t="shared" si="568"/>
        <v>0</v>
      </c>
      <c r="AF976">
        <f t="shared" si="569"/>
        <v>0</v>
      </c>
      <c r="AG976">
        <f t="shared" si="570"/>
        <v>0</v>
      </c>
      <c r="AH976">
        <f t="shared" si="571"/>
        <v>0</v>
      </c>
      <c r="AI976">
        <f t="shared" si="572"/>
        <v>0</v>
      </c>
      <c r="AJ976">
        <f t="shared" si="573"/>
        <v>0</v>
      </c>
      <c r="AK976">
        <f t="shared" si="574"/>
        <v>0</v>
      </c>
      <c r="AL976">
        <f t="shared" si="575"/>
        <v>0</v>
      </c>
      <c r="AM976">
        <f t="shared" si="576"/>
        <v>0</v>
      </c>
      <c r="AN976">
        <f t="shared" si="577"/>
        <v>0</v>
      </c>
      <c r="AO976">
        <f t="shared" si="578"/>
        <v>0</v>
      </c>
      <c r="AP976">
        <f t="shared" si="579"/>
        <v>0</v>
      </c>
      <c r="AQ976">
        <f t="shared" si="580"/>
        <v>0</v>
      </c>
    </row>
    <row r="977" spans="6:43" x14ac:dyDescent="0.45">
      <c r="F977">
        <f t="shared" si="581"/>
        <v>0</v>
      </c>
      <c r="G977">
        <f t="shared" si="582"/>
        <v>0</v>
      </c>
      <c r="H977">
        <f t="shared" si="583"/>
        <v>0</v>
      </c>
      <c r="I977">
        <f t="shared" si="584"/>
        <v>0</v>
      </c>
      <c r="J977">
        <f t="shared" si="585"/>
        <v>0</v>
      </c>
      <c r="K977">
        <f t="shared" si="586"/>
        <v>0</v>
      </c>
      <c r="L977">
        <f t="shared" si="587"/>
        <v>0</v>
      </c>
      <c r="M977">
        <f t="shared" si="588"/>
        <v>0</v>
      </c>
      <c r="N977">
        <f t="shared" si="589"/>
        <v>0</v>
      </c>
      <c r="O977">
        <f t="shared" si="590"/>
        <v>0</v>
      </c>
      <c r="P977">
        <f t="shared" si="591"/>
        <v>0</v>
      </c>
      <c r="Q977">
        <f t="shared" si="592"/>
        <v>0</v>
      </c>
      <c r="S977">
        <f t="shared" si="557"/>
        <v>0</v>
      </c>
      <c r="T977">
        <f t="shared" si="558"/>
        <v>0</v>
      </c>
      <c r="U977">
        <f t="shared" si="559"/>
        <v>0</v>
      </c>
      <c r="V977">
        <f t="shared" si="560"/>
        <v>0</v>
      </c>
      <c r="W977">
        <f t="shared" si="561"/>
        <v>0</v>
      </c>
      <c r="X977">
        <f t="shared" si="562"/>
        <v>0</v>
      </c>
      <c r="Y977">
        <f t="shared" si="563"/>
        <v>0</v>
      </c>
      <c r="Z977">
        <f t="shared" si="564"/>
        <v>0</v>
      </c>
      <c r="AA977">
        <f t="shared" si="565"/>
        <v>0</v>
      </c>
      <c r="AB977">
        <f t="shared" si="566"/>
        <v>0</v>
      </c>
      <c r="AC977">
        <f t="shared" si="567"/>
        <v>0</v>
      </c>
      <c r="AD977">
        <f t="shared" si="568"/>
        <v>0</v>
      </c>
      <c r="AF977">
        <f t="shared" si="569"/>
        <v>0</v>
      </c>
      <c r="AG977">
        <f t="shared" si="570"/>
        <v>0</v>
      </c>
      <c r="AH977">
        <f t="shared" si="571"/>
        <v>0</v>
      </c>
      <c r="AI977">
        <f t="shared" si="572"/>
        <v>0</v>
      </c>
      <c r="AJ977">
        <f t="shared" si="573"/>
        <v>0</v>
      </c>
      <c r="AK977">
        <f t="shared" si="574"/>
        <v>0</v>
      </c>
      <c r="AL977">
        <f t="shared" si="575"/>
        <v>0</v>
      </c>
      <c r="AM977">
        <f t="shared" si="576"/>
        <v>0</v>
      </c>
      <c r="AN977">
        <f t="shared" si="577"/>
        <v>0</v>
      </c>
      <c r="AO977">
        <f t="shared" si="578"/>
        <v>0</v>
      </c>
      <c r="AP977">
        <f t="shared" si="579"/>
        <v>0</v>
      </c>
      <c r="AQ977">
        <f t="shared" si="580"/>
        <v>0</v>
      </c>
    </row>
    <row r="978" spans="6:43" x14ac:dyDescent="0.45">
      <c r="F978">
        <f t="shared" si="581"/>
        <v>0</v>
      </c>
      <c r="G978">
        <f t="shared" si="582"/>
        <v>0</v>
      </c>
      <c r="H978">
        <f t="shared" si="583"/>
        <v>0</v>
      </c>
      <c r="I978">
        <f t="shared" si="584"/>
        <v>0</v>
      </c>
      <c r="J978">
        <f t="shared" si="585"/>
        <v>0</v>
      </c>
      <c r="K978">
        <f t="shared" si="586"/>
        <v>0</v>
      </c>
      <c r="L978">
        <f t="shared" si="587"/>
        <v>0</v>
      </c>
      <c r="M978">
        <f t="shared" si="588"/>
        <v>0</v>
      </c>
      <c r="N978">
        <f t="shared" si="589"/>
        <v>0</v>
      </c>
      <c r="O978">
        <f t="shared" si="590"/>
        <v>0</v>
      </c>
      <c r="P978">
        <f t="shared" si="591"/>
        <v>0</v>
      </c>
      <c r="Q978">
        <f t="shared" si="592"/>
        <v>0</v>
      </c>
      <c r="S978">
        <f t="shared" si="557"/>
        <v>0</v>
      </c>
      <c r="T978">
        <f t="shared" si="558"/>
        <v>0</v>
      </c>
      <c r="U978">
        <f t="shared" si="559"/>
        <v>0</v>
      </c>
      <c r="V978">
        <f t="shared" si="560"/>
        <v>0</v>
      </c>
      <c r="W978">
        <f t="shared" si="561"/>
        <v>0</v>
      </c>
      <c r="X978">
        <f t="shared" si="562"/>
        <v>0</v>
      </c>
      <c r="Y978">
        <f t="shared" si="563"/>
        <v>0</v>
      </c>
      <c r="Z978">
        <f t="shared" si="564"/>
        <v>0</v>
      </c>
      <c r="AA978">
        <f t="shared" si="565"/>
        <v>0</v>
      </c>
      <c r="AB978">
        <f t="shared" si="566"/>
        <v>0</v>
      </c>
      <c r="AC978">
        <f t="shared" si="567"/>
        <v>0</v>
      </c>
      <c r="AD978">
        <f t="shared" si="568"/>
        <v>0</v>
      </c>
      <c r="AF978">
        <f t="shared" si="569"/>
        <v>0</v>
      </c>
      <c r="AG978">
        <f t="shared" si="570"/>
        <v>0</v>
      </c>
      <c r="AH978">
        <f t="shared" si="571"/>
        <v>0</v>
      </c>
      <c r="AI978">
        <f t="shared" si="572"/>
        <v>0</v>
      </c>
      <c r="AJ978">
        <f t="shared" si="573"/>
        <v>0</v>
      </c>
      <c r="AK978">
        <f t="shared" si="574"/>
        <v>0</v>
      </c>
      <c r="AL978">
        <f t="shared" si="575"/>
        <v>0</v>
      </c>
      <c r="AM978">
        <f t="shared" si="576"/>
        <v>0</v>
      </c>
      <c r="AN978">
        <f t="shared" si="577"/>
        <v>0</v>
      </c>
      <c r="AO978">
        <f t="shared" si="578"/>
        <v>0</v>
      </c>
      <c r="AP978">
        <f t="shared" si="579"/>
        <v>0</v>
      </c>
      <c r="AQ978">
        <f t="shared" si="580"/>
        <v>0</v>
      </c>
    </row>
    <row r="979" spans="6:43" x14ac:dyDescent="0.45">
      <c r="F979">
        <f t="shared" si="581"/>
        <v>0</v>
      </c>
      <c r="G979">
        <f t="shared" si="582"/>
        <v>0</v>
      </c>
      <c r="H979">
        <f t="shared" si="583"/>
        <v>0</v>
      </c>
      <c r="I979">
        <f t="shared" si="584"/>
        <v>0</v>
      </c>
      <c r="J979">
        <f t="shared" si="585"/>
        <v>0</v>
      </c>
      <c r="K979">
        <f t="shared" si="586"/>
        <v>0</v>
      </c>
      <c r="L979">
        <f t="shared" si="587"/>
        <v>0</v>
      </c>
      <c r="M979">
        <f t="shared" si="588"/>
        <v>0</v>
      </c>
      <c r="N979">
        <f t="shared" si="589"/>
        <v>0</v>
      </c>
      <c r="O979">
        <f t="shared" si="590"/>
        <v>0</v>
      </c>
      <c r="P979">
        <f t="shared" si="591"/>
        <v>0</v>
      </c>
      <c r="Q979">
        <f t="shared" si="592"/>
        <v>0</v>
      </c>
      <c r="S979">
        <f t="shared" si="557"/>
        <v>0</v>
      </c>
      <c r="T979">
        <f t="shared" si="558"/>
        <v>0</v>
      </c>
      <c r="U979">
        <f t="shared" si="559"/>
        <v>0</v>
      </c>
      <c r="V979">
        <f t="shared" si="560"/>
        <v>0</v>
      </c>
      <c r="W979">
        <f t="shared" si="561"/>
        <v>0</v>
      </c>
      <c r="X979">
        <f t="shared" si="562"/>
        <v>0</v>
      </c>
      <c r="Y979">
        <f t="shared" si="563"/>
        <v>0</v>
      </c>
      <c r="Z979">
        <f t="shared" si="564"/>
        <v>0</v>
      </c>
      <c r="AA979">
        <f t="shared" si="565"/>
        <v>0</v>
      </c>
      <c r="AB979">
        <f t="shared" si="566"/>
        <v>0</v>
      </c>
      <c r="AC979">
        <f t="shared" si="567"/>
        <v>0</v>
      </c>
      <c r="AD979">
        <f t="shared" si="568"/>
        <v>0</v>
      </c>
      <c r="AF979">
        <f t="shared" si="569"/>
        <v>0</v>
      </c>
      <c r="AG979">
        <f t="shared" si="570"/>
        <v>0</v>
      </c>
      <c r="AH979">
        <f t="shared" si="571"/>
        <v>0</v>
      </c>
      <c r="AI979">
        <f t="shared" si="572"/>
        <v>0</v>
      </c>
      <c r="AJ979">
        <f t="shared" si="573"/>
        <v>0</v>
      </c>
      <c r="AK979">
        <f t="shared" si="574"/>
        <v>0</v>
      </c>
      <c r="AL979">
        <f t="shared" si="575"/>
        <v>0</v>
      </c>
      <c r="AM979">
        <f t="shared" si="576"/>
        <v>0</v>
      </c>
      <c r="AN979">
        <f t="shared" si="577"/>
        <v>0</v>
      </c>
      <c r="AO979">
        <f t="shared" si="578"/>
        <v>0</v>
      </c>
      <c r="AP979">
        <f t="shared" si="579"/>
        <v>0</v>
      </c>
      <c r="AQ979">
        <f t="shared" si="580"/>
        <v>0</v>
      </c>
    </row>
    <row r="980" spans="6:43" x14ac:dyDescent="0.45">
      <c r="F980">
        <f t="shared" si="581"/>
        <v>0</v>
      </c>
      <c r="G980">
        <f t="shared" si="582"/>
        <v>0</v>
      </c>
      <c r="H980">
        <f t="shared" si="583"/>
        <v>0</v>
      </c>
      <c r="I980">
        <f t="shared" si="584"/>
        <v>0</v>
      </c>
      <c r="J980">
        <f t="shared" si="585"/>
        <v>0</v>
      </c>
      <c r="K980">
        <f t="shared" si="586"/>
        <v>0</v>
      </c>
      <c r="L980">
        <f t="shared" si="587"/>
        <v>0</v>
      </c>
      <c r="M980">
        <f t="shared" si="588"/>
        <v>0</v>
      </c>
      <c r="N980">
        <f t="shared" si="589"/>
        <v>0</v>
      </c>
      <c r="O980">
        <f t="shared" si="590"/>
        <v>0</v>
      </c>
      <c r="P980">
        <f t="shared" si="591"/>
        <v>0</v>
      </c>
      <c r="Q980">
        <f t="shared" si="592"/>
        <v>0</v>
      </c>
      <c r="S980">
        <f t="shared" si="557"/>
        <v>0</v>
      </c>
      <c r="T980">
        <f t="shared" si="558"/>
        <v>0</v>
      </c>
      <c r="U980">
        <f t="shared" si="559"/>
        <v>0</v>
      </c>
      <c r="V980">
        <f t="shared" si="560"/>
        <v>0</v>
      </c>
      <c r="W980">
        <f t="shared" si="561"/>
        <v>0</v>
      </c>
      <c r="X980">
        <f t="shared" si="562"/>
        <v>0</v>
      </c>
      <c r="Y980">
        <f t="shared" si="563"/>
        <v>0</v>
      </c>
      <c r="Z980">
        <f t="shared" si="564"/>
        <v>0</v>
      </c>
      <c r="AA980">
        <f t="shared" si="565"/>
        <v>0</v>
      </c>
      <c r="AB980">
        <f t="shared" si="566"/>
        <v>0</v>
      </c>
      <c r="AC980">
        <f t="shared" si="567"/>
        <v>0</v>
      </c>
      <c r="AD980">
        <f t="shared" si="568"/>
        <v>0</v>
      </c>
      <c r="AF980">
        <f t="shared" si="569"/>
        <v>0</v>
      </c>
      <c r="AG980">
        <f t="shared" si="570"/>
        <v>0</v>
      </c>
      <c r="AH980">
        <f t="shared" si="571"/>
        <v>0</v>
      </c>
      <c r="AI980">
        <f t="shared" si="572"/>
        <v>0</v>
      </c>
      <c r="AJ980">
        <f t="shared" si="573"/>
        <v>0</v>
      </c>
      <c r="AK980">
        <f t="shared" si="574"/>
        <v>0</v>
      </c>
      <c r="AL980">
        <f t="shared" si="575"/>
        <v>0</v>
      </c>
      <c r="AM980">
        <f t="shared" si="576"/>
        <v>0</v>
      </c>
      <c r="AN980">
        <f t="shared" si="577"/>
        <v>0</v>
      </c>
      <c r="AO980">
        <f t="shared" si="578"/>
        <v>0</v>
      </c>
      <c r="AP980">
        <f t="shared" si="579"/>
        <v>0</v>
      </c>
      <c r="AQ980">
        <f t="shared" si="580"/>
        <v>0</v>
      </c>
    </row>
    <row r="981" spans="6:43" x14ac:dyDescent="0.45">
      <c r="F981">
        <f t="shared" si="581"/>
        <v>0</v>
      </c>
      <c r="G981">
        <f t="shared" si="582"/>
        <v>0</v>
      </c>
      <c r="H981">
        <f t="shared" si="583"/>
        <v>0</v>
      </c>
      <c r="I981">
        <f t="shared" si="584"/>
        <v>0</v>
      </c>
      <c r="J981">
        <f t="shared" si="585"/>
        <v>0</v>
      </c>
      <c r="K981">
        <f t="shared" si="586"/>
        <v>0</v>
      </c>
      <c r="L981">
        <f t="shared" si="587"/>
        <v>0</v>
      </c>
      <c r="M981">
        <f t="shared" si="588"/>
        <v>0</v>
      </c>
      <c r="N981">
        <f t="shared" si="589"/>
        <v>0</v>
      </c>
      <c r="O981">
        <f t="shared" si="590"/>
        <v>0</v>
      </c>
      <c r="P981">
        <f t="shared" si="591"/>
        <v>0</v>
      </c>
      <c r="Q981">
        <f t="shared" si="592"/>
        <v>0</v>
      </c>
      <c r="S981">
        <f t="shared" si="557"/>
        <v>0</v>
      </c>
      <c r="T981">
        <f t="shared" si="558"/>
        <v>0</v>
      </c>
      <c r="U981">
        <f t="shared" si="559"/>
        <v>0</v>
      </c>
      <c r="V981">
        <f t="shared" si="560"/>
        <v>0</v>
      </c>
      <c r="W981">
        <f t="shared" si="561"/>
        <v>0</v>
      </c>
      <c r="X981">
        <f t="shared" si="562"/>
        <v>0</v>
      </c>
      <c r="Y981">
        <f t="shared" si="563"/>
        <v>0</v>
      </c>
      <c r="Z981">
        <f t="shared" si="564"/>
        <v>0</v>
      </c>
      <c r="AA981">
        <f t="shared" si="565"/>
        <v>0</v>
      </c>
      <c r="AB981">
        <f t="shared" si="566"/>
        <v>0</v>
      </c>
      <c r="AC981">
        <f t="shared" si="567"/>
        <v>0</v>
      </c>
      <c r="AD981">
        <f t="shared" si="568"/>
        <v>0</v>
      </c>
      <c r="AF981">
        <f t="shared" si="569"/>
        <v>0</v>
      </c>
      <c r="AG981">
        <f t="shared" si="570"/>
        <v>0</v>
      </c>
      <c r="AH981">
        <f t="shared" si="571"/>
        <v>0</v>
      </c>
      <c r="AI981">
        <f t="shared" si="572"/>
        <v>0</v>
      </c>
      <c r="AJ981">
        <f t="shared" si="573"/>
        <v>0</v>
      </c>
      <c r="AK981">
        <f t="shared" si="574"/>
        <v>0</v>
      </c>
      <c r="AL981">
        <f t="shared" si="575"/>
        <v>0</v>
      </c>
      <c r="AM981">
        <f t="shared" si="576"/>
        <v>0</v>
      </c>
      <c r="AN981">
        <f t="shared" si="577"/>
        <v>0</v>
      </c>
      <c r="AO981">
        <f t="shared" si="578"/>
        <v>0</v>
      </c>
      <c r="AP981">
        <f t="shared" si="579"/>
        <v>0</v>
      </c>
      <c r="AQ981">
        <f t="shared" si="580"/>
        <v>0</v>
      </c>
    </row>
    <row r="982" spans="6:43" x14ac:dyDescent="0.45">
      <c r="F982">
        <f t="shared" si="581"/>
        <v>0</v>
      </c>
      <c r="G982">
        <f t="shared" si="582"/>
        <v>0</v>
      </c>
      <c r="H982">
        <f t="shared" si="583"/>
        <v>0</v>
      </c>
      <c r="I982">
        <f t="shared" si="584"/>
        <v>0</v>
      </c>
      <c r="J982">
        <f t="shared" si="585"/>
        <v>0</v>
      </c>
      <c r="K982">
        <f t="shared" si="586"/>
        <v>0</v>
      </c>
      <c r="L982">
        <f t="shared" si="587"/>
        <v>0</v>
      </c>
      <c r="M982">
        <f t="shared" si="588"/>
        <v>0</v>
      </c>
      <c r="N982">
        <f t="shared" si="589"/>
        <v>0</v>
      </c>
      <c r="O982">
        <f t="shared" si="590"/>
        <v>0</v>
      </c>
      <c r="P982">
        <f t="shared" si="591"/>
        <v>0</v>
      </c>
      <c r="Q982">
        <f t="shared" si="592"/>
        <v>0</v>
      </c>
      <c r="S982">
        <f t="shared" si="557"/>
        <v>0</v>
      </c>
      <c r="T982">
        <f t="shared" si="558"/>
        <v>0</v>
      </c>
      <c r="U982">
        <f t="shared" si="559"/>
        <v>0</v>
      </c>
      <c r="V982">
        <f t="shared" si="560"/>
        <v>0</v>
      </c>
      <c r="W982">
        <f t="shared" si="561"/>
        <v>0</v>
      </c>
      <c r="X982">
        <f t="shared" si="562"/>
        <v>0</v>
      </c>
      <c r="Y982">
        <f t="shared" si="563"/>
        <v>0</v>
      </c>
      <c r="Z982">
        <f t="shared" si="564"/>
        <v>0</v>
      </c>
      <c r="AA982">
        <f t="shared" si="565"/>
        <v>0</v>
      </c>
      <c r="AB982">
        <f t="shared" si="566"/>
        <v>0</v>
      </c>
      <c r="AC982">
        <f t="shared" si="567"/>
        <v>0</v>
      </c>
      <c r="AD982">
        <f t="shared" si="568"/>
        <v>0</v>
      </c>
      <c r="AF982">
        <f t="shared" si="569"/>
        <v>0</v>
      </c>
      <c r="AG982">
        <f t="shared" si="570"/>
        <v>0</v>
      </c>
      <c r="AH982">
        <f t="shared" si="571"/>
        <v>0</v>
      </c>
      <c r="AI982">
        <f t="shared" si="572"/>
        <v>0</v>
      </c>
      <c r="AJ982">
        <f t="shared" si="573"/>
        <v>0</v>
      </c>
      <c r="AK982">
        <f t="shared" si="574"/>
        <v>0</v>
      </c>
      <c r="AL982">
        <f t="shared" si="575"/>
        <v>0</v>
      </c>
      <c r="AM982">
        <f t="shared" si="576"/>
        <v>0</v>
      </c>
      <c r="AN982">
        <f t="shared" si="577"/>
        <v>0</v>
      </c>
      <c r="AO982">
        <f t="shared" si="578"/>
        <v>0</v>
      </c>
      <c r="AP982">
        <f t="shared" si="579"/>
        <v>0</v>
      </c>
      <c r="AQ982">
        <f t="shared" si="580"/>
        <v>0</v>
      </c>
    </row>
    <row r="983" spans="6:43" x14ac:dyDescent="0.45">
      <c r="F983">
        <f t="shared" si="581"/>
        <v>0</v>
      </c>
      <c r="G983">
        <f t="shared" si="582"/>
        <v>0</v>
      </c>
      <c r="H983">
        <f t="shared" si="583"/>
        <v>0</v>
      </c>
      <c r="I983">
        <f t="shared" si="584"/>
        <v>0</v>
      </c>
      <c r="J983">
        <f t="shared" si="585"/>
        <v>0</v>
      </c>
      <c r="K983">
        <f t="shared" si="586"/>
        <v>0</v>
      </c>
      <c r="L983">
        <f t="shared" si="587"/>
        <v>0</v>
      </c>
      <c r="M983">
        <f t="shared" si="588"/>
        <v>0</v>
      </c>
      <c r="N983">
        <f t="shared" si="589"/>
        <v>0</v>
      </c>
      <c r="O983">
        <f t="shared" si="590"/>
        <v>0</v>
      </c>
      <c r="P983">
        <f t="shared" si="591"/>
        <v>0</v>
      </c>
      <c r="Q983">
        <f t="shared" si="592"/>
        <v>0</v>
      </c>
      <c r="S983">
        <f t="shared" si="557"/>
        <v>0</v>
      </c>
      <c r="T983">
        <f t="shared" si="558"/>
        <v>0</v>
      </c>
      <c r="U983">
        <f t="shared" si="559"/>
        <v>0</v>
      </c>
      <c r="V983">
        <f t="shared" si="560"/>
        <v>0</v>
      </c>
      <c r="W983">
        <f t="shared" si="561"/>
        <v>0</v>
      </c>
      <c r="X983">
        <f t="shared" si="562"/>
        <v>0</v>
      </c>
      <c r="Y983">
        <f t="shared" si="563"/>
        <v>0</v>
      </c>
      <c r="Z983">
        <f t="shared" si="564"/>
        <v>0</v>
      </c>
      <c r="AA983">
        <f t="shared" si="565"/>
        <v>0</v>
      </c>
      <c r="AB983">
        <f t="shared" si="566"/>
        <v>0</v>
      </c>
      <c r="AC983">
        <f t="shared" si="567"/>
        <v>0</v>
      </c>
      <c r="AD983">
        <f t="shared" si="568"/>
        <v>0</v>
      </c>
      <c r="AF983">
        <f t="shared" si="569"/>
        <v>0</v>
      </c>
      <c r="AG983">
        <f t="shared" si="570"/>
        <v>0</v>
      </c>
      <c r="AH983">
        <f t="shared" si="571"/>
        <v>0</v>
      </c>
      <c r="AI983">
        <f t="shared" si="572"/>
        <v>0</v>
      </c>
      <c r="AJ983">
        <f t="shared" si="573"/>
        <v>0</v>
      </c>
      <c r="AK983">
        <f t="shared" si="574"/>
        <v>0</v>
      </c>
      <c r="AL983">
        <f t="shared" si="575"/>
        <v>0</v>
      </c>
      <c r="AM983">
        <f t="shared" si="576"/>
        <v>0</v>
      </c>
      <c r="AN983">
        <f t="shared" si="577"/>
        <v>0</v>
      </c>
      <c r="AO983">
        <f t="shared" si="578"/>
        <v>0</v>
      </c>
      <c r="AP983">
        <f t="shared" si="579"/>
        <v>0</v>
      </c>
      <c r="AQ983">
        <f t="shared" si="580"/>
        <v>0</v>
      </c>
    </row>
    <row r="984" spans="6:43" x14ac:dyDescent="0.45">
      <c r="F984">
        <f t="shared" si="581"/>
        <v>0</v>
      </c>
      <c r="G984">
        <f t="shared" si="582"/>
        <v>0</v>
      </c>
      <c r="H984">
        <f t="shared" si="583"/>
        <v>0</v>
      </c>
      <c r="I984">
        <f t="shared" si="584"/>
        <v>0</v>
      </c>
      <c r="J984">
        <f t="shared" si="585"/>
        <v>0</v>
      </c>
      <c r="K984">
        <f t="shared" si="586"/>
        <v>0</v>
      </c>
      <c r="L984">
        <f t="shared" si="587"/>
        <v>0</v>
      </c>
      <c r="M984">
        <f t="shared" si="588"/>
        <v>0</v>
      </c>
      <c r="N984">
        <f t="shared" si="589"/>
        <v>0</v>
      </c>
      <c r="O984">
        <f t="shared" si="590"/>
        <v>0</v>
      </c>
      <c r="P984">
        <f t="shared" si="591"/>
        <v>0</v>
      </c>
      <c r="Q984">
        <f t="shared" si="592"/>
        <v>0</v>
      </c>
      <c r="S984">
        <f t="shared" si="557"/>
        <v>0</v>
      </c>
      <c r="T984">
        <f t="shared" si="558"/>
        <v>0</v>
      </c>
      <c r="U984">
        <f t="shared" si="559"/>
        <v>0</v>
      </c>
      <c r="V984">
        <f t="shared" si="560"/>
        <v>0</v>
      </c>
      <c r="W984">
        <f t="shared" si="561"/>
        <v>0</v>
      </c>
      <c r="X984">
        <f t="shared" si="562"/>
        <v>0</v>
      </c>
      <c r="Y984">
        <f t="shared" si="563"/>
        <v>0</v>
      </c>
      <c r="Z984">
        <f t="shared" si="564"/>
        <v>0</v>
      </c>
      <c r="AA984">
        <f t="shared" si="565"/>
        <v>0</v>
      </c>
      <c r="AB984">
        <f t="shared" si="566"/>
        <v>0</v>
      </c>
      <c r="AC984">
        <f t="shared" si="567"/>
        <v>0</v>
      </c>
      <c r="AD984">
        <f t="shared" si="568"/>
        <v>0</v>
      </c>
      <c r="AF984">
        <f t="shared" si="569"/>
        <v>0</v>
      </c>
      <c r="AG984">
        <f t="shared" si="570"/>
        <v>0</v>
      </c>
      <c r="AH984">
        <f t="shared" si="571"/>
        <v>0</v>
      </c>
      <c r="AI984">
        <f t="shared" si="572"/>
        <v>0</v>
      </c>
      <c r="AJ984">
        <f t="shared" si="573"/>
        <v>0</v>
      </c>
      <c r="AK984">
        <f t="shared" si="574"/>
        <v>0</v>
      </c>
      <c r="AL984">
        <f t="shared" si="575"/>
        <v>0</v>
      </c>
      <c r="AM984">
        <f t="shared" si="576"/>
        <v>0</v>
      </c>
      <c r="AN984">
        <f t="shared" si="577"/>
        <v>0</v>
      </c>
      <c r="AO984">
        <f t="shared" si="578"/>
        <v>0</v>
      </c>
      <c r="AP984">
        <f t="shared" si="579"/>
        <v>0</v>
      </c>
      <c r="AQ984">
        <f t="shared" si="580"/>
        <v>0</v>
      </c>
    </row>
    <row r="985" spans="6:43" x14ac:dyDescent="0.45">
      <c r="F985">
        <f t="shared" si="581"/>
        <v>0</v>
      </c>
      <c r="G985">
        <f t="shared" si="582"/>
        <v>0</v>
      </c>
      <c r="H985">
        <f t="shared" si="583"/>
        <v>0</v>
      </c>
      <c r="I985">
        <f t="shared" si="584"/>
        <v>0</v>
      </c>
      <c r="J985">
        <f t="shared" si="585"/>
        <v>0</v>
      </c>
      <c r="K985">
        <f t="shared" si="586"/>
        <v>0</v>
      </c>
      <c r="L985">
        <f t="shared" si="587"/>
        <v>0</v>
      </c>
      <c r="M985">
        <f t="shared" si="588"/>
        <v>0</v>
      </c>
      <c r="N985">
        <f t="shared" si="589"/>
        <v>0</v>
      </c>
      <c r="O985">
        <f t="shared" si="590"/>
        <v>0</v>
      </c>
      <c r="P985">
        <f t="shared" si="591"/>
        <v>0</v>
      </c>
      <c r="Q985">
        <f t="shared" si="592"/>
        <v>0</v>
      </c>
      <c r="S985">
        <f t="shared" si="557"/>
        <v>0</v>
      </c>
      <c r="T985">
        <f t="shared" si="558"/>
        <v>0</v>
      </c>
      <c r="U985">
        <f t="shared" si="559"/>
        <v>0</v>
      </c>
      <c r="V985">
        <f t="shared" si="560"/>
        <v>0</v>
      </c>
      <c r="W985">
        <f t="shared" si="561"/>
        <v>0</v>
      </c>
      <c r="X985">
        <f t="shared" si="562"/>
        <v>0</v>
      </c>
      <c r="Y985">
        <f t="shared" si="563"/>
        <v>0</v>
      </c>
      <c r="Z985">
        <f t="shared" si="564"/>
        <v>0</v>
      </c>
      <c r="AA985">
        <f t="shared" si="565"/>
        <v>0</v>
      </c>
      <c r="AB985">
        <f t="shared" si="566"/>
        <v>0</v>
      </c>
      <c r="AC985">
        <f t="shared" si="567"/>
        <v>0</v>
      </c>
      <c r="AD985">
        <f t="shared" si="568"/>
        <v>0</v>
      </c>
      <c r="AF985">
        <f t="shared" si="569"/>
        <v>0</v>
      </c>
      <c r="AG985">
        <f t="shared" si="570"/>
        <v>0</v>
      </c>
      <c r="AH985">
        <f t="shared" si="571"/>
        <v>0</v>
      </c>
      <c r="AI985">
        <f t="shared" si="572"/>
        <v>0</v>
      </c>
      <c r="AJ985">
        <f t="shared" si="573"/>
        <v>0</v>
      </c>
      <c r="AK985">
        <f t="shared" si="574"/>
        <v>0</v>
      </c>
      <c r="AL985">
        <f t="shared" si="575"/>
        <v>0</v>
      </c>
      <c r="AM985">
        <f t="shared" si="576"/>
        <v>0</v>
      </c>
      <c r="AN985">
        <f t="shared" si="577"/>
        <v>0</v>
      </c>
      <c r="AO985">
        <f t="shared" si="578"/>
        <v>0</v>
      </c>
      <c r="AP985">
        <f t="shared" si="579"/>
        <v>0</v>
      </c>
      <c r="AQ985">
        <f t="shared" si="580"/>
        <v>0</v>
      </c>
    </row>
    <row r="986" spans="6:43" x14ac:dyDescent="0.45">
      <c r="F986">
        <f t="shared" si="581"/>
        <v>0</v>
      </c>
      <c r="G986">
        <f t="shared" si="582"/>
        <v>0</v>
      </c>
      <c r="H986">
        <f t="shared" si="583"/>
        <v>0</v>
      </c>
      <c r="I986">
        <f t="shared" si="584"/>
        <v>0</v>
      </c>
      <c r="J986">
        <f t="shared" si="585"/>
        <v>0</v>
      </c>
      <c r="K986">
        <f t="shared" si="586"/>
        <v>0</v>
      </c>
      <c r="L986">
        <f t="shared" si="587"/>
        <v>0</v>
      </c>
      <c r="M986">
        <f t="shared" si="588"/>
        <v>0</v>
      </c>
      <c r="N986">
        <f t="shared" si="589"/>
        <v>0</v>
      </c>
      <c r="O986">
        <f t="shared" si="590"/>
        <v>0</v>
      </c>
      <c r="P986">
        <f t="shared" si="591"/>
        <v>0</v>
      </c>
      <c r="Q986">
        <f t="shared" si="592"/>
        <v>0</v>
      </c>
      <c r="S986">
        <f t="shared" si="557"/>
        <v>0</v>
      </c>
      <c r="T986">
        <f t="shared" si="558"/>
        <v>0</v>
      </c>
      <c r="U986">
        <f t="shared" si="559"/>
        <v>0</v>
      </c>
      <c r="V986">
        <f t="shared" si="560"/>
        <v>0</v>
      </c>
      <c r="W986">
        <f t="shared" si="561"/>
        <v>0</v>
      </c>
      <c r="X986">
        <f t="shared" si="562"/>
        <v>0</v>
      </c>
      <c r="Y986">
        <f t="shared" si="563"/>
        <v>0</v>
      </c>
      <c r="Z986">
        <f t="shared" si="564"/>
        <v>0</v>
      </c>
      <c r="AA986">
        <f t="shared" si="565"/>
        <v>0</v>
      </c>
      <c r="AB986">
        <f t="shared" si="566"/>
        <v>0</v>
      </c>
      <c r="AC986">
        <f t="shared" si="567"/>
        <v>0</v>
      </c>
      <c r="AD986">
        <f t="shared" si="568"/>
        <v>0</v>
      </c>
      <c r="AF986">
        <f t="shared" si="569"/>
        <v>0</v>
      </c>
      <c r="AG986">
        <f t="shared" si="570"/>
        <v>0</v>
      </c>
      <c r="AH986">
        <f t="shared" si="571"/>
        <v>0</v>
      </c>
      <c r="AI986">
        <f t="shared" si="572"/>
        <v>0</v>
      </c>
      <c r="AJ986">
        <f t="shared" si="573"/>
        <v>0</v>
      </c>
      <c r="AK986">
        <f t="shared" si="574"/>
        <v>0</v>
      </c>
      <c r="AL986">
        <f t="shared" si="575"/>
        <v>0</v>
      </c>
      <c r="AM986">
        <f t="shared" si="576"/>
        <v>0</v>
      </c>
      <c r="AN986">
        <f t="shared" si="577"/>
        <v>0</v>
      </c>
      <c r="AO986">
        <f t="shared" si="578"/>
        <v>0</v>
      </c>
      <c r="AP986">
        <f t="shared" si="579"/>
        <v>0</v>
      </c>
      <c r="AQ986">
        <f t="shared" si="580"/>
        <v>0</v>
      </c>
    </row>
    <row r="987" spans="6:43" x14ac:dyDescent="0.45">
      <c r="F987">
        <f t="shared" si="581"/>
        <v>0</v>
      </c>
      <c r="G987">
        <f t="shared" si="582"/>
        <v>0</v>
      </c>
      <c r="H987">
        <f t="shared" si="583"/>
        <v>0</v>
      </c>
      <c r="I987">
        <f t="shared" si="584"/>
        <v>0</v>
      </c>
      <c r="J987">
        <f t="shared" si="585"/>
        <v>0</v>
      </c>
      <c r="K987">
        <f t="shared" si="586"/>
        <v>0</v>
      </c>
      <c r="L987">
        <f t="shared" si="587"/>
        <v>0</v>
      </c>
      <c r="M987">
        <f t="shared" si="588"/>
        <v>0</v>
      </c>
      <c r="N987">
        <f t="shared" si="589"/>
        <v>0</v>
      </c>
      <c r="O987">
        <f t="shared" si="590"/>
        <v>0</v>
      </c>
      <c r="P987">
        <f t="shared" si="591"/>
        <v>0</v>
      </c>
      <c r="Q987">
        <f t="shared" si="592"/>
        <v>0</v>
      </c>
      <c r="S987">
        <f t="shared" si="557"/>
        <v>0</v>
      </c>
      <c r="T987">
        <f t="shared" si="558"/>
        <v>0</v>
      </c>
      <c r="U987">
        <f t="shared" si="559"/>
        <v>0</v>
      </c>
      <c r="V987">
        <f t="shared" si="560"/>
        <v>0</v>
      </c>
      <c r="W987">
        <f t="shared" si="561"/>
        <v>0</v>
      </c>
      <c r="X987">
        <f t="shared" si="562"/>
        <v>0</v>
      </c>
      <c r="Y987">
        <f t="shared" si="563"/>
        <v>0</v>
      </c>
      <c r="Z987">
        <f t="shared" si="564"/>
        <v>0</v>
      </c>
      <c r="AA987">
        <f t="shared" si="565"/>
        <v>0</v>
      </c>
      <c r="AB987">
        <f t="shared" si="566"/>
        <v>0</v>
      </c>
      <c r="AC987">
        <f t="shared" si="567"/>
        <v>0</v>
      </c>
      <c r="AD987">
        <f t="shared" si="568"/>
        <v>0</v>
      </c>
      <c r="AF987">
        <f t="shared" si="569"/>
        <v>0</v>
      </c>
      <c r="AG987">
        <f t="shared" si="570"/>
        <v>0</v>
      </c>
      <c r="AH987">
        <f t="shared" si="571"/>
        <v>0</v>
      </c>
      <c r="AI987">
        <f t="shared" si="572"/>
        <v>0</v>
      </c>
      <c r="AJ987">
        <f t="shared" si="573"/>
        <v>0</v>
      </c>
      <c r="AK987">
        <f t="shared" si="574"/>
        <v>0</v>
      </c>
      <c r="AL987">
        <f t="shared" si="575"/>
        <v>0</v>
      </c>
      <c r="AM987">
        <f t="shared" si="576"/>
        <v>0</v>
      </c>
      <c r="AN987">
        <f t="shared" si="577"/>
        <v>0</v>
      </c>
      <c r="AO987">
        <f t="shared" si="578"/>
        <v>0</v>
      </c>
      <c r="AP987">
        <f t="shared" si="579"/>
        <v>0</v>
      </c>
      <c r="AQ987">
        <f t="shared" si="580"/>
        <v>0</v>
      </c>
    </row>
    <row r="988" spans="6:43" x14ac:dyDescent="0.45">
      <c r="F988">
        <f t="shared" si="581"/>
        <v>0</v>
      </c>
      <c r="G988">
        <f t="shared" si="582"/>
        <v>0</v>
      </c>
      <c r="H988">
        <f t="shared" si="583"/>
        <v>0</v>
      </c>
      <c r="I988">
        <f t="shared" si="584"/>
        <v>0</v>
      </c>
      <c r="J988">
        <f t="shared" si="585"/>
        <v>0</v>
      </c>
      <c r="K988">
        <f t="shared" si="586"/>
        <v>0</v>
      </c>
      <c r="L988">
        <f t="shared" si="587"/>
        <v>0</v>
      </c>
      <c r="M988">
        <f t="shared" si="588"/>
        <v>0</v>
      </c>
      <c r="N988">
        <f t="shared" si="589"/>
        <v>0</v>
      </c>
      <c r="O988">
        <f t="shared" si="590"/>
        <v>0</v>
      </c>
      <c r="P988">
        <f t="shared" si="591"/>
        <v>0</v>
      </c>
      <c r="Q988">
        <f t="shared" si="592"/>
        <v>0</v>
      </c>
      <c r="S988">
        <f t="shared" si="557"/>
        <v>0</v>
      </c>
      <c r="T988">
        <f t="shared" si="558"/>
        <v>0</v>
      </c>
      <c r="U988">
        <f t="shared" si="559"/>
        <v>0</v>
      </c>
      <c r="V988">
        <f t="shared" si="560"/>
        <v>0</v>
      </c>
      <c r="W988">
        <f t="shared" si="561"/>
        <v>0</v>
      </c>
      <c r="X988">
        <f t="shared" si="562"/>
        <v>0</v>
      </c>
      <c r="Y988">
        <f t="shared" si="563"/>
        <v>0</v>
      </c>
      <c r="Z988">
        <f t="shared" si="564"/>
        <v>0</v>
      </c>
      <c r="AA988">
        <f t="shared" si="565"/>
        <v>0</v>
      </c>
      <c r="AB988">
        <f t="shared" si="566"/>
        <v>0</v>
      </c>
      <c r="AC988">
        <f t="shared" si="567"/>
        <v>0</v>
      </c>
      <c r="AD988">
        <f t="shared" si="568"/>
        <v>0</v>
      </c>
      <c r="AF988">
        <f t="shared" si="569"/>
        <v>0</v>
      </c>
      <c r="AG988">
        <f t="shared" si="570"/>
        <v>0</v>
      </c>
      <c r="AH988">
        <f t="shared" si="571"/>
        <v>0</v>
      </c>
      <c r="AI988">
        <f t="shared" si="572"/>
        <v>0</v>
      </c>
      <c r="AJ988">
        <f t="shared" si="573"/>
        <v>0</v>
      </c>
      <c r="AK988">
        <f t="shared" si="574"/>
        <v>0</v>
      </c>
      <c r="AL988">
        <f t="shared" si="575"/>
        <v>0</v>
      </c>
      <c r="AM988">
        <f t="shared" si="576"/>
        <v>0</v>
      </c>
      <c r="AN988">
        <f t="shared" si="577"/>
        <v>0</v>
      </c>
      <c r="AO988">
        <f t="shared" si="578"/>
        <v>0</v>
      </c>
      <c r="AP988">
        <f t="shared" si="579"/>
        <v>0</v>
      </c>
      <c r="AQ988">
        <f t="shared" si="580"/>
        <v>0</v>
      </c>
    </row>
    <row r="989" spans="6:43" x14ac:dyDescent="0.45">
      <c r="F989">
        <f t="shared" si="581"/>
        <v>0</v>
      </c>
      <c r="G989">
        <f t="shared" si="582"/>
        <v>0</v>
      </c>
      <c r="H989">
        <f t="shared" si="583"/>
        <v>0</v>
      </c>
      <c r="I989">
        <f t="shared" si="584"/>
        <v>0</v>
      </c>
      <c r="J989">
        <f t="shared" si="585"/>
        <v>0</v>
      </c>
      <c r="K989">
        <f t="shared" si="586"/>
        <v>0</v>
      </c>
      <c r="L989">
        <f t="shared" si="587"/>
        <v>0</v>
      </c>
      <c r="M989">
        <f t="shared" si="588"/>
        <v>0</v>
      </c>
      <c r="N989">
        <f t="shared" si="589"/>
        <v>0</v>
      </c>
      <c r="O989">
        <f t="shared" si="590"/>
        <v>0</v>
      </c>
      <c r="P989">
        <f t="shared" si="591"/>
        <v>0</v>
      </c>
      <c r="Q989">
        <f t="shared" si="592"/>
        <v>0</v>
      </c>
      <c r="S989">
        <f t="shared" si="557"/>
        <v>0</v>
      </c>
      <c r="T989">
        <f t="shared" si="558"/>
        <v>0</v>
      </c>
      <c r="U989">
        <f t="shared" si="559"/>
        <v>0</v>
      </c>
      <c r="V989">
        <f t="shared" si="560"/>
        <v>0</v>
      </c>
      <c r="W989">
        <f t="shared" si="561"/>
        <v>0</v>
      </c>
      <c r="X989">
        <f t="shared" si="562"/>
        <v>0</v>
      </c>
      <c r="Y989">
        <f t="shared" si="563"/>
        <v>0</v>
      </c>
      <c r="Z989">
        <f t="shared" si="564"/>
        <v>0</v>
      </c>
      <c r="AA989">
        <f t="shared" si="565"/>
        <v>0</v>
      </c>
      <c r="AB989">
        <f t="shared" si="566"/>
        <v>0</v>
      </c>
      <c r="AC989">
        <f t="shared" si="567"/>
        <v>0</v>
      </c>
      <c r="AD989">
        <f t="shared" si="568"/>
        <v>0</v>
      </c>
      <c r="AF989">
        <f t="shared" si="569"/>
        <v>0</v>
      </c>
      <c r="AG989">
        <f t="shared" si="570"/>
        <v>0</v>
      </c>
      <c r="AH989">
        <f t="shared" si="571"/>
        <v>0</v>
      </c>
      <c r="AI989">
        <f t="shared" si="572"/>
        <v>0</v>
      </c>
      <c r="AJ989">
        <f t="shared" si="573"/>
        <v>0</v>
      </c>
      <c r="AK989">
        <f t="shared" si="574"/>
        <v>0</v>
      </c>
      <c r="AL989">
        <f t="shared" si="575"/>
        <v>0</v>
      </c>
      <c r="AM989">
        <f t="shared" si="576"/>
        <v>0</v>
      </c>
      <c r="AN989">
        <f t="shared" si="577"/>
        <v>0</v>
      </c>
      <c r="AO989">
        <f t="shared" si="578"/>
        <v>0</v>
      </c>
      <c r="AP989">
        <f t="shared" si="579"/>
        <v>0</v>
      </c>
      <c r="AQ989">
        <f t="shared" si="580"/>
        <v>0</v>
      </c>
    </row>
    <row r="990" spans="6:43" x14ac:dyDescent="0.45">
      <c r="F990">
        <f t="shared" si="581"/>
        <v>0</v>
      </c>
      <c r="G990">
        <f t="shared" si="582"/>
        <v>0</v>
      </c>
      <c r="H990">
        <f t="shared" si="583"/>
        <v>0</v>
      </c>
      <c r="I990">
        <f t="shared" si="584"/>
        <v>0</v>
      </c>
      <c r="J990">
        <f t="shared" si="585"/>
        <v>0</v>
      </c>
      <c r="K990">
        <f t="shared" si="586"/>
        <v>0</v>
      </c>
      <c r="L990">
        <f t="shared" si="587"/>
        <v>0</v>
      </c>
      <c r="M990">
        <f t="shared" si="588"/>
        <v>0</v>
      </c>
      <c r="N990">
        <f t="shared" si="589"/>
        <v>0</v>
      </c>
      <c r="O990">
        <f t="shared" si="590"/>
        <v>0</v>
      </c>
      <c r="P990">
        <f t="shared" si="591"/>
        <v>0</v>
      </c>
      <c r="Q990">
        <f t="shared" si="592"/>
        <v>0</v>
      </c>
      <c r="S990">
        <f t="shared" si="557"/>
        <v>0</v>
      </c>
      <c r="T990">
        <f t="shared" si="558"/>
        <v>0</v>
      </c>
      <c r="U990">
        <f t="shared" si="559"/>
        <v>0</v>
      </c>
      <c r="V990">
        <f t="shared" si="560"/>
        <v>0</v>
      </c>
      <c r="W990">
        <f t="shared" si="561"/>
        <v>0</v>
      </c>
      <c r="X990">
        <f t="shared" si="562"/>
        <v>0</v>
      </c>
      <c r="Y990">
        <f t="shared" si="563"/>
        <v>0</v>
      </c>
      <c r="Z990">
        <f t="shared" si="564"/>
        <v>0</v>
      </c>
      <c r="AA990">
        <f t="shared" si="565"/>
        <v>0</v>
      </c>
      <c r="AB990">
        <f t="shared" si="566"/>
        <v>0</v>
      </c>
      <c r="AC990">
        <f t="shared" si="567"/>
        <v>0</v>
      </c>
      <c r="AD990">
        <f t="shared" si="568"/>
        <v>0</v>
      </c>
      <c r="AF990">
        <f t="shared" si="569"/>
        <v>0</v>
      </c>
      <c r="AG990">
        <f t="shared" si="570"/>
        <v>0</v>
      </c>
      <c r="AH990">
        <f t="shared" si="571"/>
        <v>0</v>
      </c>
      <c r="AI990">
        <f t="shared" si="572"/>
        <v>0</v>
      </c>
      <c r="AJ990">
        <f t="shared" si="573"/>
        <v>0</v>
      </c>
      <c r="AK990">
        <f t="shared" si="574"/>
        <v>0</v>
      </c>
      <c r="AL990">
        <f t="shared" si="575"/>
        <v>0</v>
      </c>
      <c r="AM990">
        <f t="shared" si="576"/>
        <v>0</v>
      </c>
      <c r="AN990">
        <f t="shared" si="577"/>
        <v>0</v>
      </c>
      <c r="AO990">
        <f t="shared" si="578"/>
        <v>0</v>
      </c>
      <c r="AP990">
        <f t="shared" si="579"/>
        <v>0</v>
      </c>
      <c r="AQ990">
        <f t="shared" si="580"/>
        <v>0</v>
      </c>
    </row>
    <row r="991" spans="6:43" x14ac:dyDescent="0.45">
      <c r="F991">
        <f t="shared" si="581"/>
        <v>0</v>
      </c>
      <c r="G991">
        <f t="shared" si="582"/>
        <v>0</v>
      </c>
      <c r="H991">
        <f t="shared" si="583"/>
        <v>0</v>
      </c>
      <c r="I991">
        <f t="shared" si="584"/>
        <v>0</v>
      </c>
      <c r="J991">
        <f t="shared" si="585"/>
        <v>0</v>
      </c>
      <c r="K991">
        <f t="shared" si="586"/>
        <v>0</v>
      </c>
      <c r="L991">
        <f t="shared" si="587"/>
        <v>0</v>
      </c>
      <c r="M991">
        <f t="shared" si="588"/>
        <v>0</v>
      </c>
      <c r="N991">
        <f t="shared" si="589"/>
        <v>0</v>
      </c>
      <c r="O991">
        <f t="shared" si="590"/>
        <v>0</v>
      </c>
      <c r="P991">
        <f t="shared" si="591"/>
        <v>0</v>
      </c>
      <c r="Q991">
        <f t="shared" si="592"/>
        <v>0</v>
      </c>
      <c r="S991">
        <f t="shared" si="557"/>
        <v>0</v>
      </c>
      <c r="T991">
        <f t="shared" si="558"/>
        <v>0</v>
      </c>
      <c r="U991">
        <f t="shared" si="559"/>
        <v>0</v>
      </c>
      <c r="V991">
        <f t="shared" si="560"/>
        <v>0</v>
      </c>
      <c r="W991">
        <f t="shared" si="561"/>
        <v>0</v>
      </c>
      <c r="X991">
        <f t="shared" si="562"/>
        <v>0</v>
      </c>
      <c r="Y991">
        <f t="shared" si="563"/>
        <v>0</v>
      </c>
      <c r="Z991">
        <f t="shared" si="564"/>
        <v>0</v>
      </c>
      <c r="AA991">
        <f t="shared" si="565"/>
        <v>0</v>
      </c>
      <c r="AB991">
        <f t="shared" si="566"/>
        <v>0</v>
      </c>
      <c r="AC991">
        <f t="shared" si="567"/>
        <v>0</v>
      </c>
      <c r="AD991">
        <f t="shared" si="568"/>
        <v>0</v>
      </c>
      <c r="AF991">
        <f t="shared" si="569"/>
        <v>0</v>
      </c>
      <c r="AG991">
        <f t="shared" si="570"/>
        <v>0</v>
      </c>
      <c r="AH991">
        <f t="shared" si="571"/>
        <v>0</v>
      </c>
      <c r="AI991">
        <f t="shared" si="572"/>
        <v>0</v>
      </c>
      <c r="AJ991">
        <f t="shared" si="573"/>
        <v>0</v>
      </c>
      <c r="AK991">
        <f t="shared" si="574"/>
        <v>0</v>
      </c>
      <c r="AL991">
        <f t="shared" si="575"/>
        <v>0</v>
      </c>
      <c r="AM991">
        <f t="shared" si="576"/>
        <v>0</v>
      </c>
      <c r="AN991">
        <f t="shared" si="577"/>
        <v>0</v>
      </c>
      <c r="AO991">
        <f t="shared" si="578"/>
        <v>0</v>
      </c>
      <c r="AP991">
        <f t="shared" si="579"/>
        <v>0</v>
      </c>
      <c r="AQ991">
        <f t="shared" si="580"/>
        <v>0</v>
      </c>
    </row>
    <row r="992" spans="6:43" x14ac:dyDescent="0.45">
      <c r="F992">
        <f t="shared" si="581"/>
        <v>0</v>
      </c>
      <c r="G992">
        <f t="shared" si="582"/>
        <v>0</v>
      </c>
      <c r="H992">
        <f t="shared" si="583"/>
        <v>0</v>
      </c>
      <c r="I992">
        <f t="shared" si="584"/>
        <v>0</v>
      </c>
      <c r="J992">
        <f t="shared" si="585"/>
        <v>0</v>
      </c>
      <c r="K992">
        <f t="shared" si="586"/>
        <v>0</v>
      </c>
      <c r="L992">
        <f t="shared" si="587"/>
        <v>0</v>
      </c>
      <c r="M992">
        <f t="shared" si="588"/>
        <v>0</v>
      </c>
      <c r="N992">
        <f t="shared" si="589"/>
        <v>0</v>
      </c>
      <c r="O992">
        <f t="shared" si="590"/>
        <v>0</v>
      </c>
      <c r="P992">
        <f t="shared" si="591"/>
        <v>0</v>
      </c>
      <c r="Q992">
        <f t="shared" si="592"/>
        <v>0</v>
      </c>
      <c r="S992">
        <f t="shared" si="557"/>
        <v>0</v>
      </c>
      <c r="T992">
        <f t="shared" si="558"/>
        <v>0</v>
      </c>
      <c r="U992">
        <f t="shared" si="559"/>
        <v>0</v>
      </c>
      <c r="V992">
        <f t="shared" si="560"/>
        <v>0</v>
      </c>
      <c r="W992">
        <f t="shared" si="561"/>
        <v>0</v>
      </c>
      <c r="X992">
        <f t="shared" si="562"/>
        <v>0</v>
      </c>
      <c r="Y992">
        <f t="shared" si="563"/>
        <v>0</v>
      </c>
      <c r="Z992">
        <f t="shared" si="564"/>
        <v>0</v>
      </c>
      <c r="AA992">
        <f t="shared" si="565"/>
        <v>0</v>
      </c>
      <c r="AB992">
        <f t="shared" si="566"/>
        <v>0</v>
      </c>
      <c r="AC992">
        <f t="shared" si="567"/>
        <v>0</v>
      </c>
      <c r="AD992">
        <f t="shared" si="568"/>
        <v>0</v>
      </c>
      <c r="AF992">
        <f t="shared" si="569"/>
        <v>0</v>
      </c>
      <c r="AG992">
        <f t="shared" si="570"/>
        <v>0</v>
      </c>
      <c r="AH992">
        <f t="shared" si="571"/>
        <v>0</v>
      </c>
      <c r="AI992">
        <f t="shared" si="572"/>
        <v>0</v>
      </c>
      <c r="AJ992">
        <f t="shared" si="573"/>
        <v>0</v>
      </c>
      <c r="AK992">
        <f t="shared" si="574"/>
        <v>0</v>
      </c>
      <c r="AL992">
        <f t="shared" si="575"/>
        <v>0</v>
      </c>
      <c r="AM992">
        <f t="shared" si="576"/>
        <v>0</v>
      </c>
      <c r="AN992">
        <f t="shared" si="577"/>
        <v>0</v>
      </c>
      <c r="AO992">
        <f t="shared" si="578"/>
        <v>0</v>
      </c>
      <c r="AP992">
        <f t="shared" si="579"/>
        <v>0</v>
      </c>
      <c r="AQ992">
        <f t="shared" si="580"/>
        <v>0</v>
      </c>
    </row>
    <row r="993" spans="6:43" x14ac:dyDescent="0.45">
      <c r="F993">
        <f t="shared" si="581"/>
        <v>0</v>
      </c>
      <c r="G993">
        <f t="shared" si="582"/>
        <v>0</v>
      </c>
      <c r="H993">
        <f t="shared" si="583"/>
        <v>0</v>
      </c>
      <c r="I993">
        <f t="shared" si="584"/>
        <v>0</v>
      </c>
      <c r="J993">
        <f t="shared" si="585"/>
        <v>0</v>
      </c>
      <c r="K993">
        <f t="shared" si="586"/>
        <v>0</v>
      </c>
      <c r="L993">
        <f t="shared" si="587"/>
        <v>0</v>
      </c>
      <c r="M993">
        <f t="shared" si="588"/>
        <v>0</v>
      </c>
      <c r="N993">
        <f t="shared" si="589"/>
        <v>0</v>
      </c>
      <c r="O993">
        <f t="shared" si="590"/>
        <v>0</v>
      </c>
      <c r="P993">
        <f t="shared" si="591"/>
        <v>0</v>
      </c>
      <c r="Q993">
        <f t="shared" si="592"/>
        <v>0</v>
      </c>
      <c r="S993">
        <f t="shared" si="557"/>
        <v>0</v>
      </c>
      <c r="T993">
        <f t="shared" si="558"/>
        <v>0</v>
      </c>
      <c r="U993">
        <f t="shared" si="559"/>
        <v>0</v>
      </c>
      <c r="V993">
        <f t="shared" si="560"/>
        <v>0</v>
      </c>
      <c r="W993">
        <f t="shared" si="561"/>
        <v>0</v>
      </c>
      <c r="X993">
        <f t="shared" si="562"/>
        <v>0</v>
      </c>
      <c r="Y993">
        <f t="shared" si="563"/>
        <v>0</v>
      </c>
      <c r="Z993">
        <f t="shared" si="564"/>
        <v>0</v>
      </c>
      <c r="AA993">
        <f t="shared" si="565"/>
        <v>0</v>
      </c>
      <c r="AB993">
        <f t="shared" si="566"/>
        <v>0</v>
      </c>
      <c r="AC993">
        <f t="shared" si="567"/>
        <v>0</v>
      </c>
      <c r="AD993">
        <f t="shared" si="568"/>
        <v>0</v>
      </c>
      <c r="AF993">
        <f t="shared" si="569"/>
        <v>0</v>
      </c>
      <c r="AG993">
        <f t="shared" si="570"/>
        <v>0</v>
      </c>
      <c r="AH993">
        <f t="shared" si="571"/>
        <v>0</v>
      </c>
      <c r="AI993">
        <f t="shared" si="572"/>
        <v>0</v>
      </c>
      <c r="AJ993">
        <f t="shared" si="573"/>
        <v>0</v>
      </c>
      <c r="AK993">
        <f t="shared" si="574"/>
        <v>0</v>
      </c>
      <c r="AL993">
        <f t="shared" si="575"/>
        <v>0</v>
      </c>
      <c r="AM993">
        <f t="shared" si="576"/>
        <v>0</v>
      </c>
      <c r="AN993">
        <f t="shared" si="577"/>
        <v>0</v>
      </c>
      <c r="AO993">
        <f t="shared" si="578"/>
        <v>0</v>
      </c>
      <c r="AP993">
        <f t="shared" si="579"/>
        <v>0</v>
      </c>
      <c r="AQ993">
        <f t="shared" si="580"/>
        <v>0</v>
      </c>
    </row>
    <row r="994" spans="6:43" x14ac:dyDescent="0.45">
      <c r="F994">
        <f t="shared" si="581"/>
        <v>0</v>
      </c>
      <c r="G994">
        <f t="shared" si="582"/>
        <v>0</v>
      </c>
      <c r="H994">
        <f t="shared" si="583"/>
        <v>0</v>
      </c>
      <c r="I994">
        <f t="shared" si="584"/>
        <v>0</v>
      </c>
      <c r="J994">
        <f t="shared" si="585"/>
        <v>0</v>
      </c>
      <c r="K994">
        <f t="shared" si="586"/>
        <v>0</v>
      </c>
      <c r="L994">
        <f t="shared" si="587"/>
        <v>0</v>
      </c>
      <c r="M994">
        <f t="shared" si="588"/>
        <v>0</v>
      </c>
      <c r="N994">
        <f t="shared" si="589"/>
        <v>0</v>
      </c>
      <c r="O994">
        <f t="shared" si="590"/>
        <v>0</v>
      </c>
      <c r="P994">
        <f t="shared" si="591"/>
        <v>0</v>
      </c>
      <c r="Q994">
        <f t="shared" si="592"/>
        <v>0</v>
      </c>
      <c r="S994">
        <f t="shared" si="557"/>
        <v>0</v>
      </c>
      <c r="T994">
        <f t="shared" si="558"/>
        <v>0</v>
      </c>
      <c r="U994">
        <f t="shared" si="559"/>
        <v>0</v>
      </c>
      <c r="V994">
        <f t="shared" si="560"/>
        <v>0</v>
      </c>
      <c r="W994">
        <f t="shared" si="561"/>
        <v>0</v>
      </c>
      <c r="X994">
        <f t="shared" si="562"/>
        <v>0</v>
      </c>
      <c r="Y994">
        <f t="shared" si="563"/>
        <v>0</v>
      </c>
      <c r="Z994">
        <f t="shared" si="564"/>
        <v>0</v>
      </c>
      <c r="AA994">
        <f t="shared" si="565"/>
        <v>0</v>
      </c>
      <c r="AB994">
        <f t="shared" si="566"/>
        <v>0</v>
      </c>
      <c r="AC994">
        <f t="shared" si="567"/>
        <v>0</v>
      </c>
      <c r="AD994">
        <f t="shared" si="568"/>
        <v>0</v>
      </c>
      <c r="AF994">
        <f t="shared" si="569"/>
        <v>0</v>
      </c>
      <c r="AG994">
        <f t="shared" si="570"/>
        <v>0</v>
      </c>
      <c r="AH994">
        <f t="shared" si="571"/>
        <v>0</v>
      </c>
      <c r="AI994">
        <f t="shared" si="572"/>
        <v>0</v>
      </c>
      <c r="AJ994">
        <f t="shared" si="573"/>
        <v>0</v>
      </c>
      <c r="AK994">
        <f t="shared" si="574"/>
        <v>0</v>
      </c>
      <c r="AL994">
        <f t="shared" si="575"/>
        <v>0</v>
      </c>
      <c r="AM994">
        <f t="shared" si="576"/>
        <v>0</v>
      </c>
      <c r="AN994">
        <f t="shared" si="577"/>
        <v>0</v>
      </c>
      <c r="AO994">
        <f t="shared" si="578"/>
        <v>0</v>
      </c>
      <c r="AP994">
        <f t="shared" si="579"/>
        <v>0</v>
      </c>
      <c r="AQ994">
        <f t="shared" si="580"/>
        <v>0</v>
      </c>
    </row>
    <row r="995" spans="6:43" x14ac:dyDescent="0.45">
      <c r="F995">
        <f t="shared" si="581"/>
        <v>0</v>
      </c>
      <c r="G995">
        <f t="shared" si="582"/>
        <v>0</v>
      </c>
      <c r="H995">
        <f t="shared" si="583"/>
        <v>0</v>
      </c>
      <c r="I995">
        <f t="shared" si="584"/>
        <v>0</v>
      </c>
      <c r="J995">
        <f t="shared" si="585"/>
        <v>0</v>
      </c>
      <c r="K995">
        <f t="shared" si="586"/>
        <v>0</v>
      </c>
      <c r="L995">
        <f t="shared" si="587"/>
        <v>0</v>
      </c>
      <c r="M995">
        <f t="shared" si="588"/>
        <v>0</v>
      </c>
      <c r="N995">
        <f t="shared" si="589"/>
        <v>0</v>
      </c>
      <c r="O995">
        <f t="shared" si="590"/>
        <v>0</v>
      </c>
      <c r="P995">
        <f t="shared" si="591"/>
        <v>0</v>
      </c>
      <c r="Q995">
        <f t="shared" si="592"/>
        <v>0</v>
      </c>
      <c r="S995">
        <f t="shared" si="557"/>
        <v>0</v>
      </c>
      <c r="T995">
        <f t="shared" si="558"/>
        <v>0</v>
      </c>
      <c r="U995">
        <f t="shared" si="559"/>
        <v>0</v>
      </c>
      <c r="V995">
        <f t="shared" si="560"/>
        <v>0</v>
      </c>
      <c r="W995">
        <f t="shared" si="561"/>
        <v>0</v>
      </c>
      <c r="X995">
        <f t="shared" si="562"/>
        <v>0</v>
      </c>
      <c r="Y995">
        <f t="shared" si="563"/>
        <v>0</v>
      </c>
      <c r="Z995">
        <f t="shared" si="564"/>
        <v>0</v>
      </c>
      <c r="AA995">
        <f t="shared" si="565"/>
        <v>0</v>
      </c>
      <c r="AB995">
        <f t="shared" si="566"/>
        <v>0</v>
      </c>
      <c r="AC995">
        <f t="shared" si="567"/>
        <v>0</v>
      </c>
      <c r="AD995">
        <f t="shared" si="568"/>
        <v>0</v>
      </c>
      <c r="AF995">
        <f t="shared" si="569"/>
        <v>0</v>
      </c>
      <c r="AG995">
        <f t="shared" si="570"/>
        <v>0</v>
      </c>
      <c r="AH995">
        <f t="shared" si="571"/>
        <v>0</v>
      </c>
      <c r="AI995">
        <f t="shared" si="572"/>
        <v>0</v>
      </c>
      <c r="AJ995">
        <f t="shared" si="573"/>
        <v>0</v>
      </c>
      <c r="AK995">
        <f t="shared" si="574"/>
        <v>0</v>
      </c>
      <c r="AL995">
        <f t="shared" si="575"/>
        <v>0</v>
      </c>
      <c r="AM995">
        <f t="shared" si="576"/>
        <v>0</v>
      </c>
      <c r="AN995">
        <f t="shared" si="577"/>
        <v>0</v>
      </c>
      <c r="AO995">
        <f t="shared" si="578"/>
        <v>0</v>
      </c>
      <c r="AP995">
        <f t="shared" si="579"/>
        <v>0</v>
      </c>
      <c r="AQ995">
        <f t="shared" si="580"/>
        <v>0</v>
      </c>
    </row>
    <row r="996" spans="6:43" x14ac:dyDescent="0.45">
      <c r="F996">
        <f t="shared" si="581"/>
        <v>0</v>
      </c>
      <c r="G996">
        <f t="shared" si="582"/>
        <v>0</v>
      </c>
      <c r="H996">
        <f t="shared" si="583"/>
        <v>0</v>
      </c>
      <c r="I996">
        <f t="shared" si="584"/>
        <v>0</v>
      </c>
      <c r="J996">
        <f t="shared" si="585"/>
        <v>0</v>
      </c>
      <c r="K996">
        <f t="shared" si="586"/>
        <v>0</v>
      </c>
      <c r="L996">
        <f t="shared" si="587"/>
        <v>0</v>
      </c>
      <c r="M996">
        <f t="shared" si="588"/>
        <v>0</v>
      </c>
      <c r="N996">
        <f t="shared" si="589"/>
        <v>0</v>
      </c>
      <c r="O996">
        <f t="shared" si="590"/>
        <v>0</v>
      </c>
      <c r="P996">
        <f t="shared" si="591"/>
        <v>0</v>
      </c>
      <c r="Q996">
        <f t="shared" si="592"/>
        <v>0</v>
      </c>
      <c r="S996">
        <f t="shared" si="557"/>
        <v>0</v>
      </c>
      <c r="T996">
        <f t="shared" si="558"/>
        <v>0</v>
      </c>
      <c r="U996">
        <f t="shared" si="559"/>
        <v>0</v>
      </c>
      <c r="V996">
        <f t="shared" si="560"/>
        <v>0</v>
      </c>
      <c r="W996">
        <f t="shared" si="561"/>
        <v>0</v>
      </c>
      <c r="X996">
        <f t="shared" si="562"/>
        <v>0</v>
      </c>
      <c r="Y996">
        <f t="shared" si="563"/>
        <v>0</v>
      </c>
      <c r="Z996">
        <f t="shared" si="564"/>
        <v>0</v>
      </c>
      <c r="AA996">
        <f t="shared" si="565"/>
        <v>0</v>
      </c>
      <c r="AB996">
        <f t="shared" si="566"/>
        <v>0</v>
      </c>
      <c r="AC996">
        <f t="shared" si="567"/>
        <v>0</v>
      </c>
      <c r="AD996">
        <f t="shared" si="568"/>
        <v>0</v>
      </c>
      <c r="AF996">
        <f t="shared" si="569"/>
        <v>0</v>
      </c>
      <c r="AG996">
        <f t="shared" si="570"/>
        <v>0</v>
      </c>
      <c r="AH996">
        <f t="shared" si="571"/>
        <v>0</v>
      </c>
      <c r="AI996">
        <f t="shared" si="572"/>
        <v>0</v>
      </c>
      <c r="AJ996">
        <f t="shared" si="573"/>
        <v>0</v>
      </c>
      <c r="AK996">
        <f t="shared" si="574"/>
        <v>0</v>
      </c>
      <c r="AL996">
        <f t="shared" si="575"/>
        <v>0</v>
      </c>
      <c r="AM996">
        <f t="shared" si="576"/>
        <v>0</v>
      </c>
      <c r="AN996">
        <f t="shared" si="577"/>
        <v>0</v>
      </c>
      <c r="AO996">
        <f t="shared" si="578"/>
        <v>0</v>
      </c>
      <c r="AP996">
        <f t="shared" si="579"/>
        <v>0</v>
      </c>
      <c r="AQ996">
        <f t="shared" si="580"/>
        <v>0</v>
      </c>
    </row>
    <row r="997" spans="6:43" x14ac:dyDescent="0.45">
      <c r="F997">
        <f t="shared" si="581"/>
        <v>0</v>
      </c>
      <c r="G997">
        <f t="shared" si="582"/>
        <v>0</v>
      </c>
      <c r="H997">
        <f t="shared" si="583"/>
        <v>0</v>
      </c>
      <c r="I997">
        <f t="shared" si="584"/>
        <v>0</v>
      </c>
      <c r="J997">
        <f t="shared" si="585"/>
        <v>0</v>
      </c>
      <c r="K997">
        <f t="shared" si="586"/>
        <v>0</v>
      </c>
      <c r="L997">
        <f t="shared" si="587"/>
        <v>0</v>
      </c>
      <c r="M997">
        <f t="shared" si="588"/>
        <v>0</v>
      </c>
      <c r="N997">
        <f t="shared" si="589"/>
        <v>0</v>
      </c>
      <c r="O997">
        <f t="shared" si="590"/>
        <v>0</v>
      </c>
      <c r="P997">
        <f t="shared" si="591"/>
        <v>0</v>
      </c>
      <c r="Q997">
        <f t="shared" si="592"/>
        <v>0</v>
      </c>
      <c r="S997">
        <f t="shared" si="557"/>
        <v>0</v>
      </c>
      <c r="T997">
        <f t="shared" si="558"/>
        <v>0</v>
      </c>
      <c r="U997">
        <f t="shared" si="559"/>
        <v>0</v>
      </c>
      <c r="V997">
        <f t="shared" si="560"/>
        <v>0</v>
      </c>
      <c r="W997">
        <f t="shared" si="561"/>
        <v>0</v>
      </c>
      <c r="X997">
        <f t="shared" si="562"/>
        <v>0</v>
      </c>
      <c r="Y997">
        <f t="shared" si="563"/>
        <v>0</v>
      </c>
      <c r="Z997">
        <f t="shared" si="564"/>
        <v>0</v>
      </c>
      <c r="AA997">
        <f t="shared" si="565"/>
        <v>0</v>
      </c>
      <c r="AB997">
        <f t="shared" si="566"/>
        <v>0</v>
      </c>
      <c r="AC997">
        <f t="shared" si="567"/>
        <v>0</v>
      </c>
      <c r="AD997">
        <f t="shared" si="568"/>
        <v>0</v>
      </c>
      <c r="AF997">
        <f t="shared" si="569"/>
        <v>0</v>
      </c>
      <c r="AG997">
        <f t="shared" si="570"/>
        <v>0</v>
      </c>
      <c r="AH997">
        <f t="shared" si="571"/>
        <v>0</v>
      </c>
      <c r="AI997">
        <f t="shared" si="572"/>
        <v>0</v>
      </c>
      <c r="AJ997">
        <f t="shared" si="573"/>
        <v>0</v>
      </c>
      <c r="AK997">
        <f t="shared" si="574"/>
        <v>0</v>
      </c>
      <c r="AL997">
        <f t="shared" si="575"/>
        <v>0</v>
      </c>
      <c r="AM997">
        <f t="shared" si="576"/>
        <v>0</v>
      </c>
      <c r="AN997">
        <f t="shared" si="577"/>
        <v>0</v>
      </c>
      <c r="AO997">
        <f t="shared" si="578"/>
        <v>0</v>
      </c>
      <c r="AP997">
        <f t="shared" si="579"/>
        <v>0</v>
      </c>
      <c r="AQ997">
        <f t="shared" si="580"/>
        <v>0</v>
      </c>
    </row>
    <row r="998" spans="6:43" x14ac:dyDescent="0.45">
      <c r="F998">
        <f t="shared" si="581"/>
        <v>0</v>
      </c>
      <c r="G998">
        <f t="shared" si="582"/>
        <v>0</v>
      </c>
      <c r="H998">
        <f t="shared" si="583"/>
        <v>0</v>
      </c>
      <c r="I998">
        <f t="shared" si="584"/>
        <v>0</v>
      </c>
      <c r="J998">
        <f t="shared" si="585"/>
        <v>0</v>
      </c>
      <c r="K998">
        <f t="shared" si="586"/>
        <v>0</v>
      </c>
      <c r="L998">
        <f t="shared" si="587"/>
        <v>0</v>
      </c>
      <c r="M998">
        <f t="shared" si="588"/>
        <v>0</v>
      </c>
      <c r="N998">
        <f t="shared" si="589"/>
        <v>0</v>
      </c>
      <c r="O998">
        <f t="shared" si="590"/>
        <v>0</v>
      </c>
      <c r="P998">
        <f t="shared" si="591"/>
        <v>0</v>
      </c>
      <c r="Q998">
        <f t="shared" si="592"/>
        <v>0</v>
      </c>
      <c r="S998">
        <f t="shared" si="557"/>
        <v>0</v>
      </c>
      <c r="T998">
        <f t="shared" si="558"/>
        <v>0</v>
      </c>
      <c r="U998">
        <f t="shared" si="559"/>
        <v>0</v>
      </c>
      <c r="V998">
        <f t="shared" si="560"/>
        <v>0</v>
      </c>
      <c r="W998">
        <f t="shared" si="561"/>
        <v>0</v>
      </c>
      <c r="X998">
        <f t="shared" si="562"/>
        <v>0</v>
      </c>
      <c r="Y998">
        <f t="shared" si="563"/>
        <v>0</v>
      </c>
      <c r="Z998">
        <f t="shared" si="564"/>
        <v>0</v>
      </c>
      <c r="AA998">
        <f t="shared" si="565"/>
        <v>0</v>
      </c>
      <c r="AB998">
        <f t="shared" si="566"/>
        <v>0</v>
      </c>
      <c r="AC998">
        <f t="shared" si="567"/>
        <v>0</v>
      </c>
      <c r="AD998">
        <f t="shared" si="568"/>
        <v>0</v>
      </c>
      <c r="AF998">
        <f t="shared" si="569"/>
        <v>0</v>
      </c>
      <c r="AG998">
        <f t="shared" si="570"/>
        <v>0</v>
      </c>
      <c r="AH998">
        <f t="shared" si="571"/>
        <v>0</v>
      </c>
      <c r="AI998">
        <f t="shared" si="572"/>
        <v>0</v>
      </c>
      <c r="AJ998">
        <f t="shared" si="573"/>
        <v>0</v>
      </c>
      <c r="AK998">
        <f t="shared" si="574"/>
        <v>0</v>
      </c>
      <c r="AL998">
        <f t="shared" si="575"/>
        <v>0</v>
      </c>
      <c r="AM998">
        <f t="shared" si="576"/>
        <v>0</v>
      </c>
      <c r="AN998">
        <f t="shared" si="577"/>
        <v>0</v>
      </c>
      <c r="AO998">
        <f t="shared" si="578"/>
        <v>0</v>
      </c>
      <c r="AP998">
        <f t="shared" si="579"/>
        <v>0</v>
      </c>
      <c r="AQ998">
        <f t="shared" si="580"/>
        <v>0</v>
      </c>
    </row>
    <row r="999" spans="6:43" x14ac:dyDescent="0.45">
      <c r="F999">
        <f t="shared" si="581"/>
        <v>0</v>
      </c>
      <c r="G999">
        <f t="shared" si="582"/>
        <v>0</v>
      </c>
      <c r="H999">
        <f t="shared" si="583"/>
        <v>0</v>
      </c>
      <c r="I999">
        <f t="shared" si="584"/>
        <v>0</v>
      </c>
      <c r="J999">
        <f t="shared" si="585"/>
        <v>0</v>
      </c>
      <c r="K999">
        <f t="shared" si="586"/>
        <v>0</v>
      </c>
      <c r="L999">
        <f t="shared" si="587"/>
        <v>0</v>
      </c>
      <c r="M999">
        <f t="shared" si="588"/>
        <v>0</v>
      </c>
      <c r="N999">
        <f t="shared" si="589"/>
        <v>0</v>
      </c>
      <c r="O999">
        <f t="shared" si="590"/>
        <v>0</v>
      </c>
      <c r="P999">
        <f t="shared" si="591"/>
        <v>0</v>
      </c>
      <c r="Q999">
        <f t="shared" si="592"/>
        <v>0</v>
      </c>
      <c r="S999">
        <f t="shared" si="557"/>
        <v>0</v>
      </c>
      <c r="T999">
        <f t="shared" si="558"/>
        <v>0</v>
      </c>
      <c r="U999">
        <f t="shared" si="559"/>
        <v>0</v>
      </c>
      <c r="V999">
        <f t="shared" si="560"/>
        <v>0</v>
      </c>
      <c r="W999">
        <f t="shared" si="561"/>
        <v>0</v>
      </c>
      <c r="X999">
        <f t="shared" si="562"/>
        <v>0</v>
      </c>
      <c r="Y999">
        <f t="shared" si="563"/>
        <v>0</v>
      </c>
      <c r="Z999">
        <f t="shared" si="564"/>
        <v>0</v>
      </c>
      <c r="AA999">
        <f t="shared" si="565"/>
        <v>0</v>
      </c>
      <c r="AB999">
        <f t="shared" si="566"/>
        <v>0</v>
      </c>
      <c r="AC999">
        <f t="shared" si="567"/>
        <v>0</v>
      </c>
      <c r="AD999">
        <f t="shared" si="568"/>
        <v>0</v>
      </c>
      <c r="AF999">
        <f t="shared" si="569"/>
        <v>0</v>
      </c>
      <c r="AG999">
        <f t="shared" si="570"/>
        <v>0</v>
      </c>
      <c r="AH999">
        <f t="shared" si="571"/>
        <v>0</v>
      </c>
      <c r="AI999">
        <f t="shared" si="572"/>
        <v>0</v>
      </c>
      <c r="AJ999">
        <f t="shared" si="573"/>
        <v>0</v>
      </c>
      <c r="AK999">
        <f t="shared" si="574"/>
        <v>0</v>
      </c>
      <c r="AL999">
        <f t="shared" si="575"/>
        <v>0</v>
      </c>
      <c r="AM999">
        <f t="shared" si="576"/>
        <v>0</v>
      </c>
      <c r="AN999">
        <f t="shared" si="577"/>
        <v>0</v>
      </c>
      <c r="AO999">
        <f t="shared" si="578"/>
        <v>0</v>
      </c>
      <c r="AP999">
        <f t="shared" si="579"/>
        <v>0</v>
      </c>
      <c r="AQ999">
        <f t="shared" si="580"/>
        <v>0</v>
      </c>
    </row>
    <row r="1000" spans="6:43" x14ac:dyDescent="0.45">
      <c r="F1000">
        <f t="shared" si="581"/>
        <v>0</v>
      </c>
      <c r="G1000">
        <f t="shared" si="582"/>
        <v>0</v>
      </c>
      <c r="H1000">
        <f t="shared" si="583"/>
        <v>0</v>
      </c>
      <c r="I1000">
        <f t="shared" si="584"/>
        <v>0</v>
      </c>
      <c r="J1000">
        <f t="shared" si="585"/>
        <v>0</v>
      </c>
      <c r="K1000">
        <f t="shared" si="586"/>
        <v>0</v>
      </c>
      <c r="L1000">
        <f t="shared" si="587"/>
        <v>0</v>
      </c>
      <c r="M1000">
        <f t="shared" si="588"/>
        <v>0</v>
      </c>
      <c r="N1000">
        <f t="shared" si="589"/>
        <v>0</v>
      </c>
      <c r="O1000">
        <f t="shared" si="590"/>
        <v>0</v>
      </c>
      <c r="P1000">
        <f t="shared" si="591"/>
        <v>0</v>
      </c>
      <c r="Q1000">
        <f t="shared" si="592"/>
        <v>0</v>
      </c>
      <c r="S1000">
        <f t="shared" si="557"/>
        <v>0</v>
      </c>
      <c r="T1000">
        <f t="shared" si="558"/>
        <v>0</v>
      </c>
      <c r="U1000">
        <f t="shared" si="559"/>
        <v>0</v>
      </c>
      <c r="V1000">
        <f t="shared" si="560"/>
        <v>0</v>
      </c>
      <c r="W1000">
        <f t="shared" si="561"/>
        <v>0</v>
      </c>
      <c r="X1000">
        <f t="shared" si="562"/>
        <v>0</v>
      </c>
      <c r="Y1000">
        <f t="shared" si="563"/>
        <v>0</v>
      </c>
      <c r="Z1000">
        <f t="shared" si="564"/>
        <v>0</v>
      </c>
      <c r="AA1000">
        <f t="shared" si="565"/>
        <v>0</v>
      </c>
      <c r="AB1000">
        <f t="shared" si="566"/>
        <v>0</v>
      </c>
      <c r="AC1000">
        <f t="shared" si="567"/>
        <v>0</v>
      </c>
      <c r="AD1000">
        <f t="shared" si="568"/>
        <v>0</v>
      </c>
      <c r="AF1000">
        <f t="shared" si="569"/>
        <v>0</v>
      </c>
      <c r="AG1000">
        <f t="shared" si="570"/>
        <v>0</v>
      </c>
      <c r="AH1000">
        <f t="shared" si="571"/>
        <v>0</v>
      </c>
      <c r="AI1000">
        <f t="shared" si="572"/>
        <v>0</v>
      </c>
      <c r="AJ1000">
        <f t="shared" si="573"/>
        <v>0</v>
      </c>
      <c r="AK1000">
        <f t="shared" si="574"/>
        <v>0</v>
      </c>
      <c r="AL1000">
        <f t="shared" si="575"/>
        <v>0</v>
      </c>
      <c r="AM1000">
        <f t="shared" si="576"/>
        <v>0</v>
      </c>
      <c r="AN1000">
        <f t="shared" si="577"/>
        <v>0</v>
      </c>
      <c r="AO1000">
        <f t="shared" si="578"/>
        <v>0</v>
      </c>
      <c r="AP1000">
        <f t="shared" si="579"/>
        <v>0</v>
      </c>
      <c r="AQ1000">
        <f t="shared" si="580"/>
        <v>0</v>
      </c>
    </row>
    <row r="1001" spans="6:43" x14ac:dyDescent="0.45">
      <c r="F1001">
        <f t="shared" si="581"/>
        <v>0</v>
      </c>
      <c r="G1001">
        <f t="shared" si="582"/>
        <v>0</v>
      </c>
      <c r="H1001">
        <f t="shared" si="583"/>
        <v>0</v>
      </c>
      <c r="I1001">
        <f t="shared" si="584"/>
        <v>0</v>
      </c>
      <c r="J1001">
        <f t="shared" si="585"/>
        <v>0</v>
      </c>
      <c r="K1001">
        <f t="shared" si="586"/>
        <v>0</v>
      </c>
      <c r="L1001">
        <f t="shared" si="587"/>
        <v>0</v>
      </c>
      <c r="M1001">
        <f t="shared" si="588"/>
        <v>0</v>
      </c>
      <c r="N1001">
        <f t="shared" si="589"/>
        <v>0</v>
      </c>
      <c r="O1001">
        <f t="shared" si="590"/>
        <v>0</v>
      </c>
      <c r="P1001">
        <f t="shared" si="591"/>
        <v>0</v>
      </c>
      <c r="Q1001">
        <f t="shared" si="592"/>
        <v>0</v>
      </c>
      <c r="S1001">
        <f t="shared" si="557"/>
        <v>0</v>
      </c>
      <c r="T1001">
        <f t="shared" si="558"/>
        <v>0</v>
      </c>
      <c r="U1001">
        <f t="shared" si="559"/>
        <v>0</v>
      </c>
      <c r="V1001">
        <f t="shared" si="560"/>
        <v>0</v>
      </c>
      <c r="W1001">
        <f t="shared" si="561"/>
        <v>0</v>
      </c>
      <c r="X1001">
        <f t="shared" si="562"/>
        <v>0</v>
      </c>
      <c r="Y1001">
        <f t="shared" si="563"/>
        <v>0</v>
      </c>
      <c r="Z1001">
        <f t="shared" si="564"/>
        <v>0</v>
      </c>
      <c r="AA1001">
        <f t="shared" si="565"/>
        <v>0</v>
      </c>
      <c r="AB1001">
        <f t="shared" si="566"/>
        <v>0</v>
      </c>
      <c r="AC1001">
        <f t="shared" si="567"/>
        <v>0</v>
      </c>
      <c r="AD1001">
        <f t="shared" si="568"/>
        <v>0</v>
      </c>
      <c r="AF1001">
        <f t="shared" si="569"/>
        <v>0</v>
      </c>
      <c r="AG1001">
        <f t="shared" si="570"/>
        <v>0</v>
      </c>
      <c r="AH1001">
        <f t="shared" si="571"/>
        <v>0</v>
      </c>
      <c r="AI1001">
        <f t="shared" si="572"/>
        <v>0</v>
      </c>
      <c r="AJ1001">
        <f t="shared" si="573"/>
        <v>0</v>
      </c>
      <c r="AK1001">
        <f t="shared" si="574"/>
        <v>0</v>
      </c>
      <c r="AL1001">
        <f t="shared" si="575"/>
        <v>0</v>
      </c>
      <c r="AM1001">
        <f t="shared" si="576"/>
        <v>0</v>
      </c>
      <c r="AN1001">
        <f t="shared" si="577"/>
        <v>0</v>
      </c>
      <c r="AO1001">
        <f t="shared" si="578"/>
        <v>0</v>
      </c>
      <c r="AP1001">
        <f t="shared" si="579"/>
        <v>0</v>
      </c>
      <c r="AQ1001">
        <f t="shared" si="580"/>
        <v>0</v>
      </c>
    </row>
    <row r="1002" spans="6:43" x14ac:dyDescent="0.45">
      <c r="F1002">
        <f t="shared" si="581"/>
        <v>0</v>
      </c>
      <c r="G1002">
        <f t="shared" si="582"/>
        <v>0</v>
      </c>
      <c r="H1002">
        <f t="shared" si="583"/>
        <v>0</v>
      </c>
      <c r="I1002">
        <f t="shared" si="584"/>
        <v>0</v>
      </c>
      <c r="J1002">
        <f t="shared" si="585"/>
        <v>0</v>
      </c>
      <c r="K1002">
        <f t="shared" si="586"/>
        <v>0</v>
      </c>
      <c r="L1002">
        <f t="shared" si="587"/>
        <v>0</v>
      </c>
      <c r="M1002">
        <f t="shared" si="588"/>
        <v>0</v>
      </c>
      <c r="N1002">
        <f t="shared" si="589"/>
        <v>0</v>
      </c>
      <c r="O1002">
        <f t="shared" si="590"/>
        <v>0</v>
      </c>
      <c r="P1002">
        <f t="shared" si="591"/>
        <v>0</v>
      </c>
      <c r="Q1002">
        <f t="shared" si="592"/>
        <v>0</v>
      </c>
      <c r="S1002">
        <f t="shared" si="557"/>
        <v>0</v>
      </c>
      <c r="T1002">
        <f t="shared" si="558"/>
        <v>0</v>
      </c>
      <c r="U1002">
        <f t="shared" si="559"/>
        <v>0</v>
      </c>
      <c r="V1002">
        <f t="shared" si="560"/>
        <v>0</v>
      </c>
      <c r="W1002">
        <f t="shared" si="561"/>
        <v>0</v>
      </c>
      <c r="X1002">
        <f t="shared" si="562"/>
        <v>0</v>
      </c>
      <c r="Y1002">
        <f t="shared" si="563"/>
        <v>0</v>
      </c>
      <c r="Z1002">
        <f t="shared" si="564"/>
        <v>0</v>
      </c>
      <c r="AA1002">
        <f t="shared" si="565"/>
        <v>0</v>
      </c>
      <c r="AB1002">
        <f t="shared" si="566"/>
        <v>0</v>
      </c>
      <c r="AC1002">
        <f t="shared" si="567"/>
        <v>0</v>
      </c>
      <c r="AD1002">
        <f t="shared" si="568"/>
        <v>0</v>
      </c>
      <c r="AF1002">
        <f t="shared" si="569"/>
        <v>0</v>
      </c>
      <c r="AG1002">
        <f t="shared" si="570"/>
        <v>0</v>
      </c>
      <c r="AH1002">
        <f t="shared" si="571"/>
        <v>0</v>
      </c>
      <c r="AI1002">
        <f t="shared" si="572"/>
        <v>0</v>
      </c>
      <c r="AJ1002">
        <f t="shared" si="573"/>
        <v>0</v>
      </c>
      <c r="AK1002">
        <f t="shared" si="574"/>
        <v>0</v>
      </c>
      <c r="AL1002">
        <f t="shared" si="575"/>
        <v>0</v>
      </c>
      <c r="AM1002">
        <f t="shared" si="576"/>
        <v>0</v>
      </c>
      <c r="AN1002">
        <f t="shared" si="577"/>
        <v>0</v>
      </c>
      <c r="AO1002">
        <f t="shared" si="578"/>
        <v>0</v>
      </c>
      <c r="AP1002">
        <f t="shared" si="579"/>
        <v>0</v>
      </c>
      <c r="AQ1002">
        <f t="shared" si="580"/>
        <v>0</v>
      </c>
    </row>
    <row r="1003" spans="6:43" x14ac:dyDescent="0.45">
      <c r="F1003">
        <f t="shared" si="581"/>
        <v>0</v>
      </c>
      <c r="G1003">
        <f t="shared" si="582"/>
        <v>0</v>
      </c>
      <c r="H1003">
        <f t="shared" si="583"/>
        <v>0</v>
      </c>
      <c r="I1003">
        <f t="shared" si="584"/>
        <v>0</v>
      </c>
      <c r="J1003">
        <f t="shared" si="585"/>
        <v>0</v>
      </c>
      <c r="K1003">
        <f t="shared" si="586"/>
        <v>0</v>
      </c>
      <c r="L1003">
        <f t="shared" si="587"/>
        <v>0</v>
      </c>
      <c r="M1003">
        <f t="shared" si="588"/>
        <v>0</v>
      </c>
      <c r="N1003">
        <f t="shared" si="589"/>
        <v>0</v>
      </c>
      <c r="O1003">
        <f t="shared" si="590"/>
        <v>0</v>
      </c>
      <c r="P1003">
        <f t="shared" si="591"/>
        <v>0</v>
      </c>
      <c r="Q1003">
        <f t="shared" si="592"/>
        <v>0</v>
      </c>
      <c r="S1003">
        <f t="shared" ref="S1003:S1066" si="593">IF(F1003&gt;0,1,0)+S1004</f>
        <v>0</v>
      </c>
      <c r="T1003">
        <f t="shared" ref="T1003:T1066" si="594">IF(G1003&gt;0,1,0)+T1004</f>
        <v>0</v>
      </c>
      <c r="U1003">
        <f t="shared" ref="U1003:U1066" si="595">IF(H1003&gt;0,1,0)+U1004</f>
        <v>0</v>
      </c>
      <c r="V1003">
        <f t="shared" ref="V1003:V1066" si="596">IF(I1003&gt;0,1,0)+V1004</f>
        <v>0</v>
      </c>
      <c r="W1003">
        <f t="shared" ref="W1003:W1066" si="597">IF(J1003&gt;0,1,0)+W1004</f>
        <v>0</v>
      </c>
      <c r="X1003">
        <f t="shared" ref="X1003:X1066" si="598">IF(K1003&gt;0,1,0)+X1004</f>
        <v>0</v>
      </c>
      <c r="Y1003">
        <f t="shared" ref="Y1003:Y1066" si="599">IF(L1003&gt;0,1,0)+Y1004</f>
        <v>0</v>
      </c>
      <c r="Z1003">
        <f t="shared" ref="Z1003:Z1066" si="600">IF(M1003&gt;0,1,0)+Z1004</f>
        <v>0</v>
      </c>
      <c r="AA1003">
        <f t="shared" ref="AA1003:AA1066" si="601">IF(N1003&gt;0,1,0)+AA1004</f>
        <v>0</v>
      </c>
      <c r="AB1003">
        <f t="shared" ref="AB1003:AB1066" si="602">IF(O1003&gt;0,1,0)+AB1004</f>
        <v>0</v>
      </c>
      <c r="AC1003">
        <f t="shared" ref="AC1003:AC1066" si="603">IF(P1003&gt;0,1,0)+AC1004</f>
        <v>0</v>
      </c>
      <c r="AD1003">
        <f t="shared" ref="AD1003:AD1066" si="604">IF(Q1003&gt;0,1,0)+AD1004</f>
        <v>0</v>
      </c>
      <c r="AF1003">
        <f t="shared" ref="AF1003:AF1066" si="605">IF(S1003&lt;=$AT$1,F1003,0)</f>
        <v>0</v>
      </c>
      <c r="AG1003">
        <f t="shared" ref="AG1003:AG1066" si="606">IF(T1003&lt;=$AT$1,G1003,0)</f>
        <v>0</v>
      </c>
      <c r="AH1003">
        <f t="shared" ref="AH1003:AH1066" si="607">IF(U1003&lt;=$AT$1,H1003,0)</f>
        <v>0</v>
      </c>
      <c r="AI1003">
        <f t="shared" ref="AI1003:AI1066" si="608">IF(V1003&lt;=$AT$1,I1003,0)</f>
        <v>0</v>
      </c>
      <c r="AJ1003">
        <f t="shared" ref="AJ1003:AJ1066" si="609">IF(W1003&lt;=$AT$1,J1003,0)</f>
        <v>0</v>
      </c>
      <c r="AK1003">
        <f t="shared" ref="AK1003:AK1066" si="610">IF(X1003&lt;=$AT$1,K1003,0)</f>
        <v>0</v>
      </c>
      <c r="AL1003">
        <f t="shared" ref="AL1003:AL1066" si="611">IF(Y1003&lt;=$AT$1,L1003,0)</f>
        <v>0</v>
      </c>
      <c r="AM1003">
        <f t="shared" ref="AM1003:AM1066" si="612">IF(Z1003&lt;=$AT$1,M1003,0)</f>
        <v>0</v>
      </c>
      <c r="AN1003">
        <f t="shared" ref="AN1003:AN1066" si="613">IF(AA1003&lt;=$AT$1,N1003,0)</f>
        <v>0</v>
      </c>
      <c r="AO1003">
        <f t="shared" ref="AO1003:AO1066" si="614">IF(AB1003&lt;=$AT$1,O1003,0)</f>
        <v>0</v>
      </c>
      <c r="AP1003">
        <f t="shared" ref="AP1003:AP1066" si="615">IF(AC1003&lt;=$AT$1,P1003,0)</f>
        <v>0</v>
      </c>
      <c r="AQ1003">
        <f t="shared" ref="AQ1003:AQ1066" si="616">IF(AD1003&lt;=$AT$1,Q1003,0)</f>
        <v>0</v>
      </c>
    </row>
    <row r="1004" spans="6:43" x14ac:dyDescent="0.45">
      <c r="F1004">
        <f t="shared" si="581"/>
        <v>0</v>
      </c>
      <c r="G1004">
        <f t="shared" si="582"/>
        <v>0</v>
      </c>
      <c r="H1004">
        <f t="shared" si="583"/>
        <v>0</v>
      </c>
      <c r="I1004">
        <f t="shared" si="584"/>
        <v>0</v>
      </c>
      <c r="J1004">
        <f t="shared" si="585"/>
        <v>0</v>
      </c>
      <c r="K1004">
        <f t="shared" si="586"/>
        <v>0</v>
      </c>
      <c r="L1004">
        <f t="shared" si="587"/>
        <v>0</v>
      </c>
      <c r="M1004">
        <f t="shared" si="588"/>
        <v>0</v>
      </c>
      <c r="N1004">
        <f t="shared" si="589"/>
        <v>0</v>
      </c>
      <c r="O1004">
        <f t="shared" si="590"/>
        <v>0</v>
      </c>
      <c r="P1004">
        <f t="shared" si="591"/>
        <v>0</v>
      </c>
      <c r="Q1004">
        <f t="shared" si="592"/>
        <v>0</v>
      </c>
      <c r="S1004">
        <f t="shared" si="593"/>
        <v>0</v>
      </c>
      <c r="T1004">
        <f t="shared" si="594"/>
        <v>0</v>
      </c>
      <c r="U1004">
        <f t="shared" si="595"/>
        <v>0</v>
      </c>
      <c r="V1004">
        <f t="shared" si="596"/>
        <v>0</v>
      </c>
      <c r="W1004">
        <f t="shared" si="597"/>
        <v>0</v>
      </c>
      <c r="X1004">
        <f t="shared" si="598"/>
        <v>0</v>
      </c>
      <c r="Y1004">
        <f t="shared" si="599"/>
        <v>0</v>
      </c>
      <c r="Z1004">
        <f t="shared" si="600"/>
        <v>0</v>
      </c>
      <c r="AA1004">
        <f t="shared" si="601"/>
        <v>0</v>
      </c>
      <c r="AB1004">
        <f t="shared" si="602"/>
        <v>0</v>
      </c>
      <c r="AC1004">
        <f t="shared" si="603"/>
        <v>0</v>
      </c>
      <c r="AD1004">
        <f t="shared" si="604"/>
        <v>0</v>
      </c>
      <c r="AF1004">
        <f t="shared" si="605"/>
        <v>0</v>
      </c>
      <c r="AG1004">
        <f t="shared" si="606"/>
        <v>0</v>
      </c>
      <c r="AH1004">
        <f t="shared" si="607"/>
        <v>0</v>
      </c>
      <c r="AI1004">
        <f t="shared" si="608"/>
        <v>0</v>
      </c>
      <c r="AJ1004">
        <f t="shared" si="609"/>
        <v>0</v>
      </c>
      <c r="AK1004">
        <f t="shared" si="610"/>
        <v>0</v>
      </c>
      <c r="AL1004">
        <f t="shared" si="611"/>
        <v>0</v>
      </c>
      <c r="AM1004">
        <f t="shared" si="612"/>
        <v>0</v>
      </c>
      <c r="AN1004">
        <f t="shared" si="613"/>
        <v>0</v>
      </c>
      <c r="AO1004">
        <f t="shared" si="614"/>
        <v>0</v>
      </c>
      <c r="AP1004">
        <f t="shared" si="615"/>
        <v>0</v>
      </c>
      <c r="AQ1004">
        <f t="shared" si="616"/>
        <v>0</v>
      </c>
    </row>
    <row r="1005" spans="6:43" x14ac:dyDescent="0.45">
      <c r="F1005">
        <f t="shared" si="581"/>
        <v>0</v>
      </c>
      <c r="G1005">
        <f t="shared" si="582"/>
        <v>0</v>
      </c>
      <c r="H1005">
        <f t="shared" si="583"/>
        <v>0</v>
      </c>
      <c r="I1005">
        <f t="shared" si="584"/>
        <v>0</v>
      </c>
      <c r="J1005">
        <f t="shared" si="585"/>
        <v>0</v>
      </c>
      <c r="K1005">
        <f t="shared" si="586"/>
        <v>0</v>
      </c>
      <c r="L1005">
        <f t="shared" si="587"/>
        <v>0</v>
      </c>
      <c r="M1005">
        <f t="shared" si="588"/>
        <v>0</v>
      </c>
      <c r="N1005">
        <f t="shared" si="589"/>
        <v>0</v>
      </c>
      <c r="O1005">
        <f t="shared" si="590"/>
        <v>0</v>
      </c>
      <c r="P1005">
        <f t="shared" si="591"/>
        <v>0</v>
      </c>
      <c r="Q1005">
        <f t="shared" si="592"/>
        <v>0</v>
      </c>
      <c r="S1005">
        <f t="shared" si="593"/>
        <v>0</v>
      </c>
      <c r="T1005">
        <f t="shared" si="594"/>
        <v>0</v>
      </c>
      <c r="U1005">
        <f t="shared" si="595"/>
        <v>0</v>
      </c>
      <c r="V1005">
        <f t="shared" si="596"/>
        <v>0</v>
      </c>
      <c r="W1005">
        <f t="shared" si="597"/>
        <v>0</v>
      </c>
      <c r="X1005">
        <f t="shared" si="598"/>
        <v>0</v>
      </c>
      <c r="Y1005">
        <f t="shared" si="599"/>
        <v>0</v>
      </c>
      <c r="Z1005">
        <f t="shared" si="600"/>
        <v>0</v>
      </c>
      <c r="AA1005">
        <f t="shared" si="601"/>
        <v>0</v>
      </c>
      <c r="AB1005">
        <f t="shared" si="602"/>
        <v>0</v>
      </c>
      <c r="AC1005">
        <f t="shared" si="603"/>
        <v>0</v>
      </c>
      <c r="AD1005">
        <f t="shared" si="604"/>
        <v>0</v>
      </c>
      <c r="AF1005">
        <f t="shared" si="605"/>
        <v>0</v>
      </c>
      <c r="AG1005">
        <f t="shared" si="606"/>
        <v>0</v>
      </c>
      <c r="AH1005">
        <f t="shared" si="607"/>
        <v>0</v>
      </c>
      <c r="AI1005">
        <f t="shared" si="608"/>
        <v>0</v>
      </c>
      <c r="AJ1005">
        <f t="shared" si="609"/>
        <v>0</v>
      </c>
      <c r="AK1005">
        <f t="shared" si="610"/>
        <v>0</v>
      </c>
      <c r="AL1005">
        <f t="shared" si="611"/>
        <v>0</v>
      </c>
      <c r="AM1005">
        <f t="shared" si="612"/>
        <v>0</v>
      </c>
      <c r="AN1005">
        <f t="shared" si="613"/>
        <v>0</v>
      </c>
      <c r="AO1005">
        <f t="shared" si="614"/>
        <v>0</v>
      </c>
      <c r="AP1005">
        <f t="shared" si="615"/>
        <v>0</v>
      </c>
      <c r="AQ1005">
        <f t="shared" si="616"/>
        <v>0</v>
      </c>
    </row>
    <row r="1006" spans="6:43" x14ac:dyDescent="0.45">
      <c r="F1006">
        <f t="shared" si="581"/>
        <v>0</v>
      </c>
      <c r="G1006">
        <f t="shared" si="582"/>
        <v>0</v>
      </c>
      <c r="H1006">
        <f t="shared" si="583"/>
        <v>0</v>
      </c>
      <c r="I1006">
        <f t="shared" si="584"/>
        <v>0</v>
      </c>
      <c r="J1006">
        <f t="shared" si="585"/>
        <v>0</v>
      </c>
      <c r="K1006">
        <f t="shared" si="586"/>
        <v>0</v>
      </c>
      <c r="L1006">
        <f t="shared" si="587"/>
        <v>0</v>
      </c>
      <c r="M1006">
        <f t="shared" si="588"/>
        <v>0</v>
      </c>
      <c r="N1006">
        <f t="shared" si="589"/>
        <v>0</v>
      </c>
      <c r="O1006">
        <f t="shared" si="590"/>
        <v>0</v>
      </c>
      <c r="P1006">
        <f t="shared" si="591"/>
        <v>0</v>
      </c>
      <c r="Q1006">
        <f t="shared" si="592"/>
        <v>0</v>
      </c>
      <c r="S1006">
        <f t="shared" si="593"/>
        <v>0</v>
      </c>
      <c r="T1006">
        <f t="shared" si="594"/>
        <v>0</v>
      </c>
      <c r="U1006">
        <f t="shared" si="595"/>
        <v>0</v>
      </c>
      <c r="V1006">
        <f t="shared" si="596"/>
        <v>0</v>
      </c>
      <c r="W1006">
        <f t="shared" si="597"/>
        <v>0</v>
      </c>
      <c r="X1006">
        <f t="shared" si="598"/>
        <v>0</v>
      </c>
      <c r="Y1006">
        <f t="shared" si="599"/>
        <v>0</v>
      </c>
      <c r="Z1006">
        <f t="shared" si="600"/>
        <v>0</v>
      </c>
      <c r="AA1006">
        <f t="shared" si="601"/>
        <v>0</v>
      </c>
      <c r="AB1006">
        <f t="shared" si="602"/>
        <v>0</v>
      </c>
      <c r="AC1006">
        <f t="shared" si="603"/>
        <v>0</v>
      </c>
      <c r="AD1006">
        <f t="shared" si="604"/>
        <v>0</v>
      </c>
      <c r="AF1006">
        <f t="shared" si="605"/>
        <v>0</v>
      </c>
      <c r="AG1006">
        <f t="shared" si="606"/>
        <v>0</v>
      </c>
      <c r="AH1006">
        <f t="shared" si="607"/>
        <v>0</v>
      </c>
      <c r="AI1006">
        <f t="shared" si="608"/>
        <v>0</v>
      </c>
      <c r="AJ1006">
        <f t="shared" si="609"/>
        <v>0</v>
      </c>
      <c r="AK1006">
        <f t="shared" si="610"/>
        <v>0</v>
      </c>
      <c r="AL1006">
        <f t="shared" si="611"/>
        <v>0</v>
      </c>
      <c r="AM1006">
        <f t="shared" si="612"/>
        <v>0</v>
      </c>
      <c r="AN1006">
        <f t="shared" si="613"/>
        <v>0</v>
      </c>
      <c r="AO1006">
        <f t="shared" si="614"/>
        <v>0</v>
      </c>
      <c r="AP1006">
        <f t="shared" si="615"/>
        <v>0</v>
      </c>
      <c r="AQ1006">
        <f t="shared" si="616"/>
        <v>0</v>
      </c>
    </row>
    <row r="1007" spans="6:43" x14ac:dyDescent="0.45">
      <c r="F1007">
        <f t="shared" si="581"/>
        <v>0</v>
      </c>
      <c r="G1007">
        <f t="shared" si="582"/>
        <v>0</v>
      </c>
      <c r="H1007">
        <f t="shared" si="583"/>
        <v>0</v>
      </c>
      <c r="I1007">
        <f t="shared" si="584"/>
        <v>0</v>
      </c>
      <c r="J1007">
        <f t="shared" si="585"/>
        <v>0</v>
      </c>
      <c r="K1007">
        <f t="shared" si="586"/>
        <v>0</v>
      </c>
      <c r="L1007">
        <f t="shared" si="587"/>
        <v>0</v>
      </c>
      <c r="M1007">
        <f t="shared" si="588"/>
        <v>0</v>
      </c>
      <c r="N1007">
        <f t="shared" si="589"/>
        <v>0</v>
      </c>
      <c r="O1007">
        <f t="shared" si="590"/>
        <v>0</v>
      </c>
      <c r="P1007">
        <f t="shared" si="591"/>
        <v>0</v>
      </c>
      <c r="Q1007">
        <f t="shared" si="592"/>
        <v>0</v>
      </c>
      <c r="S1007">
        <f t="shared" si="593"/>
        <v>0</v>
      </c>
      <c r="T1007">
        <f t="shared" si="594"/>
        <v>0</v>
      </c>
      <c r="U1007">
        <f t="shared" si="595"/>
        <v>0</v>
      </c>
      <c r="V1007">
        <f t="shared" si="596"/>
        <v>0</v>
      </c>
      <c r="W1007">
        <f t="shared" si="597"/>
        <v>0</v>
      </c>
      <c r="X1007">
        <f t="shared" si="598"/>
        <v>0</v>
      </c>
      <c r="Y1007">
        <f t="shared" si="599"/>
        <v>0</v>
      </c>
      <c r="Z1007">
        <f t="shared" si="600"/>
        <v>0</v>
      </c>
      <c r="AA1007">
        <f t="shared" si="601"/>
        <v>0</v>
      </c>
      <c r="AB1007">
        <f t="shared" si="602"/>
        <v>0</v>
      </c>
      <c r="AC1007">
        <f t="shared" si="603"/>
        <v>0</v>
      </c>
      <c r="AD1007">
        <f t="shared" si="604"/>
        <v>0</v>
      </c>
      <c r="AF1007">
        <f t="shared" si="605"/>
        <v>0</v>
      </c>
      <c r="AG1007">
        <f t="shared" si="606"/>
        <v>0</v>
      </c>
      <c r="AH1007">
        <f t="shared" si="607"/>
        <v>0</v>
      </c>
      <c r="AI1007">
        <f t="shared" si="608"/>
        <v>0</v>
      </c>
      <c r="AJ1007">
        <f t="shared" si="609"/>
        <v>0</v>
      </c>
      <c r="AK1007">
        <f t="shared" si="610"/>
        <v>0</v>
      </c>
      <c r="AL1007">
        <f t="shared" si="611"/>
        <v>0</v>
      </c>
      <c r="AM1007">
        <f t="shared" si="612"/>
        <v>0</v>
      </c>
      <c r="AN1007">
        <f t="shared" si="613"/>
        <v>0</v>
      </c>
      <c r="AO1007">
        <f t="shared" si="614"/>
        <v>0</v>
      </c>
      <c r="AP1007">
        <f t="shared" si="615"/>
        <v>0</v>
      </c>
      <c r="AQ1007">
        <f t="shared" si="616"/>
        <v>0</v>
      </c>
    </row>
    <row r="1008" spans="6:43" x14ac:dyDescent="0.45">
      <c r="F1008">
        <f t="shared" si="581"/>
        <v>0</v>
      </c>
      <c r="G1008">
        <f t="shared" si="582"/>
        <v>0</v>
      </c>
      <c r="H1008">
        <f t="shared" si="583"/>
        <v>0</v>
      </c>
      <c r="I1008">
        <f t="shared" si="584"/>
        <v>0</v>
      </c>
      <c r="J1008">
        <f t="shared" si="585"/>
        <v>0</v>
      </c>
      <c r="K1008">
        <f t="shared" si="586"/>
        <v>0</v>
      </c>
      <c r="L1008">
        <f t="shared" si="587"/>
        <v>0</v>
      </c>
      <c r="M1008">
        <f t="shared" si="588"/>
        <v>0</v>
      </c>
      <c r="N1008">
        <f t="shared" si="589"/>
        <v>0</v>
      </c>
      <c r="O1008">
        <f t="shared" si="590"/>
        <v>0</v>
      </c>
      <c r="P1008">
        <f t="shared" si="591"/>
        <v>0</v>
      </c>
      <c r="Q1008">
        <f t="shared" si="592"/>
        <v>0</v>
      </c>
      <c r="S1008">
        <f t="shared" si="593"/>
        <v>0</v>
      </c>
      <c r="T1008">
        <f t="shared" si="594"/>
        <v>0</v>
      </c>
      <c r="U1008">
        <f t="shared" si="595"/>
        <v>0</v>
      </c>
      <c r="V1008">
        <f t="shared" si="596"/>
        <v>0</v>
      </c>
      <c r="W1008">
        <f t="shared" si="597"/>
        <v>0</v>
      </c>
      <c r="X1008">
        <f t="shared" si="598"/>
        <v>0</v>
      </c>
      <c r="Y1008">
        <f t="shared" si="599"/>
        <v>0</v>
      </c>
      <c r="Z1008">
        <f t="shared" si="600"/>
        <v>0</v>
      </c>
      <c r="AA1008">
        <f t="shared" si="601"/>
        <v>0</v>
      </c>
      <c r="AB1008">
        <f t="shared" si="602"/>
        <v>0</v>
      </c>
      <c r="AC1008">
        <f t="shared" si="603"/>
        <v>0</v>
      </c>
      <c r="AD1008">
        <f t="shared" si="604"/>
        <v>0</v>
      </c>
      <c r="AF1008">
        <f t="shared" si="605"/>
        <v>0</v>
      </c>
      <c r="AG1008">
        <f t="shared" si="606"/>
        <v>0</v>
      </c>
      <c r="AH1008">
        <f t="shared" si="607"/>
        <v>0</v>
      </c>
      <c r="AI1008">
        <f t="shared" si="608"/>
        <v>0</v>
      </c>
      <c r="AJ1008">
        <f t="shared" si="609"/>
        <v>0</v>
      </c>
      <c r="AK1008">
        <f t="shared" si="610"/>
        <v>0</v>
      </c>
      <c r="AL1008">
        <f t="shared" si="611"/>
        <v>0</v>
      </c>
      <c r="AM1008">
        <f t="shared" si="612"/>
        <v>0</v>
      </c>
      <c r="AN1008">
        <f t="shared" si="613"/>
        <v>0</v>
      </c>
      <c r="AO1008">
        <f t="shared" si="614"/>
        <v>0</v>
      </c>
      <c r="AP1008">
        <f t="shared" si="615"/>
        <v>0</v>
      </c>
      <c r="AQ1008">
        <f t="shared" si="616"/>
        <v>0</v>
      </c>
    </row>
    <row r="1009" spans="6:43" x14ac:dyDescent="0.45">
      <c r="F1009">
        <f t="shared" si="581"/>
        <v>0</v>
      </c>
      <c r="G1009">
        <f t="shared" si="582"/>
        <v>0</v>
      </c>
      <c r="H1009">
        <f t="shared" si="583"/>
        <v>0</v>
      </c>
      <c r="I1009">
        <f t="shared" si="584"/>
        <v>0</v>
      </c>
      <c r="J1009">
        <f t="shared" si="585"/>
        <v>0</v>
      </c>
      <c r="K1009">
        <f t="shared" si="586"/>
        <v>0</v>
      </c>
      <c r="L1009">
        <f t="shared" si="587"/>
        <v>0</v>
      </c>
      <c r="M1009">
        <f t="shared" si="588"/>
        <v>0</v>
      </c>
      <c r="N1009">
        <f t="shared" si="589"/>
        <v>0</v>
      </c>
      <c r="O1009">
        <f t="shared" si="590"/>
        <v>0</v>
      </c>
      <c r="P1009">
        <f t="shared" si="591"/>
        <v>0</v>
      </c>
      <c r="Q1009">
        <f t="shared" si="592"/>
        <v>0</v>
      </c>
      <c r="S1009">
        <f t="shared" si="593"/>
        <v>0</v>
      </c>
      <c r="T1009">
        <f t="shared" si="594"/>
        <v>0</v>
      </c>
      <c r="U1009">
        <f t="shared" si="595"/>
        <v>0</v>
      </c>
      <c r="V1009">
        <f t="shared" si="596"/>
        <v>0</v>
      </c>
      <c r="W1009">
        <f t="shared" si="597"/>
        <v>0</v>
      </c>
      <c r="X1009">
        <f t="shared" si="598"/>
        <v>0</v>
      </c>
      <c r="Y1009">
        <f t="shared" si="599"/>
        <v>0</v>
      </c>
      <c r="Z1009">
        <f t="shared" si="600"/>
        <v>0</v>
      </c>
      <c r="AA1009">
        <f t="shared" si="601"/>
        <v>0</v>
      </c>
      <c r="AB1009">
        <f t="shared" si="602"/>
        <v>0</v>
      </c>
      <c r="AC1009">
        <f t="shared" si="603"/>
        <v>0</v>
      </c>
      <c r="AD1009">
        <f t="shared" si="604"/>
        <v>0</v>
      </c>
      <c r="AF1009">
        <f t="shared" si="605"/>
        <v>0</v>
      </c>
      <c r="AG1009">
        <f t="shared" si="606"/>
        <v>0</v>
      </c>
      <c r="AH1009">
        <f t="shared" si="607"/>
        <v>0</v>
      </c>
      <c r="AI1009">
        <f t="shared" si="608"/>
        <v>0</v>
      </c>
      <c r="AJ1009">
        <f t="shared" si="609"/>
        <v>0</v>
      </c>
      <c r="AK1009">
        <f t="shared" si="610"/>
        <v>0</v>
      </c>
      <c r="AL1009">
        <f t="shared" si="611"/>
        <v>0</v>
      </c>
      <c r="AM1009">
        <f t="shared" si="612"/>
        <v>0</v>
      </c>
      <c r="AN1009">
        <f t="shared" si="613"/>
        <v>0</v>
      </c>
      <c r="AO1009">
        <f t="shared" si="614"/>
        <v>0</v>
      </c>
      <c r="AP1009">
        <f t="shared" si="615"/>
        <v>0</v>
      </c>
      <c r="AQ1009">
        <f t="shared" si="616"/>
        <v>0</v>
      </c>
    </row>
    <row r="1010" spans="6:43" x14ac:dyDescent="0.45">
      <c r="F1010">
        <f t="shared" si="581"/>
        <v>0</v>
      </c>
      <c r="G1010">
        <f t="shared" si="582"/>
        <v>0</v>
      </c>
      <c r="H1010">
        <f t="shared" si="583"/>
        <v>0</v>
      </c>
      <c r="I1010">
        <f t="shared" si="584"/>
        <v>0</v>
      </c>
      <c r="J1010">
        <f t="shared" si="585"/>
        <v>0</v>
      </c>
      <c r="K1010">
        <f t="shared" si="586"/>
        <v>0</v>
      </c>
      <c r="L1010">
        <f t="shared" si="587"/>
        <v>0</v>
      </c>
      <c r="M1010">
        <f t="shared" si="588"/>
        <v>0</v>
      </c>
      <c r="N1010">
        <f t="shared" si="589"/>
        <v>0</v>
      </c>
      <c r="O1010">
        <f t="shared" si="590"/>
        <v>0</v>
      </c>
      <c r="P1010">
        <f t="shared" si="591"/>
        <v>0</v>
      </c>
      <c r="Q1010">
        <f t="shared" si="592"/>
        <v>0</v>
      </c>
      <c r="S1010">
        <f t="shared" si="593"/>
        <v>0</v>
      </c>
      <c r="T1010">
        <f t="shared" si="594"/>
        <v>0</v>
      </c>
      <c r="U1010">
        <f t="shared" si="595"/>
        <v>0</v>
      </c>
      <c r="V1010">
        <f t="shared" si="596"/>
        <v>0</v>
      </c>
      <c r="W1010">
        <f t="shared" si="597"/>
        <v>0</v>
      </c>
      <c r="X1010">
        <f t="shared" si="598"/>
        <v>0</v>
      </c>
      <c r="Y1010">
        <f t="shared" si="599"/>
        <v>0</v>
      </c>
      <c r="Z1010">
        <f t="shared" si="600"/>
        <v>0</v>
      </c>
      <c r="AA1010">
        <f t="shared" si="601"/>
        <v>0</v>
      </c>
      <c r="AB1010">
        <f t="shared" si="602"/>
        <v>0</v>
      </c>
      <c r="AC1010">
        <f t="shared" si="603"/>
        <v>0</v>
      </c>
      <c r="AD1010">
        <f t="shared" si="604"/>
        <v>0</v>
      </c>
      <c r="AF1010">
        <f t="shared" si="605"/>
        <v>0</v>
      </c>
      <c r="AG1010">
        <f t="shared" si="606"/>
        <v>0</v>
      </c>
      <c r="AH1010">
        <f t="shared" si="607"/>
        <v>0</v>
      </c>
      <c r="AI1010">
        <f t="shared" si="608"/>
        <v>0</v>
      </c>
      <c r="AJ1010">
        <f t="shared" si="609"/>
        <v>0</v>
      </c>
      <c r="AK1010">
        <f t="shared" si="610"/>
        <v>0</v>
      </c>
      <c r="AL1010">
        <f t="shared" si="611"/>
        <v>0</v>
      </c>
      <c r="AM1010">
        <f t="shared" si="612"/>
        <v>0</v>
      </c>
      <c r="AN1010">
        <f t="shared" si="613"/>
        <v>0</v>
      </c>
      <c r="AO1010">
        <f t="shared" si="614"/>
        <v>0</v>
      </c>
      <c r="AP1010">
        <f t="shared" si="615"/>
        <v>0</v>
      </c>
      <c r="AQ1010">
        <f t="shared" si="616"/>
        <v>0</v>
      </c>
    </row>
    <row r="1011" spans="6:43" x14ac:dyDescent="0.45">
      <c r="F1011">
        <f t="shared" si="581"/>
        <v>0</v>
      </c>
      <c r="G1011">
        <f t="shared" si="582"/>
        <v>0</v>
      </c>
      <c r="H1011">
        <f t="shared" si="583"/>
        <v>0</v>
      </c>
      <c r="I1011">
        <f t="shared" si="584"/>
        <v>0</v>
      </c>
      <c r="J1011">
        <f t="shared" si="585"/>
        <v>0</v>
      </c>
      <c r="K1011">
        <f t="shared" si="586"/>
        <v>0</v>
      </c>
      <c r="L1011">
        <f t="shared" si="587"/>
        <v>0</v>
      </c>
      <c r="M1011">
        <f t="shared" si="588"/>
        <v>0</v>
      </c>
      <c r="N1011">
        <f t="shared" si="589"/>
        <v>0</v>
      </c>
      <c r="O1011">
        <f t="shared" si="590"/>
        <v>0</v>
      </c>
      <c r="P1011">
        <f t="shared" si="591"/>
        <v>0</v>
      </c>
      <c r="Q1011">
        <f t="shared" si="592"/>
        <v>0</v>
      </c>
      <c r="S1011">
        <f t="shared" si="593"/>
        <v>0</v>
      </c>
      <c r="T1011">
        <f t="shared" si="594"/>
        <v>0</v>
      </c>
      <c r="U1011">
        <f t="shared" si="595"/>
        <v>0</v>
      </c>
      <c r="V1011">
        <f t="shared" si="596"/>
        <v>0</v>
      </c>
      <c r="W1011">
        <f t="shared" si="597"/>
        <v>0</v>
      </c>
      <c r="X1011">
        <f t="shared" si="598"/>
        <v>0</v>
      </c>
      <c r="Y1011">
        <f t="shared" si="599"/>
        <v>0</v>
      </c>
      <c r="Z1011">
        <f t="shared" si="600"/>
        <v>0</v>
      </c>
      <c r="AA1011">
        <f t="shared" si="601"/>
        <v>0</v>
      </c>
      <c r="AB1011">
        <f t="shared" si="602"/>
        <v>0</v>
      </c>
      <c r="AC1011">
        <f t="shared" si="603"/>
        <v>0</v>
      </c>
      <c r="AD1011">
        <f t="shared" si="604"/>
        <v>0</v>
      </c>
      <c r="AF1011">
        <f t="shared" si="605"/>
        <v>0</v>
      </c>
      <c r="AG1011">
        <f t="shared" si="606"/>
        <v>0</v>
      </c>
      <c r="AH1011">
        <f t="shared" si="607"/>
        <v>0</v>
      </c>
      <c r="AI1011">
        <f t="shared" si="608"/>
        <v>0</v>
      </c>
      <c r="AJ1011">
        <f t="shared" si="609"/>
        <v>0</v>
      </c>
      <c r="AK1011">
        <f t="shared" si="610"/>
        <v>0</v>
      </c>
      <c r="AL1011">
        <f t="shared" si="611"/>
        <v>0</v>
      </c>
      <c r="AM1011">
        <f t="shared" si="612"/>
        <v>0</v>
      </c>
      <c r="AN1011">
        <f t="shared" si="613"/>
        <v>0</v>
      </c>
      <c r="AO1011">
        <f t="shared" si="614"/>
        <v>0</v>
      </c>
      <c r="AP1011">
        <f t="shared" si="615"/>
        <v>0</v>
      </c>
      <c r="AQ1011">
        <f t="shared" si="616"/>
        <v>0</v>
      </c>
    </row>
    <row r="1012" spans="6:43" x14ac:dyDescent="0.45">
      <c r="F1012">
        <f t="shared" si="581"/>
        <v>0</v>
      </c>
      <c r="G1012">
        <f t="shared" si="582"/>
        <v>0</v>
      </c>
      <c r="H1012">
        <f t="shared" si="583"/>
        <v>0</v>
      </c>
      <c r="I1012">
        <f t="shared" si="584"/>
        <v>0</v>
      </c>
      <c r="J1012">
        <f t="shared" si="585"/>
        <v>0</v>
      </c>
      <c r="K1012">
        <f t="shared" si="586"/>
        <v>0</v>
      </c>
      <c r="L1012">
        <f t="shared" si="587"/>
        <v>0</v>
      </c>
      <c r="M1012">
        <f t="shared" si="588"/>
        <v>0</v>
      </c>
      <c r="N1012">
        <f t="shared" si="589"/>
        <v>0</v>
      </c>
      <c r="O1012">
        <f t="shared" si="590"/>
        <v>0</v>
      </c>
      <c r="P1012">
        <f t="shared" si="591"/>
        <v>0</v>
      </c>
      <c r="Q1012">
        <f t="shared" si="592"/>
        <v>0</v>
      </c>
      <c r="S1012">
        <f t="shared" si="593"/>
        <v>0</v>
      </c>
      <c r="T1012">
        <f t="shared" si="594"/>
        <v>0</v>
      </c>
      <c r="U1012">
        <f t="shared" si="595"/>
        <v>0</v>
      </c>
      <c r="V1012">
        <f t="shared" si="596"/>
        <v>0</v>
      </c>
      <c r="W1012">
        <f t="shared" si="597"/>
        <v>0</v>
      </c>
      <c r="X1012">
        <f t="shared" si="598"/>
        <v>0</v>
      </c>
      <c r="Y1012">
        <f t="shared" si="599"/>
        <v>0</v>
      </c>
      <c r="Z1012">
        <f t="shared" si="600"/>
        <v>0</v>
      </c>
      <c r="AA1012">
        <f t="shared" si="601"/>
        <v>0</v>
      </c>
      <c r="AB1012">
        <f t="shared" si="602"/>
        <v>0</v>
      </c>
      <c r="AC1012">
        <f t="shared" si="603"/>
        <v>0</v>
      </c>
      <c r="AD1012">
        <f t="shared" si="604"/>
        <v>0</v>
      </c>
      <c r="AF1012">
        <f t="shared" si="605"/>
        <v>0</v>
      </c>
      <c r="AG1012">
        <f t="shared" si="606"/>
        <v>0</v>
      </c>
      <c r="AH1012">
        <f t="shared" si="607"/>
        <v>0</v>
      </c>
      <c r="AI1012">
        <f t="shared" si="608"/>
        <v>0</v>
      </c>
      <c r="AJ1012">
        <f t="shared" si="609"/>
        <v>0</v>
      </c>
      <c r="AK1012">
        <f t="shared" si="610"/>
        <v>0</v>
      </c>
      <c r="AL1012">
        <f t="shared" si="611"/>
        <v>0</v>
      </c>
      <c r="AM1012">
        <f t="shared" si="612"/>
        <v>0</v>
      </c>
      <c r="AN1012">
        <f t="shared" si="613"/>
        <v>0</v>
      </c>
      <c r="AO1012">
        <f t="shared" si="614"/>
        <v>0</v>
      </c>
      <c r="AP1012">
        <f t="shared" si="615"/>
        <v>0</v>
      </c>
      <c r="AQ1012">
        <f t="shared" si="616"/>
        <v>0</v>
      </c>
    </row>
    <row r="1013" spans="6:43" x14ac:dyDescent="0.45">
      <c r="F1013">
        <f t="shared" si="581"/>
        <v>0</v>
      </c>
      <c r="G1013">
        <f t="shared" si="582"/>
        <v>0</v>
      </c>
      <c r="H1013">
        <f t="shared" si="583"/>
        <v>0</v>
      </c>
      <c r="I1013">
        <f t="shared" si="584"/>
        <v>0</v>
      </c>
      <c r="J1013">
        <f t="shared" si="585"/>
        <v>0</v>
      </c>
      <c r="K1013">
        <f t="shared" si="586"/>
        <v>0</v>
      </c>
      <c r="L1013">
        <f t="shared" si="587"/>
        <v>0</v>
      </c>
      <c r="M1013">
        <f t="shared" si="588"/>
        <v>0</v>
      </c>
      <c r="N1013">
        <f t="shared" si="589"/>
        <v>0</v>
      </c>
      <c r="O1013">
        <f t="shared" si="590"/>
        <v>0</v>
      </c>
      <c r="P1013">
        <f t="shared" si="591"/>
        <v>0</v>
      </c>
      <c r="Q1013">
        <f t="shared" si="592"/>
        <v>0</v>
      </c>
      <c r="S1013">
        <f t="shared" si="593"/>
        <v>0</v>
      </c>
      <c r="T1013">
        <f t="shared" si="594"/>
        <v>0</v>
      </c>
      <c r="U1013">
        <f t="shared" si="595"/>
        <v>0</v>
      </c>
      <c r="V1013">
        <f t="shared" si="596"/>
        <v>0</v>
      </c>
      <c r="W1013">
        <f t="shared" si="597"/>
        <v>0</v>
      </c>
      <c r="X1013">
        <f t="shared" si="598"/>
        <v>0</v>
      </c>
      <c r="Y1013">
        <f t="shared" si="599"/>
        <v>0</v>
      </c>
      <c r="Z1013">
        <f t="shared" si="600"/>
        <v>0</v>
      </c>
      <c r="AA1013">
        <f t="shared" si="601"/>
        <v>0</v>
      </c>
      <c r="AB1013">
        <f t="shared" si="602"/>
        <v>0</v>
      </c>
      <c r="AC1013">
        <f t="shared" si="603"/>
        <v>0</v>
      </c>
      <c r="AD1013">
        <f t="shared" si="604"/>
        <v>0</v>
      </c>
      <c r="AF1013">
        <f t="shared" si="605"/>
        <v>0</v>
      </c>
      <c r="AG1013">
        <f t="shared" si="606"/>
        <v>0</v>
      </c>
      <c r="AH1013">
        <f t="shared" si="607"/>
        <v>0</v>
      </c>
      <c r="AI1013">
        <f t="shared" si="608"/>
        <v>0</v>
      </c>
      <c r="AJ1013">
        <f t="shared" si="609"/>
        <v>0</v>
      </c>
      <c r="AK1013">
        <f t="shared" si="610"/>
        <v>0</v>
      </c>
      <c r="AL1013">
        <f t="shared" si="611"/>
        <v>0</v>
      </c>
      <c r="AM1013">
        <f t="shared" si="612"/>
        <v>0</v>
      </c>
      <c r="AN1013">
        <f t="shared" si="613"/>
        <v>0</v>
      </c>
      <c r="AO1013">
        <f t="shared" si="614"/>
        <v>0</v>
      </c>
      <c r="AP1013">
        <f t="shared" si="615"/>
        <v>0</v>
      </c>
      <c r="AQ1013">
        <f t="shared" si="616"/>
        <v>0</v>
      </c>
    </row>
    <row r="1014" spans="6:43" x14ac:dyDescent="0.45">
      <c r="F1014">
        <f t="shared" si="581"/>
        <v>0</v>
      </c>
      <c r="G1014">
        <f t="shared" si="582"/>
        <v>0</v>
      </c>
      <c r="H1014">
        <f t="shared" si="583"/>
        <v>0</v>
      </c>
      <c r="I1014">
        <f t="shared" si="584"/>
        <v>0</v>
      </c>
      <c r="J1014">
        <f t="shared" si="585"/>
        <v>0</v>
      </c>
      <c r="K1014">
        <f t="shared" si="586"/>
        <v>0</v>
      </c>
      <c r="L1014">
        <f t="shared" si="587"/>
        <v>0</v>
      </c>
      <c r="M1014">
        <f t="shared" si="588"/>
        <v>0</v>
      </c>
      <c r="N1014">
        <f t="shared" si="589"/>
        <v>0</v>
      </c>
      <c r="O1014">
        <f t="shared" si="590"/>
        <v>0</v>
      </c>
      <c r="P1014">
        <f t="shared" si="591"/>
        <v>0</v>
      </c>
      <c r="Q1014">
        <f t="shared" si="592"/>
        <v>0</v>
      </c>
      <c r="S1014">
        <f t="shared" si="593"/>
        <v>0</v>
      </c>
      <c r="T1014">
        <f t="shared" si="594"/>
        <v>0</v>
      </c>
      <c r="U1014">
        <f t="shared" si="595"/>
        <v>0</v>
      </c>
      <c r="V1014">
        <f t="shared" si="596"/>
        <v>0</v>
      </c>
      <c r="W1014">
        <f t="shared" si="597"/>
        <v>0</v>
      </c>
      <c r="X1014">
        <f t="shared" si="598"/>
        <v>0</v>
      </c>
      <c r="Y1014">
        <f t="shared" si="599"/>
        <v>0</v>
      </c>
      <c r="Z1014">
        <f t="shared" si="600"/>
        <v>0</v>
      </c>
      <c r="AA1014">
        <f t="shared" si="601"/>
        <v>0</v>
      </c>
      <c r="AB1014">
        <f t="shared" si="602"/>
        <v>0</v>
      </c>
      <c r="AC1014">
        <f t="shared" si="603"/>
        <v>0</v>
      </c>
      <c r="AD1014">
        <f t="shared" si="604"/>
        <v>0</v>
      </c>
      <c r="AF1014">
        <f t="shared" si="605"/>
        <v>0</v>
      </c>
      <c r="AG1014">
        <f t="shared" si="606"/>
        <v>0</v>
      </c>
      <c r="AH1014">
        <f t="shared" si="607"/>
        <v>0</v>
      </c>
      <c r="AI1014">
        <f t="shared" si="608"/>
        <v>0</v>
      </c>
      <c r="AJ1014">
        <f t="shared" si="609"/>
        <v>0</v>
      </c>
      <c r="AK1014">
        <f t="shared" si="610"/>
        <v>0</v>
      </c>
      <c r="AL1014">
        <f t="shared" si="611"/>
        <v>0</v>
      </c>
      <c r="AM1014">
        <f t="shared" si="612"/>
        <v>0</v>
      </c>
      <c r="AN1014">
        <f t="shared" si="613"/>
        <v>0</v>
      </c>
      <c r="AO1014">
        <f t="shared" si="614"/>
        <v>0</v>
      </c>
      <c r="AP1014">
        <f t="shared" si="615"/>
        <v>0</v>
      </c>
      <c r="AQ1014">
        <f t="shared" si="616"/>
        <v>0</v>
      </c>
    </row>
    <row r="1015" spans="6:43" x14ac:dyDescent="0.45">
      <c r="F1015">
        <f t="shared" si="581"/>
        <v>0</v>
      </c>
      <c r="G1015">
        <f t="shared" si="582"/>
        <v>0</v>
      </c>
      <c r="H1015">
        <f t="shared" si="583"/>
        <v>0</v>
      </c>
      <c r="I1015">
        <f t="shared" si="584"/>
        <v>0</v>
      </c>
      <c r="J1015">
        <f t="shared" si="585"/>
        <v>0</v>
      </c>
      <c r="K1015">
        <f t="shared" si="586"/>
        <v>0</v>
      </c>
      <c r="L1015">
        <f t="shared" si="587"/>
        <v>0</v>
      </c>
      <c r="M1015">
        <f t="shared" si="588"/>
        <v>0</v>
      </c>
      <c r="N1015">
        <f t="shared" si="589"/>
        <v>0</v>
      </c>
      <c r="O1015">
        <f t="shared" si="590"/>
        <v>0</v>
      </c>
      <c r="P1015">
        <f t="shared" si="591"/>
        <v>0</v>
      </c>
      <c r="Q1015">
        <f t="shared" si="592"/>
        <v>0</v>
      </c>
      <c r="S1015">
        <f t="shared" si="593"/>
        <v>0</v>
      </c>
      <c r="T1015">
        <f t="shared" si="594"/>
        <v>0</v>
      </c>
      <c r="U1015">
        <f t="shared" si="595"/>
        <v>0</v>
      </c>
      <c r="V1015">
        <f t="shared" si="596"/>
        <v>0</v>
      </c>
      <c r="W1015">
        <f t="shared" si="597"/>
        <v>0</v>
      </c>
      <c r="X1015">
        <f t="shared" si="598"/>
        <v>0</v>
      </c>
      <c r="Y1015">
        <f t="shared" si="599"/>
        <v>0</v>
      </c>
      <c r="Z1015">
        <f t="shared" si="600"/>
        <v>0</v>
      </c>
      <c r="AA1015">
        <f t="shared" si="601"/>
        <v>0</v>
      </c>
      <c r="AB1015">
        <f t="shared" si="602"/>
        <v>0</v>
      </c>
      <c r="AC1015">
        <f t="shared" si="603"/>
        <v>0</v>
      </c>
      <c r="AD1015">
        <f t="shared" si="604"/>
        <v>0</v>
      </c>
      <c r="AF1015">
        <f t="shared" si="605"/>
        <v>0</v>
      </c>
      <c r="AG1015">
        <f t="shared" si="606"/>
        <v>0</v>
      </c>
      <c r="AH1015">
        <f t="shared" si="607"/>
        <v>0</v>
      </c>
      <c r="AI1015">
        <f t="shared" si="608"/>
        <v>0</v>
      </c>
      <c r="AJ1015">
        <f t="shared" si="609"/>
        <v>0</v>
      </c>
      <c r="AK1015">
        <f t="shared" si="610"/>
        <v>0</v>
      </c>
      <c r="AL1015">
        <f t="shared" si="611"/>
        <v>0</v>
      </c>
      <c r="AM1015">
        <f t="shared" si="612"/>
        <v>0</v>
      </c>
      <c r="AN1015">
        <f t="shared" si="613"/>
        <v>0</v>
      </c>
      <c r="AO1015">
        <f t="shared" si="614"/>
        <v>0</v>
      </c>
      <c r="AP1015">
        <f t="shared" si="615"/>
        <v>0</v>
      </c>
      <c r="AQ1015">
        <f t="shared" si="616"/>
        <v>0</v>
      </c>
    </row>
    <row r="1016" spans="6:43" x14ac:dyDescent="0.45">
      <c r="F1016">
        <f t="shared" si="581"/>
        <v>0</v>
      </c>
      <c r="G1016">
        <f t="shared" si="582"/>
        <v>0</v>
      </c>
      <c r="H1016">
        <f t="shared" si="583"/>
        <v>0</v>
      </c>
      <c r="I1016">
        <f t="shared" si="584"/>
        <v>0</v>
      </c>
      <c r="J1016">
        <f t="shared" si="585"/>
        <v>0</v>
      </c>
      <c r="K1016">
        <f t="shared" si="586"/>
        <v>0</v>
      </c>
      <c r="L1016">
        <f t="shared" si="587"/>
        <v>0</v>
      </c>
      <c r="M1016">
        <f t="shared" si="588"/>
        <v>0</v>
      </c>
      <c r="N1016">
        <f t="shared" si="589"/>
        <v>0</v>
      </c>
      <c r="O1016">
        <f t="shared" si="590"/>
        <v>0</v>
      </c>
      <c r="P1016">
        <f t="shared" si="591"/>
        <v>0</v>
      </c>
      <c r="Q1016">
        <f t="shared" si="592"/>
        <v>0</v>
      </c>
      <c r="S1016">
        <f t="shared" si="593"/>
        <v>0</v>
      </c>
      <c r="T1016">
        <f t="shared" si="594"/>
        <v>0</v>
      </c>
      <c r="U1016">
        <f t="shared" si="595"/>
        <v>0</v>
      </c>
      <c r="V1016">
        <f t="shared" si="596"/>
        <v>0</v>
      </c>
      <c r="W1016">
        <f t="shared" si="597"/>
        <v>0</v>
      </c>
      <c r="X1016">
        <f t="shared" si="598"/>
        <v>0</v>
      </c>
      <c r="Y1016">
        <f t="shared" si="599"/>
        <v>0</v>
      </c>
      <c r="Z1016">
        <f t="shared" si="600"/>
        <v>0</v>
      </c>
      <c r="AA1016">
        <f t="shared" si="601"/>
        <v>0</v>
      </c>
      <c r="AB1016">
        <f t="shared" si="602"/>
        <v>0</v>
      </c>
      <c r="AC1016">
        <f t="shared" si="603"/>
        <v>0</v>
      </c>
      <c r="AD1016">
        <f t="shared" si="604"/>
        <v>0</v>
      </c>
      <c r="AF1016">
        <f t="shared" si="605"/>
        <v>0</v>
      </c>
      <c r="AG1016">
        <f t="shared" si="606"/>
        <v>0</v>
      </c>
      <c r="AH1016">
        <f t="shared" si="607"/>
        <v>0</v>
      </c>
      <c r="AI1016">
        <f t="shared" si="608"/>
        <v>0</v>
      </c>
      <c r="AJ1016">
        <f t="shared" si="609"/>
        <v>0</v>
      </c>
      <c r="AK1016">
        <f t="shared" si="610"/>
        <v>0</v>
      </c>
      <c r="AL1016">
        <f t="shared" si="611"/>
        <v>0</v>
      </c>
      <c r="AM1016">
        <f t="shared" si="612"/>
        <v>0</v>
      </c>
      <c r="AN1016">
        <f t="shared" si="613"/>
        <v>0</v>
      </c>
      <c r="AO1016">
        <f t="shared" si="614"/>
        <v>0</v>
      </c>
      <c r="AP1016">
        <f t="shared" si="615"/>
        <v>0</v>
      </c>
      <c r="AQ1016">
        <f t="shared" si="616"/>
        <v>0</v>
      </c>
    </row>
    <row r="1017" spans="6:43" x14ac:dyDescent="0.45">
      <c r="F1017">
        <f t="shared" si="581"/>
        <v>0</v>
      </c>
      <c r="G1017">
        <f t="shared" si="582"/>
        <v>0</v>
      </c>
      <c r="H1017">
        <f t="shared" si="583"/>
        <v>0</v>
      </c>
      <c r="I1017">
        <f t="shared" si="584"/>
        <v>0</v>
      </c>
      <c r="J1017">
        <f t="shared" si="585"/>
        <v>0</v>
      </c>
      <c r="K1017">
        <f t="shared" si="586"/>
        <v>0</v>
      </c>
      <c r="L1017">
        <f t="shared" si="587"/>
        <v>0</v>
      </c>
      <c r="M1017">
        <f t="shared" si="588"/>
        <v>0</v>
      </c>
      <c r="N1017">
        <f t="shared" si="589"/>
        <v>0</v>
      </c>
      <c r="O1017">
        <f t="shared" si="590"/>
        <v>0</v>
      </c>
      <c r="P1017">
        <f t="shared" si="591"/>
        <v>0</v>
      </c>
      <c r="Q1017">
        <f t="shared" si="592"/>
        <v>0</v>
      </c>
      <c r="S1017">
        <f t="shared" si="593"/>
        <v>0</v>
      </c>
      <c r="T1017">
        <f t="shared" si="594"/>
        <v>0</v>
      </c>
      <c r="U1017">
        <f t="shared" si="595"/>
        <v>0</v>
      </c>
      <c r="V1017">
        <f t="shared" si="596"/>
        <v>0</v>
      </c>
      <c r="W1017">
        <f t="shared" si="597"/>
        <v>0</v>
      </c>
      <c r="X1017">
        <f t="shared" si="598"/>
        <v>0</v>
      </c>
      <c r="Y1017">
        <f t="shared" si="599"/>
        <v>0</v>
      </c>
      <c r="Z1017">
        <f t="shared" si="600"/>
        <v>0</v>
      </c>
      <c r="AA1017">
        <f t="shared" si="601"/>
        <v>0</v>
      </c>
      <c r="AB1017">
        <f t="shared" si="602"/>
        <v>0</v>
      </c>
      <c r="AC1017">
        <f t="shared" si="603"/>
        <v>0</v>
      </c>
      <c r="AD1017">
        <f t="shared" si="604"/>
        <v>0</v>
      </c>
      <c r="AF1017">
        <f t="shared" si="605"/>
        <v>0</v>
      </c>
      <c r="AG1017">
        <f t="shared" si="606"/>
        <v>0</v>
      </c>
      <c r="AH1017">
        <f t="shared" si="607"/>
        <v>0</v>
      </c>
      <c r="AI1017">
        <f t="shared" si="608"/>
        <v>0</v>
      </c>
      <c r="AJ1017">
        <f t="shared" si="609"/>
        <v>0</v>
      </c>
      <c r="AK1017">
        <f t="shared" si="610"/>
        <v>0</v>
      </c>
      <c r="AL1017">
        <f t="shared" si="611"/>
        <v>0</v>
      </c>
      <c r="AM1017">
        <f t="shared" si="612"/>
        <v>0</v>
      </c>
      <c r="AN1017">
        <f t="shared" si="613"/>
        <v>0</v>
      </c>
      <c r="AO1017">
        <f t="shared" si="614"/>
        <v>0</v>
      </c>
      <c r="AP1017">
        <f t="shared" si="615"/>
        <v>0</v>
      </c>
      <c r="AQ1017">
        <f t="shared" si="616"/>
        <v>0</v>
      </c>
    </row>
    <row r="1018" spans="6:43" x14ac:dyDescent="0.45">
      <c r="F1018">
        <f t="shared" si="581"/>
        <v>0</v>
      </c>
      <c r="G1018">
        <f t="shared" si="582"/>
        <v>0</v>
      </c>
      <c r="H1018">
        <f t="shared" si="583"/>
        <v>0</v>
      </c>
      <c r="I1018">
        <f t="shared" si="584"/>
        <v>0</v>
      </c>
      <c r="J1018">
        <f t="shared" si="585"/>
        <v>0</v>
      </c>
      <c r="K1018">
        <f t="shared" si="586"/>
        <v>0</v>
      </c>
      <c r="L1018">
        <f t="shared" si="587"/>
        <v>0</v>
      </c>
      <c r="M1018">
        <f t="shared" si="588"/>
        <v>0</v>
      </c>
      <c r="N1018">
        <f t="shared" si="589"/>
        <v>0</v>
      </c>
      <c r="O1018">
        <f t="shared" si="590"/>
        <v>0</v>
      </c>
      <c r="P1018">
        <f t="shared" si="591"/>
        <v>0</v>
      </c>
      <c r="Q1018">
        <f t="shared" si="592"/>
        <v>0</v>
      </c>
      <c r="S1018">
        <f t="shared" si="593"/>
        <v>0</v>
      </c>
      <c r="T1018">
        <f t="shared" si="594"/>
        <v>0</v>
      </c>
      <c r="U1018">
        <f t="shared" si="595"/>
        <v>0</v>
      </c>
      <c r="V1018">
        <f t="shared" si="596"/>
        <v>0</v>
      </c>
      <c r="W1018">
        <f t="shared" si="597"/>
        <v>0</v>
      </c>
      <c r="X1018">
        <f t="shared" si="598"/>
        <v>0</v>
      </c>
      <c r="Y1018">
        <f t="shared" si="599"/>
        <v>0</v>
      </c>
      <c r="Z1018">
        <f t="shared" si="600"/>
        <v>0</v>
      </c>
      <c r="AA1018">
        <f t="shared" si="601"/>
        <v>0</v>
      </c>
      <c r="AB1018">
        <f t="shared" si="602"/>
        <v>0</v>
      </c>
      <c r="AC1018">
        <f t="shared" si="603"/>
        <v>0</v>
      </c>
      <c r="AD1018">
        <f t="shared" si="604"/>
        <v>0</v>
      </c>
      <c r="AF1018">
        <f t="shared" si="605"/>
        <v>0</v>
      </c>
      <c r="AG1018">
        <f t="shared" si="606"/>
        <v>0</v>
      </c>
      <c r="AH1018">
        <f t="shared" si="607"/>
        <v>0</v>
      </c>
      <c r="AI1018">
        <f t="shared" si="608"/>
        <v>0</v>
      </c>
      <c r="AJ1018">
        <f t="shared" si="609"/>
        <v>0</v>
      </c>
      <c r="AK1018">
        <f t="shared" si="610"/>
        <v>0</v>
      </c>
      <c r="AL1018">
        <f t="shared" si="611"/>
        <v>0</v>
      </c>
      <c r="AM1018">
        <f t="shared" si="612"/>
        <v>0</v>
      </c>
      <c r="AN1018">
        <f t="shared" si="613"/>
        <v>0</v>
      </c>
      <c r="AO1018">
        <f t="shared" si="614"/>
        <v>0</v>
      </c>
      <c r="AP1018">
        <f t="shared" si="615"/>
        <v>0</v>
      </c>
      <c r="AQ1018">
        <f t="shared" si="616"/>
        <v>0</v>
      </c>
    </row>
    <row r="1019" spans="6:43" x14ac:dyDescent="0.45">
      <c r="F1019">
        <f t="shared" si="581"/>
        <v>0</v>
      </c>
      <c r="G1019">
        <f t="shared" si="582"/>
        <v>0</v>
      </c>
      <c r="H1019">
        <f t="shared" si="583"/>
        <v>0</v>
      </c>
      <c r="I1019">
        <f t="shared" si="584"/>
        <v>0</v>
      </c>
      <c r="J1019">
        <f t="shared" si="585"/>
        <v>0</v>
      </c>
      <c r="K1019">
        <f t="shared" si="586"/>
        <v>0</v>
      </c>
      <c r="L1019">
        <f t="shared" si="587"/>
        <v>0</v>
      </c>
      <c r="M1019">
        <f t="shared" si="588"/>
        <v>0</v>
      </c>
      <c r="N1019">
        <f t="shared" si="589"/>
        <v>0</v>
      </c>
      <c r="O1019">
        <f t="shared" si="590"/>
        <v>0</v>
      </c>
      <c r="P1019">
        <f t="shared" si="591"/>
        <v>0</v>
      </c>
      <c r="Q1019">
        <f t="shared" si="592"/>
        <v>0</v>
      </c>
      <c r="S1019">
        <f t="shared" si="593"/>
        <v>0</v>
      </c>
      <c r="T1019">
        <f t="shared" si="594"/>
        <v>0</v>
      </c>
      <c r="U1019">
        <f t="shared" si="595"/>
        <v>0</v>
      </c>
      <c r="V1019">
        <f t="shared" si="596"/>
        <v>0</v>
      </c>
      <c r="W1019">
        <f t="shared" si="597"/>
        <v>0</v>
      </c>
      <c r="X1019">
        <f t="shared" si="598"/>
        <v>0</v>
      </c>
      <c r="Y1019">
        <f t="shared" si="599"/>
        <v>0</v>
      </c>
      <c r="Z1019">
        <f t="shared" si="600"/>
        <v>0</v>
      </c>
      <c r="AA1019">
        <f t="shared" si="601"/>
        <v>0</v>
      </c>
      <c r="AB1019">
        <f t="shared" si="602"/>
        <v>0</v>
      </c>
      <c r="AC1019">
        <f t="shared" si="603"/>
        <v>0</v>
      </c>
      <c r="AD1019">
        <f t="shared" si="604"/>
        <v>0</v>
      </c>
      <c r="AF1019">
        <f t="shared" si="605"/>
        <v>0</v>
      </c>
      <c r="AG1019">
        <f t="shared" si="606"/>
        <v>0</v>
      </c>
      <c r="AH1019">
        <f t="shared" si="607"/>
        <v>0</v>
      </c>
      <c r="AI1019">
        <f t="shared" si="608"/>
        <v>0</v>
      </c>
      <c r="AJ1019">
        <f t="shared" si="609"/>
        <v>0</v>
      </c>
      <c r="AK1019">
        <f t="shared" si="610"/>
        <v>0</v>
      </c>
      <c r="AL1019">
        <f t="shared" si="611"/>
        <v>0</v>
      </c>
      <c r="AM1019">
        <f t="shared" si="612"/>
        <v>0</v>
      </c>
      <c r="AN1019">
        <f t="shared" si="613"/>
        <v>0</v>
      </c>
      <c r="AO1019">
        <f t="shared" si="614"/>
        <v>0</v>
      </c>
      <c r="AP1019">
        <f t="shared" si="615"/>
        <v>0</v>
      </c>
      <c r="AQ1019">
        <f t="shared" si="616"/>
        <v>0</v>
      </c>
    </row>
    <row r="1020" spans="6:43" x14ac:dyDescent="0.45">
      <c r="F1020">
        <f t="shared" si="581"/>
        <v>0</v>
      </c>
      <c r="G1020">
        <f t="shared" si="582"/>
        <v>0</v>
      </c>
      <c r="H1020">
        <f t="shared" si="583"/>
        <v>0</v>
      </c>
      <c r="I1020">
        <f t="shared" si="584"/>
        <v>0</v>
      </c>
      <c r="J1020">
        <f t="shared" si="585"/>
        <v>0</v>
      </c>
      <c r="K1020">
        <f t="shared" si="586"/>
        <v>0</v>
      </c>
      <c r="L1020">
        <f t="shared" si="587"/>
        <v>0</v>
      </c>
      <c r="M1020">
        <f t="shared" si="588"/>
        <v>0</v>
      </c>
      <c r="N1020">
        <f t="shared" si="589"/>
        <v>0</v>
      </c>
      <c r="O1020">
        <f t="shared" si="590"/>
        <v>0</v>
      </c>
      <c r="P1020">
        <f t="shared" si="591"/>
        <v>0</v>
      </c>
      <c r="Q1020">
        <f t="shared" si="592"/>
        <v>0</v>
      </c>
      <c r="S1020">
        <f t="shared" si="593"/>
        <v>0</v>
      </c>
      <c r="T1020">
        <f t="shared" si="594"/>
        <v>0</v>
      </c>
      <c r="U1020">
        <f t="shared" si="595"/>
        <v>0</v>
      </c>
      <c r="V1020">
        <f t="shared" si="596"/>
        <v>0</v>
      </c>
      <c r="W1020">
        <f t="shared" si="597"/>
        <v>0</v>
      </c>
      <c r="X1020">
        <f t="shared" si="598"/>
        <v>0</v>
      </c>
      <c r="Y1020">
        <f t="shared" si="599"/>
        <v>0</v>
      </c>
      <c r="Z1020">
        <f t="shared" si="600"/>
        <v>0</v>
      </c>
      <c r="AA1020">
        <f t="shared" si="601"/>
        <v>0</v>
      </c>
      <c r="AB1020">
        <f t="shared" si="602"/>
        <v>0</v>
      </c>
      <c r="AC1020">
        <f t="shared" si="603"/>
        <v>0</v>
      </c>
      <c r="AD1020">
        <f t="shared" si="604"/>
        <v>0</v>
      </c>
      <c r="AF1020">
        <f t="shared" si="605"/>
        <v>0</v>
      </c>
      <c r="AG1020">
        <f t="shared" si="606"/>
        <v>0</v>
      </c>
      <c r="AH1020">
        <f t="shared" si="607"/>
        <v>0</v>
      </c>
      <c r="AI1020">
        <f t="shared" si="608"/>
        <v>0</v>
      </c>
      <c r="AJ1020">
        <f t="shared" si="609"/>
        <v>0</v>
      </c>
      <c r="AK1020">
        <f t="shared" si="610"/>
        <v>0</v>
      </c>
      <c r="AL1020">
        <f t="shared" si="611"/>
        <v>0</v>
      </c>
      <c r="AM1020">
        <f t="shared" si="612"/>
        <v>0</v>
      </c>
      <c r="AN1020">
        <f t="shared" si="613"/>
        <v>0</v>
      </c>
      <c r="AO1020">
        <f t="shared" si="614"/>
        <v>0</v>
      </c>
      <c r="AP1020">
        <f t="shared" si="615"/>
        <v>0</v>
      </c>
      <c r="AQ1020">
        <f t="shared" si="616"/>
        <v>0</v>
      </c>
    </row>
    <row r="1021" spans="6:43" x14ac:dyDescent="0.45">
      <c r="F1021">
        <f t="shared" si="581"/>
        <v>0</v>
      </c>
      <c r="G1021">
        <f t="shared" si="582"/>
        <v>0</v>
      </c>
      <c r="H1021">
        <f t="shared" si="583"/>
        <v>0</v>
      </c>
      <c r="I1021">
        <f t="shared" si="584"/>
        <v>0</v>
      </c>
      <c r="J1021">
        <f t="shared" si="585"/>
        <v>0</v>
      </c>
      <c r="K1021">
        <f t="shared" si="586"/>
        <v>0</v>
      </c>
      <c r="L1021">
        <f t="shared" si="587"/>
        <v>0</v>
      </c>
      <c r="M1021">
        <f t="shared" si="588"/>
        <v>0</v>
      </c>
      <c r="N1021">
        <f t="shared" si="589"/>
        <v>0</v>
      </c>
      <c r="O1021">
        <f t="shared" si="590"/>
        <v>0</v>
      </c>
      <c r="P1021">
        <f t="shared" si="591"/>
        <v>0</v>
      </c>
      <c r="Q1021">
        <f t="shared" si="592"/>
        <v>0</v>
      </c>
      <c r="S1021">
        <f t="shared" si="593"/>
        <v>0</v>
      </c>
      <c r="T1021">
        <f t="shared" si="594"/>
        <v>0</v>
      </c>
      <c r="U1021">
        <f t="shared" si="595"/>
        <v>0</v>
      </c>
      <c r="V1021">
        <f t="shared" si="596"/>
        <v>0</v>
      </c>
      <c r="W1021">
        <f t="shared" si="597"/>
        <v>0</v>
      </c>
      <c r="X1021">
        <f t="shared" si="598"/>
        <v>0</v>
      </c>
      <c r="Y1021">
        <f t="shared" si="599"/>
        <v>0</v>
      </c>
      <c r="Z1021">
        <f t="shared" si="600"/>
        <v>0</v>
      </c>
      <c r="AA1021">
        <f t="shared" si="601"/>
        <v>0</v>
      </c>
      <c r="AB1021">
        <f t="shared" si="602"/>
        <v>0</v>
      </c>
      <c r="AC1021">
        <f t="shared" si="603"/>
        <v>0</v>
      </c>
      <c r="AD1021">
        <f t="shared" si="604"/>
        <v>0</v>
      </c>
      <c r="AF1021">
        <f t="shared" si="605"/>
        <v>0</v>
      </c>
      <c r="AG1021">
        <f t="shared" si="606"/>
        <v>0</v>
      </c>
      <c r="AH1021">
        <f t="shared" si="607"/>
        <v>0</v>
      </c>
      <c r="AI1021">
        <f t="shared" si="608"/>
        <v>0</v>
      </c>
      <c r="AJ1021">
        <f t="shared" si="609"/>
        <v>0</v>
      </c>
      <c r="AK1021">
        <f t="shared" si="610"/>
        <v>0</v>
      </c>
      <c r="AL1021">
        <f t="shared" si="611"/>
        <v>0</v>
      </c>
      <c r="AM1021">
        <f t="shared" si="612"/>
        <v>0</v>
      </c>
      <c r="AN1021">
        <f t="shared" si="613"/>
        <v>0</v>
      </c>
      <c r="AO1021">
        <f t="shared" si="614"/>
        <v>0</v>
      </c>
      <c r="AP1021">
        <f t="shared" si="615"/>
        <v>0</v>
      </c>
      <c r="AQ1021">
        <f t="shared" si="616"/>
        <v>0</v>
      </c>
    </row>
    <row r="1022" spans="6:43" x14ac:dyDescent="0.45">
      <c r="F1022">
        <f t="shared" si="581"/>
        <v>0</v>
      </c>
      <c r="G1022">
        <f t="shared" si="582"/>
        <v>0</v>
      </c>
      <c r="H1022">
        <f t="shared" si="583"/>
        <v>0</v>
      </c>
      <c r="I1022">
        <f t="shared" si="584"/>
        <v>0</v>
      </c>
      <c r="J1022">
        <f t="shared" si="585"/>
        <v>0</v>
      </c>
      <c r="K1022">
        <f t="shared" si="586"/>
        <v>0</v>
      </c>
      <c r="L1022">
        <f t="shared" si="587"/>
        <v>0</v>
      </c>
      <c r="M1022">
        <f t="shared" si="588"/>
        <v>0</v>
      </c>
      <c r="N1022">
        <f t="shared" si="589"/>
        <v>0</v>
      </c>
      <c r="O1022">
        <f t="shared" si="590"/>
        <v>0</v>
      </c>
      <c r="P1022">
        <f t="shared" si="591"/>
        <v>0</v>
      </c>
      <c r="Q1022">
        <f t="shared" si="592"/>
        <v>0</v>
      </c>
      <c r="S1022">
        <f t="shared" si="593"/>
        <v>0</v>
      </c>
      <c r="T1022">
        <f t="shared" si="594"/>
        <v>0</v>
      </c>
      <c r="U1022">
        <f t="shared" si="595"/>
        <v>0</v>
      </c>
      <c r="V1022">
        <f t="shared" si="596"/>
        <v>0</v>
      </c>
      <c r="W1022">
        <f t="shared" si="597"/>
        <v>0</v>
      </c>
      <c r="X1022">
        <f t="shared" si="598"/>
        <v>0</v>
      </c>
      <c r="Y1022">
        <f t="shared" si="599"/>
        <v>0</v>
      </c>
      <c r="Z1022">
        <f t="shared" si="600"/>
        <v>0</v>
      </c>
      <c r="AA1022">
        <f t="shared" si="601"/>
        <v>0</v>
      </c>
      <c r="AB1022">
        <f t="shared" si="602"/>
        <v>0</v>
      </c>
      <c r="AC1022">
        <f t="shared" si="603"/>
        <v>0</v>
      </c>
      <c r="AD1022">
        <f t="shared" si="604"/>
        <v>0</v>
      </c>
      <c r="AF1022">
        <f t="shared" si="605"/>
        <v>0</v>
      </c>
      <c r="AG1022">
        <f t="shared" si="606"/>
        <v>0</v>
      </c>
      <c r="AH1022">
        <f t="shared" si="607"/>
        <v>0</v>
      </c>
      <c r="AI1022">
        <f t="shared" si="608"/>
        <v>0</v>
      </c>
      <c r="AJ1022">
        <f t="shared" si="609"/>
        <v>0</v>
      </c>
      <c r="AK1022">
        <f t="shared" si="610"/>
        <v>0</v>
      </c>
      <c r="AL1022">
        <f t="shared" si="611"/>
        <v>0</v>
      </c>
      <c r="AM1022">
        <f t="shared" si="612"/>
        <v>0</v>
      </c>
      <c r="AN1022">
        <f t="shared" si="613"/>
        <v>0</v>
      </c>
      <c r="AO1022">
        <f t="shared" si="614"/>
        <v>0</v>
      </c>
      <c r="AP1022">
        <f t="shared" si="615"/>
        <v>0</v>
      </c>
      <c r="AQ1022">
        <f t="shared" si="616"/>
        <v>0</v>
      </c>
    </row>
    <row r="1023" spans="6:43" x14ac:dyDescent="0.45">
      <c r="F1023">
        <f t="shared" si="581"/>
        <v>0</v>
      </c>
      <c r="G1023">
        <f t="shared" si="582"/>
        <v>0</v>
      </c>
      <c r="H1023">
        <f t="shared" si="583"/>
        <v>0</v>
      </c>
      <c r="I1023">
        <f t="shared" si="584"/>
        <v>0</v>
      </c>
      <c r="J1023">
        <f t="shared" si="585"/>
        <v>0</v>
      </c>
      <c r="K1023">
        <f t="shared" si="586"/>
        <v>0</v>
      </c>
      <c r="L1023">
        <f t="shared" si="587"/>
        <v>0</v>
      </c>
      <c r="M1023">
        <f t="shared" si="588"/>
        <v>0</v>
      </c>
      <c r="N1023">
        <f t="shared" si="589"/>
        <v>0</v>
      </c>
      <c r="O1023">
        <f t="shared" si="590"/>
        <v>0</v>
      </c>
      <c r="P1023">
        <f t="shared" si="591"/>
        <v>0</v>
      </c>
      <c r="Q1023">
        <f t="shared" si="592"/>
        <v>0</v>
      </c>
      <c r="S1023">
        <f t="shared" si="593"/>
        <v>0</v>
      </c>
      <c r="T1023">
        <f t="shared" si="594"/>
        <v>0</v>
      </c>
      <c r="U1023">
        <f t="shared" si="595"/>
        <v>0</v>
      </c>
      <c r="V1023">
        <f t="shared" si="596"/>
        <v>0</v>
      </c>
      <c r="W1023">
        <f t="shared" si="597"/>
        <v>0</v>
      </c>
      <c r="X1023">
        <f t="shared" si="598"/>
        <v>0</v>
      </c>
      <c r="Y1023">
        <f t="shared" si="599"/>
        <v>0</v>
      </c>
      <c r="Z1023">
        <f t="shared" si="600"/>
        <v>0</v>
      </c>
      <c r="AA1023">
        <f t="shared" si="601"/>
        <v>0</v>
      </c>
      <c r="AB1023">
        <f t="shared" si="602"/>
        <v>0</v>
      </c>
      <c r="AC1023">
        <f t="shared" si="603"/>
        <v>0</v>
      </c>
      <c r="AD1023">
        <f t="shared" si="604"/>
        <v>0</v>
      </c>
      <c r="AF1023">
        <f t="shared" si="605"/>
        <v>0</v>
      </c>
      <c r="AG1023">
        <f t="shared" si="606"/>
        <v>0</v>
      </c>
      <c r="AH1023">
        <f t="shared" si="607"/>
        <v>0</v>
      </c>
      <c r="AI1023">
        <f t="shared" si="608"/>
        <v>0</v>
      </c>
      <c r="AJ1023">
        <f t="shared" si="609"/>
        <v>0</v>
      </c>
      <c r="AK1023">
        <f t="shared" si="610"/>
        <v>0</v>
      </c>
      <c r="AL1023">
        <f t="shared" si="611"/>
        <v>0</v>
      </c>
      <c r="AM1023">
        <f t="shared" si="612"/>
        <v>0</v>
      </c>
      <c r="AN1023">
        <f t="shared" si="613"/>
        <v>0</v>
      </c>
      <c r="AO1023">
        <f t="shared" si="614"/>
        <v>0</v>
      </c>
      <c r="AP1023">
        <f t="shared" si="615"/>
        <v>0</v>
      </c>
      <c r="AQ1023">
        <f t="shared" si="616"/>
        <v>0</v>
      </c>
    </row>
    <row r="1024" spans="6:43" x14ac:dyDescent="0.45">
      <c r="F1024">
        <f t="shared" si="581"/>
        <v>0</v>
      </c>
      <c r="G1024">
        <f t="shared" si="582"/>
        <v>0</v>
      </c>
      <c r="H1024">
        <f t="shared" si="583"/>
        <v>0</v>
      </c>
      <c r="I1024">
        <f t="shared" si="584"/>
        <v>0</v>
      </c>
      <c r="J1024">
        <f t="shared" si="585"/>
        <v>0</v>
      </c>
      <c r="K1024">
        <f t="shared" si="586"/>
        <v>0</v>
      </c>
      <c r="L1024">
        <f t="shared" si="587"/>
        <v>0</v>
      </c>
      <c r="M1024">
        <f t="shared" si="588"/>
        <v>0</v>
      </c>
      <c r="N1024">
        <f t="shared" si="589"/>
        <v>0</v>
      </c>
      <c r="O1024">
        <f t="shared" si="590"/>
        <v>0</v>
      </c>
      <c r="P1024">
        <f t="shared" si="591"/>
        <v>0</v>
      </c>
      <c r="Q1024">
        <f t="shared" si="592"/>
        <v>0</v>
      </c>
      <c r="S1024">
        <f t="shared" si="593"/>
        <v>0</v>
      </c>
      <c r="T1024">
        <f t="shared" si="594"/>
        <v>0</v>
      </c>
      <c r="U1024">
        <f t="shared" si="595"/>
        <v>0</v>
      </c>
      <c r="V1024">
        <f t="shared" si="596"/>
        <v>0</v>
      </c>
      <c r="W1024">
        <f t="shared" si="597"/>
        <v>0</v>
      </c>
      <c r="X1024">
        <f t="shared" si="598"/>
        <v>0</v>
      </c>
      <c r="Y1024">
        <f t="shared" si="599"/>
        <v>0</v>
      </c>
      <c r="Z1024">
        <f t="shared" si="600"/>
        <v>0</v>
      </c>
      <c r="AA1024">
        <f t="shared" si="601"/>
        <v>0</v>
      </c>
      <c r="AB1024">
        <f t="shared" si="602"/>
        <v>0</v>
      </c>
      <c r="AC1024">
        <f t="shared" si="603"/>
        <v>0</v>
      </c>
      <c r="AD1024">
        <f t="shared" si="604"/>
        <v>0</v>
      </c>
      <c r="AF1024">
        <f t="shared" si="605"/>
        <v>0</v>
      </c>
      <c r="AG1024">
        <f t="shared" si="606"/>
        <v>0</v>
      </c>
      <c r="AH1024">
        <f t="shared" si="607"/>
        <v>0</v>
      </c>
      <c r="AI1024">
        <f t="shared" si="608"/>
        <v>0</v>
      </c>
      <c r="AJ1024">
        <f t="shared" si="609"/>
        <v>0</v>
      </c>
      <c r="AK1024">
        <f t="shared" si="610"/>
        <v>0</v>
      </c>
      <c r="AL1024">
        <f t="shared" si="611"/>
        <v>0</v>
      </c>
      <c r="AM1024">
        <f t="shared" si="612"/>
        <v>0</v>
      </c>
      <c r="AN1024">
        <f t="shared" si="613"/>
        <v>0</v>
      </c>
      <c r="AO1024">
        <f t="shared" si="614"/>
        <v>0</v>
      </c>
      <c r="AP1024">
        <f t="shared" si="615"/>
        <v>0</v>
      </c>
      <c r="AQ1024">
        <f t="shared" si="616"/>
        <v>0</v>
      </c>
    </row>
    <row r="1025" spans="6:43" x14ac:dyDescent="0.45">
      <c r="F1025">
        <f t="shared" si="581"/>
        <v>0</v>
      </c>
      <c r="G1025">
        <f t="shared" si="582"/>
        <v>0</v>
      </c>
      <c r="H1025">
        <f t="shared" si="583"/>
        <v>0</v>
      </c>
      <c r="I1025">
        <f t="shared" si="584"/>
        <v>0</v>
      </c>
      <c r="J1025">
        <f t="shared" si="585"/>
        <v>0</v>
      </c>
      <c r="K1025">
        <f t="shared" si="586"/>
        <v>0</v>
      </c>
      <c r="L1025">
        <f t="shared" si="587"/>
        <v>0</v>
      </c>
      <c r="M1025">
        <f t="shared" si="588"/>
        <v>0</v>
      </c>
      <c r="N1025">
        <f t="shared" si="589"/>
        <v>0</v>
      </c>
      <c r="O1025">
        <f t="shared" si="590"/>
        <v>0</v>
      </c>
      <c r="P1025">
        <f t="shared" si="591"/>
        <v>0</v>
      </c>
      <c r="Q1025">
        <f t="shared" si="592"/>
        <v>0</v>
      </c>
      <c r="S1025">
        <f t="shared" si="593"/>
        <v>0</v>
      </c>
      <c r="T1025">
        <f t="shared" si="594"/>
        <v>0</v>
      </c>
      <c r="U1025">
        <f t="shared" si="595"/>
        <v>0</v>
      </c>
      <c r="V1025">
        <f t="shared" si="596"/>
        <v>0</v>
      </c>
      <c r="W1025">
        <f t="shared" si="597"/>
        <v>0</v>
      </c>
      <c r="X1025">
        <f t="shared" si="598"/>
        <v>0</v>
      </c>
      <c r="Y1025">
        <f t="shared" si="599"/>
        <v>0</v>
      </c>
      <c r="Z1025">
        <f t="shared" si="600"/>
        <v>0</v>
      </c>
      <c r="AA1025">
        <f t="shared" si="601"/>
        <v>0</v>
      </c>
      <c r="AB1025">
        <f t="shared" si="602"/>
        <v>0</v>
      </c>
      <c r="AC1025">
        <f t="shared" si="603"/>
        <v>0</v>
      </c>
      <c r="AD1025">
        <f t="shared" si="604"/>
        <v>0</v>
      </c>
      <c r="AF1025">
        <f t="shared" si="605"/>
        <v>0</v>
      </c>
      <c r="AG1025">
        <f t="shared" si="606"/>
        <v>0</v>
      </c>
      <c r="AH1025">
        <f t="shared" si="607"/>
        <v>0</v>
      </c>
      <c r="AI1025">
        <f t="shared" si="608"/>
        <v>0</v>
      </c>
      <c r="AJ1025">
        <f t="shared" si="609"/>
        <v>0</v>
      </c>
      <c r="AK1025">
        <f t="shared" si="610"/>
        <v>0</v>
      </c>
      <c r="AL1025">
        <f t="shared" si="611"/>
        <v>0</v>
      </c>
      <c r="AM1025">
        <f t="shared" si="612"/>
        <v>0</v>
      </c>
      <c r="AN1025">
        <f t="shared" si="613"/>
        <v>0</v>
      </c>
      <c r="AO1025">
        <f t="shared" si="614"/>
        <v>0</v>
      </c>
      <c r="AP1025">
        <f t="shared" si="615"/>
        <v>0</v>
      </c>
      <c r="AQ1025">
        <f t="shared" si="616"/>
        <v>0</v>
      </c>
    </row>
    <row r="1026" spans="6:43" x14ac:dyDescent="0.45">
      <c r="F1026">
        <f t="shared" si="581"/>
        <v>0</v>
      </c>
      <c r="G1026">
        <f t="shared" si="582"/>
        <v>0</v>
      </c>
      <c r="H1026">
        <f t="shared" si="583"/>
        <v>0</v>
      </c>
      <c r="I1026">
        <f t="shared" si="584"/>
        <v>0</v>
      </c>
      <c r="J1026">
        <f t="shared" si="585"/>
        <v>0</v>
      </c>
      <c r="K1026">
        <f t="shared" si="586"/>
        <v>0</v>
      </c>
      <c r="L1026">
        <f t="shared" si="587"/>
        <v>0</v>
      </c>
      <c r="M1026">
        <f t="shared" si="588"/>
        <v>0</v>
      </c>
      <c r="N1026">
        <f t="shared" si="589"/>
        <v>0</v>
      </c>
      <c r="O1026">
        <f t="shared" si="590"/>
        <v>0</v>
      </c>
      <c r="P1026">
        <f t="shared" si="591"/>
        <v>0</v>
      </c>
      <c r="Q1026">
        <f t="shared" si="592"/>
        <v>0</v>
      </c>
      <c r="S1026">
        <f t="shared" si="593"/>
        <v>0</v>
      </c>
      <c r="T1026">
        <f t="shared" si="594"/>
        <v>0</v>
      </c>
      <c r="U1026">
        <f t="shared" si="595"/>
        <v>0</v>
      </c>
      <c r="V1026">
        <f t="shared" si="596"/>
        <v>0</v>
      </c>
      <c r="W1026">
        <f t="shared" si="597"/>
        <v>0</v>
      </c>
      <c r="X1026">
        <f t="shared" si="598"/>
        <v>0</v>
      </c>
      <c r="Y1026">
        <f t="shared" si="599"/>
        <v>0</v>
      </c>
      <c r="Z1026">
        <f t="shared" si="600"/>
        <v>0</v>
      </c>
      <c r="AA1026">
        <f t="shared" si="601"/>
        <v>0</v>
      </c>
      <c r="AB1026">
        <f t="shared" si="602"/>
        <v>0</v>
      </c>
      <c r="AC1026">
        <f t="shared" si="603"/>
        <v>0</v>
      </c>
      <c r="AD1026">
        <f t="shared" si="604"/>
        <v>0</v>
      </c>
      <c r="AF1026">
        <f t="shared" si="605"/>
        <v>0</v>
      </c>
      <c r="AG1026">
        <f t="shared" si="606"/>
        <v>0</v>
      </c>
      <c r="AH1026">
        <f t="shared" si="607"/>
        <v>0</v>
      </c>
      <c r="AI1026">
        <f t="shared" si="608"/>
        <v>0</v>
      </c>
      <c r="AJ1026">
        <f t="shared" si="609"/>
        <v>0</v>
      </c>
      <c r="AK1026">
        <f t="shared" si="610"/>
        <v>0</v>
      </c>
      <c r="AL1026">
        <f t="shared" si="611"/>
        <v>0</v>
      </c>
      <c r="AM1026">
        <f t="shared" si="612"/>
        <v>0</v>
      </c>
      <c r="AN1026">
        <f t="shared" si="613"/>
        <v>0</v>
      </c>
      <c r="AO1026">
        <f t="shared" si="614"/>
        <v>0</v>
      </c>
      <c r="AP1026">
        <f t="shared" si="615"/>
        <v>0</v>
      </c>
      <c r="AQ1026">
        <f t="shared" si="616"/>
        <v>0</v>
      </c>
    </row>
    <row r="1027" spans="6:43" x14ac:dyDescent="0.45">
      <c r="F1027">
        <f t="shared" si="581"/>
        <v>0</v>
      </c>
      <c r="G1027">
        <f t="shared" si="582"/>
        <v>0</v>
      </c>
      <c r="H1027">
        <f t="shared" si="583"/>
        <v>0</v>
      </c>
      <c r="I1027">
        <f t="shared" si="584"/>
        <v>0</v>
      </c>
      <c r="J1027">
        <f t="shared" si="585"/>
        <v>0</v>
      </c>
      <c r="K1027">
        <f t="shared" si="586"/>
        <v>0</v>
      </c>
      <c r="L1027">
        <f t="shared" si="587"/>
        <v>0</v>
      </c>
      <c r="M1027">
        <f t="shared" si="588"/>
        <v>0</v>
      </c>
      <c r="N1027">
        <f t="shared" si="589"/>
        <v>0</v>
      </c>
      <c r="O1027">
        <f t="shared" si="590"/>
        <v>0</v>
      </c>
      <c r="P1027">
        <f t="shared" si="591"/>
        <v>0</v>
      </c>
      <c r="Q1027">
        <f t="shared" si="592"/>
        <v>0</v>
      </c>
      <c r="S1027">
        <f t="shared" si="593"/>
        <v>0</v>
      </c>
      <c r="T1027">
        <f t="shared" si="594"/>
        <v>0</v>
      </c>
      <c r="U1027">
        <f t="shared" si="595"/>
        <v>0</v>
      </c>
      <c r="V1027">
        <f t="shared" si="596"/>
        <v>0</v>
      </c>
      <c r="W1027">
        <f t="shared" si="597"/>
        <v>0</v>
      </c>
      <c r="X1027">
        <f t="shared" si="598"/>
        <v>0</v>
      </c>
      <c r="Y1027">
        <f t="shared" si="599"/>
        <v>0</v>
      </c>
      <c r="Z1027">
        <f t="shared" si="600"/>
        <v>0</v>
      </c>
      <c r="AA1027">
        <f t="shared" si="601"/>
        <v>0</v>
      </c>
      <c r="AB1027">
        <f t="shared" si="602"/>
        <v>0</v>
      </c>
      <c r="AC1027">
        <f t="shared" si="603"/>
        <v>0</v>
      </c>
      <c r="AD1027">
        <f t="shared" si="604"/>
        <v>0</v>
      </c>
      <c r="AF1027">
        <f t="shared" si="605"/>
        <v>0</v>
      </c>
      <c r="AG1027">
        <f t="shared" si="606"/>
        <v>0</v>
      </c>
      <c r="AH1027">
        <f t="shared" si="607"/>
        <v>0</v>
      </c>
      <c r="AI1027">
        <f t="shared" si="608"/>
        <v>0</v>
      </c>
      <c r="AJ1027">
        <f t="shared" si="609"/>
        <v>0</v>
      </c>
      <c r="AK1027">
        <f t="shared" si="610"/>
        <v>0</v>
      </c>
      <c r="AL1027">
        <f t="shared" si="611"/>
        <v>0</v>
      </c>
      <c r="AM1027">
        <f t="shared" si="612"/>
        <v>0</v>
      </c>
      <c r="AN1027">
        <f t="shared" si="613"/>
        <v>0</v>
      </c>
      <c r="AO1027">
        <f t="shared" si="614"/>
        <v>0</v>
      </c>
      <c r="AP1027">
        <f t="shared" si="615"/>
        <v>0</v>
      </c>
      <c r="AQ1027">
        <f t="shared" si="616"/>
        <v>0</v>
      </c>
    </row>
    <row r="1028" spans="6:43" x14ac:dyDescent="0.45">
      <c r="F1028">
        <f t="shared" si="581"/>
        <v>0</v>
      </c>
      <c r="G1028">
        <f t="shared" si="582"/>
        <v>0</v>
      </c>
      <c r="H1028">
        <f t="shared" si="583"/>
        <v>0</v>
      </c>
      <c r="I1028">
        <f t="shared" si="584"/>
        <v>0</v>
      </c>
      <c r="J1028">
        <f t="shared" si="585"/>
        <v>0</v>
      </c>
      <c r="K1028">
        <f t="shared" si="586"/>
        <v>0</v>
      </c>
      <c r="L1028">
        <f t="shared" si="587"/>
        <v>0</v>
      </c>
      <c r="M1028">
        <f t="shared" si="588"/>
        <v>0</v>
      </c>
      <c r="N1028">
        <f t="shared" si="589"/>
        <v>0</v>
      </c>
      <c r="O1028">
        <f t="shared" si="590"/>
        <v>0</v>
      </c>
      <c r="P1028">
        <f t="shared" si="591"/>
        <v>0</v>
      </c>
      <c r="Q1028">
        <f t="shared" si="592"/>
        <v>0</v>
      </c>
      <c r="S1028">
        <f t="shared" si="593"/>
        <v>0</v>
      </c>
      <c r="T1028">
        <f t="shared" si="594"/>
        <v>0</v>
      </c>
      <c r="U1028">
        <f t="shared" si="595"/>
        <v>0</v>
      </c>
      <c r="V1028">
        <f t="shared" si="596"/>
        <v>0</v>
      </c>
      <c r="W1028">
        <f t="shared" si="597"/>
        <v>0</v>
      </c>
      <c r="X1028">
        <f t="shared" si="598"/>
        <v>0</v>
      </c>
      <c r="Y1028">
        <f t="shared" si="599"/>
        <v>0</v>
      </c>
      <c r="Z1028">
        <f t="shared" si="600"/>
        <v>0</v>
      </c>
      <c r="AA1028">
        <f t="shared" si="601"/>
        <v>0</v>
      </c>
      <c r="AB1028">
        <f t="shared" si="602"/>
        <v>0</v>
      </c>
      <c r="AC1028">
        <f t="shared" si="603"/>
        <v>0</v>
      </c>
      <c r="AD1028">
        <f t="shared" si="604"/>
        <v>0</v>
      </c>
      <c r="AF1028">
        <f t="shared" si="605"/>
        <v>0</v>
      </c>
      <c r="AG1028">
        <f t="shared" si="606"/>
        <v>0</v>
      </c>
      <c r="AH1028">
        <f t="shared" si="607"/>
        <v>0</v>
      </c>
      <c r="AI1028">
        <f t="shared" si="608"/>
        <v>0</v>
      </c>
      <c r="AJ1028">
        <f t="shared" si="609"/>
        <v>0</v>
      </c>
      <c r="AK1028">
        <f t="shared" si="610"/>
        <v>0</v>
      </c>
      <c r="AL1028">
        <f t="shared" si="611"/>
        <v>0</v>
      </c>
      <c r="AM1028">
        <f t="shared" si="612"/>
        <v>0</v>
      </c>
      <c r="AN1028">
        <f t="shared" si="613"/>
        <v>0</v>
      </c>
      <c r="AO1028">
        <f t="shared" si="614"/>
        <v>0</v>
      </c>
      <c r="AP1028">
        <f t="shared" si="615"/>
        <v>0</v>
      </c>
      <c r="AQ1028">
        <f t="shared" si="616"/>
        <v>0</v>
      </c>
    </row>
    <row r="1029" spans="6:43" x14ac:dyDescent="0.45">
      <c r="F1029">
        <f t="shared" si="581"/>
        <v>0</v>
      </c>
      <c r="G1029">
        <f t="shared" si="582"/>
        <v>0</v>
      </c>
      <c r="H1029">
        <f t="shared" si="583"/>
        <v>0</v>
      </c>
      <c r="I1029">
        <f t="shared" si="584"/>
        <v>0</v>
      </c>
      <c r="J1029">
        <f t="shared" si="585"/>
        <v>0</v>
      </c>
      <c r="K1029">
        <f t="shared" si="586"/>
        <v>0</v>
      </c>
      <c r="L1029">
        <f t="shared" si="587"/>
        <v>0</v>
      </c>
      <c r="M1029">
        <f t="shared" si="588"/>
        <v>0</v>
      </c>
      <c r="N1029">
        <f t="shared" si="589"/>
        <v>0</v>
      </c>
      <c r="O1029">
        <f t="shared" si="590"/>
        <v>0</v>
      </c>
      <c r="P1029">
        <f t="shared" si="591"/>
        <v>0</v>
      </c>
      <c r="Q1029">
        <f t="shared" si="592"/>
        <v>0</v>
      </c>
      <c r="S1029">
        <f t="shared" si="593"/>
        <v>0</v>
      </c>
      <c r="T1029">
        <f t="shared" si="594"/>
        <v>0</v>
      </c>
      <c r="U1029">
        <f t="shared" si="595"/>
        <v>0</v>
      </c>
      <c r="V1029">
        <f t="shared" si="596"/>
        <v>0</v>
      </c>
      <c r="W1029">
        <f t="shared" si="597"/>
        <v>0</v>
      </c>
      <c r="X1029">
        <f t="shared" si="598"/>
        <v>0</v>
      </c>
      <c r="Y1029">
        <f t="shared" si="599"/>
        <v>0</v>
      </c>
      <c r="Z1029">
        <f t="shared" si="600"/>
        <v>0</v>
      </c>
      <c r="AA1029">
        <f t="shared" si="601"/>
        <v>0</v>
      </c>
      <c r="AB1029">
        <f t="shared" si="602"/>
        <v>0</v>
      </c>
      <c r="AC1029">
        <f t="shared" si="603"/>
        <v>0</v>
      </c>
      <c r="AD1029">
        <f t="shared" si="604"/>
        <v>0</v>
      </c>
      <c r="AF1029">
        <f t="shared" si="605"/>
        <v>0</v>
      </c>
      <c r="AG1029">
        <f t="shared" si="606"/>
        <v>0</v>
      </c>
      <c r="AH1029">
        <f t="shared" si="607"/>
        <v>0</v>
      </c>
      <c r="AI1029">
        <f t="shared" si="608"/>
        <v>0</v>
      </c>
      <c r="AJ1029">
        <f t="shared" si="609"/>
        <v>0</v>
      </c>
      <c r="AK1029">
        <f t="shared" si="610"/>
        <v>0</v>
      </c>
      <c r="AL1029">
        <f t="shared" si="611"/>
        <v>0</v>
      </c>
      <c r="AM1029">
        <f t="shared" si="612"/>
        <v>0</v>
      </c>
      <c r="AN1029">
        <f t="shared" si="613"/>
        <v>0</v>
      </c>
      <c r="AO1029">
        <f t="shared" si="614"/>
        <v>0</v>
      </c>
      <c r="AP1029">
        <f t="shared" si="615"/>
        <v>0</v>
      </c>
      <c r="AQ1029">
        <f t="shared" si="616"/>
        <v>0</v>
      </c>
    </row>
    <row r="1030" spans="6:43" x14ac:dyDescent="0.45">
      <c r="F1030">
        <f t="shared" si="581"/>
        <v>0</v>
      </c>
      <c r="G1030">
        <f t="shared" si="582"/>
        <v>0</v>
      </c>
      <c r="H1030">
        <f t="shared" si="583"/>
        <v>0</v>
      </c>
      <c r="I1030">
        <f t="shared" si="584"/>
        <v>0</v>
      </c>
      <c r="J1030">
        <f t="shared" si="585"/>
        <v>0</v>
      </c>
      <c r="K1030">
        <f t="shared" si="586"/>
        <v>0</v>
      </c>
      <c r="L1030">
        <f t="shared" si="587"/>
        <v>0</v>
      </c>
      <c r="M1030">
        <f t="shared" si="588"/>
        <v>0</v>
      </c>
      <c r="N1030">
        <f t="shared" si="589"/>
        <v>0</v>
      </c>
      <c r="O1030">
        <f t="shared" si="590"/>
        <v>0</v>
      </c>
      <c r="P1030">
        <f t="shared" si="591"/>
        <v>0</v>
      </c>
      <c r="Q1030">
        <f t="shared" si="592"/>
        <v>0</v>
      </c>
      <c r="S1030">
        <f t="shared" si="593"/>
        <v>0</v>
      </c>
      <c r="T1030">
        <f t="shared" si="594"/>
        <v>0</v>
      </c>
      <c r="U1030">
        <f t="shared" si="595"/>
        <v>0</v>
      </c>
      <c r="V1030">
        <f t="shared" si="596"/>
        <v>0</v>
      </c>
      <c r="W1030">
        <f t="shared" si="597"/>
        <v>0</v>
      </c>
      <c r="X1030">
        <f t="shared" si="598"/>
        <v>0</v>
      </c>
      <c r="Y1030">
        <f t="shared" si="599"/>
        <v>0</v>
      </c>
      <c r="Z1030">
        <f t="shared" si="600"/>
        <v>0</v>
      </c>
      <c r="AA1030">
        <f t="shared" si="601"/>
        <v>0</v>
      </c>
      <c r="AB1030">
        <f t="shared" si="602"/>
        <v>0</v>
      </c>
      <c r="AC1030">
        <f t="shared" si="603"/>
        <v>0</v>
      </c>
      <c r="AD1030">
        <f t="shared" si="604"/>
        <v>0</v>
      </c>
      <c r="AF1030">
        <f t="shared" si="605"/>
        <v>0</v>
      </c>
      <c r="AG1030">
        <f t="shared" si="606"/>
        <v>0</v>
      </c>
      <c r="AH1030">
        <f t="shared" si="607"/>
        <v>0</v>
      </c>
      <c r="AI1030">
        <f t="shared" si="608"/>
        <v>0</v>
      </c>
      <c r="AJ1030">
        <f t="shared" si="609"/>
        <v>0</v>
      </c>
      <c r="AK1030">
        <f t="shared" si="610"/>
        <v>0</v>
      </c>
      <c r="AL1030">
        <f t="shared" si="611"/>
        <v>0</v>
      </c>
      <c r="AM1030">
        <f t="shared" si="612"/>
        <v>0</v>
      </c>
      <c r="AN1030">
        <f t="shared" si="613"/>
        <v>0</v>
      </c>
      <c r="AO1030">
        <f t="shared" si="614"/>
        <v>0</v>
      </c>
      <c r="AP1030">
        <f t="shared" si="615"/>
        <v>0</v>
      </c>
      <c r="AQ1030">
        <f t="shared" si="616"/>
        <v>0</v>
      </c>
    </row>
    <row r="1031" spans="6:43" x14ac:dyDescent="0.45">
      <c r="F1031">
        <f t="shared" si="581"/>
        <v>0</v>
      </c>
      <c r="G1031">
        <f t="shared" si="582"/>
        <v>0</v>
      </c>
      <c r="H1031">
        <f t="shared" si="583"/>
        <v>0</v>
      </c>
      <c r="I1031">
        <f t="shared" si="584"/>
        <v>0</v>
      </c>
      <c r="J1031">
        <f t="shared" si="585"/>
        <v>0</v>
      </c>
      <c r="K1031">
        <f t="shared" si="586"/>
        <v>0</v>
      </c>
      <c r="L1031">
        <f t="shared" si="587"/>
        <v>0</v>
      </c>
      <c r="M1031">
        <f t="shared" si="588"/>
        <v>0</v>
      </c>
      <c r="N1031">
        <f t="shared" si="589"/>
        <v>0</v>
      </c>
      <c r="O1031">
        <f t="shared" si="590"/>
        <v>0</v>
      </c>
      <c r="P1031">
        <f t="shared" si="591"/>
        <v>0</v>
      </c>
      <c r="Q1031">
        <f t="shared" si="592"/>
        <v>0</v>
      </c>
      <c r="S1031">
        <f t="shared" si="593"/>
        <v>0</v>
      </c>
      <c r="T1031">
        <f t="shared" si="594"/>
        <v>0</v>
      </c>
      <c r="U1031">
        <f t="shared" si="595"/>
        <v>0</v>
      </c>
      <c r="V1031">
        <f t="shared" si="596"/>
        <v>0</v>
      </c>
      <c r="W1031">
        <f t="shared" si="597"/>
        <v>0</v>
      </c>
      <c r="X1031">
        <f t="shared" si="598"/>
        <v>0</v>
      </c>
      <c r="Y1031">
        <f t="shared" si="599"/>
        <v>0</v>
      </c>
      <c r="Z1031">
        <f t="shared" si="600"/>
        <v>0</v>
      </c>
      <c r="AA1031">
        <f t="shared" si="601"/>
        <v>0</v>
      </c>
      <c r="AB1031">
        <f t="shared" si="602"/>
        <v>0</v>
      </c>
      <c r="AC1031">
        <f t="shared" si="603"/>
        <v>0</v>
      </c>
      <c r="AD1031">
        <f t="shared" si="604"/>
        <v>0</v>
      </c>
      <c r="AF1031">
        <f t="shared" si="605"/>
        <v>0</v>
      </c>
      <c r="AG1031">
        <f t="shared" si="606"/>
        <v>0</v>
      </c>
      <c r="AH1031">
        <f t="shared" si="607"/>
        <v>0</v>
      </c>
      <c r="AI1031">
        <f t="shared" si="608"/>
        <v>0</v>
      </c>
      <c r="AJ1031">
        <f t="shared" si="609"/>
        <v>0</v>
      </c>
      <c r="AK1031">
        <f t="shared" si="610"/>
        <v>0</v>
      </c>
      <c r="AL1031">
        <f t="shared" si="611"/>
        <v>0</v>
      </c>
      <c r="AM1031">
        <f t="shared" si="612"/>
        <v>0</v>
      </c>
      <c r="AN1031">
        <f t="shared" si="613"/>
        <v>0</v>
      </c>
      <c r="AO1031">
        <f t="shared" si="614"/>
        <v>0</v>
      </c>
      <c r="AP1031">
        <f t="shared" si="615"/>
        <v>0</v>
      </c>
      <c r="AQ1031">
        <f t="shared" si="616"/>
        <v>0</v>
      </c>
    </row>
    <row r="1032" spans="6:43" x14ac:dyDescent="0.45">
      <c r="F1032">
        <f t="shared" si="581"/>
        <v>0</v>
      </c>
      <c r="G1032">
        <f t="shared" si="582"/>
        <v>0</v>
      </c>
      <c r="H1032">
        <f t="shared" si="583"/>
        <v>0</v>
      </c>
      <c r="I1032">
        <f t="shared" si="584"/>
        <v>0</v>
      </c>
      <c r="J1032">
        <f t="shared" si="585"/>
        <v>0</v>
      </c>
      <c r="K1032">
        <f t="shared" si="586"/>
        <v>0</v>
      </c>
      <c r="L1032">
        <f t="shared" si="587"/>
        <v>0</v>
      </c>
      <c r="M1032">
        <f t="shared" si="588"/>
        <v>0</v>
      </c>
      <c r="N1032">
        <f t="shared" si="589"/>
        <v>0</v>
      </c>
      <c r="O1032">
        <f t="shared" si="590"/>
        <v>0</v>
      </c>
      <c r="P1032">
        <f t="shared" si="591"/>
        <v>0</v>
      </c>
      <c r="Q1032">
        <f t="shared" si="592"/>
        <v>0</v>
      </c>
      <c r="S1032">
        <f t="shared" si="593"/>
        <v>0</v>
      </c>
      <c r="T1032">
        <f t="shared" si="594"/>
        <v>0</v>
      </c>
      <c r="U1032">
        <f t="shared" si="595"/>
        <v>0</v>
      </c>
      <c r="V1032">
        <f t="shared" si="596"/>
        <v>0</v>
      </c>
      <c r="W1032">
        <f t="shared" si="597"/>
        <v>0</v>
      </c>
      <c r="X1032">
        <f t="shared" si="598"/>
        <v>0</v>
      </c>
      <c r="Y1032">
        <f t="shared" si="599"/>
        <v>0</v>
      </c>
      <c r="Z1032">
        <f t="shared" si="600"/>
        <v>0</v>
      </c>
      <c r="AA1032">
        <f t="shared" si="601"/>
        <v>0</v>
      </c>
      <c r="AB1032">
        <f t="shared" si="602"/>
        <v>0</v>
      </c>
      <c r="AC1032">
        <f t="shared" si="603"/>
        <v>0</v>
      </c>
      <c r="AD1032">
        <f t="shared" si="604"/>
        <v>0</v>
      </c>
      <c r="AF1032">
        <f t="shared" si="605"/>
        <v>0</v>
      </c>
      <c r="AG1032">
        <f t="shared" si="606"/>
        <v>0</v>
      </c>
      <c r="AH1032">
        <f t="shared" si="607"/>
        <v>0</v>
      </c>
      <c r="AI1032">
        <f t="shared" si="608"/>
        <v>0</v>
      </c>
      <c r="AJ1032">
        <f t="shared" si="609"/>
        <v>0</v>
      </c>
      <c r="AK1032">
        <f t="shared" si="610"/>
        <v>0</v>
      </c>
      <c r="AL1032">
        <f t="shared" si="611"/>
        <v>0</v>
      </c>
      <c r="AM1032">
        <f t="shared" si="612"/>
        <v>0</v>
      </c>
      <c r="AN1032">
        <f t="shared" si="613"/>
        <v>0</v>
      </c>
      <c r="AO1032">
        <f t="shared" si="614"/>
        <v>0</v>
      </c>
      <c r="AP1032">
        <f t="shared" si="615"/>
        <v>0</v>
      </c>
      <c r="AQ1032">
        <f t="shared" si="616"/>
        <v>0</v>
      </c>
    </row>
    <row r="1033" spans="6:43" x14ac:dyDescent="0.45">
      <c r="F1033">
        <f t="shared" si="581"/>
        <v>0</v>
      </c>
      <c r="G1033">
        <f t="shared" si="582"/>
        <v>0</v>
      </c>
      <c r="H1033">
        <f t="shared" si="583"/>
        <v>0</v>
      </c>
      <c r="I1033">
        <f t="shared" si="584"/>
        <v>0</v>
      </c>
      <c r="J1033">
        <f t="shared" si="585"/>
        <v>0</v>
      </c>
      <c r="K1033">
        <f t="shared" si="586"/>
        <v>0</v>
      </c>
      <c r="L1033">
        <f t="shared" si="587"/>
        <v>0</v>
      </c>
      <c r="M1033">
        <f t="shared" si="588"/>
        <v>0</v>
      </c>
      <c r="N1033">
        <f t="shared" si="589"/>
        <v>0</v>
      </c>
      <c r="O1033">
        <f t="shared" si="590"/>
        <v>0</v>
      </c>
      <c r="P1033">
        <f t="shared" si="591"/>
        <v>0</v>
      </c>
      <c r="Q1033">
        <f t="shared" si="592"/>
        <v>0</v>
      </c>
      <c r="S1033">
        <f t="shared" si="593"/>
        <v>0</v>
      </c>
      <c r="T1033">
        <f t="shared" si="594"/>
        <v>0</v>
      </c>
      <c r="U1033">
        <f t="shared" si="595"/>
        <v>0</v>
      </c>
      <c r="V1033">
        <f t="shared" si="596"/>
        <v>0</v>
      </c>
      <c r="W1033">
        <f t="shared" si="597"/>
        <v>0</v>
      </c>
      <c r="X1033">
        <f t="shared" si="598"/>
        <v>0</v>
      </c>
      <c r="Y1033">
        <f t="shared" si="599"/>
        <v>0</v>
      </c>
      <c r="Z1033">
        <f t="shared" si="600"/>
        <v>0</v>
      </c>
      <c r="AA1033">
        <f t="shared" si="601"/>
        <v>0</v>
      </c>
      <c r="AB1033">
        <f t="shared" si="602"/>
        <v>0</v>
      </c>
      <c r="AC1033">
        <f t="shared" si="603"/>
        <v>0</v>
      </c>
      <c r="AD1033">
        <f t="shared" si="604"/>
        <v>0</v>
      </c>
      <c r="AF1033">
        <f t="shared" si="605"/>
        <v>0</v>
      </c>
      <c r="AG1033">
        <f t="shared" si="606"/>
        <v>0</v>
      </c>
      <c r="AH1033">
        <f t="shared" si="607"/>
        <v>0</v>
      </c>
      <c r="AI1033">
        <f t="shared" si="608"/>
        <v>0</v>
      </c>
      <c r="AJ1033">
        <f t="shared" si="609"/>
        <v>0</v>
      </c>
      <c r="AK1033">
        <f t="shared" si="610"/>
        <v>0</v>
      </c>
      <c r="AL1033">
        <f t="shared" si="611"/>
        <v>0</v>
      </c>
      <c r="AM1033">
        <f t="shared" si="612"/>
        <v>0</v>
      </c>
      <c r="AN1033">
        <f t="shared" si="613"/>
        <v>0</v>
      </c>
      <c r="AO1033">
        <f t="shared" si="614"/>
        <v>0</v>
      </c>
      <c r="AP1033">
        <f t="shared" si="615"/>
        <v>0</v>
      </c>
      <c r="AQ1033">
        <f t="shared" si="616"/>
        <v>0</v>
      </c>
    </row>
    <row r="1034" spans="6:43" x14ac:dyDescent="0.45">
      <c r="F1034">
        <f t="shared" si="581"/>
        <v>0</v>
      </c>
      <c r="G1034">
        <f t="shared" si="582"/>
        <v>0</v>
      </c>
      <c r="H1034">
        <f t="shared" si="583"/>
        <v>0</v>
      </c>
      <c r="I1034">
        <f t="shared" si="584"/>
        <v>0</v>
      </c>
      <c r="J1034">
        <f t="shared" si="585"/>
        <v>0</v>
      </c>
      <c r="K1034">
        <f t="shared" si="586"/>
        <v>0</v>
      </c>
      <c r="L1034">
        <f t="shared" si="587"/>
        <v>0</v>
      </c>
      <c r="M1034">
        <f t="shared" si="588"/>
        <v>0</v>
      </c>
      <c r="N1034">
        <f t="shared" si="589"/>
        <v>0</v>
      </c>
      <c r="O1034">
        <f t="shared" si="590"/>
        <v>0</v>
      </c>
      <c r="P1034">
        <f t="shared" si="591"/>
        <v>0</v>
      </c>
      <c r="Q1034">
        <f t="shared" si="592"/>
        <v>0</v>
      </c>
      <c r="S1034">
        <f t="shared" si="593"/>
        <v>0</v>
      </c>
      <c r="T1034">
        <f t="shared" si="594"/>
        <v>0</v>
      </c>
      <c r="U1034">
        <f t="shared" si="595"/>
        <v>0</v>
      </c>
      <c r="V1034">
        <f t="shared" si="596"/>
        <v>0</v>
      </c>
      <c r="W1034">
        <f t="shared" si="597"/>
        <v>0</v>
      </c>
      <c r="X1034">
        <f t="shared" si="598"/>
        <v>0</v>
      </c>
      <c r="Y1034">
        <f t="shared" si="599"/>
        <v>0</v>
      </c>
      <c r="Z1034">
        <f t="shared" si="600"/>
        <v>0</v>
      </c>
      <c r="AA1034">
        <f t="shared" si="601"/>
        <v>0</v>
      </c>
      <c r="AB1034">
        <f t="shared" si="602"/>
        <v>0</v>
      </c>
      <c r="AC1034">
        <f t="shared" si="603"/>
        <v>0</v>
      </c>
      <c r="AD1034">
        <f t="shared" si="604"/>
        <v>0</v>
      </c>
      <c r="AF1034">
        <f t="shared" si="605"/>
        <v>0</v>
      </c>
      <c r="AG1034">
        <f t="shared" si="606"/>
        <v>0</v>
      </c>
      <c r="AH1034">
        <f t="shared" si="607"/>
        <v>0</v>
      </c>
      <c r="AI1034">
        <f t="shared" si="608"/>
        <v>0</v>
      </c>
      <c r="AJ1034">
        <f t="shared" si="609"/>
        <v>0</v>
      </c>
      <c r="AK1034">
        <f t="shared" si="610"/>
        <v>0</v>
      </c>
      <c r="AL1034">
        <f t="shared" si="611"/>
        <v>0</v>
      </c>
      <c r="AM1034">
        <f t="shared" si="612"/>
        <v>0</v>
      </c>
      <c r="AN1034">
        <f t="shared" si="613"/>
        <v>0</v>
      </c>
      <c r="AO1034">
        <f t="shared" si="614"/>
        <v>0</v>
      </c>
      <c r="AP1034">
        <f t="shared" si="615"/>
        <v>0</v>
      </c>
      <c r="AQ1034">
        <f t="shared" si="616"/>
        <v>0</v>
      </c>
    </row>
    <row r="1035" spans="6:43" x14ac:dyDescent="0.45">
      <c r="F1035">
        <f t="shared" si="581"/>
        <v>0</v>
      </c>
      <c r="G1035">
        <f t="shared" si="582"/>
        <v>0</v>
      </c>
      <c r="H1035">
        <f t="shared" si="583"/>
        <v>0</v>
      </c>
      <c r="I1035">
        <f t="shared" si="584"/>
        <v>0</v>
      </c>
      <c r="J1035">
        <f t="shared" si="585"/>
        <v>0</v>
      </c>
      <c r="K1035">
        <f t="shared" si="586"/>
        <v>0</v>
      </c>
      <c r="L1035">
        <f t="shared" si="587"/>
        <v>0</v>
      </c>
      <c r="M1035">
        <f t="shared" si="588"/>
        <v>0</v>
      </c>
      <c r="N1035">
        <f t="shared" si="589"/>
        <v>0</v>
      </c>
      <c r="O1035">
        <f t="shared" si="590"/>
        <v>0</v>
      </c>
      <c r="P1035">
        <f t="shared" si="591"/>
        <v>0</v>
      </c>
      <c r="Q1035">
        <f t="shared" si="592"/>
        <v>0</v>
      </c>
      <c r="S1035">
        <f t="shared" si="593"/>
        <v>0</v>
      </c>
      <c r="T1035">
        <f t="shared" si="594"/>
        <v>0</v>
      </c>
      <c r="U1035">
        <f t="shared" si="595"/>
        <v>0</v>
      </c>
      <c r="V1035">
        <f t="shared" si="596"/>
        <v>0</v>
      </c>
      <c r="W1035">
        <f t="shared" si="597"/>
        <v>0</v>
      </c>
      <c r="X1035">
        <f t="shared" si="598"/>
        <v>0</v>
      </c>
      <c r="Y1035">
        <f t="shared" si="599"/>
        <v>0</v>
      </c>
      <c r="Z1035">
        <f t="shared" si="600"/>
        <v>0</v>
      </c>
      <c r="AA1035">
        <f t="shared" si="601"/>
        <v>0</v>
      </c>
      <c r="AB1035">
        <f t="shared" si="602"/>
        <v>0</v>
      </c>
      <c r="AC1035">
        <f t="shared" si="603"/>
        <v>0</v>
      </c>
      <c r="AD1035">
        <f t="shared" si="604"/>
        <v>0</v>
      </c>
      <c r="AF1035">
        <f t="shared" si="605"/>
        <v>0</v>
      </c>
      <c r="AG1035">
        <f t="shared" si="606"/>
        <v>0</v>
      </c>
      <c r="AH1035">
        <f t="shared" si="607"/>
        <v>0</v>
      </c>
      <c r="AI1035">
        <f t="shared" si="608"/>
        <v>0</v>
      </c>
      <c r="AJ1035">
        <f t="shared" si="609"/>
        <v>0</v>
      </c>
      <c r="AK1035">
        <f t="shared" si="610"/>
        <v>0</v>
      </c>
      <c r="AL1035">
        <f t="shared" si="611"/>
        <v>0</v>
      </c>
      <c r="AM1035">
        <f t="shared" si="612"/>
        <v>0</v>
      </c>
      <c r="AN1035">
        <f t="shared" si="613"/>
        <v>0</v>
      </c>
      <c r="AO1035">
        <f t="shared" si="614"/>
        <v>0</v>
      </c>
      <c r="AP1035">
        <f t="shared" si="615"/>
        <v>0</v>
      </c>
      <c r="AQ1035">
        <f t="shared" si="616"/>
        <v>0</v>
      </c>
    </row>
    <row r="1036" spans="6:43" x14ac:dyDescent="0.45">
      <c r="F1036">
        <f t="shared" ref="F1036:F1099" si="617">IF(D1036="SPUR-01",E1036,0)</f>
        <v>0</v>
      </c>
      <c r="G1036">
        <f t="shared" ref="G1036:G1099" si="618">IF(D1036="SPUR-02",E1036,0)</f>
        <v>0</v>
      </c>
      <c r="H1036">
        <f t="shared" ref="H1036:H1099" si="619">IF(D1036="SPUR-03",E1036,0)</f>
        <v>0</v>
      </c>
      <c r="I1036">
        <f t="shared" ref="I1036:I1099" si="620">IF(D1036="SPUR-04",E1036,0)</f>
        <v>0</v>
      </c>
      <c r="J1036">
        <f t="shared" ref="J1036:J1099" si="621">IF(D1036="SPUR-05",E1036,0)</f>
        <v>0</v>
      </c>
      <c r="K1036">
        <f t="shared" ref="K1036:K1099" si="622">IF(D1036="SPUR-06",E1036,0)</f>
        <v>0</v>
      </c>
      <c r="L1036">
        <f t="shared" ref="L1036:L1099" si="623">IF(D1036="SPUR-07",E1036,0)</f>
        <v>0</v>
      </c>
      <c r="M1036">
        <f t="shared" ref="M1036:M1099" si="624">IF(D1036="SPUR-08",E1036,0)</f>
        <v>0</v>
      </c>
      <c r="N1036">
        <f t="shared" ref="N1036:N1099" si="625">IF(D1036="SPUR-09",E1036,0)</f>
        <v>0</v>
      </c>
      <c r="O1036">
        <f t="shared" ref="O1036:O1099" si="626">IF(D1036="SPUR-10",E1036,0)</f>
        <v>0</v>
      </c>
      <c r="P1036">
        <f t="shared" ref="P1036:P1099" si="627">IF(D1036="SPUR-SILO",E1036,0)</f>
        <v>0</v>
      </c>
      <c r="Q1036">
        <f t="shared" ref="Q1036:Q1099" si="628">IF(D1036="SPUR-DB",E1036,0)</f>
        <v>0</v>
      </c>
      <c r="S1036">
        <f t="shared" si="593"/>
        <v>0</v>
      </c>
      <c r="T1036">
        <f t="shared" si="594"/>
        <v>0</v>
      </c>
      <c r="U1036">
        <f t="shared" si="595"/>
        <v>0</v>
      </c>
      <c r="V1036">
        <f t="shared" si="596"/>
        <v>0</v>
      </c>
      <c r="W1036">
        <f t="shared" si="597"/>
        <v>0</v>
      </c>
      <c r="X1036">
        <f t="shared" si="598"/>
        <v>0</v>
      </c>
      <c r="Y1036">
        <f t="shared" si="599"/>
        <v>0</v>
      </c>
      <c r="Z1036">
        <f t="shared" si="600"/>
        <v>0</v>
      </c>
      <c r="AA1036">
        <f t="shared" si="601"/>
        <v>0</v>
      </c>
      <c r="AB1036">
        <f t="shared" si="602"/>
        <v>0</v>
      </c>
      <c r="AC1036">
        <f t="shared" si="603"/>
        <v>0</v>
      </c>
      <c r="AD1036">
        <f t="shared" si="604"/>
        <v>0</v>
      </c>
      <c r="AF1036">
        <f t="shared" si="605"/>
        <v>0</v>
      </c>
      <c r="AG1036">
        <f t="shared" si="606"/>
        <v>0</v>
      </c>
      <c r="AH1036">
        <f t="shared" si="607"/>
        <v>0</v>
      </c>
      <c r="AI1036">
        <f t="shared" si="608"/>
        <v>0</v>
      </c>
      <c r="AJ1036">
        <f t="shared" si="609"/>
        <v>0</v>
      </c>
      <c r="AK1036">
        <f t="shared" si="610"/>
        <v>0</v>
      </c>
      <c r="AL1036">
        <f t="shared" si="611"/>
        <v>0</v>
      </c>
      <c r="AM1036">
        <f t="shared" si="612"/>
        <v>0</v>
      </c>
      <c r="AN1036">
        <f t="shared" si="613"/>
        <v>0</v>
      </c>
      <c r="AO1036">
        <f t="shared" si="614"/>
        <v>0</v>
      </c>
      <c r="AP1036">
        <f t="shared" si="615"/>
        <v>0</v>
      </c>
      <c r="AQ1036">
        <f t="shared" si="616"/>
        <v>0</v>
      </c>
    </row>
    <row r="1037" spans="6:43" x14ac:dyDescent="0.45">
      <c r="F1037">
        <f t="shared" si="617"/>
        <v>0</v>
      </c>
      <c r="G1037">
        <f t="shared" si="618"/>
        <v>0</v>
      </c>
      <c r="H1037">
        <f t="shared" si="619"/>
        <v>0</v>
      </c>
      <c r="I1037">
        <f t="shared" si="620"/>
        <v>0</v>
      </c>
      <c r="J1037">
        <f t="shared" si="621"/>
        <v>0</v>
      </c>
      <c r="K1037">
        <f t="shared" si="622"/>
        <v>0</v>
      </c>
      <c r="L1037">
        <f t="shared" si="623"/>
        <v>0</v>
      </c>
      <c r="M1037">
        <f t="shared" si="624"/>
        <v>0</v>
      </c>
      <c r="N1037">
        <f t="shared" si="625"/>
        <v>0</v>
      </c>
      <c r="O1037">
        <f t="shared" si="626"/>
        <v>0</v>
      </c>
      <c r="P1037">
        <f t="shared" si="627"/>
        <v>0</v>
      </c>
      <c r="Q1037">
        <f t="shared" si="628"/>
        <v>0</v>
      </c>
      <c r="S1037">
        <f t="shared" si="593"/>
        <v>0</v>
      </c>
      <c r="T1037">
        <f t="shared" si="594"/>
        <v>0</v>
      </c>
      <c r="U1037">
        <f t="shared" si="595"/>
        <v>0</v>
      </c>
      <c r="V1037">
        <f t="shared" si="596"/>
        <v>0</v>
      </c>
      <c r="W1037">
        <f t="shared" si="597"/>
        <v>0</v>
      </c>
      <c r="X1037">
        <f t="shared" si="598"/>
        <v>0</v>
      </c>
      <c r="Y1037">
        <f t="shared" si="599"/>
        <v>0</v>
      </c>
      <c r="Z1037">
        <f t="shared" si="600"/>
        <v>0</v>
      </c>
      <c r="AA1037">
        <f t="shared" si="601"/>
        <v>0</v>
      </c>
      <c r="AB1037">
        <f t="shared" si="602"/>
        <v>0</v>
      </c>
      <c r="AC1037">
        <f t="shared" si="603"/>
        <v>0</v>
      </c>
      <c r="AD1037">
        <f t="shared" si="604"/>
        <v>0</v>
      </c>
      <c r="AF1037">
        <f t="shared" si="605"/>
        <v>0</v>
      </c>
      <c r="AG1037">
        <f t="shared" si="606"/>
        <v>0</v>
      </c>
      <c r="AH1037">
        <f t="shared" si="607"/>
        <v>0</v>
      </c>
      <c r="AI1037">
        <f t="shared" si="608"/>
        <v>0</v>
      </c>
      <c r="AJ1037">
        <f t="shared" si="609"/>
        <v>0</v>
      </c>
      <c r="AK1037">
        <f t="shared" si="610"/>
        <v>0</v>
      </c>
      <c r="AL1037">
        <f t="shared" si="611"/>
        <v>0</v>
      </c>
      <c r="AM1037">
        <f t="shared" si="612"/>
        <v>0</v>
      </c>
      <c r="AN1037">
        <f t="shared" si="613"/>
        <v>0</v>
      </c>
      <c r="AO1037">
        <f t="shared" si="614"/>
        <v>0</v>
      </c>
      <c r="AP1037">
        <f t="shared" si="615"/>
        <v>0</v>
      </c>
      <c r="AQ1037">
        <f t="shared" si="616"/>
        <v>0</v>
      </c>
    </row>
    <row r="1038" spans="6:43" x14ac:dyDescent="0.45">
      <c r="F1038">
        <f t="shared" si="617"/>
        <v>0</v>
      </c>
      <c r="G1038">
        <f t="shared" si="618"/>
        <v>0</v>
      </c>
      <c r="H1038">
        <f t="shared" si="619"/>
        <v>0</v>
      </c>
      <c r="I1038">
        <f t="shared" si="620"/>
        <v>0</v>
      </c>
      <c r="J1038">
        <f t="shared" si="621"/>
        <v>0</v>
      </c>
      <c r="K1038">
        <f t="shared" si="622"/>
        <v>0</v>
      </c>
      <c r="L1038">
        <f t="shared" si="623"/>
        <v>0</v>
      </c>
      <c r="M1038">
        <f t="shared" si="624"/>
        <v>0</v>
      </c>
      <c r="N1038">
        <f t="shared" si="625"/>
        <v>0</v>
      </c>
      <c r="O1038">
        <f t="shared" si="626"/>
        <v>0</v>
      </c>
      <c r="P1038">
        <f t="shared" si="627"/>
        <v>0</v>
      </c>
      <c r="Q1038">
        <f t="shared" si="628"/>
        <v>0</v>
      </c>
      <c r="S1038">
        <f t="shared" si="593"/>
        <v>0</v>
      </c>
      <c r="T1038">
        <f t="shared" si="594"/>
        <v>0</v>
      </c>
      <c r="U1038">
        <f t="shared" si="595"/>
        <v>0</v>
      </c>
      <c r="V1038">
        <f t="shared" si="596"/>
        <v>0</v>
      </c>
      <c r="W1038">
        <f t="shared" si="597"/>
        <v>0</v>
      </c>
      <c r="X1038">
        <f t="shared" si="598"/>
        <v>0</v>
      </c>
      <c r="Y1038">
        <f t="shared" si="599"/>
        <v>0</v>
      </c>
      <c r="Z1038">
        <f t="shared" si="600"/>
        <v>0</v>
      </c>
      <c r="AA1038">
        <f t="shared" si="601"/>
        <v>0</v>
      </c>
      <c r="AB1038">
        <f t="shared" si="602"/>
        <v>0</v>
      </c>
      <c r="AC1038">
        <f t="shared" si="603"/>
        <v>0</v>
      </c>
      <c r="AD1038">
        <f t="shared" si="604"/>
        <v>0</v>
      </c>
      <c r="AF1038">
        <f t="shared" si="605"/>
        <v>0</v>
      </c>
      <c r="AG1038">
        <f t="shared" si="606"/>
        <v>0</v>
      </c>
      <c r="AH1038">
        <f t="shared" si="607"/>
        <v>0</v>
      </c>
      <c r="AI1038">
        <f t="shared" si="608"/>
        <v>0</v>
      </c>
      <c r="AJ1038">
        <f t="shared" si="609"/>
        <v>0</v>
      </c>
      <c r="AK1038">
        <f t="shared" si="610"/>
        <v>0</v>
      </c>
      <c r="AL1038">
        <f t="shared" si="611"/>
        <v>0</v>
      </c>
      <c r="AM1038">
        <f t="shared" si="612"/>
        <v>0</v>
      </c>
      <c r="AN1038">
        <f t="shared" si="613"/>
        <v>0</v>
      </c>
      <c r="AO1038">
        <f t="shared" si="614"/>
        <v>0</v>
      </c>
      <c r="AP1038">
        <f t="shared" si="615"/>
        <v>0</v>
      </c>
      <c r="AQ1038">
        <f t="shared" si="616"/>
        <v>0</v>
      </c>
    </row>
    <row r="1039" spans="6:43" x14ac:dyDescent="0.45">
      <c r="F1039">
        <f t="shared" si="617"/>
        <v>0</v>
      </c>
      <c r="G1039">
        <f t="shared" si="618"/>
        <v>0</v>
      </c>
      <c r="H1039">
        <f t="shared" si="619"/>
        <v>0</v>
      </c>
      <c r="I1039">
        <f t="shared" si="620"/>
        <v>0</v>
      </c>
      <c r="J1039">
        <f t="shared" si="621"/>
        <v>0</v>
      </c>
      <c r="K1039">
        <f t="shared" si="622"/>
        <v>0</v>
      </c>
      <c r="L1039">
        <f t="shared" si="623"/>
        <v>0</v>
      </c>
      <c r="M1039">
        <f t="shared" si="624"/>
        <v>0</v>
      </c>
      <c r="N1039">
        <f t="shared" si="625"/>
        <v>0</v>
      </c>
      <c r="O1039">
        <f t="shared" si="626"/>
        <v>0</v>
      </c>
      <c r="P1039">
        <f t="shared" si="627"/>
        <v>0</v>
      </c>
      <c r="Q1039">
        <f t="shared" si="628"/>
        <v>0</v>
      </c>
      <c r="S1039">
        <f t="shared" si="593"/>
        <v>0</v>
      </c>
      <c r="T1039">
        <f t="shared" si="594"/>
        <v>0</v>
      </c>
      <c r="U1039">
        <f t="shared" si="595"/>
        <v>0</v>
      </c>
      <c r="V1039">
        <f t="shared" si="596"/>
        <v>0</v>
      </c>
      <c r="W1039">
        <f t="shared" si="597"/>
        <v>0</v>
      </c>
      <c r="X1039">
        <f t="shared" si="598"/>
        <v>0</v>
      </c>
      <c r="Y1039">
        <f t="shared" si="599"/>
        <v>0</v>
      </c>
      <c r="Z1039">
        <f t="shared" si="600"/>
        <v>0</v>
      </c>
      <c r="AA1039">
        <f t="shared" si="601"/>
        <v>0</v>
      </c>
      <c r="AB1039">
        <f t="shared" si="602"/>
        <v>0</v>
      </c>
      <c r="AC1039">
        <f t="shared" si="603"/>
        <v>0</v>
      </c>
      <c r="AD1039">
        <f t="shared" si="604"/>
        <v>0</v>
      </c>
      <c r="AF1039">
        <f t="shared" si="605"/>
        <v>0</v>
      </c>
      <c r="AG1039">
        <f t="shared" si="606"/>
        <v>0</v>
      </c>
      <c r="AH1039">
        <f t="shared" si="607"/>
        <v>0</v>
      </c>
      <c r="AI1039">
        <f t="shared" si="608"/>
        <v>0</v>
      </c>
      <c r="AJ1039">
        <f t="shared" si="609"/>
        <v>0</v>
      </c>
      <c r="AK1039">
        <f t="shared" si="610"/>
        <v>0</v>
      </c>
      <c r="AL1039">
        <f t="shared" si="611"/>
        <v>0</v>
      </c>
      <c r="AM1039">
        <f t="shared" si="612"/>
        <v>0</v>
      </c>
      <c r="AN1039">
        <f t="shared" si="613"/>
        <v>0</v>
      </c>
      <c r="AO1039">
        <f t="shared" si="614"/>
        <v>0</v>
      </c>
      <c r="AP1039">
        <f t="shared" si="615"/>
        <v>0</v>
      </c>
      <c r="AQ1039">
        <f t="shared" si="616"/>
        <v>0</v>
      </c>
    </row>
    <row r="1040" spans="6:43" x14ac:dyDescent="0.45">
      <c r="F1040">
        <f t="shared" si="617"/>
        <v>0</v>
      </c>
      <c r="G1040">
        <f t="shared" si="618"/>
        <v>0</v>
      </c>
      <c r="H1040">
        <f t="shared" si="619"/>
        <v>0</v>
      </c>
      <c r="I1040">
        <f t="shared" si="620"/>
        <v>0</v>
      </c>
      <c r="J1040">
        <f t="shared" si="621"/>
        <v>0</v>
      </c>
      <c r="K1040">
        <f t="shared" si="622"/>
        <v>0</v>
      </c>
      <c r="L1040">
        <f t="shared" si="623"/>
        <v>0</v>
      </c>
      <c r="M1040">
        <f t="shared" si="624"/>
        <v>0</v>
      </c>
      <c r="N1040">
        <f t="shared" si="625"/>
        <v>0</v>
      </c>
      <c r="O1040">
        <f t="shared" si="626"/>
        <v>0</v>
      </c>
      <c r="P1040">
        <f t="shared" si="627"/>
        <v>0</v>
      </c>
      <c r="Q1040">
        <f t="shared" si="628"/>
        <v>0</v>
      </c>
      <c r="S1040">
        <f t="shared" si="593"/>
        <v>0</v>
      </c>
      <c r="T1040">
        <f t="shared" si="594"/>
        <v>0</v>
      </c>
      <c r="U1040">
        <f t="shared" si="595"/>
        <v>0</v>
      </c>
      <c r="V1040">
        <f t="shared" si="596"/>
        <v>0</v>
      </c>
      <c r="W1040">
        <f t="shared" si="597"/>
        <v>0</v>
      </c>
      <c r="X1040">
        <f t="shared" si="598"/>
        <v>0</v>
      </c>
      <c r="Y1040">
        <f t="shared" si="599"/>
        <v>0</v>
      </c>
      <c r="Z1040">
        <f t="shared" si="600"/>
        <v>0</v>
      </c>
      <c r="AA1040">
        <f t="shared" si="601"/>
        <v>0</v>
      </c>
      <c r="AB1040">
        <f t="shared" si="602"/>
        <v>0</v>
      </c>
      <c r="AC1040">
        <f t="shared" si="603"/>
        <v>0</v>
      </c>
      <c r="AD1040">
        <f t="shared" si="604"/>
        <v>0</v>
      </c>
      <c r="AF1040">
        <f t="shared" si="605"/>
        <v>0</v>
      </c>
      <c r="AG1040">
        <f t="shared" si="606"/>
        <v>0</v>
      </c>
      <c r="AH1040">
        <f t="shared" si="607"/>
        <v>0</v>
      </c>
      <c r="AI1040">
        <f t="shared" si="608"/>
        <v>0</v>
      </c>
      <c r="AJ1040">
        <f t="shared" si="609"/>
        <v>0</v>
      </c>
      <c r="AK1040">
        <f t="shared" si="610"/>
        <v>0</v>
      </c>
      <c r="AL1040">
        <f t="shared" si="611"/>
        <v>0</v>
      </c>
      <c r="AM1040">
        <f t="shared" si="612"/>
        <v>0</v>
      </c>
      <c r="AN1040">
        <f t="shared" si="613"/>
        <v>0</v>
      </c>
      <c r="AO1040">
        <f t="shared" si="614"/>
        <v>0</v>
      </c>
      <c r="AP1040">
        <f t="shared" si="615"/>
        <v>0</v>
      </c>
      <c r="AQ1040">
        <f t="shared" si="616"/>
        <v>0</v>
      </c>
    </row>
    <row r="1041" spans="6:43" x14ac:dyDescent="0.45">
      <c r="F1041">
        <f t="shared" si="617"/>
        <v>0</v>
      </c>
      <c r="G1041">
        <f t="shared" si="618"/>
        <v>0</v>
      </c>
      <c r="H1041">
        <f t="shared" si="619"/>
        <v>0</v>
      </c>
      <c r="I1041">
        <f t="shared" si="620"/>
        <v>0</v>
      </c>
      <c r="J1041">
        <f t="shared" si="621"/>
        <v>0</v>
      </c>
      <c r="K1041">
        <f t="shared" si="622"/>
        <v>0</v>
      </c>
      <c r="L1041">
        <f t="shared" si="623"/>
        <v>0</v>
      </c>
      <c r="M1041">
        <f t="shared" si="624"/>
        <v>0</v>
      </c>
      <c r="N1041">
        <f t="shared" si="625"/>
        <v>0</v>
      </c>
      <c r="O1041">
        <f t="shared" si="626"/>
        <v>0</v>
      </c>
      <c r="P1041">
        <f t="shared" si="627"/>
        <v>0</v>
      </c>
      <c r="Q1041">
        <f t="shared" si="628"/>
        <v>0</v>
      </c>
      <c r="S1041">
        <f t="shared" si="593"/>
        <v>0</v>
      </c>
      <c r="T1041">
        <f t="shared" si="594"/>
        <v>0</v>
      </c>
      <c r="U1041">
        <f t="shared" si="595"/>
        <v>0</v>
      </c>
      <c r="V1041">
        <f t="shared" si="596"/>
        <v>0</v>
      </c>
      <c r="W1041">
        <f t="shared" si="597"/>
        <v>0</v>
      </c>
      <c r="X1041">
        <f t="shared" si="598"/>
        <v>0</v>
      </c>
      <c r="Y1041">
        <f t="shared" si="599"/>
        <v>0</v>
      </c>
      <c r="Z1041">
        <f t="shared" si="600"/>
        <v>0</v>
      </c>
      <c r="AA1041">
        <f t="shared" si="601"/>
        <v>0</v>
      </c>
      <c r="AB1041">
        <f t="shared" si="602"/>
        <v>0</v>
      </c>
      <c r="AC1041">
        <f t="shared" si="603"/>
        <v>0</v>
      </c>
      <c r="AD1041">
        <f t="shared" si="604"/>
        <v>0</v>
      </c>
      <c r="AF1041">
        <f t="shared" si="605"/>
        <v>0</v>
      </c>
      <c r="AG1041">
        <f t="shared" si="606"/>
        <v>0</v>
      </c>
      <c r="AH1041">
        <f t="shared" si="607"/>
        <v>0</v>
      </c>
      <c r="AI1041">
        <f t="shared" si="608"/>
        <v>0</v>
      </c>
      <c r="AJ1041">
        <f t="shared" si="609"/>
        <v>0</v>
      </c>
      <c r="AK1041">
        <f t="shared" si="610"/>
        <v>0</v>
      </c>
      <c r="AL1041">
        <f t="shared" si="611"/>
        <v>0</v>
      </c>
      <c r="AM1041">
        <f t="shared" si="612"/>
        <v>0</v>
      </c>
      <c r="AN1041">
        <f t="shared" si="613"/>
        <v>0</v>
      </c>
      <c r="AO1041">
        <f t="shared" si="614"/>
        <v>0</v>
      </c>
      <c r="AP1041">
        <f t="shared" si="615"/>
        <v>0</v>
      </c>
      <c r="AQ1041">
        <f t="shared" si="616"/>
        <v>0</v>
      </c>
    </row>
    <row r="1042" spans="6:43" x14ac:dyDescent="0.45">
      <c r="F1042">
        <f t="shared" si="617"/>
        <v>0</v>
      </c>
      <c r="G1042">
        <f t="shared" si="618"/>
        <v>0</v>
      </c>
      <c r="H1042">
        <f t="shared" si="619"/>
        <v>0</v>
      </c>
      <c r="I1042">
        <f t="shared" si="620"/>
        <v>0</v>
      </c>
      <c r="J1042">
        <f t="shared" si="621"/>
        <v>0</v>
      </c>
      <c r="K1042">
        <f t="shared" si="622"/>
        <v>0</v>
      </c>
      <c r="L1042">
        <f t="shared" si="623"/>
        <v>0</v>
      </c>
      <c r="M1042">
        <f t="shared" si="624"/>
        <v>0</v>
      </c>
      <c r="N1042">
        <f t="shared" si="625"/>
        <v>0</v>
      </c>
      <c r="O1042">
        <f t="shared" si="626"/>
        <v>0</v>
      </c>
      <c r="P1042">
        <f t="shared" si="627"/>
        <v>0</v>
      </c>
      <c r="Q1042">
        <f t="shared" si="628"/>
        <v>0</v>
      </c>
      <c r="S1042">
        <f t="shared" si="593"/>
        <v>0</v>
      </c>
      <c r="T1042">
        <f t="shared" si="594"/>
        <v>0</v>
      </c>
      <c r="U1042">
        <f t="shared" si="595"/>
        <v>0</v>
      </c>
      <c r="V1042">
        <f t="shared" si="596"/>
        <v>0</v>
      </c>
      <c r="W1042">
        <f t="shared" si="597"/>
        <v>0</v>
      </c>
      <c r="X1042">
        <f t="shared" si="598"/>
        <v>0</v>
      </c>
      <c r="Y1042">
        <f t="shared" si="599"/>
        <v>0</v>
      </c>
      <c r="Z1042">
        <f t="shared" si="600"/>
        <v>0</v>
      </c>
      <c r="AA1042">
        <f t="shared" si="601"/>
        <v>0</v>
      </c>
      <c r="AB1042">
        <f t="shared" si="602"/>
        <v>0</v>
      </c>
      <c r="AC1042">
        <f t="shared" si="603"/>
        <v>0</v>
      </c>
      <c r="AD1042">
        <f t="shared" si="604"/>
        <v>0</v>
      </c>
      <c r="AF1042">
        <f t="shared" si="605"/>
        <v>0</v>
      </c>
      <c r="AG1042">
        <f t="shared" si="606"/>
        <v>0</v>
      </c>
      <c r="AH1042">
        <f t="shared" si="607"/>
        <v>0</v>
      </c>
      <c r="AI1042">
        <f t="shared" si="608"/>
        <v>0</v>
      </c>
      <c r="AJ1042">
        <f t="shared" si="609"/>
        <v>0</v>
      </c>
      <c r="AK1042">
        <f t="shared" si="610"/>
        <v>0</v>
      </c>
      <c r="AL1042">
        <f t="shared" si="611"/>
        <v>0</v>
      </c>
      <c r="AM1042">
        <f t="shared" si="612"/>
        <v>0</v>
      </c>
      <c r="AN1042">
        <f t="shared" si="613"/>
        <v>0</v>
      </c>
      <c r="AO1042">
        <f t="shared" si="614"/>
        <v>0</v>
      </c>
      <c r="AP1042">
        <f t="shared" si="615"/>
        <v>0</v>
      </c>
      <c r="AQ1042">
        <f t="shared" si="616"/>
        <v>0</v>
      </c>
    </row>
    <row r="1043" spans="6:43" x14ac:dyDescent="0.45">
      <c r="F1043">
        <f t="shared" si="617"/>
        <v>0</v>
      </c>
      <c r="G1043">
        <f t="shared" si="618"/>
        <v>0</v>
      </c>
      <c r="H1043">
        <f t="shared" si="619"/>
        <v>0</v>
      </c>
      <c r="I1043">
        <f t="shared" si="620"/>
        <v>0</v>
      </c>
      <c r="J1043">
        <f t="shared" si="621"/>
        <v>0</v>
      </c>
      <c r="K1043">
        <f t="shared" si="622"/>
        <v>0</v>
      </c>
      <c r="L1043">
        <f t="shared" si="623"/>
        <v>0</v>
      </c>
      <c r="M1043">
        <f t="shared" si="624"/>
        <v>0</v>
      </c>
      <c r="N1043">
        <f t="shared" si="625"/>
        <v>0</v>
      </c>
      <c r="O1043">
        <f t="shared" si="626"/>
        <v>0</v>
      </c>
      <c r="P1043">
        <f t="shared" si="627"/>
        <v>0</v>
      </c>
      <c r="Q1043">
        <f t="shared" si="628"/>
        <v>0</v>
      </c>
      <c r="S1043">
        <f t="shared" si="593"/>
        <v>0</v>
      </c>
      <c r="T1043">
        <f t="shared" si="594"/>
        <v>0</v>
      </c>
      <c r="U1043">
        <f t="shared" si="595"/>
        <v>0</v>
      </c>
      <c r="V1043">
        <f t="shared" si="596"/>
        <v>0</v>
      </c>
      <c r="W1043">
        <f t="shared" si="597"/>
        <v>0</v>
      </c>
      <c r="X1043">
        <f t="shared" si="598"/>
        <v>0</v>
      </c>
      <c r="Y1043">
        <f t="shared" si="599"/>
        <v>0</v>
      </c>
      <c r="Z1043">
        <f t="shared" si="600"/>
        <v>0</v>
      </c>
      <c r="AA1043">
        <f t="shared" si="601"/>
        <v>0</v>
      </c>
      <c r="AB1043">
        <f t="shared" si="602"/>
        <v>0</v>
      </c>
      <c r="AC1043">
        <f t="shared" si="603"/>
        <v>0</v>
      </c>
      <c r="AD1043">
        <f t="shared" si="604"/>
        <v>0</v>
      </c>
      <c r="AF1043">
        <f t="shared" si="605"/>
        <v>0</v>
      </c>
      <c r="AG1043">
        <f t="shared" si="606"/>
        <v>0</v>
      </c>
      <c r="AH1043">
        <f t="shared" si="607"/>
        <v>0</v>
      </c>
      <c r="AI1043">
        <f t="shared" si="608"/>
        <v>0</v>
      </c>
      <c r="AJ1043">
        <f t="shared" si="609"/>
        <v>0</v>
      </c>
      <c r="AK1043">
        <f t="shared" si="610"/>
        <v>0</v>
      </c>
      <c r="AL1043">
        <f t="shared" si="611"/>
        <v>0</v>
      </c>
      <c r="AM1043">
        <f t="shared" si="612"/>
        <v>0</v>
      </c>
      <c r="AN1043">
        <f t="shared" si="613"/>
        <v>0</v>
      </c>
      <c r="AO1043">
        <f t="shared" si="614"/>
        <v>0</v>
      </c>
      <c r="AP1043">
        <f t="shared" si="615"/>
        <v>0</v>
      </c>
      <c r="AQ1043">
        <f t="shared" si="616"/>
        <v>0</v>
      </c>
    </row>
    <row r="1044" spans="6:43" x14ac:dyDescent="0.45">
      <c r="F1044">
        <f t="shared" si="617"/>
        <v>0</v>
      </c>
      <c r="G1044">
        <f t="shared" si="618"/>
        <v>0</v>
      </c>
      <c r="H1044">
        <f t="shared" si="619"/>
        <v>0</v>
      </c>
      <c r="I1044">
        <f t="shared" si="620"/>
        <v>0</v>
      </c>
      <c r="J1044">
        <f t="shared" si="621"/>
        <v>0</v>
      </c>
      <c r="K1044">
        <f t="shared" si="622"/>
        <v>0</v>
      </c>
      <c r="L1044">
        <f t="shared" si="623"/>
        <v>0</v>
      </c>
      <c r="M1044">
        <f t="shared" si="624"/>
        <v>0</v>
      </c>
      <c r="N1044">
        <f t="shared" si="625"/>
        <v>0</v>
      </c>
      <c r="O1044">
        <f t="shared" si="626"/>
        <v>0</v>
      </c>
      <c r="P1044">
        <f t="shared" si="627"/>
        <v>0</v>
      </c>
      <c r="Q1044">
        <f t="shared" si="628"/>
        <v>0</v>
      </c>
      <c r="S1044">
        <f t="shared" si="593"/>
        <v>0</v>
      </c>
      <c r="T1044">
        <f t="shared" si="594"/>
        <v>0</v>
      </c>
      <c r="U1044">
        <f t="shared" si="595"/>
        <v>0</v>
      </c>
      <c r="V1044">
        <f t="shared" si="596"/>
        <v>0</v>
      </c>
      <c r="W1044">
        <f t="shared" si="597"/>
        <v>0</v>
      </c>
      <c r="X1044">
        <f t="shared" si="598"/>
        <v>0</v>
      </c>
      <c r="Y1044">
        <f t="shared" si="599"/>
        <v>0</v>
      </c>
      <c r="Z1044">
        <f t="shared" si="600"/>
        <v>0</v>
      </c>
      <c r="AA1044">
        <f t="shared" si="601"/>
        <v>0</v>
      </c>
      <c r="AB1044">
        <f t="shared" si="602"/>
        <v>0</v>
      </c>
      <c r="AC1044">
        <f t="shared" si="603"/>
        <v>0</v>
      </c>
      <c r="AD1044">
        <f t="shared" si="604"/>
        <v>0</v>
      </c>
      <c r="AF1044">
        <f t="shared" si="605"/>
        <v>0</v>
      </c>
      <c r="AG1044">
        <f t="shared" si="606"/>
        <v>0</v>
      </c>
      <c r="AH1044">
        <f t="shared" si="607"/>
        <v>0</v>
      </c>
      <c r="AI1044">
        <f t="shared" si="608"/>
        <v>0</v>
      </c>
      <c r="AJ1044">
        <f t="shared" si="609"/>
        <v>0</v>
      </c>
      <c r="AK1044">
        <f t="shared" si="610"/>
        <v>0</v>
      </c>
      <c r="AL1044">
        <f t="shared" si="611"/>
        <v>0</v>
      </c>
      <c r="AM1044">
        <f t="shared" si="612"/>
        <v>0</v>
      </c>
      <c r="AN1044">
        <f t="shared" si="613"/>
        <v>0</v>
      </c>
      <c r="AO1044">
        <f t="shared" si="614"/>
        <v>0</v>
      </c>
      <c r="AP1044">
        <f t="shared" si="615"/>
        <v>0</v>
      </c>
      <c r="AQ1044">
        <f t="shared" si="616"/>
        <v>0</v>
      </c>
    </row>
    <row r="1045" spans="6:43" x14ac:dyDescent="0.45">
      <c r="F1045">
        <f t="shared" si="617"/>
        <v>0</v>
      </c>
      <c r="G1045">
        <f t="shared" si="618"/>
        <v>0</v>
      </c>
      <c r="H1045">
        <f t="shared" si="619"/>
        <v>0</v>
      </c>
      <c r="I1045">
        <f t="shared" si="620"/>
        <v>0</v>
      </c>
      <c r="J1045">
        <f t="shared" si="621"/>
        <v>0</v>
      </c>
      <c r="K1045">
        <f t="shared" si="622"/>
        <v>0</v>
      </c>
      <c r="L1045">
        <f t="shared" si="623"/>
        <v>0</v>
      </c>
      <c r="M1045">
        <f t="shared" si="624"/>
        <v>0</v>
      </c>
      <c r="N1045">
        <f t="shared" si="625"/>
        <v>0</v>
      </c>
      <c r="O1045">
        <f t="shared" si="626"/>
        <v>0</v>
      </c>
      <c r="P1045">
        <f t="shared" si="627"/>
        <v>0</v>
      </c>
      <c r="Q1045">
        <f t="shared" si="628"/>
        <v>0</v>
      </c>
      <c r="S1045">
        <f t="shared" si="593"/>
        <v>0</v>
      </c>
      <c r="T1045">
        <f t="shared" si="594"/>
        <v>0</v>
      </c>
      <c r="U1045">
        <f t="shared" si="595"/>
        <v>0</v>
      </c>
      <c r="V1045">
        <f t="shared" si="596"/>
        <v>0</v>
      </c>
      <c r="W1045">
        <f t="shared" si="597"/>
        <v>0</v>
      </c>
      <c r="X1045">
        <f t="shared" si="598"/>
        <v>0</v>
      </c>
      <c r="Y1045">
        <f t="shared" si="599"/>
        <v>0</v>
      </c>
      <c r="Z1045">
        <f t="shared" si="600"/>
        <v>0</v>
      </c>
      <c r="AA1045">
        <f t="shared" si="601"/>
        <v>0</v>
      </c>
      <c r="AB1045">
        <f t="shared" si="602"/>
        <v>0</v>
      </c>
      <c r="AC1045">
        <f t="shared" si="603"/>
        <v>0</v>
      </c>
      <c r="AD1045">
        <f t="shared" si="604"/>
        <v>0</v>
      </c>
      <c r="AF1045">
        <f t="shared" si="605"/>
        <v>0</v>
      </c>
      <c r="AG1045">
        <f t="shared" si="606"/>
        <v>0</v>
      </c>
      <c r="AH1045">
        <f t="shared" si="607"/>
        <v>0</v>
      </c>
      <c r="AI1045">
        <f t="shared" si="608"/>
        <v>0</v>
      </c>
      <c r="AJ1045">
        <f t="shared" si="609"/>
        <v>0</v>
      </c>
      <c r="AK1045">
        <f t="shared" si="610"/>
        <v>0</v>
      </c>
      <c r="AL1045">
        <f t="shared" si="611"/>
        <v>0</v>
      </c>
      <c r="AM1045">
        <f t="shared" si="612"/>
        <v>0</v>
      </c>
      <c r="AN1045">
        <f t="shared" si="613"/>
        <v>0</v>
      </c>
      <c r="AO1045">
        <f t="shared" si="614"/>
        <v>0</v>
      </c>
      <c r="AP1045">
        <f t="shared" si="615"/>
        <v>0</v>
      </c>
      <c r="AQ1045">
        <f t="shared" si="616"/>
        <v>0</v>
      </c>
    </row>
    <row r="1046" spans="6:43" x14ac:dyDescent="0.45">
      <c r="F1046">
        <f t="shared" si="617"/>
        <v>0</v>
      </c>
      <c r="G1046">
        <f t="shared" si="618"/>
        <v>0</v>
      </c>
      <c r="H1046">
        <f t="shared" si="619"/>
        <v>0</v>
      </c>
      <c r="I1046">
        <f t="shared" si="620"/>
        <v>0</v>
      </c>
      <c r="J1046">
        <f t="shared" si="621"/>
        <v>0</v>
      </c>
      <c r="K1046">
        <f t="shared" si="622"/>
        <v>0</v>
      </c>
      <c r="L1046">
        <f t="shared" si="623"/>
        <v>0</v>
      </c>
      <c r="M1046">
        <f t="shared" si="624"/>
        <v>0</v>
      </c>
      <c r="N1046">
        <f t="shared" si="625"/>
        <v>0</v>
      </c>
      <c r="O1046">
        <f t="shared" si="626"/>
        <v>0</v>
      </c>
      <c r="P1046">
        <f t="shared" si="627"/>
        <v>0</v>
      </c>
      <c r="Q1046">
        <f t="shared" si="628"/>
        <v>0</v>
      </c>
      <c r="S1046">
        <f t="shared" si="593"/>
        <v>0</v>
      </c>
      <c r="T1046">
        <f t="shared" si="594"/>
        <v>0</v>
      </c>
      <c r="U1046">
        <f t="shared" si="595"/>
        <v>0</v>
      </c>
      <c r="V1046">
        <f t="shared" si="596"/>
        <v>0</v>
      </c>
      <c r="W1046">
        <f t="shared" si="597"/>
        <v>0</v>
      </c>
      <c r="X1046">
        <f t="shared" si="598"/>
        <v>0</v>
      </c>
      <c r="Y1046">
        <f t="shared" si="599"/>
        <v>0</v>
      </c>
      <c r="Z1046">
        <f t="shared" si="600"/>
        <v>0</v>
      </c>
      <c r="AA1046">
        <f t="shared" si="601"/>
        <v>0</v>
      </c>
      <c r="AB1046">
        <f t="shared" si="602"/>
        <v>0</v>
      </c>
      <c r="AC1046">
        <f t="shared" si="603"/>
        <v>0</v>
      </c>
      <c r="AD1046">
        <f t="shared" si="604"/>
        <v>0</v>
      </c>
      <c r="AF1046">
        <f t="shared" si="605"/>
        <v>0</v>
      </c>
      <c r="AG1046">
        <f t="shared" si="606"/>
        <v>0</v>
      </c>
      <c r="AH1046">
        <f t="shared" si="607"/>
        <v>0</v>
      </c>
      <c r="AI1046">
        <f t="shared" si="608"/>
        <v>0</v>
      </c>
      <c r="AJ1046">
        <f t="shared" si="609"/>
        <v>0</v>
      </c>
      <c r="AK1046">
        <f t="shared" si="610"/>
        <v>0</v>
      </c>
      <c r="AL1046">
        <f t="shared" si="611"/>
        <v>0</v>
      </c>
      <c r="AM1046">
        <f t="shared" si="612"/>
        <v>0</v>
      </c>
      <c r="AN1046">
        <f t="shared" si="613"/>
        <v>0</v>
      </c>
      <c r="AO1046">
        <f t="shared" si="614"/>
        <v>0</v>
      </c>
      <c r="AP1046">
        <f t="shared" si="615"/>
        <v>0</v>
      </c>
      <c r="AQ1046">
        <f t="shared" si="616"/>
        <v>0</v>
      </c>
    </row>
    <row r="1047" spans="6:43" x14ac:dyDescent="0.45">
      <c r="F1047">
        <f t="shared" si="617"/>
        <v>0</v>
      </c>
      <c r="G1047">
        <f t="shared" si="618"/>
        <v>0</v>
      </c>
      <c r="H1047">
        <f t="shared" si="619"/>
        <v>0</v>
      </c>
      <c r="I1047">
        <f t="shared" si="620"/>
        <v>0</v>
      </c>
      <c r="J1047">
        <f t="shared" si="621"/>
        <v>0</v>
      </c>
      <c r="K1047">
        <f t="shared" si="622"/>
        <v>0</v>
      </c>
      <c r="L1047">
        <f t="shared" si="623"/>
        <v>0</v>
      </c>
      <c r="M1047">
        <f t="shared" si="624"/>
        <v>0</v>
      </c>
      <c r="N1047">
        <f t="shared" si="625"/>
        <v>0</v>
      </c>
      <c r="O1047">
        <f t="shared" si="626"/>
        <v>0</v>
      </c>
      <c r="P1047">
        <f t="shared" si="627"/>
        <v>0</v>
      </c>
      <c r="Q1047">
        <f t="shared" si="628"/>
        <v>0</v>
      </c>
      <c r="S1047">
        <f t="shared" si="593"/>
        <v>0</v>
      </c>
      <c r="T1047">
        <f t="shared" si="594"/>
        <v>0</v>
      </c>
      <c r="U1047">
        <f t="shared" si="595"/>
        <v>0</v>
      </c>
      <c r="V1047">
        <f t="shared" si="596"/>
        <v>0</v>
      </c>
      <c r="W1047">
        <f t="shared" si="597"/>
        <v>0</v>
      </c>
      <c r="X1047">
        <f t="shared" si="598"/>
        <v>0</v>
      </c>
      <c r="Y1047">
        <f t="shared" si="599"/>
        <v>0</v>
      </c>
      <c r="Z1047">
        <f t="shared" si="600"/>
        <v>0</v>
      </c>
      <c r="AA1047">
        <f t="shared" si="601"/>
        <v>0</v>
      </c>
      <c r="AB1047">
        <f t="shared" si="602"/>
        <v>0</v>
      </c>
      <c r="AC1047">
        <f t="shared" si="603"/>
        <v>0</v>
      </c>
      <c r="AD1047">
        <f t="shared" si="604"/>
        <v>0</v>
      </c>
      <c r="AF1047">
        <f t="shared" si="605"/>
        <v>0</v>
      </c>
      <c r="AG1047">
        <f t="shared" si="606"/>
        <v>0</v>
      </c>
      <c r="AH1047">
        <f t="shared" si="607"/>
        <v>0</v>
      </c>
      <c r="AI1047">
        <f t="shared" si="608"/>
        <v>0</v>
      </c>
      <c r="AJ1047">
        <f t="shared" si="609"/>
        <v>0</v>
      </c>
      <c r="AK1047">
        <f t="shared" si="610"/>
        <v>0</v>
      </c>
      <c r="AL1047">
        <f t="shared" si="611"/>
        <v>0</v>
      </c>
      <c r="AM1047">
        <f t="shared" si="612"/>
        <v>0</v>
      </c>
      <c r="AN1047">
        <f t="shared" si="613"/>
        <v>0</v>
      </c>
      <c r="AO1047">
        <f t="shared" si="614"/>
        <v>0</v>
      </c>
      <c r="AP1047">
        <f t="shared" si="615"/>
        <v>0</v>
      </c>
      <c r="AQ1047">
        <f t="shared" si="616"/>
        <v>0</v>
      </c>
    </row>
    <row r="1048" spans="6:43" x14ac:dyDescent="0.45">
      <c r="F1048">
        <f t="shared" si="617"/>
        <v>0</v>
      </c>
      <c r="G1048">
        <f t="shared" si="618"/>
        <v>0</v>
      </c>
      <c r="H1048">
        <f t="shared" si="619"/>
        <v>0</v>
      </c>
      <c r="I1048">
        <f t="shared" si="620"/>
        <v>0</v>
      </c>
      <c r="J1048">
        <f t="shared" si="621"/>
        <v>0</v>
      </c>
      <c r="K1048">
        <f t="shared" si="622"/>
        <v>0</v>
      </c>
      <c r="L1048">
        <f t="shared" si="623"/>
        <v>0</v>
      </c>
      <c r="M1048">
        <f t="shared" si="624"/>
        <v>0</v>
      </c>
      <c r="N1048">
        <f t="shared" si="625"/>
        <v>0</v>
      </c>
      <c r="O1048">
        <f t="shared" si="626"/>
        <v>0</v>
      </c>
      <c r="P1048">
        <f t="shared" si="627"/>
        <v>0</v>
      </c>
      <c r="Q1048">
        <f t="shared" si="628"/>
        <v>0</v>
      </c>
      <c r="S1048">
        <f t="shared" si="593"/>
        <v>0</v>
      </c>
      <c r="T1048">
        <f t="shared" si="594"/>
        <v>0</v>
      </c>
      <c r="U1048">
        <f t="shared" si="595"/>
        <v>0</v>
      </c>
      <c r="V1048">
        <f t="shared" si="596"/>
        <v>0</v>
      </c>
      <c r="W1048">
        <f t="shared" si="597"/>
        <v>0</v>
      </c>
      <c r="X1048">
        <f t="shared" si="598"/>
        <v>0</v>
      </c>
      <c r="Y1048">
        <f t="shared" si="599"/>
        <v>0</v>
      </c>
      <c r="Z1048">
        <f t="shared" si="600"/>
        <v>0</v>
      </c>
      <c r="AA1048">
        <f t="shared" si="601"/>
        <v>0</v>
      </c>
      <c r="AB1048">
        <f t="shared" si="602"/>
        <v>0</v>
      </c>
      <c r="AC1048">
        <f t="shared" si="603"/>
        <v>0</v>
      </c>
      <c r="AD1048">
        <f t="shared" si="604"/>
        <v>0</v>
      </c>
      <c r="AF1048">
        <f t="shared" si="605"/>
        <v>0</v>
      </c>
      <c r="AG1048">
        <f t="shared" si="606"/>
        <v>0</v>
      </c>
      <c r="AH1048">
        <f t="shared" si="607"/>
        <v>0</v>
      </c>
      <c r="AI1048">
        <f t="shared" si="608"/>
        <v>0</v>
      </c>
      <c r="AJ1048">
        <f t="shared" si="609"/>
        <v>0</v>
      </c>
      <c r="AK1048">
        <f t="shared" si="610"/>
        <v>0</v>
      </c>
      <c r="AL1048">
        <f t="shared" si="611"/>
        <v>0</v>
      </c>
      <c r="AM1048">
        <f t="shared" si="612"/>
        <v>0</v>
      </c>
      <c r="AN1048">
        <f t="shared" si="613"/>
        <v>0</v>
      </c>
      <c r="AO1048">
        <f t="shared" si="614"/>
        <v>0</v>
      </c>
      <c r="AP1048">
        <f t="shared" si="615"/>
        <v>0</v>
      </c>
      <c r="AQ1048">
        <f t="shared" si="616"/>
        <v>0</v>
      </c>
    </row>
    <row r="1049" spans="6:43" x14ac:dyDescent="0.45">
      <c r="F1049">
        <f t="shared" si="617"/>
        <v>0</v>
      </c>
      <c r="G1049">
        <f t="shared" si="618"/>
        <v>0</v>
      </c>
      <c r="H1049">
        <f t="shared" si="619"/>
        <v>0</v>
      </c>
      <c r="I1049">
        <f t="shared" si="620"/>
        <v>0</v>
      </c>
      <c r="J1049">
        <f t="shared" si="621"/>
        <v>0</v>
      </c>
      <c r="K1049">
        <f t="shared" si="622"/>
        <v>0</v>
      </c>
      <c r="L1049">
        <f t="shared" si="623"/>
        <v>0</v>
      </c>
      <c r="M1049">
        <f t="shared" si="624"/>
        <v>0</v>
      </c>
      <c r="N1049">
        <f t="shared" si="625"/>
        <v>0</v>
      </c>
      <c r="O1049">
        <f t="shared" si="626"/>
        <v>0</v>
      </c>
      <c r="P1049">
        <f t="shared" si="627"/>
        <v>0</v>
      </c>
      <c r="Q1049">
        <f t="shared" si="628"/>
        <v>0</v>
      </c>
      <c r="S1049">
        <f t="shared" si="593"/>
        <v>0</v>
      </c>
      <c r="T1049">
        <f t="shared" si="594"/>
        <v>0</v>
      </c>
      <c r="U1049">
        <f t="shared" si="595"/>
        <v>0</v>
      </c>
      <c r="V1049">
        <f t="shared" si="596"/>
        <v>0</v>
      </c>
      <c r="W1049">
        <f t="shared" si="597"/>
        <v>0</v>
      </c>
      <c r="X1049">
        <f t="shared" si="598"/>
        <v>0</v>
      </c>
      <c r="Y1049">
        <f t="shared" si="599"/>
        <v>0</v>
      </c>
      <c r="Z1049">
        <f t="shared" si="600"/>
        <v>0</v>
      </c>
      <c r="AA1049">
        <f t="shared" si="601"/>
        <v>0</v>
      </c>
      <c r="AB1049">
        <f t="shared" si="602"/>
        <v>0</v>
      </c>
      <c r="AC1049">
        <f t="shared" si="603"/>
        <v>0</v>
      </c>
      <c r="AD1049">
        <f t="shared" si="604"/>
        <v>0</v>
      </c>
      <c r="AF1049">
        <f t="shared" si="605"/>
        <v>0</v>
      </c>
      <c r="AG1049">
        <f t="shared" si="606"/>
        <v>0</v>
      </c>
      <c r="AH1049">
        <f t="shared" si="607"/>
        <v>0</v>
      </c>
      <c r="AI1049">
        <f t="shared" si="608"/>
        <v>0</v>
      </c>
      <c r="AJ1049">
        <f t="shared" si="609"/>
        <v>0</v>
      </c>
      <c r="AK1049">
        <f t="shared" si="610"/>
        <v>0</v>
      </c>
      <c r="AL1049">
        <f t="shared" si="611"/>
        <v>0</v>
      </c>
      <c r="AM1049">
        <f t="shared" si="612"/>
        <v>0</v>
      </c>
      <c r="AN1049">
        <f t="shared" si="613"/>
        <v>0</v>
      </c>
      <c r="AO1049">
        <f t="shared" si="614"/>
        <v>0</v>
      </c>
      <c r="AP1049">
        <f t="shared" si="615"/>
        <v>0</v>
      </c>
      <c r="AQ1049">
        <f t="shared" si="616"/>
        <v>0</v>
      </c>
    </row>
    <row r="1050" spans="6:43" x14ac:dyDescent="0.45">
      <c r="F1050">
        <f t="shared" si="617"/>
        <v>0</v>
      </c>
      <c r="G1050">
        <f t="shared" si="618"/>
        <v>0</v>
      </c>
      <c r="H1050">
        <f t="shared" si="619"/>
        <v>0</v>
      </c>
      <c r="I1050">
        <f t="shared" si="620"/>
        <v>0</v>
      </c>
      <c r="J1050">
        <f t="shared" si="621"/>
        <v>0</v>
      </c>
      <c r="K1050">
        <f t="shared" si="622"/>
        <v>0</v>
      </c>
      <c r="L1050">
        <f t="shared" si="623"/>
        <v>0</v>
      </c>
      <c r="M1050">
        <f t="shared" si="624"/>
        <v>0</v>
      </c>
      <c r="N1050">
        <f t="shared" si="625"/>
        <v>0</v>
      </c>
      <c r="O1050">
        <f t="shared" si="626"/>
        <v>0</v>
      </c>
      <c r="P1050">
        <f t="shared" si="627"/>
        <v>0</v>
      </c>
      <c r="Q1050">
        <f t="shared" si="628"/>
        <v>0</v>
      </c>
      <c r="S1050">
        <f t="shared" si="593"/>
        <v>0</v>
      </c>
      <c r="T1050">
        <f t="shared" si="594"/>
        <v>0</v>
      </c>
      <c r="U1050">
        <f t="shared" si="595"/>
        <v>0</v>
      </c>
      <c r="V1050">
        <f t="shared" si="596"/>
        <v>0</v>
      </c>
      <c r="W1050">
        <f t="shared" si="597"/>
        <v>0</v>
      </c>
      <c r="X1050">
        <f t="shared" si="598"/>
        <v>0</v>
      </c>
      <c r="Y1050">
        <f t="shared" si="599"/>
        <v>0</v>
      </c>
      <c r="Z1050">
        <f t="shared" si="600"/>
        <v>0</v>
      </c>
      <c r="AA1050">
        <f t="shared" si="601"/>
        <v>0</v>
      </c>
      <c r="AB1050">
        <f t="shared" si="602"/>
        <v>0</v>
      </c>
      <c r="AC1050">
        <f t="shared" si="603"/>
        <v>0</v>
      </c>
      <c r="AD1050">
        <f t="shared" si="604"/>
        <v>0</v>
      </c>
      <c r="AF1050">
        <f t="shared" si="605"/>
        <v>0</v>
      </c>
      <c r="AG1050">
        <f t="shared" si="606"/>
        <v>0</v>
      </c>
      <c r="AH1050">
        <f t="shared" si="607"/>
        <v>0</v>
      </c>
      <c r="AI1050">
        <f t="shared" si="608"/>
        <v>0</v>
      </c>
      <c r="AJ1050">
        <f t="shared" si="609"/>
        <v>0</v>
      </c>
      <c r="AK1050">
        <f t="shared" si="610"/>
        <v>0</v>
      </c>
      <c r="AL1050">
        <f t="shared" si="611"/>
        <v>0</v>
      </c>
      <c r="AM1050">
        <f t="shared" si="612"/>
        <v>0</v>
      </c>
      <c r="AN1050">
        <f t="shared" si="613"/>
        <v>0</v>
      </c>
      <c r="AO1050">
        <f t="shared" si="614"/>
        <v>0</v>
      </c>
      <c r="AP1050">
        <f t="shared" si="615"/>
        <v>0</v>
      </c>
      <c r="AQ1050">
        <f t="shared" si="616"/>
        <v>0</v>
      </c>
    </row>
    <row r="1051" spans="6:43" x14ac:dyDescent="0.45">
      <c r="F1051">
        <f t="shared" si="617"/>
        <v>0</v>
      </c>
      <c r="G1051">
        <f t="shared" si="618"/>
        <v>0</v>
      </c>
      <c r="H1051">
        <f t="shared" si="619"/>
        <v>0</v>
      </c>
      <c r="I1051">
        <f t="shared" si="620"/>
        <v>0</v>
      </c>
      <c r="J1051">
        <f t="shared" si="621"/>
        <v>0</v>
      </c>
      <c r="K1051">
        <f t="shared" si="622"/>
        <v>0</v>
      </c>
      <c r="L1051">
        <f t="shared" si="623"/>
        <v>0</v>
      </c>
      <c r="M1051">
        <f t="shared" si="624"/>
        <v>0</v>
      </c>
      <c r="N1051">
        <f t="shared" si="625"/>
        <v>0</v>
      </c>
      <c r="O1051">
        <f t="shared" si="626"/>
        <v>0</v>
      </c>
      <c r="P1051">
        <f t="shared" si="627"/>
        <v>0</v>
      </c>
      <c r="Q1051">
        <f t="shared" si="628"/>
        <v>0</v>
      </c>
      <c r="S1051">
        <f t="shared" si="593"/>
        <v>0</v>
      </c>
      <c r="T1051">
        <f t="shared" si="594"/>
        <v>0</v>
      </c>
      <c r="U1051">
        <f t="shared" si="595"/>
        <v>0</v>
      </c>
      <c r="V1051">
        <f t="shared" si="596"/>
        <v>0</v>
      </c>
      <c r="W1051">
        <f t="shared" si="597"/>
        <v>0</v>
      </c>
      <c r="X1051">
        <f t="shared" si="598"/>
        <v>0</v>
      </c>
      <c r="Y1051">
        <f t="shared" si="599"/>
        <v>0</v>
      </c>
      <c r="Z1051">
        <f t="shared" si="600"/>
        <v>0</v>
      </c>
      <c r="AA1051">
        <f t="shared" si="601"/>
        <v>0</v>
      </c>
      <c r="AB1051">
        <f t="shared" si="602"/>
        <v>0</v>
      </c>
      <c r="AC1051">
        <f t="shared" si="603"/>
        <v>0</v>
      </c>
      <c r="AD1051">
        <f t="shared" si="604"/>
        <v>0</v>
      </c>
      <c r="AF1051">
        <f t="shared" si="605"/>
        <v>0</v>
      </c>
      <c r="AG1051">
        <f t="shared" si="606"/>
        <v>0</v>
      </c>
      <c r="AH1051">
        <f t="shared" si="607"/>
        <v>0</v>
      </c>
      <c r="AI1051">
        <f t="shared" si="608"/>
        <v>0</v>
      </c>
      <c r="AJ1051">
        <f t="shared" si="609"/>
        <v>0</v>
      </c>
      <c r="AK1051">
        <f t="shared" si="610"/>
        <v>0</v>
      </c>
      <c r="AL1051">
        <f t="shared" si="611"/>
        <v>0</v>
      </c>
      <c r="AM1051">
        <f t="shared" si="612"/>
        <v>0</v>
      </c>
      <c r="AN1051">
        <f t="shared" si="613"/>
        <v>0</v>
      </c>
      <c r="AO1051">
        <f t="shared" si="614"/>
        <v>0</v>
      </c>
      <c r="AP1051">
        <f t="shared" si="615"/>
        <v>0</v>
      </c>
      <c r="AQ1051">
        <f t="shared" si="616"/>
        <v>0</v>
      </c>
    </row>
    <row r="1052" spans="6:43" x14ac:dyDescent="0.45">
      <c r="F1052">
        <f t="shared" si="617"/>
        <v>0</v>
      </c>
      <c r="G1052">
        <f t="shared" si="618"/>
        <v>0</v>
      </c>
      <c r="H1052">
        <f t="shared" si="619"/>
        <v>0</v>
      </c>
      <c r="I1052">
        <f t="shared" si="620"/>
        <v>0</v>
      </c>
      <c r="J1052">
        <f t="shared" si="621"/>
        <v>0</v>
      </c>
      <c r="K1052">
        <f t="shared" si="622"/>
        <v>0</v>
      </c>
      <c r="L1052">
        <f t="shared" si="623"/>
        <v>0</v>
      </c>
      <c r="M1052">
        <f t="shared" si="624"/>
        <v>0</v>
      </c>
      <c r="N1052">
        <f t="shared" si="625"/>
        <v>0</v>
      </c>
      <c r="O1052">
        <f t="shared" si="626"/>
        <v>0</v>
      </c>
      <c r="P1052">
        <f t="shared" si="627"/>
        <v>0</v>
      </c>
      <c r="Q1052">
        <f t="shared" si="628"/>
        <v>0</v>
      </c>
      <c r="S1052">
        <f t="shared" si="593"/>
        <v>0</v>
      </c>
      <c r="T1052">
        <f t="shared" si="594"/>
        <v>0</v>
      </c>
      <c r="U1052">
        <f t="shared" si="595"/>
        <v>0</v>
      </c>
      <c r="V1052">
        <f t="shared" si="596"/>
        <v>0</v>
      </c>
      <c r="W1052">
        <f t="shared" si="597"/>
        <v>0</v>
      </c>
      <c r="X1052">
        <f t="shared" si="598"/>
        <v>0</v>
      </c>
      <c r="Y1052">
        <f t="shared" si="599"/>
        <v>0</v>
      </c>
      <c r="Z1052">
        <f t="shared" si="600"/>
        <v>0</v>
      </c>
      <c r="AA1052">
        <f t="shared" si="601"/>
        <v>0</v>
      </c>
      <c r="AB1052">
        <f t="shared" si="602"/>
        <v>0</v>
      </c>
      <c r="AC1052">
        <f t="shared" si="603"/>
        <v>0</v>
      </c>
      <c r="AD1052">
        <f t="shared" si="604"/>
        <v>0</v>
      </c>
      <c r="AF1052">
        <f t="shared" si="605"/>
        <v>0</v>
      </c>
      <c r="AG1052">
        <f t="shared" si="606"/>
        <v>0</v>
      </c>
      <c r="AH1052">
        <f t="shared" si="607"/>
        <v>0</v>
      </c>
      <c r="AI1052">
        <f t="shared" si="608"/>
        <v>0</v>
      </c>
      <c r="AJ1052">
        <f t="shared" si="609"/>
        <v>0</v>
      </c>
      <c r="AK1052">
        <f t="shared" si="610"/>
        <v>0</v>
      </c>
      <c r="AL1052">
        <f t="shared" si="611"/>
        <v>0</v>
      </c>
      <c r="AM1052">
        <f t="shared" si="612"/>
        <v>0</v>
      </c>
      <c r="AN1052">
        <f t="shared" si="613"/>
        <v>0</v>
      </c>
      <c r="AO1052">
        <f t="shared" si="614"/>
        <v>0</v>
      </c>
      <c r="AP1052">
        <f t="shared" si="615"/>
        <v>0</v>
      </c>
      <c r="AQ1052">
        <f t="shared" si="616"/>
        <v>0</v>
      </c>
    </row>
    <row r="1053" spans="6:43" x14ac:dyDescent="0.45">
      <c r="F1053">
        <f t="shared" si="617"/>
        <v>0</v>
      </c>
      <c r="G1053">
        <f t="shared" si="618"/>
        <v>0</v>
      </c>
      <c r="H1053">
        <f t="shared" si="619"/>
        <v>0</v>
      </c>
      <c r="I1053">
        <f t="shared" si="620"/>
        <v>0</v>
      </c>
      <c r="J1053">
        <f t="shared" si="621"/>
        <v>0</v>
      </c>
      <c r="K1053">
        <f t="shared" si="622"/>
        <v>0</v>
      </c>
      <c r="L1053">
        <f t="shared" si="623"/>
        <v>0</v>
      </c>
      <c r="M1053">
        <f t="shared" si="624"/>
        <v>0</v>
      </c>
      <c r="N1053">
        <f t="shared" si="625"/>
        <v>0</v>
      </c>
      <c r="O1053">
        <f t="shared" si="626"/>
        <v>0</v>
      </c>
      <c r="P1053">
        <f t="shared" si="627"/>
        <v>0</v>
      </c>
      <c r="Q1053">
        <f t="shared" si="628"/>
        <v>0</v>
      </c>
      <c r="S1053">
        <f t="shared" si="593"/>
        <v>0</v>
      </c>
      <c r="T1053">
        <f t="shared" si="594"/>
        <v>0</v>
      </c>
      <c r="U1053">
        <f t="shared" si="595"/>
        <v>0</v>
      </c>
      <c r="V1053">
        <f t="shared" si="596"/>
        <v>0</v>
      </c>
      <c r="W1053">
        <f t="shared" si="597"/>
        <v>0</v>
      </c>
      <c r="X1053">
        <f t="shared" si="598"/>
        <v>0</v>
      </c>
      <c r="Y1053">
        <f t="shared" si="599"/>
        <v>0</v>
      </c>
      <c r="Z1053">
        <f t="shared" si="600"/>
        <v>0</v>
      </c>
      <c r="AA1053">
        <f t="shared" si="601"/>
        <v>0</v>
      </c>
      <c r="AB1053">
        <f t="shared" si="602"/>
        <v>0</v>
      </c>
      <c r="AC1053">
        <f t="shared" si="603"/>
        <v>0</v>
      </c>
      <c r="AD1053">
        <f t="shared" si="604"/>
        <v>0</v>
      </c>
      <c r="AF1053">
        <f t="shared" si="605"/>
        <v>0</v>
      </c>
      <c r="AG1053">
        <f t="shared" si="606"/>
        <v>0</v>
      </c>
      <c r="AH1053">
        <f t="shared" si="607"/>
        <v>0</v>
      </c>
      <c r="AI1053">
        <f t="shared" si="608"/>
        <v>0</v>
      </c>
      <c r="AJ1053">
        <f t="shared" si="609"/>
        <v>0</v>
      </c>
      <c r="AK1053">
        <f t="shared" si="610"/>
        <v>0</v>
      </c>
      <c r="AL1053">
        <f t="shared" si="611"/>
        <v>0</v>
      </c>
      <c r="AM1053">
        <f t="shared" si="612"/>
        <v>0</v>
      </c>
      <c r="AN1053">
        <f t="shared" si="613"/>
        <v>0</v>
      </c>
      <c r="AO1053">
        <f t="shared" si="614"/>
        <v>0</v>
      </c>
      <c r="AP1053">
        <f t="shared" si="615"/>
        <v>0</v>
      </c>
      <c r="AQ1053">
        <f t="shared" si="616"/>
        <v>0</v>
      </c>
    </row>
    <row r="1054" spans="6:43" x14ac:dyDescent="0.45">
      <c r="F1054">
        <f t="shared" si="617"/>
        <v>0</v>
      </c>
      <c r="G1054">
        <f t="shared" si="618"/>
        <v>0</v>
      </c>
      <c r="H1054">
        <f t="shared" si="619"/>
        <v>0</v>
      </c>
      <c r="I1054">
        <f t="shared" si="620"/>
        <v>0</v>
      </c>
      <c r="J1054">
        <f t="shared" si="621"/>
        <v>0</v>
      </c>
      <c r="K1054">
        <f t="shared" si="622"/>
        <v>0</v>
      </c>
      <c r="L1054">
        <f t="shared" si="623"/>
        <v>0</v>
      </c>
      <c r="M1054">
        <f t="shared" si="624"/>
        <v>0</v>
      </c>
      <c r="N1054">
        <f t="shared" si="625"/>
        <v>0</v>
      </c>
      <c r="O1054">
        <f t="shared" si="626"/>
        <v>0</v>
      </c>
      <c r="P1054">
        <f t="shared" si="627"/>
        <v>0</v>
      </c>
      <c r="Q1054">
        <f t="shared" si="628"/>
        <v>0</v>
      </c>
      <c r="S1054">
        <f t="shared" si="593"/>
        <v>0</v>
      </c>
      <c r="T1054">
        <f t="shared" si="594"/>
        <v>0</v>
      </c>
      <c r="U1054">
        <f t="shared" si="595"/>
        <v>0</v>
      </c>
      <c r="V1054">
        <f t="shared" si="596"/>
        <v>0</v>
      </c>
      <c r="W1054">
        <f t="shared" si="597"/>
        <v>0</v>
      </c>
      <c r="X1054">
        <f t="shared" si="598"/>
        <v>0</v>
      </c>
      <c r="Y1054">
        <f t="shared" si="599"/>
        <v>0</v>
      </c>
      <c r="Z1054">
        <f t="shared" si="600"/>
        <v>0</v>
      </c>
      <c r="AA1054">
        <f t="shared" si="601"/>
        <v>0</v>
      </c>
      <c r="AB1054">
        <f t="shared" si="602"/>
        <v>0</v>
      </c>
      <c r="AC1054">
        <f t="shared" si="603"/>
        <v>0</v>
      </c>
      <c r="AD1054">
        <f t="shared" si="604"/>
        <v>0</v>
      </c>
      <c r="AF1054">
        <f t="shared" si="605"/>
        <v>0</v>
      </c>
      <c r="AG1054">
        <f t="shared" si="606"/>
        <v>0</v>
      </c>
      <c r="AH1054">
        <f t="shared" si="607"/>
        <v>0</v>
      </c>
      <c r="AI1054">
        <f t="shared" si="608"/>
        <v>0</v>
      </c>
      <c r="AJ1054">
        <f t="shared" si="609"/>
        <v>0</v>
      </c>
      <c r="AK1054">
        <f t="shared" si="610"/>
        <v>0</v>
      </c>
      <c r="AL1054">
        <f t="shared" si="611"/>
        <v>0</v>
      </c>
      <c r="AM1054">
        <f t="shared" si="612"/>
        <v>0</v>
      </c>
      <c r="AN1054">
        <f t="shared" si="613"/>
        <v>0</v>
      </c>
      <c r="AO1054">
        <f t="shared" si="614"/>
        <v>0</v>
      </c>
      <c r="AP1054">
        <f t="shared" si="615"/>
        <v>0</v>
      </c>
      <c r="AQ1054">
        <f t="shared" si="616"/>
        <v>0</v>
      </c>
    </row>
    <row r="1055" spans="6:43" x14ac:dyDescent="0.45">
      <c r="F1055">
        <f t="shared" si="617"/>
        <v>0</v>
      </c>
      <c r="G1055">
        <f t="shared" si="618"/>
        <v>0</v>
      </c>
      <c r="H1055">
        <f t="shared" si="619"/>
        <v>0</v>
      </c>
      <c r="I1055">
        <f t="shared" si="620"/>
        <v>0</v>
      </c>
      <c r="J1055">
        <f t="shared" si="621"/>
        <v>0</v>
      </c>
      <c r="K1055">
        <f t="shared" si="622"/>
        <v>0</v>
      </c>
      <c r="L1055">
        <f t="shared" si="623"/>
        <v>0</v>
      </c>
      <c r="M1055">
        <f t="shared" si="624"/>
        <v>0</v>
      </c>
      <c r="N1055">
        <f t="shared" si="625"/>
        <v>0</v>
      </c>
      <c r="O1055">
        <f t="shared" si="626"/>
        <v>0</v>
      </c>
      <c r="P1055">
        <f t="shared" si="627"/>
        <v>0</v>
      </c>
      <c r="Q1055">
        <f t="shared" si="628"/>
        <v>0</v>
      </c>
      <c r="S1055">
        <f t="shared" si="593"/>
        <v>0</v>
      </c>
      <c r="T1055">
        <f t="shared" si="594"/>
        <v>0</v>
      </c>
      <c r="U1055">
        <f t="shared" si="595"/>
        <v>0</v>
      </c>
      <c r="V1055">
        <f t="shared" si="596"/>
        <v>0</v>
      </c>
      <c r="W1055">
        <f t="shared" si="597"/>
        <v>0</v>
      </c>
      <c r="X1055">
        <f t="shared" si="598"/>
        <v>0</v>
      </c>
      <c r="Y1055">
        <f t="shared" si="599"/>
        <v>0</v>
      </c>
      <c r="Z1055">
        <f t="shared" si="600"/>
        <v>0</v>
      </c>
      <c r="AA1055">
        <f t="shared" si="601"/>
        <v>0</v>
      </c>
      <c r="AB1055">
        <f t="shared" si="602"/>
        <v>0</v>
      </c>
      <c r="AC1055">
        <f t="shared" si="603"/>
        <v>0</v>
      </c>
      <c r="AD1055">
        <f t="shared" si="604"/>
        <v>0</v>
      </c>
      <c r="AF1055">
        <f t="shared" si="605"/>
        <v>0</v>
      </c>
      <c r="AG1055">
        <f t="shared" si="606"/>
        <v>0</v>
      </c>
      <c r="AH1055">
        <f t="shared" si="607"/>
        <v>0</v>
      </c>
      <c r="AI1055">
        <f t="shared" si="608"/>
        <v>0</v>
      </c>
      <c r="AJ1055">
        <f t="shared" si="609"/>
        <v>0</v>
      </c>
      <c r="AK1055">
        <f t="shared" si="610"/>
        <v>0</v>
      </c>
      <c r="AL1055">
        <f t="shared" si="611"/>
        <v>0</v>
      </c>
      <c r="AM1055">
        <f t="shared" si="612"/>
        <v>0</v>
      </c>
      <c r="AN1055">
        <f t="shared" si="613"/>
        <v>0</v>
      </c>
      <c r="AO1055">
        <f t="shared" si="614"/>
        <v>0</v>
      </c>
      <c r="AP1055">
        <f t="shared" si="615"/>
        <v>0</v>
      </c>
      <c r="AQ1055">
        <f t="shared" si="616"/>
        <v>0</v>
      </c>
    </row>
    <row r="1056" spans="6:43" x14ac:dyDescent="0.45">
      <c r="F1056">
        <f t="shared" si="617"/>
        <v>0</v>
      </c>
      <c r="G1056">
        <f t="shared" si="618"/>
        <v>0</v>
      </c>
      <c r="H1056">
        <f t="shared" si="619"/>
        <v>0</v>
      </c>
      <c r="I1056">
        <f t="shared" si="620"/>
        <v>0</v>
      </c>
      <c r="J1056">
        <f t="shared" si="621"/>
        <v>0</v>
      </c>
      <c r="K1056">
        <f t="shared" si="622"/>
        <v>0</v>
      </c>
      <c r="L1056">
        <f t="shared" si="623"/>
        <v>0</v>
      </c>
      <c r="M1056">
        <f t="shared" si="624"/>
        <v>0</v>
      </c>
      <c r="N1056">
        <f t="shared" si="625"/>
        <v>0</v>
      </c>
      <c r="O1056">
        <f t="shared" si="626"/>
        <v>0</v>
      </c>
      <c r="P1056">
        <f t="shared" si="627"/>
        <v>0</v>
      </c>
      <c r="Q1056">
        <f t="shared" si="628"/>
        <v>0</v>
      </c>
      <c r="S1056">
        <f t="shared" si="593"/>
        <v>0</v>
      </c>
      <c r="T1056">
        <f t="shared" si="594"/>
        <v>0</v>
      </c>
      <c r="U1056">
        <f t="shared" si="595"/>
        <v>0</v>
      </c>
      <c r="V1056">
        <f t="shared" si="596"/>
        <v>0</v>
      </c>
      <c r="W1056">
        <f t="shared" si="597"/>
        <v>0</v>
      </c>
      <c r="X1056">
        <f t="shared" si="598"/>
        <v>0</v>
      </c>
      <c r="Y1056">
        <f t="shared" si="599"/>
        <v>0</v>
      </c>
      <c r="Z1056">
        <f t="shared" si="600"/>
        <v>0</v>
      </c>
      <c r="AA1056">
        <f t="shared" si="601"/>
        <v>0</v>
      </c>
      <c r="AB1056">
        <f t="shared" si="602"/>
        <v>0</v>
      </c>
      <c r="AC1056">
        <f t="shared" si="603"/>
        <v>0</v>
      </c>
      <c r="AD1056">
        <f t="shared" si="604"/>
        <v>0</v>
      </c>
      <c r="AF1056">
        <f t="shared" si="605"/>
        <v>0</v>
      </c>
      <c r="AG1056">
        <f t="shared" si="606"/>
        <v>0</v>
      </c>
      <c r="AH1056">
        <f t="shared" si="607"/>
        <v>0</v>
      </c>
      <c r="AI1056">
        <f t="shared" si="608"/>
        <v>0</v>
      </c>
      <c r="AJ1056">
        <f t="shared" si="609"/>
        <v>0</v>
      </c>
      <c r="AK1056">
        <f t="shared" si="610"/>
        <v>0</v>
      </c>
      <c r="AL1056">
        <f t="shared" si="611"/>
        <v>0</v>
      </c>
      <c r="AM1056">
        <f t="shared" si="612"/>
        <v>0</v>
      </c>
      <c r="AN1056">
        <f t="shared" si="613"/>
        <v>0</v>
      </c>
      <c r="AO1056">
        <f t="shared" si="614"/>
        <v>0</v>
      </c>
      <c r="AP1056">
        <f t="shared" si="615"/>
        <v>0</v>
      </c>
      <c r="AQ1056">
        <f t="shared" si="616"/>
        <v>0</v>
      </c>
    </row>
    <row r="1057" spans="6:43" x14ac:dyDescent="0.45">
      <c r="F1057">
        <f t="shared" si="617"/>
        <v>0</v>
      </c>
      <c r="G1057">
        <f t="shared" si="618"/>
        <v>0</v>
      </c>
      <c r="H1057">
        <f t="shared" si="619"/>
        <v>0</v>
      </c>
      <c r="I1057">
        <f t="shared" si="620"/>
        <v>0</v>
      </c>
      <c r="J1057">
        <f t="shared" si="621"/>
        <v>0</v>
      </c>
      <c r="K1057">
        <f t="shared" si="622"/>
        <v>0</v>
      </c>
      <c r="L1057">
        <f t="shared" si="623"/>
        <v>0</v>
      </c>
      <c r="M1057">
        <f t="shared" si="624"/>
        <v>0</v>
      </c>
      <c r="N1057">
        <f t="shared" si="625"/>
        <v>0</v>
      </c>
      <c r="O1057">
        <f t="shared" si="626"/>
        <v>0</v>
      </c>
      <c r="P1057">
        <f t="shared" si="627"/>
        <v>0</v>
      </c>
      <c r="Q1057">
        <f t="shared" si="628"/>
        <v>0</v>
      </c>
      <c r="S1057">
        <f t="shared" si="593"/>
        <v>0</v>
      </c>
      <c r="T1057">
        <f t="shared" si="594"/>
        <v>0</v>
      </c>
      <c r="U1057">
        <f t="shared" si="595"/>
        <v>0</v>
      </c>
      <c r="V1057">
        <f t="shared" si="596"/>
        <v>0</v>
      </c>
      <c r="W1057">
        <f t="shared" si="597"/>
        <v>0</v>
      </c>
      <c r="X1057">
        <f t="shared" si="598"/>
        <v>0</v>
      </c>
      <c r="Y1057">
        <f t="shared" si="599"/>
        <v>0</v>
      </c>
      <c r="Z1057">
        <f t="shared" si="600"/>
        <v>0</v>
      </c>
      <c r="AA1057">
        <f t="shared" si="601"/>
        <v>0</v>
      </c>
      <c r="AB1057">
        <f t="shared" si="602"/>
        <v>0</v>
      </c>
      <c r="AC1057">
        <f t="shared" si="603"/>
        <v>0</v>
      </c>
      <c r="AD1057">
        <f t="shared" si="604"/>
        <v>0</v>
      </c>
      <c r="AF1057">
        <f t="shared" si="605"/>
        <v>0</v>
      </c>
      <c r="AG1057">
        <f t="shared" si="606"/>
        <v>0</v>
      </c>
      <c r="AH1057">
        <f t="shared" si="607"/>
        <v>0</v>
      </c>
      <c r="AI1057">
        <f t="shared" si="608"/>
        <v>0</v>
      </c>
      <c r="AJ1057">
        <f t="shared" si="609"/>
        <v>0</v>
      </c>
      <c r="AK1057">
        <f t="shared" si="610"/>
        <v>0</v>
      </c>
      <c r="AL1057">
        <f t="shared" si="611"/>
        <v>0</v>
      </c>
      <c r="AM1057">
        <f t="shared" si="612"/>
        <v>0</v>
      </c>
      <c r="AN1057">
        <f t="shared" si="613"/>
        <v>0</v>
      </c>
      <c r="AO1057">
        <f t="shared" si="614"/>
        <v>0</v>
      </c>
      <c r="AP1057">
        <f t="shared" si="615"/>
        <v>0</v>
      </c>
      <c r="AQ1057">
        <f t="shared" si="616"/>
        <v>0</v>
      </c>
    </row>
    <row r="1058" spans="6:43" x14ac:dyDescent="0.45">
      <c r="F1058">
        <f t="shared" si="617"/>
        <v>0</v>
      </c>
      <c r="G1058">
        <f t="shared" si="618"/>
        <v>0</v>
      </c>
      <c r="H1058">
        <f t="shared" si="619"/>
        <v>0</v>
      </c>
      <c r="I1058">
        <f t="shared" si="620"/>
        <v>0</v>
      </c>
      <c r="J1058">
        <f t="shared" si="621"/>
        <v>0</v>
      </c>
      <c r="K1058">
        <f t="shared" si="622"/>
        <v>0</v>
      </c>
      <c r="L1058">
        <f t="shared" si="623"/>
        <v>0</v>
      </c>
      <c r="M1058">
        <f t="shared" si="624"/>
        <v>0</v>
      </c>
      <c r="N1058">
        <f t="shared" si="625"/>
        <v>0</v>
      </c>
      <c r="O1058">
        <f t="shared" si="626"/>
        <v>0</v>
      </c>
      <c r="P1058">
        <f t="shared" si="627"/>
        <v>0</v>
      </c>
      <c r="Q1058">
        <f t="shared" si="628"/>
        <v>0</v>
      </c>
      <c r="S1058">
        <f t="shared" si="593"/>
        <v>0</v>
      </c>
      <c r="T1058">
        <f t="shared" si="594"/>
        <v>0</v>
      </c>
      <c r="U1058">
        <f t="shared" si="595"/>
        <v>0</v>
      </c>
      <c r="V1058">
        <f t="shared" si="596"/>
        <v>0</v>
      </c>
      <c r="W1058">
        <f t="shared" si="597"/>
        <v>0</v>
      </c>
      <c r="X1058">
        <f t="shared" si="598"/>
        <v>0</v>
      </c>
      <c r="Y1058">
        <f t="shared" si="599"/>
        <v>0</v>
      </c>
      <c r="Z1058">
        <f t="shared" si="600"/>
        <v>0</v>
      </c>
      <c r="AA1058">
        <f t="shared" si="601"/>
        <v>0</v>
      </c>
      <c r="AB1058">
        <f t="shared" si="602"/>
        <v>0</v>
      </c>
      <c r="AC1058">
        <f t="shared" si="603"/>
        <v>0</v>
      </c>
      <c r="AD1058">
        <f t="shared" si="604"/>
        <v>0</v>
      </c>
      <c r="AF1058">
        <f t="shared" si="605"/>
        <v>0</v>
      </c>
      <c r="AG1058">
        <f t="shared" si="606"/>
        <v>0</v>
      </c>
      <c r="AH1058">
        <f t="shared" si="607"/>
        <v>0</v>
      </c>
      <c r="AI1058">
        <f t="shared" si="608"/>
        <v>0</v>
      </c>
      <c r="AJ1058">
        <f t="shared" si="609"/>
        <v>0</v>
      </c>
      <c r="AK1058">
        <f t="shared" si="610"/>
        <v>0</v>
      </c>
      <c r="AL1058">
        <f t="shared" si="611"/>
        <v>0</v>
      </c>
      <c r="AM1058">
        <f t="shared" si="612"/>
        <v>0</v>
      </c>
      <c r="AN1058">
        <f t="shared" si="613"/>
        <v>0</v>
      </c>
      <c r="AO1058">
        <f t="shared" si="614"/>
        <v>0</v>
      </c>
      <c r="AP1058">
        <f t="shared" si="615"/>
        <v>0</v>
      </c>
      <c r="AQ1058">
        <f t="shared" si="616"/>
        <v>0</v>
      </c>
    </row>
    <row r="1059" spans="6:43" x14ac:dyDescent="0.45">
      <c r="F1059">
        <f t="shared" si="617"/>
        <v>0</v>
      </c>
      <c r="G1059">
        <f t="shared" si="618"/>
        <v>0</v>
      </c>
      <c r="H1059">
        <f t="shared" si="619"/>
        <v>0</v>
      </c>
      <c r="I1059">
        <f t="shared" si="620"/>
        <v>0</v>
      </c>
      <c r="J1059">
        <f t="shared" si="621"/>
        <v>0</v>
      </c>
      <c r="K1059">
        <f t="shared" si="622"/>
        <v>0</v>
      </c>
      <c r="L1059">
        <f t="shared" si="623"/>
        <v>0</v>
      </c>
      <c r="M1059">
        <f t="shared" si="624"/>
        <v>0</v>
      </c>
      <c r="N1059">
        <f t="shared" si="625"/>
        <v>0</v>
      </c>
      <c r="O1059">
        <f t="shared" si="626"/>
        <v>0</v>
      </c>
      <c r="P1059">
        <f t="shared" si="627"/>
        <v>0</v>
      </c>
      <c r="Q1059">
        <f t="shared" si="628"/>
        <v>0</v>
      </c>
      <c r="S1059">
        <f t="shared" si="593"/>
        <v>0</v>
      </c>
      <c r="T1059">
        <f t="shared" si="594"/>
        <v>0</v>
      </c>
      <c r="U1059">
        <f t="shared" si="595"/>
        <v>0</v>
      </c>
      <c r="V1059">
        <f t="shared" si="596"/>
        <v>0</v>
      </c>
      <c r="W1059">
        <f t="shared" si="597"/>
        <v>0</v>
      </c>
      <c r="X1059">
        <f t="shared" si="598"/>
        <v>0</v>
      </c>
      <c r="Y1059">
        <f t="shared" si="599"/>
        <v>0</v>
      </c>
      <c r="Z1059">
        <f t="shared" si="600"/>
        <v>0</v>
      </c>
      <c r="AA1059">
        <f t="shared" si="601"/>
        <v>0</v>
      </c>
      <c r="AB1059">
        <f t="shared" si="602"/>
        <v>0</v>
      </c>
      <c r="AC1059">
        <f t="shared" si="603"/>
        <v>0</v>
      </c>
      <c r="AD1059">
        <f t="shared" si="604"/>
        <v>0</v>
      </c>
      <c r="AF1059">
        <f t="shared" si="605"/>
        <v>0</v>
      </c>
      <c r="AG1059">
        <f t="shared" si="606"/>
        <v>0</v>
      </c>
      <c r="AH1059">
        <f t="shared" si="607"/>
        <v>0</v>
      </c>
      <c r="AI1059">
        <f t="shared" si="608"/>
        <v>0</v>
      </c>
      <c r="AJ1059">
        <f t="shared" si="609"/>
        <v>0</v>
      </c>
      <c r="AK1059">
        <f t="shared" si="610"/>
        <v>0</v>
      </c>
      <c r="AL1059">
        <f t="shared" si="611"/>
        <v>0</v>
      </c>
      <c r="AM1059">
        <f t="shared" si="612"/>
        <v>0</v>
      </c>
      <c r="AN1059">
        <f t="shared" si="613"/>
        <v>0</v>
      </c>
      <c r="AO1059">
        <f t="shared" si="614"/>
        <v>0</v>
      </c>
      <c r="AP1059">
        <f t="shared" si="615"/>
        <v>0</v>
      </c>
      <c r="AQ1059">
        <f t="shared" si="616"/>
        <v>0</v>
      </c>
    </row>
    <row r="1060" spans="6:43" x14ac:dyDescent="0.45">
      <c r="F1060">
        <f t="shared" si="617"/>
        <v>0</v>
      </c>
      <c r="G1060">
        <f t="shared" si="618"/>
        <v>0</v>
      </c>
      <c r="H1060">
        <f t="shared" si="619"/>
        <v>0</v>
      </c>
      <c r="I1060">
        <f t="shared" si="620"/>
        <v>0</v>
      </c>
      <c r="J1060">
        <f t="shared" si="621"/>
        <v>0</v>
      </c>
      <c r="K1060">
        <f t="shared" si="622"/>
        <v>0</v>
      </c>
      <c r="L1060">
        <f t="shared" si="623"/>
        <v>0</v>
      </c>
      <c r="M1060">
        <f t="shared" si="624"/>
        <v>0</v>
      </c>
      <c r="N1060">
        <f t="shared" si="625"/>
        <v>0</v>
      </c>
      <c r="O1060">
        <f t="shared" si="626"/>
        <v>0</v>
      </c>
      <c r="P1060">
        <f t="shared" si="627"/>
        <v>0</v>
      </c>
      <c r="Q1060">
        <f t="shared" si="628"/>
        <v>0</v>
      </c>
      <c r="S1060">
        <f t="shared" si="593"/>
        <v>0</v>
      </c>
      <c r="T1060">
        <f t="shared" si="594"/>
        <v>0</v>
      </c>
      <c r="U1060">
        <f t="shared" si="595"/>
        <v>0</v>
      </c>
      <c r="V1060">
        <f t="shared" si="596"/>
        <v>0</v>
      </c>
      <c r="W1060">
        <f t="shared" si="597"/>
        <v>0</v>
      </c>
      <c r="X1060">
        <f t="shared" si="598"/>
        <v>0</v>
      </c>
      <c r="Y1060">
        <f t="shared" si="599"/>
        <v>0</v>
      </c>
      <c r="Z1060">
        <f t="shared" si="600"/>
        <v>0</v>
      </c>
      <c r="AA1060">
        <f t="shared" si="601"/>
        <v>0</v>
      </c>
      <c r="AB1060">
        <f t="shared" si="602"/>
        <v>0</v>
      </c>
      <c r="AC1060">
        <f t="shared" si="603"/>
        <v>0</v>
      </c>
      <c r="AD1060">
        <f t="shared" si="604"/>
        <v>0</v>
      </c>
      <c r="AF1060">
        <f t="shared" si="605"/>
        <v>0</v>
      </c>
      <c r="AG1060">
        <f t="shared" si="606"/>
        <v>0</v>
      </c>
      <c r="AH1060">
        <f t="shared" si="607"/>
        <v>0</v>
      </c>
      <c r="AI1060">
        <f t="shared" si="608"/>
        <v>0</v>
      </c>
      <c r="AJ1060">
        <f t="shared" si="609"/>
        <v>0</v>
      </c>
      <c r="AK1060">
        <f t="shared" si="610"/>
        <v>0</v>
      </c>
      <c r="AL1060">
        <f t="shared" si="611"/>
        <v>0</v>
      </c>
      <c r="AM1060">
        <f t="shared" si="612"/>
        <v>0</v>
      </c>
      <c r="AN1060">
        <f t="shared" si="613"/>
        <v>0</v>
      </c>
      <c r="AO1060">
        <f t="shared" si="614"/>
        <v>0</v>
      </c>
      <c r="AP1060">
        <f t="shared" si="615"/>
        <v>0</v>
      </c>
      <c r="AQ1060">
        <f t="shared" si="616"/>
        <v>0</v>
      </c>
    </row>
    <row r="1061" spans="6:43" x14ac:dyDescent="0.45">
      <c r="F1061">
        <f t="shared" si="617"/>
        <v>0</v>
      </c>
      <c r="G1061">
        <f t="shared" si="618"/>
        <v>0</v>
      </c>
      <c r="H1061">
        <f t="shared" si="619"/>
        <v>0</v>
      </c>
      <c r="I1061">
        <f t="shared" si="620"/>
        <v>0</v>
      </c>
      <c r="J1061">
        <f t="shared" si="621"/>
        <v>0</v>
      </c>
      <c r="K1061">
        <f t="shared" si="622"/>
        <v>0</v>
      </c>
      <c r="L1061">
        <f t="shared" si="623"/>
        <v>0</v>
      </c>
      <c r="M1061">
        <f t="shared" si="624"/>
        <v>0</v>
      </c>
      <c r="N1061">
        <f t="shared" si="625"/>
        <v>0</v>
      </c>
      <c r="O1061">
        <f t="shared" si="626"/>
        <v>0</v>
      </c>
      <c r="P1061">
        <f t="shared" si="627"/>
        <v>0</v>
      </c>
      <c r="Q1061">
        <f t="shared" si="628"/>
        <v>0</v>
      </c>
      <c r="S1061">
        <f t="shared" si="593"/>
        <v>0</v>
      </c>
      <c r="T1061">
        <f t="shared" si="594"/>
        <v>0</v>
      </c>
      <c r="U1061">
        <f t="shared" si="595"/>
        <v>0</v>
      </c>
      <c r="V1061">
        <f t="shared" si="596"/>
        <v>0</v>
      </c>
      <c r="W1061">
        <f t="shared" si="597"/>
        <v>0</v>
      </c>
      <c r="X1061">
        <f t="shared" si="598"/>
        <v>0</v>
      </c>
      <c r="Y1061">
        <f t="shared" si="599"/>
        <v>0</v>
      </c>
      <c r="Z1061">
        <f t="shared" si="600"/>
        <v>0</v>
      </c>
      <c r="AA1061">
        <f t="shared" si="601"/>
        <v>0</v>
      </c>
      <c r="AB1061">
        <f t="shared" si="602"/>
        <v>0</v>
      </c>
      <c r="AC1061">
        <f t="shared" si="603"/>
        <v>0</v>
      </c>
      <c r="AD1061">
        <f t="shared" si="604"/>
        <v>0</v>
      </c>
      <c r="AF1061">
        <f t="shared" si="605"/>
        <v>0</v>
      </c>
      <c r="AG1061">
        <f t="shared" si="606"/>
        <v>0</v>
      </c>
      <c r="AH1061">
        <f t="shared" si="607"/>
        <v>0</v>
      </c>
      <c r="AI1061">
        <f t="shared" si="608"/>
        <v>0</v>
      </c>
      <c r="AJ1061">
        <f t="shared" si="609"/>
        <v>0</v>
      </c>
      <c r="AK1061">
        <f t="shared" si="610"/>
        <v>0</v>
      </c>
      <c r="AL1061">
        <f t="shared" si="611"/>
        <v>0</v>
      </c>
      <c r="AM1061">
        <f t="shared" si="612"/>
        <v>0</v>
      </c>
      <c r="AN1061">
        <f t="shared" si="613"/>
        <v>0</v>
      </c>
      <c r="AO1061">
        <f t="shared" si="614"/>
        <v>0</v>
      </c>
      <c r="AP1061">
        <f t="shared" si="615"/>
        <v>0</v>
      </c>
      <c r="AQ1061">
        <f t="shared" si="616"/>
        <v>0</v>
      </c>
    </row>
    <row r="1062" spans="6:43" x14ac:dyDescent="0.45">
      <c r="F1062">
        <f t="shared" si="617"/>
        <v>0</v>
      </c>
      <c r="G1062">
        <f t="shared" si="618"/>
        <v>0</v>
      </c>
      <c r="H1062">
        <f t="shared" si="619"/>
        <v>0</v>
      </c>
      <c r="I1062">
        <f t="shared" si="620"/>
        <v>0</v>
      </c>
      <c r="J1062">
        <f t="shared" si="621"/>
        <v>0</v>
      </c>
      <c r="K1062">
        <f t="shared" si="622"/>
        <v>0</v>
      </c>
      <c r="L1062">
        <f t="shared" si="623"/>
        <v>0</v>
      </c>
      <c r="M1062">
        <f t="shared" si="624"/>
        <v>0</v>
      </c>
      <c r="N1062">
        <f t="shared" si="625"/>
        <v>0</v>
      </c>
      <c r="O1062">
        <f t="shared" si="626"/>
        <v>0</v>
      </c>
      <c r="P1062">
        <f t="shared" si="627"/>
        <v>0</v>
      </c>
      <c r="Q1062">
        <f t="shared" si="628"/>
        <v>0</v>
      </c>
      <c r="S1062">
        <f t="shared" si="593"/>
        <v>0</v>
      </c>
      <c r="T1062">
        <f t="shared" si="594"/>
        <v>0</v>
      </c>
      <c r="U1062">
        <f t="shared" si="595"/>
        <v>0</v>
      </c>
      <c r="V1062">
        <f t="shared" si="596"/>
        <v>0</v>
      </c>
      <c r="W1062">
        <f t="shared" si="597"/>
        <v>0</v>
      </c>
      <c r="X1062">
        <f t="shared" si="598"/>
        <v>0</v>
      </c>
      <c r="Y1062">
        <f t="shared" si="599"/>
        <v>0</v>
      </c>
      <c r="Z1062">
        <f t="shared" si="600"/>
        <v>0</v>
      </c>
      <c r="AA1062">
        <f t="shared" si="601"/>
        <v>0</v>
      </c>
      <c r="AB1062">
        <f t="shared" si="602"/>
        <v>0</v>
      </c>
      <c r="AC1062">
        <f t="shared" si="603"/>
        <v>0</v>
      </c>
      <c r="AD1062">
        <f t="shared" si="604"/>
        <v>0</v>
      </c>
      <c r="AF1062">
        <f t="shared" si="605"/>
        <v>0</v>
      </c>
      <c r="AG1062">
        <f t="shared" si="606"/>
        <v>0</v>
      </c>
      <c r="AH1062">
        <f t="shared" si="607"/>
        <v>0</v>
      </c>
      <c r="AI1062">
        <f t="shared" si="608"/>
        <v>0</v>
      </c>
      <c r="AJ1062">
        <f t="shared" si="609"/>
        <v>0</v>
      </c>
      <c r="AK1062">
        <f t="shared" si="610"/>
        <v>0</v>
      </c>
      <c r="AL1062">
        <f t="shared" si="611"/>
        <v>0</v>
      </c>
      <c r="AM1062">
        <f t="shared" si="612"/>
        <v>0</v>
      </c>
      <c r="AN1062">
        <f t="shared" si="613"/>
        <v>0</v>
      </c>
      <c r="AO1062">
        <f t="shared" si="614"/>
        <v>0</v>
      </c>
      <c r="AP1062">
        <f t="shared" si="615"/>
        <v>0</v>
      </c>
      <c r="AQ1062">
        <f t="shared" si="616"/>
        <v>0</v>
      </c>
    </row>
    <row r="1063" spans="6:43" x14ac:dyDescent="0.45">
      <c r="F1063">
        <f t="shared" si="617"/>
        <v>0</v>
      </c>
      <c r="G1063">
        <f t="shared" si="618"/>
        <v>0</v>
      </c>
      <c r="H1063">
        <f t="shared" si="619"/>
        <v>0</v>
      </c>
      <c r="I1063">
        <f t="shared" si="620"/>
        <v>0</v>
      </c>
      <c r="J1063">
        <f t="shared" si="621"/>
        <v>0</v>
      </c>
      <c r="K1063">
        <f t="shared" si="622"/>
        <v>0</v>
      </c>
      <c r="L1063">
        <f t="shared" si="623"/>
        <v>0</v>
      </c>
      <c r="M1063">
        <f t="shared" si="624"/>
        <v>0</v>
      </c>
      <c r="N1063">
        <f t="shared" si="625"/>
        <v>0</v>
      </c>
      <c r="O1063">
        <f t="shared" si="626"/>
        <v>0</v>
      </c>
      <c r="P1063">
        <f t="shared" si="627"/>
        <v>0</v>
      </c>
      <c r="Q1063">
        <f t="shared" si="628"/>
        <v>0</v>
      </c>
      <c r="S1063">
        <f t="shared" si="593"/>
        <v>0</v>
      </c>
      <c r="T1063">
        <f t="shared" si="594"/>
        <v>0</v>
      </c>
      <c r="U1063">
        <f t="shared" si="595"/>
        <v>0</v>
      </c>
      <c r="V1063">
        <f t="shared" si="596"/>
        <v>0</v>
      </c>
      <c r="W1063">
        <f t="shared" si="597"/>
        <v>0</v>
      </c>
      <c r="X1063">
        <f t="shared" si="598"/>
        <v>0</v>
      </c>
      <c r="Y1063">
        <f t="shared" si="599"/>
        <v>0</v>
      </c>
      <c r="Z1063">
        <f t="shared" si="600"/>
        <v>0</v>
      </c>
      <c r="AA1063">
        <f t="shared" si="601"/>
        <v>0</v>
      </c>
      <c r="AB1063">
        <f t="shared" si="602"/>
        <v>0</v>
      </c>
      <c r="AC1063">
        <f t="shared" si="603"/>
        <v>0</v>
      </c>
      <c r="AD1063">
        <f t="shared" si="604"/>
        <v>0</v>
      </c>
      <c r="AF1063">
        <f t="shared" si="605"/>
        <v>0</v>
      </c>
      <c r="AG1063">
        <f t="shared" si="606"/>
        <v>0</v>
      </c>
      <c r="AH1063">
        <f t="shared" si="607"/>
        <v>0</v>
      </c>
      <c r="AI1063">
        <f t="shared" si="608"/>
        <v>0</v>
      </c>
      <c r="AJ1063">
        <f t="shared" si="609"/>
        <v>0</v>
      </c>
      <c r="AK1063">
        <f t="shared" si="610"/>
        <v>0</v>
      </c>
      <c r="AL1063">
        <f t="shared" si="611"/>
        <v>0</v>
      </c>
      <c r="AM1063">
        <f t="shared" si="612"/>
        <v>0</v>
      </c>
      <c r="AN1063">
        <f t="shared" si="613"/>
        <v>0</v>
      </c>
      <c r="AO1063">
        <f t="shared" si="614"/>
        <v>0</v>
      </c>
      <c r="AP1063">
        <f t="shared" si="615"/>
        <v>0</v>
      </c>
      <c r="AQ1063">
        <f t="shared" si="616"/>
        <v>0</v>
      </c>
    </row>
    <row r="1064" spans="6:43" x14ac:dyDescent="0.45">
      <c r="F1064">
        <f t="shared" si="617"/>
        <v>0</v>
      </c>
      <c r="G1064">
        <f t="shared" si="618"/>
        <v>0</v>
      </c>
      <c r="H1064">
        <f t="shared" si="619"/>
        <v>0</v>
      </c>
      <c r="I1064">
        <f t="shared" si="620"/>
        <v>0</v>
      </c>
      <c r="J1064">
        <f t="shared" si="621"/>
        <v>0</v>
      </c>
      <c r="K1064">
        <f t="shared" si="622"/>
        <v>0</v>
      </c>
      <c r="L1064">
        <f t="shared" si="623"/>
        <v>0</v>
      </c>
      <c r="M1064">
        <f t="shared" si="624"/>
        <v>0</v>
      </c>
      <c r="N1064">
        <f t="shared" si="625"/>
        <v>0</v>
      </c>
      <c r="O1064">
        <f t="shared" si="626"/>
        <v>0</v>
      </c>
      <c r="P1064">
        <f t="shared" si="627"/>
        <v>0</v>
      </c>
      <c r="Q1064">
        <f t="shared" si="628"/>
        <v>0</v>
      </c>
      <c r="S1064">
        <f t="shared" si="593"/>
        <v>0</v>
      </c>
      <c r="T1064">
        <f t="shared" si="594"/>
        <v>0</v>
      </c>
      <c r="U1064">
        <f t="shared" si="595"/>
        <v>0</v>
      </c>
      <c r="V1064">
        <f t="shared" si="596"/>
        <v>0</v>
      </c>
      <c r="W1064">
        <f t="shared" si="597"/>
        <v>0</v>
      </c>
      <c r="X1064">
        <f t="shared" si="598"/>
        <v>0</v>
      </c>
      <c r="Y1064">
        <f t="shared" si="599"/>
        <v>0</v>
      </c>
      <c r="Z1064">
        <f t="shared" si="600"/>
        <v>0</v>
      </c>
      <c r="AA1064">
        <f t="shared" si="601"/>
        <v>0</v>
      </c>
      <c r="AB1064">
        <f t="shared" si="602"/>
        <v>0</v>
      </c>
      <c r="AC1064">
        <f t="shared" si="603"/>
        <v>0</v>
      </c>
      <c r="AD1064">
        <f t="shared" si="604"/>
        <v>0</v>
      </c>
      <c r="AF1064">
        <f t="shared" si="605"/>
        <v>0</v>
      </c>
      <c r="AG1064">
        <f t="shared" si="606"/>
        <v>0</v>
      </c>
      <c r="AH1064">
        <f t="shared" si="607"/>
        <v>0</v>
      </c>
      <c r="AI1064">
        <f t="shared" si="608"/>
        <v>0</v>
      </c>
      <c r="AJ1064">
        <f t="shared" si="609"/>
        <v>0</v>
      </c>
      <c r="AK1064">
        <f t="shared" si="610"/>
        <v>0</v>
      </c>
      <c r="AL1064">
        <f t="shared" si="611"/>
        <v>0</v>
      </c>
      <c r="AM1064">
        <f t="shared" si="612"/>
        <v>0</v>
      </c>
      <c r="AN1064">
        <f t="shared" si="613"/>
        <v>0</v>
      </c>
      <c r="AO1064">
        <f t="shared" si="614"/>
        <v>0</v>
      </c>
      <c r="AP1064">
        <f t="shared" si="615"/>
        <v>0</v>
      </c>
      <c r="AQ1064">
        <f t="shared" si="616"/>
        <v>0</v>
      </c>
    </row>
    <row r="1065" spans="6:43" x14ac:dyDescent="0.45">
      <c r="F1065">
        <f t="shared" si="617"/>
        <v>0</v>
      </c>
      <c r="G1065">
        <f t="shared" si="618"/>
        <v>0</v>
      </c>
      <c r="H1065">
        <f t="shared" si="619"/>
        <v>0</v>
      </c>
      <c r="I1065">
        <f t="shared" si="620"/>
        <v>0</v>
      </c>
      <c r="J1065">
        <f t="shared" si="621"/>
        <v>0</v>
      </c>
      <c r="K1065">
        <f t="shared" si="622"/>
        <v>0</v>
      </c>
      <c r="L1065">
        <f t="shared" si="623"/>
        <v>0</v>
      </c>
      <c r="M1065">
        <f t="shared" si="624"/>
        <v>0</v>
      </c>
      <c r="N1065">
        <f t="shared" si="625"/>
        <v>0</v>
      </c>
      <c r="O1065">
        <f t="shared" si="626"/>
        <v>0</v>
      </c>
      <c r="P1065">
        <f t="shared" si="627"/>
        <v>0</v>
      </c>
      <c r="Q1065">
        <f t="shared" si="628"/>
        <v>0</v>
      </c>
      <c r="S1065">
        <f t="shared" si="593"/>
        <v>0</v>
      </c>
      <c r="T1065">
        <f t="shared" si="594"/>
        <v>0</v>
      </c>
      <c r="U1065">
        <f t="shared" si="595"/>
        <v>0</v>
      </c>
      <c r="V1065">
        <f t="shared" si="596"/>
        <v>0</v>
      </c>
      <c r="W1065">
        <f t="shared" si="597"/>
        <v>0</v>
      </c>
      <c r="X1065">
        <f t="shared" si="598"/>
        <v>0</v>
      </c>
      <c r="Y1065">
        <f t="shared" si="599"/>
        <v>0</v>
      </c>
      <c r="Z1065">
        <f t="shared" si="600"/>
        <v>0</v>
      </c>
      <c r="AA1065">
        <f t="shared" si="601"/>
        <v>0</v>
      </c>
      <c r="AB1065">
        <f t="shared" si="602"/>
        <v>0</v>
      </c>
      <c r="AC1065">
        <f t="shared" si="603"/>
        <v>0</v>
      </c>
      <c r="AD1065">
        <f t="shared" si="604"/>
        <v>0</v>
      </c>
      <c r="AF1065">
        <f t="shared" si="605"/>
        <v>0</v>
      </c>
      <c r="AG1065">
        <f t="shared" si="606"/>
        <v>0</v>
      </c>
      <c r="AH1065">
        <f t="shared" si="607"/>
        <v>0</v>
      </c>
      <c r="AI1065">
        <f t="shared" si="608"/>
        <v>0</v>
      </c>
      <c r="AJ1065">
        <f t="shared" si="609"/>
        <v>0</v>
      </c>
      <c r="AK1065">
        <f t="shared" si="610"/>
        <v>0</v>
      </c>
      <c r="AL1065">
        <f t="shared" si="611"/>
        <v>0</v>
      </c>
      <c r="AM1065">
        <f t="shared" si="612"/>
        <v>0</v>
      </c>
      <c r="AN1065">
        <f t="shared" si="613"/>
        <v>0</v>
      </c>
      <c r="AO1065">
        <f t="shared" si="614"/>
        <v>0</v>
      </c>
      <c r="AP1065">
        <f t="shared" si="615"/>
        <v>0</v>
      </c>
      <c r="AQ1065">
        <f t="shared" si="616"/>
        <v>0</v>
      </c>
    </row>
    <row r="1066" spans="6:43" x14ac:dyDescent="0.45">
      <c r="F1066">
        <f t="shared" si="617"/>
        <v>0</v>
      </c>
      <c r="G1066">
        <f t="shared" si="618"/>
        <v>0</v>
      </c>
      <c r="H1066">
        <f t="shared" si="619"/>
        <v>0</v>
      </c>
      <c r="I1066">
        <f t="shared" si="620"/>
        <v>0</v>
      </c>
      <c r="J1066">
        <f t="shared" si="621"/>
        <v>0</v>
      </c>
      <c r="K1066">
        <f t="shared" si="622"/>
        <v>0</v>
      </c>
      <c r="L1066">
        <f t="shared" si="623"/>
        <v>0</v>
      </c>
      <c r="M1066">
        <f t="shared" si="624"/>
        <v>0</v>
      </c>
      <c r="N1066">
        <f t="shared" si="625"/>
        <v>0</v>
      </c>
      <c r="O1066">
        <f t="shared" si="626"/>
        <v>0</v>
      </c>
      <c r="P1066">
        <f t="shared" si="627"/>
        <v>0</v>
      </c>
      <c r="Q1066">
        <f t="shared" si="628"/>
        <v>0</v>
      </c>
      <c r="S1066">
        <f t="shared" si="593"/>
        <v>0</v>
      </c>
      <c r="T1066">
        <f t="shared" si="594"/>
        <v>0</v>
      </c>
      <c r="U1066">
        <f t="shared" si="595"/>
        <v>0</v>
      </c>
      <c r="V1066">
        <f t="shared" si="596"/>
        <v>0</v>
      </c>
      <c r="W1066">
        <f t="shared" si="597"/>
        <v>0</v>
      </c>
      <c r="X1066">
        <f t="shared" si="598"/>
        <v>0</v>
      </c>
      <c r="Y1066">
        <f t="shared" si="599"/>
        <v>0</v>
      </c>
      <c r="Z1066">
        <f t="shared" si="600"/>
        <v>0</v>
      </c>
      <c r="AA1066">
        <f t="shared" si="601"/>
        <v>0</v>
      </c>
      <c r="AB1066">
        <f t="shared" si="602"/>
        <v>0</v>
      </c>
      <c r="AC1066">
        <f t="shared" si="603"/>
        <v>0</v>
      </c>
      <c r="AD1066">
        <f t="shared" si="604"/>
        <v>0</v>
      </c>
      <c r="AF1066">
        <f t="shared" si="605"/>
        <v>0</v>
      </c>
      <c r="AG1066">
        <f t="shared" si="606"/>
        <v>0</v>
      </c>
      <c r="AH1066">
        <f t="shared" si="607"/>
        <v>0</v>
      </c>
      <c r="AI1066">
        <f t="shared" si="608"/>
        <v>0</v>
      </c>
      <c r="AJ1066">
        <f t="shared" si="609"/>
        <v>0</v>
      </c>
      <c r="AK1066">
        <f t="shared" si="610"/>
        <v>0</v>
      </c>
      <c r="AL1066">
        <f t="shared" si="611"/>
        <v>0</v>
      </c>
      <c r="AM1066">
        <f t="shared" si="612"/>
        <v>0</v>
      </c>
      <c r="AN1066">
        <f t="shared" si="613"/>
        <v>0</v>
      </c>
      <c r="AO1066">
        <f t="shared" si="614"/>
        <v>0</v>
      </c>
      <c r="AP1066">
        <f t="shared" si="615"/>
        <v>0</v>
      </c>
      <c r="AQ1066">
        <f t="shared" si="616"/>
        <v>0</v>
      </c>
    </row>
    <row r="1067" spans="6:43" x14ac:dyDescent="0.45">
      <c r="F1067">
        <f t="shared" si="617"/>
        <v>0</v>
      </c>
      <c r="G1067">
        <f t="shared" si="618"/>
        <v>0</v>
      </c>
      <c r="H1067">
        <f t="shared" si="619"/>
        <v>0</v>
      </c>
      <c r="I1067">
        <f t="shared" si="620"/>
        <v>0</v>
      </c>
      <c r="J1067">
        <f t="shared" si="621"/>
        <v>0</v>
      </c>
      <c r="K1067">
        <f t="shared" si="622"/>
        <v>0</v>
      </c>
      <c r="L1067">
        <f t="shared" si="623"/>
        <v>0</v>
      </c>
      <c r="M1067">
        <f t="shared" si="624"/>
        <v>0</v>
      </c>
      <c r="N1067">
        <f t="shared" si="625"/>
        <v>0</v>
      </c>
      <c r="O1067">
        <f t="shared" si="626"/>
        <v>0</v>
      </c>
      <c r="P1067">
        <f t="shared" si="627"/>
        <v>0</v>
      </c>
      <c r="Q1067">
        <f t="shared" si="628"/>
        <v>0</v>
      </c>
      <c r="S1067">
        <f t="shared" ref="S1067:S1130" si="629">IF(F1067&gt;0,1,0)+S1068</f>
        <v>0</v>
      </c>
      <c r="T1067">
        <f t="shared" ref="T1067:T1130" si="630">IF(G1067&gt;0,1,0)+T1068</f>
        <v>0</v>
      </c>
      <c r="U1067">
        <f t="shared" ref="U1067:U1130" si="631">IF(H1067&gt;0,1,0)+U1068</f>
        <v>0</v>
      </c>
      <c r="V1067">
        <f t="shared" ref="V1067:V1130" si="632">IF(I1067&gt;0,1,0)+V1068</f>
        <v>0</v>
      </c>
      <c r="W1067">
        <f t="shared" ref="W1067:W1130" si="633">IF(J1067&gt;0,1,0)+W1068</f>
        <v>0</v>
      </c>
      <c r="X1067">
        <f t="shared" ref="X1067:X1130" si="634">IF(K1067&gt;0,1,0)+X1068</f>
        <v>0</v>
      </c>
      <c r="Y1067">
        <f t="shared" ref="Y1067:Y1130" si="635">IF(L1067&gt;0,1,0)+Y1068</f>
        <v>0</v>
      </c>
      <c r="Z1067">
        <f t="shared" ref="Z1067:Z1130" si="636">IF(M1067&gt;0,1,0)+Z1068</f>
        <v>0</v>
      </c>
      <c r="AA1067">
        <f t="shared" ref="AA1067:AA1130" si="637">IF(N1067&gt;0,1,0)+AA1068</f>
        <v>0</v>
      </c>
      <c r="AB1067">
        <f t="shared" ref="AB1067:AB1130" si="638">IF(O1067&gt;0,1,0)+AB1068</f>
        <v>0</v>
      </c>
      <c r="AC1067">
        <f t="shared" ref="AC1067:AC1130" si="639">IF(P1067&gt;0,1,0)+AC1068</f>
        <v>0</v>
      </c>
      <c r="AD1067">
        <f t="shared" ref="AD1067:AD1130" si="640">IF(Q1067&gt;0,1,0)+AD1068</f>
        <v>0</v>
      </c>
      <c r="AF1067">
        <f t="shared" ref="AF1067:AF1130" si="641">IF(S1067&lt;=$AT$1,F1067,0)</f>
        <v>0</v>
      </c>
      <c r="AG1067">
        <f t="shared" ref="AG1067:AG1130" si="642">IF(T1067&lt;=$AT$1,G1067,0)</f>
        <v>0</v>
      </c>
      <c r="AH1067">
        <f t="shared" ref="AH1067:AH1130" si="643">IF(U1067&lt;=$AT$1,H1067,0)</f>
        <v>0</v>
      </c>
      <c r="AI1067">
        <f t="shared" ref="AI1067:AI1130" si="644">IF(V1067&lt;=$AT$1,I1067,0)</f>
        <v>0</v>
      </c>
      <c r="AJ1067">
        <f t="shared" ref="AJ1067:AJ1130" si="645">IF(W1067&lt;=$AT$1,J1067,0)</f>
        <v>0</v>
      </c>
      <c r="AK1067">
        <f t="shared" ref="AK1067:AK1130" si="646">IF(X1067&lt;=$AT$1,K1067,0)</f>
        <v>0</v>
      </c>
      <c r="AL1067">
        <f t="shared" ref="AL1067:AL1130" si="647">IF(Y1067&lt;=$AT$1,L1067,0)</f>
        <v>0</v>
      </c>
      <c r="AM1067">
        <f t="shared" ref="AM1067:AM1130" si="648">IF(Z1067&lt;=$AT$1,M1067,0)</f>
        <v>0</v>
      </c>
      <c r="AN1067">
        <f t="shared" ref="AN1067:AN1130" si="649">IF(AA1067&lt;=$AT$1,N1067,0)</f>
        <v>0</v>
      </c>
      <c r="AO1067">
        <f t="shared" ref="AO1067:AO1130" si="650">IF(AB1067&lt;=$AT$1,O1067,0)</f>
        <v>0</v>
      </c>
      <c r="AP1067">
        <f t="shared" ref="AP1067:AP1130" si="651">IF(AC1067&lt;=$AT$1,P1067,0)</f>
        <v>0</v>
      </c>
      <c r="AQ1067">
        <f t="shared" ref="AQ1067:AQ1130" si="652">IF(AD1067&lt;=$AT$1,Q1067,0)</f>
        <v>0</v>
      </c>
    </row>
    <row r="1068" spans="6:43" x14ac:dyDescent="0.45">
      <c r="F1068">
        <f t="shared" si="617"/>
        <v>0</v>
      </c>
      <c r="G1068">
        <f t="shared" si="618"/>
        <v>0</v>
      </c>
      <c r="H1068">
        <f t="shared" si="619"/>
        <v>0</v>
      </c>
      <c r="I1068">
        <f t="shared" si="620"/>
        <v>0</v>
      </c>
      <c r="J1068">
        <f t="shared" si="621"/>
        <v>0</v>
      </c>
      <c r="K1068">
        <f t="shared" si="622"/>
        <v>0</v>
      </c>
      <c r="L1068">
        <f t="shared" si="623"/>
        <v>0</v>
      </c>
      <c r="M1068">
        <f t="shared" si="624"/>
        <v>0</v>
      </c>
      <c r="N1068">
        <f t="shared" si="625"/>
        <v>0</v>
      </c>
      <c r="O1068">
        <f t="shared" si="626"/>
        <v>0</v>
      </c>
      <c r="P1068">
        <f t="shared" si="627"/>
        <v>0</v>
      </c>
      <c r="Q1068">
        <f t="shared" si="628"/>
        <v>0</v>
      </c>
      <c r="S1068">
        <f t="shared" si="629"/>
        <v>0</v>
      </c>
      <c r="T1068">
        <f t="shared" si="630"/>
        <v>0</v>
      </c>
      <c r="U1068">
        <f t="shared" si="631"/>
        <v>0</v>
      </c>
      <c r="V1068">
        <f t="shared" si="632"/>
        <v>0</v>
      </c>
      <c r="W1068">
        <f t="shared" si="633"/>
        <v>0</v>
      </c>
      <c r="X1068">
        <f t="shared" si="634"/>
        <v>0</v>
      </c>
      <c r="Y1068">
        <f t="shared" si="635"/>
        <v>0</v>
      </c>
      <c r="Z1068">
        <f t="shared" si="636"/>
        <v>0</v>
      </c>
      <c r="AA1068">
        <f t="shared" si="637"/>
        <v>0</v>
      </c>
      <c r="AB1068">
        <f t="shared" si="638"/>
        <v>0</v>
      </c>
      <c r="AC1068">
        <f t="shared" si="639"/>
        <v>0</v>
      </c>
      <c r="AD1068">
        <f t="shared" si="640"/>
        <v>0</v>
      </c>
      <c r="AF1068">
        <f t="shared" si="641"/>
        <v>0</v>
      </c>
      <c r="AG1068">
        <f t="shared" si="642"/>
        <v>0</v>
      </c>
      <c r="AH1068">
        <f t="shared" si="643"/>
        <v>0</v>
      </c>
      <c r="AI1068">
        <f t="shared" si="644"/>
        <v>0</v>
      </c>
      <c r="AJ1068">
        <f t="shared" si="645"/>
        <v>0</v>
      </c>
      <c r="AK1068">
        <f t="shared" si="646"/>
        <v>0</v>
      </c>
      <c r="AL1068">
        <f t="shared" si="647"/>
        <v>0</v>
      </c>
      <c r="AM1068">
        <f t="shared" si="648"/>
        <v>0</v>
      </c>
      <c r="AN1068">
        <f t="shared" si="649"/>
        <v>0</v>
      </c>
      <c r="AO1068">
        <f t="shared" si="650"/>
        <v>0</v>
      </c>
      <c r="AP1068">
        <f t="shared" si="651"/>
        <v>0</v>
      </c>
      <c r="AQ1068">
        <f t="shared" si="652"/>
        <v>0</v>
      </c>
    </row>
    <row r="1069" spans="6:43" x14ac:dyDescent="0.45">
      <c r="F1069">
        <f t="shared" si="617"/>
        <v>0</v>
      </c>
      <c r="G1069">
        <f t="shared" si="618"/>
        <v>0</v>
      </c>
      <c r="H1069">
        <f t="shared" si="619"/>
        <v>0</v>
      </c>
      <c r="I1069">
        <f t="shared" si="620"/>
        <v>0</v>
      </c>
      <c r="J1069">
        <f t="shared" si="621"/>
        <v>0</v>
      </c>
      <c r="K1069">
        <f t="shared" si="622"/>
        <v>0</v>
      </c>
      <c r="L1069">
        <f t="shared" si="623"/>
        <v>0</v>
      </c>
      <c r="M1069">
        <f t="shared" si="624"/>
        <v>0</v>
      </c>
      <c r="N1069">
        <f t="shared" si="625"/>
        <v>0</v>
      </c>
      <c r="O1069">
        <f t="shared" si="626"/>
        <v>0</v>
      </c>
      <c r="P1069">
        <f t="shared" si="627"/>
        <v>0</v>
      </c>
      <c r="Q1069">
        <f t="shared" si="628"/>
        <v>0</v>
      </c>
      <c r="S1069">
        <f t="shared" si="629"/>
        <v>0</v>
      </c>
      <c r="T1069">
        <f t="shared" si="630"/>
        <v>0</v>
      </c>
      <c r="U1069">
        <f t="shared" si="631"/>
        <v>0</v>
      </c>
      <c r="V1069">
        <f t="shared" si="632"/>
        <v>0</v>
      </c>
      <c r="W1069">
        <f t="shared" si="633"/>
        <v>0</v>
      </c>
      <c r="X1069">
        <f t="shared" si="634"/>
        <v>0</v>
      </c>
      <c r="Y1069">
        <f t="shared" si="635"/>
        <v>0</v>
      </c>
      <c r="Z1069">
        <f t="shared" si="636"/>
        <v>0</v>
      </c>
      <c r="AA1069">
        <f t="shared" si="637"/>
        <v>0</v>
      </c>
      <c r="AB1069">
        <f t="shared" si="638"/>
        <v>0</v>
      </c>
      <c r="AC1069">
        <f t="shared" si="639"/>
        <v>0</v>
      </c>
      <c r="AD1069">
        <f t="shared" si="640"/>
        <v>0</v>
      </c>
      <c r="AF1069">
        <f t="shared" si="641"/>
        <v>0</v>
      </c>
      <c r="AG1069">
        <f t="shared" si="642"/>
        <v>0</v>
      </c>
      <c r="AH1069">
        <f t="shared" si="643"/>
        <v>0</v>
      </c>
      <c r="AI1069">
        <f t="shared" si="644"/>
        <v>0</v>
      </c>
      <c r="AJ1069">
        <f t="shared" si="645"/>
        <v>0</v>
      </c>
      <c r="AK1069">
        <f t="shared" si="646"/>
        <v>0</v>
      </c>
      <c r="AL1069">
        <f t="shared" si="647"/>
        <v>0</v>
      </c>
      <c r="AM1069">
        <f t="shared" si="648"/>
        <v>0</v>
      </c>
      <c r="AN1069">
        <f t="shared" si="649"/>
        <v>0</v>
      </c>
      <c r="AO1069">
        <f t="shared" si="650"/>
        <v>0</v>
      </c>
      <c r="AP1069">
        <f t="shared" si="651"/>
        <v>0</v>
      </c>
      <c r="AQ1069">
        <f t="shared" si="652"/>
        <v>0</v>
      </c>
    </row>
    <row r="1070" spans="6:43" x14ac:dyDescent="0.45">
      <c r="F1070">
        <f t="shared" si="617"/>
        <v>0</v>
      </c>
      <c r="G1070">
        <f t="shared" si="618"/>
        <v>0</v>
      </c>
      <c r="H1070">
        <f t="shared" si="619"/>
        <v>0</v>
      </c>
      <c r="I1070">
        <f t="shared" si="620"/>
        <v>0</v>
      </c>
      <c r="J1070">
        <f t="shared" si="621"/>
        <v>0</v>
      </c>
      <c r="K1070">
        <f t="shared" si="622"/>
        <v>0</v>
      </c>
      <c r="L1070">
        <f t="shared" si="623"/>
        <v>0</v>
      </c>
      <c r="M1070">
        <f t="shared" si="624"/>
        <v>0</v>
      </c>
      <c r="N1070">
        <f t="shared" si="625"/>
        <v>0</v>
      </c>
      <c r="O1070">
        <f t="shared" si="626"/>
        <v>0</v>
      </c>
      <c r="P1070">
        <f t="shared" si="627"/>
        <v>0</v>
      </c>
      <c r="Q1070">
        <f t="shared" si="628"/>
        <v>0</v>
      </c>
      <c r="S1070">
        <f t="shared" si="629"/>
        <v>0</v>
      </c>
      <c r="T1070">
        <f t="shared" si="630"/>
        <v>0</v>
      </c>
      <c r="U1070">
        <f t="shared" si="631"/>
        <v>0</v>
      </c>
      <c r="V1070">
        <f t="shared" si="632"/>
        <v>0</v>
      </c>
      <c r="W1070">
        <f t="shared" si="633"/>
        <v>0</v>
      </c>
      <c r="X1070">
        <f t="shared" si="634"/>
        <v>0</v>
      </c>
      <c r="Y1070">
        <f t="shared" si="635"/>
        <v>0</v>
      </c>
      <c r="Z1070">
        <f t="shared" si="636"/>
        <v>0</v>
      </c>
      <c r="AA1070">
        <f t="shared" si="637"/>
        <v>0</v>
      </c>
      <c r="AB1070">
        <f t="shared" si="638"/>
        <v>0</v>
      </c>
      <c r="AC1070">
        <f t="shared" si="639"/>
        <v>0</v>
      </c>
      <c r="AD1070">
        <f t="shared" si="640"/>
        <v>0</v>
      </c>
      <c r="AF1070">
        <f t="shared" si="641"/>
        <v>0</v>
      </c>
      <c r="AG1070">
        <f t="shared" si="642"/>
        <v>0</v>
      </c>
      <c r="AH1070">
        <f t="shared" si="643"/>
        <v>0</v>
      </c>
      <c r="AI1070">
        <f t="shared" si="644"/>
        <v>0</v>
      </c>
      <c r="AJ1070">
        <f t="shared" si="645"/>
        <v>0</v>
      </c>
      <c r="AK1070">
        <f t="shared" si="646"/>
        <v>0</v>
      </c>
      <c r="AL1070">
        <f t="shared" si="647"/>
        <v>0</v>
      </c>
      <c r="AM1070">
        <f t="shared" si="648"/>
        <v>0</v>
      </c>
      <c r="AN1070">
        <f t="shared" si="649"/>
        <v>0</v>
      </c>
      <c r="AO1070">
        <f t="shared" si="650"/>
        <v>0</v>
      </c>
      <c r="AP1070">
        <f t="shared" si="651"/>
        <v>0</v>
      </c>
      <c r="AQ1070">
        <f t="shared" si="652"/>
        <v>0</v>
      </c>
    </row>
    <row r="1071" spans="6:43" x14ac:dyDescent="0.45">
      <c r="F1071">
        <f t="shared" si="617"/>
        <v>0</v>
      </c>
      <c r="G1071">
        <f t="shared" si="618"/>
        <v>0</v>
      </c>
      <c r="H1071">
        <f t="shared" si="619"/>
        <v>0</v>
      </c>
      <c r="I1071">
        <f t="shared" si="620"/>
        <v>0</v>
      </c>
      <c r="J1071">
        <f t="shared" si="621"/>
        <v>0</v>
      </c>
      <c r="K1071">
        <f t="shared" si="622"/>
        <v>0</v>
      </c>
      <c r="L1071">
        <f t="shared" si="623"/>
        <v>0</v>
      </c>
      <c r="M1071">
        <f t="shared" si="624"/>
        <v>0</v>
      </c>
      <c r="N1071">
        <f t="shared" si="625"/>
        <v>0</v>
      </c>
      <c r="O1071">
        <f t="shared" si="626"/>
        <v>0</v>
      </c>
      <c r="P1071">
        <f t="shared" si="627"/>
        <v>0</v>
      </c>
      <c r="Q1071">
        <f t="shared" si="628"/>
        <v>0</v>
      </c>
      <c r="S1071">
        <f t="shared" si="629"/>
        <v>0</v>
      </c>
      <c r="T1071">
        <f t="shared" si="630"/>
        <v>0</v>
      </c>
      <c r="U1071">
        <f t="shared" si="631"/>
        <v>0</v>
      </c>
      <c r="V1071">
        <f t="shared" si="632"/>
        <v>0</v>
      </c>
      <c r="W1071">
        <f t="shared" si="633"/>
        <v>0</v>
      </c>
      <c r="X1071">
        <f t="shared" si="634"/>
        <v>0</v>
      </c>
      <c r="Y1071">
        <f t="shared" si="635"/>
        <v>0</v>
      </c>
      <c r="Z1071">
        <f t="shared" si="636"/>
        <v>0</v>
      </c>
      <c r="AA1071">
        <f t="shared" si="637"/>
        <v>0</v>
      </c>
      <c r="AB1071">
        <f t="shared" si="638"/>
        <v>0</v>
      </c>
      <c r="AC1071">
        <f t="shared" si="639"/>
        <v>0</v>
      </c>
      <c r="AD1071">
        <f t="shared" si="640"/>
        <v>0</v>
      </c>
      <c r="AF1071">
        <f t="shared" si="641"/>
        <v>0</v>
      </c>
      <c r="AG1071">
        <f t="shared" si="642"/>
        <v>0</v>
      </c>
      <c r="AH1071">
        <f t="shared" si="643"/>
        <v>0</v>
      </c>
      <c r="AI1071">
        <f t="shared" si="644"/>
        <v>0</v>
      </c>
      <c r="AJ1071">
        <f t="shared" si="645"/>
        <v>0</v>
      </c>
      <c r="AK1071">
        <f t="shared" si="646"/>
        <v>0</v>
      </c>
      <c r="AL1071">
        <f t="shared" si="647"/>
        <v>0</v>
      </c>
      <c r="AM1071">
        <f t="shared" si="648"/>
        <v>0</v>
      </c>
      <c r="AN1071">
        <f t="shared" si="649"/>
        <v>0</v>
      </c>
      <c r="AO1071">
        <f t="shared" si="650"/>
        <v>0</v>
      </c>
      <c r="AP1071">
        <f t="shared" si="651"/>
        <v>0</v>
      </c>
      <c r="AQ1071">
        <f t="shared" si="652"/>
        <v>0</v>
      </c>
    </row>
    <row r="1072" spans="6:43" x14ac:dyDescent="0.45">
      <c r="F1072">
        <f t="shared" si="617"/>
        <v>0</v>
      </c>
      <c r="G1072">
        <f t="shared" si="618"/>
        <v>0</v>
      </c>
      <c r="H1072">
        <f t="shared" si="619"/>
        <v>0</v>
      </c>
      <c r="I1072">
        <f t="shared" si="620"/>
        <v>0</v>
      </c>
      <c r="J1072">
        <f t="shared" si="621"/>
        <v>0</v>
      </c>
      <c r="K1072">
        <f t="shared" si="622"/>
        <v>0</v>
      </c>
      <c r="L1072">
        <f t="shared" si="623"/>
        <v>0</v>
      </c>
      <c r="M1072">
        <f t="shared" si="624"/>
        <v>0</v>
      </c>
      <c r="N1072">
        <f t="shared" si="625"/>
        <v>0</v>
      </c>
      <c r="O1072">
        <f t="shared" si="626"/>
        <v>0</v>
      </c>
      <c r="P1072">
        <f t="shared" si="627"/>
        <v>0</v>
      </c>
      <c r="Q1072">
        <f t="shared" si="628"/>
        <v>0</v>
      </c>
      <c r="S1072">
        <f t="shared" si="629"/>
        <v>0</v>
      </c>
      <c r="T1072">
        <f t="shared" si="630"/>
        <v>0</v>
      </c>
      <c r="U1072">
        <f t="shared" si="631"/>
        <v>0</v>
      </c>
      <c r="V1072">
        <f t="shared" si="632"/>
        <v>0</v>
      </c>
      <c r="W1072">
        <f t="shared" si="633"/>
        <v>0</v>
      </c>
      <c r="X1072">
        <f t="shared" si="634"/>
        <v>0</v>
      </c>
      <c r="Y1072">
        <f t="shared" si="635"/>
        <v>0</v>
      </c>
      <c r="Z1072">
        <f t="shared" si="636"/>
        <v>0</v>
      </c>
      <c r="AA1072">
        <f t="shared" si="637"/>
        <v>0</v>
      </c>
      <c r="AB1072">
        <f t="shared" si="638"/>
        <v>0</v>
      </c>
      <c r="AC1072">
        <f t="shared" si="639"/>
        <v>0</v>
      </c>
      <c r="AD1072">
        <f t="shared" si="640"/>
        <v>0</v>
      </c>
      <c r="AF1072">
        <f t="shared" si="641"/>
        <v>0</v>
      </c>
      <c r="AG1072">
        <f t="shared" si="642"/>
        <v>0</v>
      </c>
      <c r="AH1072">
        <f t="shared" si="643"/>
        <v>0</v>
      </c>
      <c r="AI1072">
        <f t="shared" si="644"/>
        <v>0</v>
      </c>
      <c r="AJ1072">
        <f t="shared" si="645"/>
        <v>0</v>
      </c>
      <c r="AK1072">
        <f t="shared" si="646"/>
        <v>0</v>
      </c>
      <c r="AL1072">
        <f t="shared" si="647"/>
        <v>0</v>
      </c>
      <c r="AM1072">
        <f t="shared" si="648"/>
        <v>0</v>
      </c>
      <c r="AN1072">
        <f t="shared" si="649"/>
        <v>0</v>
      </c>
      <c r="AO1072">
        <f t="shared" si="650"/>
        <v>0</v>
      </c>
      <c r="AP1072">
        <f t="shared" si="651"/>
        <v>0</v>
      </c>
      <c r="AQ1072">
        <f t="shared" si="652"/>
        <v>0</v>
      </c>
    </row>
    <row r="1073" spans="6:43" x14ac:dyDescent="0.45">
      <c r="F1073">
        <f t="shared" si="617"/>
        <v>0</v>
      </c>
      <c r="G1073">
        <f t="shared" si="618"/>
        <v>0</v>
      </c>
      <c r="H1073">
        <f t="shared" si="619"/>
        <v>0</v>
      </c>
      <c r="I1073">
        <f t="shared" si="620"/>
        <v>0</v>
      </c>
      <c r="J1073">
        <f t="shared" si="621"/>
        <v>0</v>
      </c>
      <c r="K1073">
        <f t="shared" si="622"/>
        <v>0</v>
      </c>
      <c r="L1073">
        <f t="shared" si="623"/>
        <v>0</v>
      </c>
      <c r="M1073">
        <f t="shared" si="624"/>
        <v>0</v>
      </c>
      <c r="N1073">
        <f t="shared" si="625"/>
        <v>0</v>
      </c>
      <c r="O1073">
        <f t="shared" si="626"/>
        <v>0</v>
      </c>
      <c r="P1073">
        <f t="shared" si="627"/>
        <v>0</v>
      </c>
      <c r="Q1073">
        <f t="shared" si="628"/>
        <v>0</v>
      </c>
      <c r="S1073">
        <f t="shared" si="629"/>
        <v>0</v>
      </c>
      <c r="T1073">
        <f t="shared" si="630"/>
        <v>0</v>
      </c>
      <c r="U1073">
        <f t="shared" si="631"/>
        <v>0</v>
      </c>
      <c r="V1073">
        <f t="shared" si="632"/>
        <v>0</v>
      </c>
      <c r="W1073">
        <f t="shared" si="633"/>
        <v>0</v>
      </c>
      <c r="X1073">
        <f t="shared" si="634"/>
        <v>0</v>
      </c>
      <c r="Y1073">
        <f t="shared" si="635"/>
        <v>0</v>
      </c>
      <c r="Z1073">
        <f t="shared" si="636"/>
        <v>0</v>
      </c>
      <c r="AA1073">
        <f t="shared" si="637"/>
        <v>0</v>
      </c>
      <c r="AB1073">
        <f t="shared" si="638"/>
        <v>0</v>
      </c>
      <c r="AC1073">
        <f t="shared" si="639"/>
        <v>0</v>
      </c>
      <c r="AD1073">
        <f t="shared" si="640"/>
        <v>0</v>
      </c>
      <c r="AF1073">
        <f t="shared" si="641"/>
        <v>0</v>
      </c>
      <c r="AG1073">
        <f t="shared" si="642"/>
        <v>0</v>
      </c>
      <c r="AH1073">
        <f t="shared" si="643"/>
        <v>0</v>
      </c>
      <c r="AI1073">
        <f t="shared" si="644"/>
        <v>0</v>
      </c>
      <c r="AJ1073">
        <f t="shared" si="645"/>
        <v>0</v>
      </c>
      <c r="AK1073">
        <f t="shared" si="646"/>
        <v>0</v>
      </c>
      <c r="AL1073">
        <f t="shared" si="647"/>
        <v>0</v>
      </c>
      <c r="AM1073">
        <f t="shared" si="648"/>
        <v>0</v>
      </c>
      <c r="AN1073">
        <f t="shared" si="649"/>
        <v>0</v>
      </c>
      <c r="AO1073">
        <f t="shared" si="650"/>
        <v>0</v>
      </c>
      <c r="AP1073">
        <f t="shared" si="651"/>
        <v>0</v>
      </c>
      <c r="AQ1073">
        <f t="shared" si="652"/>
        <v>0</v>
      </c>
    </row>
    <row r="1074" spans="6:43" x14ac:dyDescent="0.45">
      <c r="F1074">
        <f t="shared" si="617"/>
        <v>0</v>
      </c>
      <c r="G1074">
        <f t="shared" si="618"/>
        <v>0</v>
      </c>
      <c r="H1074">
        <f t="shared" si="619"/>
        <v>0</v>
      </c>
      <c r="I1074">
        <f t="shared" si="620"/>
        <v>0</v>
      </c>
      <c r="J1074">
        <f t="shared" si="621"/>
        <v>0</v>
      </c>
      <c r="K1074">
        <f t="shared" si="622"/>
        <v>0</v>
      </c>
      <c r="L1074">
        <f t="shared" si="623"/>
        <v>0</v>
      </c>
      <c r="M1074">
        <f t="shared" si="624"/>
        <v>0</v>
      </c>
      <c r="N1074">
        <f t="shared" si="625"/>
        <v>0</v>
      </c>
      <c r="O1074">
        <f t="shared" si="626"/>
        <v>0</v>
      </c>
      <c r="P1074">
        <f t="shared" si="627"/>
        <v>0</v>
      </c>
      <c r="Q1074">
        <f t="shared" si="628"/>
        <v>0</v>
      </c>
      <c r="S1074">
        <f t="shared" si="629"/>
        <v>0</v>
      </c>
      <c r="T1074">
        <f t="shared" si="630"/>
        <v>0</v>
      </c>
      <c r="U1074">
        <f t="shared" si="631"/>
        <v>0</v>
      </c>
      <c r="V1074">
        <f t="shared" si="632"/>
        <v>0</v>
      </c>
      <c r="W1074">
        <f t="shared" si="633"/>
        <v>0</v>
      </c>
      <c r="X1074">
        <f t="shared" si="634"/>
        <v>0</v>
      </c>
      <c r="Y1074">
        <f t="shared" si="635"/>
        <v>0</v>
      </c>
      <c r="Z1074">
        <f t="shared" si="636"/>
        <v>0</v>
      </c>
      <c r="AA1074">
        <f t="shared" si="637"/>
        <v>0</v>
      </c>
      <c r="AB1074">
        <f t="shared" si="638"/>
        <v>0</v>
      </c>
      <c r="AC1074">
        <f t="shared" si="639"/>
        <v>0</v>
      </c>
      <c r="AD1074">
        <f t="shared" si="640"/>
        <v>0</v>
      </c>
      <c r="AF1074">
        <f t="shared" si="641"/>
        <v>0</v>
      </c>
      <c r="AG1074">
        <f t="shared" si="642"/>
        <v>0</v>
      </c>
      <c r="AH1074">
        <f t="shared" si="643"/>
        <v>0</v>
      </c>
      <c r="AI1074">
        <f t="shared" si="644"/>
        <v>0</v>
      </c>
      <c r="AJ1074">
        <f t="shared" si="645"/>
        <v>0</v>
      </c>
      <c r="AK1074">
        <f t="shared" si="646"/>
        <v>0</v>
      </c>
      <c r="AL1074">
        <f t="shared" si="647"/>
        <v>0</v>
      </c>
      <c r="AM1074">
        <f t="shared" si="648"/>
        <v>0</v>
      </c>
      <c r="AN1074">
        <f t="shared" si="649"/>
        <v>0</v>
      </c>
      <c r="AO1074">
        <f t="shared" si="650"/>
        <v>0</v>
      </c>
      <c r="AP1074">
        <f t="shared" si="651"/>
        <v>0</v>
      </c>
      <c r="AQ1074">
        <f t="shared" si="652"/>
        <v>0</v>
      </c>
    </row>
    <row r="1075" spans="6:43" x14ac:dyDescent="0.45">
      <c r="F1075">
        <f t="shared" si="617"/>
        <v>0</v>
      </c>
      <c r="G1075">
        <f t="shared" si="618"/>
        <v>0</v>
      </c>
      <c r="H1075">
        <f t="shared" si="619"/>
        <v>0</v>
      </c>
      <c r="I1075">
        <f t="shared" si="620"/>
        <v>0</v>
      </c>
      <c r="J1075">
        <f t="shared" si="621"/>
        <v>0</v>
      </c>
      <c r="K1075">
        <f t="shared" si="622"/>
        <v>0</v>
      </c>
      <c r="L1075">
        <f t="shared" si="623"/>
        <v>0</v>
      </c>
      <c r="M1075">
        <f t="shared" si="624"/>
        <v>0</v>
      </c>
      <c r="N1075">
        <f t="shared" si="625"/>
        <v>0</v>
      </c>
      <c r="O1075">
        <f t="shared" si="626"/>
        <v>0</v>
      </c>
      <c r="P1075">
        <f t="shared" si="627"/>
        <v>0</v>
      </c>
      <c r="Q1075">
        <f t="shared" si="628"/>
        <v>0</v>
      </c>
      <c r="S1075">
        <f t="shared" si="629"/>
        <v>0</v>
      </c>
      <c r="T1075">
        <f t="shared" si="630"/>
        <v>0</v>
      </c>
      <c r="U1075">
        <f t="shared" si="631"/>
        <v>0</v>
      </c>
      <c r="V1075">
        <f t="shared" si="632"/>
        <v>0</v>
      </c>
      <c r="W1075">
        <f t="shared" si="633"/>
        <v>0</v>
      </c>
      <c r="X1075">
        <f t="shared" si="634"/>
        <v>0</v>
      </c>
      <c r="Y1075">
        <f t="shared" si="635"/>
        <v>0</v>
      </c>
      <c r="Z1075">
        <f t="shared" si="636"/>
        <v>0</v>
      </c>
      <c r="AA1075">
        <f t="shared" si="637"/>
        <v>0</v>
      </c>
      <c r="AB1075">
        <f t="shared" si="638"/>
        <v>0</v>
      </c>
      <c r="AC1075">
        <f t="shared" si="639"/>
        <v>0</v>
      </c>
      <c r="AD1075">
        <f t="shared" si="640"/>
        <v>0</v>
      </c>
      <c r="AF1075">
        <f t="shared" si="641"/>
        <v>0</v>
      </c>
      <c r="AG1075">
        <f t="shared" si="642"/>
        <v>0</v>
      </c>
      <c r="AH1075">
        <f t="shared" si="643"/>
        <v>0</v>
      </c>
      <c r="AI1075">
        <f t="shared" si="644"/>
        <v>0</v>
      </c>
      <c r="AJ1075">
        <f t="shared" si="645"/>
        <v>0</v>
      </c>
      <c r="AK1075">
        <f t="shared" si="646"/>
        <v>0</v>
      </c>
      <c r="AL1075">
        <f t="shared" si="647"/>
        <v>0</v>
      </c>
      <c r="AM1075">
        <f t="shared" si="648"/>
        <v>0</v>
      </c>
      <c r="AN1075">
        <f t="shared" si="649"/>
        <v>0</v>
      </c>
      <c r="AO1075">
        <f t="shared" si="650"/>
        <v>0</v>
      </c>
      <c r="AP1075">
        <f t="shared" si="651"/>
        <v>0</v>
      </c>
      <c r="AQ1075">
        <f t="shared" si="652"/>
        <v>0</v>
      </c>
    </row>
    <row r="1076" spans="6:43" x14ac:dyDescent="0.45">
      <c r="F1076">
        <f t="shared" si="617"/>
        <v>0</v>
      </c>
      <c r="G1076">
        <f t="shared" si="618"/>
        <v>0</v>
      </c>
      <c r="H1076">
        <f t="shared" si="619"/>
        <v>0</v>
      </c>
      <c r="I1076">
        <f t="shared" si="620"/>
        <v>0</v>
      </c>
      <c r="J1076">
        <f t="shared" si="621"/>
        <v>0</v>
      </c>
      <c r="K1076">
        <f t="shared" si="622"/>
        <v>0</v>
      </c>
      <c r="L1076">
        <f t="shared" si="623"/>
        <v>0</v>
      </c>
      <c r="M1076">
        <f t="shared" si="624"/>
        <v>0</v>
      </c>
      <c r="N1076">
        <f t="shared" si="625"/>
        <v>0</v>
      </c>
      <c r="O1076">
        <f t="shared" si="626"/>
        <v>0</v>
      </c>
      <c r="P1076">
        <f t="shared" si="627"/>
        <v>0</v>
      </c>
      <c r="Q1076">
        <f t="shared" si="628"/>
        <v>0</v>
      </c>
      <c r="S1076">
        <f t="shared" si="629"/>
        <v>0</v>
      </c>
      <c r="T1076">
        <f t="shared" si="630"/>
        <v>0</v>
      </c>
      <c r="U1076">
        <f t="shared" si="631"/>
        <v>0</v>
      </c>
      <c r="V1076">
        <f t="shared" si="632"/>
        <v>0</v>
      </c>
      <c r="W1076">
        <f t="shared" si="633"/>
        <v>0</v>
      </c>
      <c r="X1076">
        <f t="shared" si="634"/>
        <v>0</v>
      </c>
      <c r="Y1076">
        <f t="shared" si="635"/>
        <v>0</v>
      </c>
      <c r="Z1076">
        <f t="shared" si="636"/>
        <v>0</v>
      </c>
      <c r="AA1076">
        <f t="shared" si="637"/>
        <v>0</v>
      </c>
      <c r="AB1076">
        <f t="shared" si="638"/>
        <v>0</v>
      </c>
      <c r="AC1076">
        <f t="shared" si="639"/>
        <v>0</v>
      </c>
      <c r="AD1076">
        <f t="shared" si="640"/>
        <v>0</v>
      </c>
      <c r="AF1076">
        <f t="shared" si="641"/>
        <v>0</v>
      </c>
      <c r="AG1076">
        <f t="shared" si="642"/>
        <v>0</v>
      </c>
      <c r="AH1076">
        <f t="shared" si="643"/>
        <v>0</v>
      </c>
      <c r="AI1076">
        <f t="shared" si="644"/>
        <v>0</v>
      </c>
      <c r="AJ1076">
        <f t="shared" si="645"/>
        <v>0</v>
      </c>
      <c r="AK1076">
        <f t="shared" si="646"/>
        <v>0</v>
      </c>
      <c r="AL1076">
        <f t="shared" si="647"/>
        <v>0</v>
      </c>
      <c r="AM1076">
        <f t="shared" si="648"/>
        <v>0</v>
      </c>
      <c r="AN1076">
        <f t="shared" si="649"/>
        <v>0</v>
      </c>
      <c r="AO1076">
        <f t="shared" si="650"/>
        <v>0</v>
      </c>
      <c r="AP1076">
        <f t="shared" si="651"/>
        <v>0</v>
      </c>
      <c r="AQ1076">
        <f t="shared" si="652"/>
        <v>0</v>
      </c>
    </row>
    <row r="1077" spans="6:43" x14ac:dyDescent="0.45">
      <c r="F1077">
        <f t="shared" si="617"/>
        <v>0</v>
      </c>
      <c r="G1077">
        <f t="shared" si="618"/>
        <v>0</v>
      </c>
      <c r="H1077">
        <f t="shared" si="619"/>
        <v>0</v>
      </c>
      <c r="I1077">
        <f t="shared" si="620"/>
        <v>0</v>
      </c>
      <c r="J1077">
        <f t="shared" si="621"/>
        <v>0</v>
      </c>
      <c r="K1077">
        <f t="shared" si="622"/>
        <v>0</v>
      </c>
      <c r="L1077">
        <f t="shared" si="623"/>
        <v>0</v>
      </c>
      <c r="M1077">
        <f t="shared" si="624"/>
        <v>0</v>
      </c>
      <c r="N1077">
        <f t="shared" si="625"/>
        <v>0</v>
      </c>
      <c r="O1077">
        <f t="shared" si="626"/>
        <v>0</v>
      </c>
      <c r="P1077">
        <f t="shared" si="627"/>
        <v>0</v>
      </c>
      <c r="Q1077">
        <f t="shared" si="628"/>
        <v>0</v>
      </c>
      <c r="S1077">
        <f t="shared" si="629"/>
        <v>0</v>
      </c>
      <c r="T1077">
        <f t="shared" si="630"/>
        <v>0</v>
      </c>
      <c r="U1077">
        <f t="shared" si="631"/>
        <v>0</v>
      </c>
      <c r="V1077">
        <f t="shared" si="632"/>
        <v>0</v>
      </c>
      <c r="W1077">
        <f t="shared" si="633"/>
        <v>0</v>
      </c>
      <c r="X1077">
        <f t="shared" si="634"/>
        <v>0</v>
      </c>
      <c r="Y1077">
        <f t="shared" si="635"/>
        <v>0</v>
      </c>
      <c r="Z1077">
        <f t="shared" si="636"/>
        <v>0</v>
      </c>
      <c r="AA1077">
        <f t="shared" si="637"/>
        <v>0</v>
      </c>
      <c r="AB1077">
        <f t="shared" si="638"/>
        <v>0</v>
      </c>
      <c r="AC1077">
        <f t="shared" si="639"/>
        <v>0</v>
      </c>
      <c r="AD1077">
        <f t="shared" si="640"/>
        <v>0</v>
      </c>
      <c r="AF1077">
        <f t="shared" si="641"/>
        <v>0</v>
      </c>
      <c r="AG1077">
        <f t="shared" si="642"/>
        <v>0</v>
      </c>
      <c r="AH1077">
        <f t="shared" si="643"/>
        <v>0</v>
      </c>
      <c r="AI1077">
        <f t="shared" si="644"/>
        <v>0</v>
      </c>
      <c r="AJ1077">
        <f t="shared" si="645"/>
        <v>0</v>
      </c>
      <c r="AK1077">
        <f t="shared" si="646"/>
        <v>0</v>
      </c>
      <c r="AL1077">
        <f t="shared" si="647"/>
        <v>0</v>
      </c>
      <c r="AM1077">
        <f t="shared" si="648"/>
        <v>0</v>
      </c>
      <c r="AN1077">
        <f t="shared" si="649"/>
        <v>0</v>
      </c>
      <c r="AO1077">
        <f t="shared" si="650"/>
        <v>0</v>
      </c>
      <c r="AP1077">
        <f t="shared" si="651"/>
        <v>0</v>
      </c>
      <c r="AQ1077">
        <f t="shared" si="652"/>
        <v>0</v>
      </c>
    </row>
    <row r="1078" spans="6:43" x14ac:dyDescent="0.45">
      <c r="F1078">
        <f t="shared" si="617"/>
        <v>0</v>
      </c>
      <c r="G1078">
        <f t="shared" si="618"/>
        <v>0</v>
      </c>
      <c r="H1078">
        <f t="shared" si="619"/>
        <v>0</v>
      </c>
      <c r="I1078">
        <f t="shared" si="620"/>
        <v>0</v>
      </c>
      <c r="J1078">
        <f t="shared" si="621"/>
        <v>0</v>
      </c>
      <c r="K1078">
        <f t="shared" si="622"/>
        <v>0</v>
      </c>
      <c r="L1078">
        <f t="shared" si="623"/>
        <v>0</v>
      </c>
      <c r="M1078">
        <f t="shared" si="624"/>
        <v>0</v>
      </c>
      <c r="N1078">
        <f t="shared" si="625"/>
        <v>0</v>
      </c>
      <c r="O1078">
        <f t="shared" si="626"/>
        <v>0</v>
      </c>
      <c r="P1078">
        <f t="shared" si="627"/>
        <v>0</v>
      </c>
      <c r="Q1078">
        <f t="shared" si="628"/>
        <v>0</v>
      </c>
      <c r="S1078">
        <f t="shared" si="629"/>
        <v>0</v>
      </c>
      <c r="T1078">
        <f t="shared" si="630"/>
        <v>0</v>
      </c>
      <c r="U1078">
        <f t="shared" si="631"/>
        <v>0</v>
      </c>
      <c r="V1078">
        <f t="shared" si="632"/>
        <v>0</v>
      </c>
      <c r="W1078">
        <f t="shared" si="633"/>
        <v>0</v>
      </c>
      <c r="X1078">
        <f t="shared" si="634"/>
        <v>0</v>
      </c>
      <c r="Y1078">
        <f t="shared" si="635"/>
        <v>0</v>
      </c>
      <c r="Z1078">
        <f t="shared" si="636"/>
        <v>0</v>
      </c>
      <c r="AA1078">
        <f t="shared" si="637"/>
        <v>0</v>
      </c>
      <c r="AB1078">
        <f t="shared" si="638"/>
        <v>0</v>
      </c>
      <c r="AC1078">
        <f t="shared" si="639"/>
        <v>0</v>
      </c>
      <c r="AD1078">
        <f t="shared" si="640"/>
        <v>0</v>
      </c>
      <c r="AF1078">
        <f t="shared" si="641"/>
        <v>0</v>
      </c>
      <c r="AG1078">
        <f t="shared" si="642"/>
        <v>0</v>
      </c>
      <c r="AH1078">
        <f t="shared" si="643"/>
        <v>0</v>
      </c>
      <c r="AI1078">
        <f t="shared" si="644"/>
        <v>0</v>
      </c>
      <c r="AJ1078">
        <f t="shared" si="645"/>
        <v>0</v>
      </c>
      <c r="AK1078">
        <f t="shared" si="646"/>
        <v>0</v>
      </c>
      <c r="AL1078">
        <f t="shared" si="647"/>
        <v>0</v>
      </c>
      <c r="AM1078">
        <f t="shared" si="648"/>
        <v>0</v>
      </c>
      <c r="AN1078">
        <f t="shared" si="649"/>
        <v>0</v>
      </c>
      <c r="AO1078">
        <f t="shared" si="650"/>
        <v>0</v>
      </c>
      <c r="AP1078">
        <f t="shared" si="651"/>
        <v>0</v>
      </c>
      <c r="AQ1078">
        <f t="shared" si="652"/>
        <v>0</v>
      </c>
    </row>
    <row r="1079" spans="6:43" x14ac:dyDescent="0.45">
      <c r="F1079">
        <f t="shared" si="617"/>
        <v>0</v>
      </c>
      <c r="G1079">
        <f t="shared" si="618"/>
        <v>0</v>
      </c>
      <c r="H1079">
        <f t="shared" si="619"/>
        <v>0</v>
      </c>
      <c r="I1079">
        <f t="shared" si="620"/>
        <v>0</v>
      </c>
      <c r="J1079">
        <f t="shared" si="621"/>
        <v>0</v>
      </c>
      <c r="K1079">
        <f t="shared" si="622"/>
        <v>0</v>
      </c>
      <c r="L1079">
        <f t="shared" si="623"/>
        <v>0</v>
      </c>
      <c r="M1079">
        <f t="shared" si="624"/>
        <v>0</v>
      </c>
      <c r="N1079">
        <f t="shared" si="625"/>
        <v>0</v>
      </c>
      <c r="O1079">
        <f t="shared" si="626"/>
        <v>0</v>
      </c>
      <c r="P1079">
        <f t="shared" si="627"/>
        <v>0</v>
      </c>
      <c r="Q1079">
        <f t="shared" si="628"/>
        <v>0</v>
      </c>
      <c r="S1079">
        <f t="shared" si="629"/>
        <v>0</v>
      </c>
      <c r="T1079">
        <f t="shared" si="630"/>
        <v>0</v>
      </c>
      <c r="U1079">
        <f t="shared" si="631"/>
        <v>0</v>
      </c>
      <c r="V1079">
        <f t="shared" si="632"/>
        <v>0</v>
      </c>
      <c r="W1079">
        <f t="shared" si="633"/>
        <v>0</v>
      </c>
      <c r="X1079">
        <f t="shared" si="634"/>
        <v>0</v>
      </c>
      <c r="Y1079">
        <f t="shared" si="635"/>
        <v>0</v>
      </c>
      <c r="Z1079">
        <f t="shared" si="636"/>
        <v>0</v>
      </c>
      <c r="AA1079">
        <f t="shared" si="637"/>
        <v>0</v>
      </c>
      <c r="AB1079">
        <f t="shared" si="638"/>
        <v>0</v>
      </c>
      <c r="AC1079">
        <f t="shared" si="639"/>
        <v>0</v>
      </c>
      <c r="AD1079">
        <f t="shared" si="640"/>
        <v>0</v>
      </c>
      <c r="AF1079">
        <f t="shared" si="641"/>
        <v>0</v>
      </c>
      <c r="AG1079">
        <f t="shared" si="642"/>
        <v>0</v>
      </c>
      <c r="AH1079">
        <f t="shared" si="643"/>
        <v>0</v>
      </c>
      <c r="AI1079">
        <f t="shared" si="644"/>
        <v>0</v>
      </c>
      <c r="AJ1079">
        <f t="shared" si="645"/>
        <v>0</v>
      </c>
      <c r="AK1079">
        <f t="shared" si="646"/>
        <v>0</v>
      </c>
      <c r="AL1079">
        <f t="shared" si="647"/>
        <v>0</v>
      </c>
      <c r="AM1079">
        <f t="shared" si="648"/>
        <v>0</v>
      </c>
      <c r="AN1079">
        <f t="shared" si="649"/>
        <v>0</v>
      </c>
      <c r="AO1079">
        <f t="shared" si="650"/>
        <v>0</v>
      </c>
      <c r="AP1079">
        <f t="shared" si="651"/>
        <v>0</v>
      </c>
      <c r="AQ1079">
        <f t="shared" si="652"/>
        <v>0</v>
      </c>
    </row>
    <row r="1080" spans="6:43" x14ac:dyDescent="0.45">
      <c r="F1080">
        <f t="shared" si="617"/>
        <v>0</v>
      </c>
      <c r="G1080">
        <f t="shared" si="618"/>
        <v>0</v>
      </c>
      <c r="H1080">
        <f t="shared" si="619"/>
        <v>0</v>
      </c>
      <c r="I1080">
        <f t="shared" si="620"/>
        <v>0</v>
      </c>
      <c r="J1080">
        <f t="shared" si="621"/>
        <v>0</v>
      </c>
      <c r="K1080">
        <f t="shared" si="622"/>
        <v>0</v>
      </c>
      <c r="L1080">
        <f t="shared" si="623"/>
        <v>0</v>
      </c>
      <c r="M1080">
        <f t="shared" si="624"/>
        <v>0</v>
      </c>
      <c r="N1080">
        <f t="shared" si="625"/>
        <v>0</v>
      </c>
      <c r="O1080">
        <f t="shared" si="626"/>
        <v>0</v>
      </c>
      <c r="P1080">
        <f t="shared" si="627"/>
        <v>0</v>
      </c>
      <c r="Q1080">
        <f t="shared" si="628"/>
        <v>0</v>
      </c>
      <c r="S1080">
        <f t="shared" si="629"/>
        <v>0</v>
      </c>
      <c r="T1080">
        <f t="shared" si="630"/>
        <v>0</v>
      </c>
      <c r="U1080">
        <f t="shared" si="631"/>
        <v>0</v>
      </c>
      <c r="V1080">
        <f t="shared" si="632"/>
        <v>0</v>
      </c>
      <c r="W1080">
        <f t="shared" si="633"/>
        <v>0</v>
      </c>
      <c r="X1080">
        <f t="shared" si="634"/>
        <v>0</v>
      </c>
      <c r="Y1080">
        <f t="shared" si="635"/>
        <v>0</v>
      </c>
      <c r="Z1080">
        <f t="shared" si="636"/>
        <v>0</v>
      </c>
      <c r="AA1080">
        <f t="shared" si="637"/>
        <v>0</v>
      </c>
      <c r="AB1080">
        <f t="shared" si="638"/>
        <v>0</v>
      </c>
      <c r="AC1080">
        <f t="shared" si="639"/>
        <v>0</v>
      </c>
      <c r="AD1080">
        <f t="shared" si="640"/>
        <v>0</v>
      </c>
      <c r="AF1080">
        <f t="shared" si="641"/>
        <v>0</v>
      </c>
      <c r="AG1080">
        <f t="shared" si="642"/>
        <v>0</v>
      </c>
      <c r="AH1080">
        <f t="shared" si="643"/>
        <v>0</v>
      </c>
      <c r="AI1080">
        <f t="shared" si="644"/>
        <v>0</v>
      </c>
      <c r="AJ1080">
        <f t="shared" si="645"/>
        <v>0</v>
      </c>
      <c r="AK1080">
        <f t="shared" si="646"/>
        <v>0</v>
      </c>
      <c r="AL1080">
        <f t="shared" si="647"/>
        <v>0</v>
      </c>
      <c r="AM1080">
        <f t="shared" si="648"/>
        <v>0</v>
      </c>
      <c r="AN1080">
        <f t="shared" si="649"/>
        <v>0</v>
      </c>
      <c r="AO1080">
        <f t="shared" si="650"/>
        <v>0</v>
      </c>
      <c r="AP1080">
        <f t="shared" si="651"/>
        <v>0</v>
      </c>
      <c r="AQ1080">
        <f t="shared" si="652"/>
        <v>0</v>
      </c>
    </row>
    <row r="1081" spans="6:43" x14ac:dyDescent="0.45">
      <c r="F1081">
        <f t="shared" si="617"/>
        <v>0</v>
      </c>
      <c r="G1081">
        <f t="shared" si="618"/>
        <v>0</v>
      </c>
      <c r="H1081">
        <f t="shared" si="619"/>
        <v>0</v>
      </c>
      <c r="I1081">
        <f t="shared" si="620"/>
        <v>0</v>
      </c>
      <c r="J1081">
        <f t="shared" si="621"/>
        <v>0</v>
      </c>
      <c r="K1081">
        <f t="shared" si="622"/>
        <v>0</v>
      </c>
      <c r="L1081">
        <f t="shared" si="623"/>
        <v>0</v>
      </c>
      <c r="M1081">
        <f t="shared" si="624"/>
        <v>0</v>
      </c>
      <c r="N1081">
        <f t="shared" si="625"/>
        <v>0</v>
      </c>
      <c r="O1081">
        <f t="shared" si="626"/>
        <v>0</v>
      </c>
      <c r="P1081">
        <f t="shared" si="627"/>
        <v>0</v>
      </c>
      <c r="Q1081">
        <f t="shared" si="628"/>
        <v>0</v>
      </c>
      <c r="S1081">
        <f t="shared" si="629"/>
        <v>0</v>
      </c>
      <c r="T1081">
        <f t="shared" si="630"/>
        <v>0</v>
      </c>
      <c r="U1081">
        <f t="shared" si="631"/>
        <v>0</v>
      </c>
      <c r="V1081">
        <f t="shared" si="632"/>
        <v>0</v>
      </c>
      <c r="W1081">
        <f t="shared" si="633"/>
        <v>0</v>
      </c>
      <c r="X1081">
        <f t="shared" si="634"/>
        <v>0</v>
      </c>
      <c r="Y1081">
        <f t="shared" si="635"/>
        <v>0</v>
      </c>
      <c r="Z1081">
        <f t="shared" si="636"/>
        <v>0</v>
      </c>
      <c r="AA1081">
        <f t="shared" si="637"/>
        <v>0</v>
      </c>
      <c r="AB1081">
        <f t="shared" si="638"/>
        <v>0</v>
      </c>
      <c r="AC1081">
        <f t="shared" si="639"/>
        <v>0</v>
      </c>
      <c r="AD1081">
        <f t="shared" si="640"/>
        <v>0</v>
      </c>
      <c r="AF1081">
        <f t="shared" si="641"/>
        <v>0</v>
      </c>
      <c r="AG1081">
        <f t="shared" si="642"/>
        <v>0</v>
      </c>
      <c r="AH1081">
        <f t="shared" si="643"/>
        <v>0</v>
      </c>
      <c r="AI1081">
        <f t="shared" si="644"/>
        <v>0</v>
      </c>
      <c r="AJ1081">
        <f t="shared" si="645"/>
        <v>0</v>
      </c>
      <c r="AK1081">
        <f t="shared" si="646"/>
        <v>0</v>
      </c>
      <c r="AL1081">
        <f t="shared" si="647"/>
        <v>0</v>
      </c>
      <c r="AM1081">
        <f t="shared" si="648"/>
        <v>0</v>
      </c>
      <c r="AN1081">
        <f t="shared" si="649"/>
        <v>0</v>
      </c>
      <c r="AO1081">
        <f t="shared" si="650"/>
        <v>0</v>
      </c>
      <c r="AP1081">
        <f t="shared" si="651"/>
        <v>0</v>
      </c>
      <c r="AQ1081">
        <f t="shared" si="652"/>
        <v>0</v>
      </c>
    </row>
    <row r="1082" spans="6:43" x14ac:dyDescent="0.45">
      <c r="F1082">
        <f t="shared" si="617"/>
        <v>0</v>
      </c>
      <c r="G1082">
        <f t="shared" si="618"/>
        <v>0</v>
      </c>
      <c r="H1082">
        <f t="shared" si="619"/>
        <v>0</v>
      </c>
      <c r="I1082">
        <f t="shared" si="620"/>
        <v>0</v>
      </c>
      <c r="J1082">
        <f t="shared" si="621"/>
        <v>0</v>
      </c>
      <c r="K1082">
        <f t="shared" si="622"/>
        <v>0</v>
      </c>
      <c r="L1082">
        <f t="shared" si="623"/>
        <v>0</v>
      </c>
      <c r="M1082">
        <f t="shared" si="624"/>
        <v>0</v>
      </c>
      <c r="N1082">
        <f t="shared" si="625"/>
        <v>0</v>
      </c>
      <c r="O1082">
        <f t="shared" si="626"/>
        <v>0</v>
      </c>
      <c r="P1082">
        <f t="shared" si="627"/>
        <v>0</v>
      </c>
      <c r="Q1082">
        <f t="shared" si="628"/>
        <v>0</v>
      </c>
      <c r="S1082">
        <f t="shared" si="629"/>
        <v>0</v>
      </c>
      <c r="T1082">
        <f t="shared" si="630"/>
        <v>0</v>
      </c>
      <c r="U1082">
        <f t="shared" si="631"/>
        <v>0</v>
      </c>
      <c r="V1082">
        <f t="shared" si="632"/>
        <v>0</v>
      </c>
      <c r="W1082">
        <f t="shared" si="633"/>
        <v>0</v>
      </c>
      <c r="X1082">
        <f t="shared" si="634"/>
        <v>0</v>
      </c>
      <c r="Y1082">
        <f t="shared" si="635"/>
        <v>0</v>
      </c>
      <c r="Z1082">
        <f t="shared" si="636"/>
        <v>0</v>
      </c>
      <c r="AA1082">
        <f t="shared" si="637"/>
        <v>0</v>
      </c>
      <c r="AB1082">
        <f t="shared" si="638"/>
        <v>0</v>
      </c>
      <c r="AC1082">
        <f t="shared" si="639"/>
        <v>0</v>
      </c>
      <c r="AD1082">
        <f t="shared" si="640"/>
        <v>0</v>
      </c>
      <c r="AF1082">
        <f t="shared" si="641"/>
        <v>0</v>
      </c>
      <c r="AG1082">
        <f t="shared" si="642"/>
        <v>0</v>
      </c>
      <c r="AH1082">
        <f t="shared" si="643"/>
        <v>0</v>
      </c>
      <c r="AI1082">
        <f t="shared" si="644"/>
        <v>0</v>
      </c>
      <c r="AJ1082">
        <f t="shared" si="645"/>
        <v>0</v>
      </c>
      <c r="AK1082">
        <f t="shared" si="646"/>
        <v>0</v>
      </c>
      <c r="AL1082">
        <f t="shared" si="647"/>
        <v>0</v>
      </c>
      <c r="AM1082">
        <f t="shared" si="648"/>
        <v>0</v>
      </c>
      <c r="AN1082">
        <f t="shared" si="649"/>
        <v>0</v>
      </c>
      <c r="AO1082">
        <f t="shared" si="650"/>
        <v>0</v>
      </c>
      <c r="AP1082">
        <f t="shared" si="651"/>
        <v>0</v>
      </c>
      <c r="AQ1082">
        <f t="shared" si="652"/>
        <v>0</v>
      </c>
    </row>
    <row r="1083" spans="6:43" x14ac:dyDescent="0.45">
      <c r="F1083">
        <f t="shared" si="617"/>
        <v>0</v>
      </c>
      <c r="G1083">
        <f t="shared" si="618"/>
        <v>0</v>
      </c>
      <c r="H1083">
        <f t="shared" si="619"/>
        <v>0</v>
      </c>
      <c r="I1083">
        <f t="shared" si="620"/>
        <v>0</v>
      </c>
      <c r="J1083">
        <f t="shared" si="621"/>
        <v>0</v>
      </c>
      <c r="K1083">
        <f t="shared" si="622"/>
        <v>0</v>
      </c>
      <c r="L1083">
        <f t="shared" si="623"/>
        <v>0</v>
      </c>
      <c r="M1083">
        <f t="shared" si="624"/>
        <v>0</v>
      </c>
      <c r="N1083">
        <f t="shared" si="625"/>
        <v>0</v>
      </c>
      <c r="O1083">
        <f t="shared" si="626"/>
        <v>0</v>
      </c>
      <c r="P1083">
        <f t="shared" si="627"/>
        <v>0</v>
      </c>
      <c r="Q1083">
        <f t="shared" si="628"/>
        <v>0</v>
      </c>
      <c r="S1083">
        <f t="shared" si="629"/>
        <v>0</v>
      </c>
      <c r="T1083">
        <f t="shared" si="630"/>
        <v>0</v>
      </c>
      <c r="U1083">
        <f t="shared" si="631"/>
        <v>0</v>
      </c>
      <c r="V1083">
        <f t="shared" si="632"/>
        <v>0</v>
      </c>
      <c r="W1083">
        <f t="shared" si="633"/>
        <v>0</v>
      </c>
      <c r="X1083">
        <f t="shared" si="634"/>
        <v>0</v>
      </c>
      <c r="Y1083">
        <f t="shared" si="635"/>
        <v>0</v>
      </c>
      <c r="Z1083">
        <f t="shared" si="636"/>
        <v>0</v>
      </c>
      <c r="AA1083">
        <f t="shared" si="637"/>
        <v>0</v>
      </c>
      <c r="AB1083">
        <f t="shared" si="638"/>
        <v>0</v>
      </c>
      <c r="AC1083">
        <f t="shared" si="639"/>
        <v>0</v>
      </c>
      <c r="AD1083">
        <f t="shared" si="640"/>
        <v>0</v>
      </c>
      <c r="AF1083">
        <f t="shared" si="641"/>
        <v>0</v>
      </c>
      <c r="AG1083">
        <f t="shared" si="642"/>
        <v>0</v>
      </c>
      <c r="AH1083">
        <f t="shared" si="643"/>
        <v>0</v>
      </c>
      <c r="AI1083">
        <f t="shared" si="644"/>
        <v>0</v>
      </c>
      <c r="AJ1083">
        <f t="shared" si="645"/>
        <v>0</v>
      </c>
      <c r="AK1083">
        <f t="shared" si="646"/>
        <v>0</v>
      </c>
      <c r="AL1083">
        <f t="shared" si="647"/>
        <v>0</v>
      </c>
      <c r="AM1083">
        <f t="shared" si="648"/>
        <v>0</v>
      </c>
      <c r="AN1083">
        <f t="shared" si="649"/>
        <v>0</v>
      </c>
      <c r="AO1083">
        <f t="shared" si="650"/>
        <v>0</v>
      </c>
      <c r="AP1083">
        <f t="shared" si="651"/>
        <v>0</v>
      </c>
      <c r="AQ1083">
        <f t="shared" si="652"/>
        <v>0</v>
      </c>
    </row>
    <row r="1084" spans="6:43" x14ac:dyDescent="0.45">
      <c r="F1084">
        <f t="shared" si="617"/>
        <v>0</v>
      </c>
      <c r="G1084">
        <f t="shared" si="618"/>
        <v>0</v>
      </c>
      <c r="H1084">
        <f t="shared" si="619"/>
        <v>0</v>
      </c>
      <c r="I1084">
        <f t="shared" si="620"/>
        <v>0</v>
      </c>
      <c r="J1084">
        <f t="shared" si="621"/>
        <v>0</v>
      </c>
      <c r="K1084">
        <f t="shared" si="622"/>
        <v>0</v>
      </c>
      <c r="L1084">
        <f t="shared" si="623"/>
        <v>0</v>
      </c>
      <c r="M1084">
        <f t="shared" si="624"/>
        <v>0</v>
      </c>
      <c r="N1084">
        <f t="shared" si="625"/>
        <v>0</v>
      </c>
      <c r="O1084">
        <f t="shared" si="626"/>
        <v>0</v>
      </c>
      <c r="P1084">
        <f t="shared" si="627"/>
        <v>0</v>
      </c>
      <c r="Q1084">
        <f t="shared" si="628"/>
        <v>0</v>
      </c>
      <c r="S1084">
        <f t="shared" si="629"/>
        <v>0</v>
      </c>
      <c r="T1084">
        <f t="shared" si="630"/>
        <v>0</v>
      </c>
      <c r="U1084">
        <f t="shared" si="631"/>
        <v>0</v>
      </c>
      <c r="V1084">
        <f t="shared" si="632"/>
        <v>0</v>
      </c>
      <c r="W1084">
        <f t="shared" si="633"/>
        <v>0</v>
      </c>
      <c r="X1084">
        <f t="shared" si="634"/>
        <v>0</v>
      </c>
      <c r="Y1084">
        <f t="shared" si="635"/>
        <v>0</v>
      </c>
      <c r="Z1084">
        <f t="shared" si="636"/>
        <v>0</v>
      </c>
      <c r="AA1084">
        <f t="shared" si="637"/>
        <v>0</v>
      </c>
      <c r="AB1084">
        <f t="shared" si="638"/>
        <v>0</v>
      </c>
      <c r="AC1084">
        <f t="shared" si="639"/>
        <v>0</v>
      </c>
      <c r="AD1084">
        <f t="shared" si="640"/>
        <v>0</v>
      </c>
      <c r="AF1084">
        <f t="shared" si="641"/>
        <v>0</v>
      </c>
      <c r="AG1084">
        <f t="shared" si="642"/>
        <v>0</v>
      </c>
      <c r="AH1084">
        <f t="shared" si="643"/>
        <v>0</v>
      </c>
      <c r="AI1084">
        <f t="shared" si="644"/>
        <v>0</v>
      </c>
      <c r="AJ1084">
        <f t="shared" si="645"/>
        <v>0</v>
      </c>
      <c r="AK1084">
        <f t="shared" si="646"/>
        <v>0</v>
      </c>
      <c r="AL1084">
        <f t="shared" si="647"/>
        <v>0</v>
      </c>
      <c r="AM1084">
        <f t="shared" si="648"/>
        <v>0</v>
      </c>
      <c r="AN1084">
        <f t="shared" si="649"/>
        <v>0</v>
      </c>
      <c r="AO1084">
        <f t="shared" si="650"/>
        <v>0</v>
      </c>
      <c r="AP1084">
        <f t="shared" si="651"/>
        <v>0</v>
      </c>
      <c r="AQ1084">
        <f t="shared" si="652"/>
        <v>0</v>
      </c>
    </row>
    <row r="1085" spans="6:43" x14ac:dyDescent="0.45">
      <c r="F1085">
        <f t="shared" si="617"/>
        <v>0</v>
      </c>
      <c r="G1085">
        <f t="shared" si="618"/>
        <v>0</v>
      </c>
      <c r="H1085">
        <f t="shared" si="619"/>
        <v>0</v>
      </c>
      <c r="I1085">
        <f t="shared" si="620"/>
        <v>0</v>
      </c>
      <c r="J1085">
        <f t="shared" si="621"/>
        <v>0</v>
      </c>
      <c r="K1085">
        <f t="shared" si="622"/>
        <v>0</v>
      </c>
      <c r="L1085">
        <f t="shared" si="623"/>
        <v>0</v>
      </c>
      <c r="M1085">
        <f t="shared" si="624"/>
        <v>0</v>
      </c>
      <c r="N1085">
        <f t="shared" si="625"/>
        <v>0</v>
      </c>
      <c r="O1085">
        <f t="shared" si="626"/>
        <v>0</v>
      </c>
      <c r="P1085">
        <f t="shared" si="627"/>
        <v>0</v>
      </c>
      <c r="Q1085">
        <f t="shared" si="628"/>
        <v>0</v>
      </c>
      <c r="S1085">
        <f t="shared" si="629"/>
        <v>0</v>
      </c>
      <c r="T1085">
        <f t="shared" si="630"/>
        <v>0</v>
      </c>
      <c r="U1085">
        <f t="shared" si="631"/>
        <v>0</v>
      </c>
      <c r="V1085">
        <f t="shared" si="632"/>
        <v>0</v>
      </c>
      <c r="W1085">
        <f t="shared" si="633"/>
        <v>0</v>
      </c>
      <c r="X1085">
        <f t="shared" si="634"/>
        <v>0</v>
      </c>
      <c r="Y1085">
        <f t="shared" si="635"/>
        <v>0</v>
      </c>
      <c r="Z1085">
        <f t="shared" si="636"/>
        <v>0</v>
      </c>
      <c r="AA1085">
        <f t="shared" si="637"/>
        <v>0</v>
      </c>
      <c r="AB1085">
        <f t="shared" si="638"/>
        <v>0</v>
      </c>
      <c r="AC1085">
        <f t="shared" si="639"/>
        <v>0</v>
      </c>
      <c r="AD1085">
        <f t="shared" si="640"/>
        <v>0</v>
      </c>
      <c r="AF1085">
        <f t="shared" si="641"/>
        <v>0</v>
      </c>
      <c r="AG1085">
        <f t="shared" si="642"/>
        <v>0</v>
      </c>
      <c r="AH1085">
        <f t="shared" si="643"/>
        <v>0</v>
      </c>
      <c r="AI1085">
        <f t="shared" si="644"/>
        <v>0</v>
      </c>
      <c r="AJ1085">
        <f t="shared" si="645"/>
        <v>0</v>
      </c>
      <c r="AK1085">
        <f t="shared" si="646"/>
        <v>0</v>
      </c>
      <c r="AL1085">
        <f t="shared" si="647"/>
        <v>0</v>
      </c>
      <c r="AM1085">
        <f t="shared" si="648"/>
        <v>0</v>
      </c>
      <c r="AN1085">
        <f t="shared" si="649"/>
        <v>0</v>
      </c>
      <c r="AO1085">
        <f t="shared" si="650"/>
        <v>0</v>
      </c>
      <c r="AP1085">
        <f t="shared" si="651"/>
        <v>0</v>
      </c>
      <c r="AQ1085">
        <f t="shared" si="652"/>
        <v>0</v>
      </c>
    </row>
    <row r="1086" spans="6:43" x14ac:dyDescent="0.45">
      <c r="F1086">
        <f t="shared" si="617"/>
        <v>0</v>
      </c>
      <c r="G1086">
        <f t="shared" si="618"/>
        <v>0</v>
      </c>
      <c r="H1086">
        <f t="shared" si="619"/>
        <v>0</v>
      </c>
      <c r="I1086">
        <f t="shared" si="620"/>
        <v>0</v>
      </c>
      <c r="J1086">
        <f t="shared" si="621"/>
        <v>0</v>
      </c>
      <c r="K1086">
        <f t="shared" si="622"/>
        <v>0</v>
      </c>
      <c r="L1086">
        <f t="shared" si="623"/>
        <v>0</v>
      </c>
      <c r="M1086">
        <f t="shared" si="624"/>
        <v>0</v>
      </c>
      <c r="N1086">
        <f t="shared" si="625"/>
        <v>0</v>
      </c>
      <c r="O1086">
        <f t="shared" si="626"/>
        <v>0</v>
      </c>
      <c r="P1086">
        <f t="shared" si="627"/>
        <v>0</v>
      </c>
      <c r="Q1086">
        <f t="shared" si="628"/>
        <v>0</v>
      </c>
      <c r="S1086">
        <f t="shared" si="629"/>
        <v>0</v>
      </c>
      <c r="T1086">
        <f t="shared" si="630"/>
        <v>0</v>
      </c>
      <c r="U1086">
        <f t="shared" si="631"/>
        <v>0</v>
      </c>
      <c r="V1086">
        <f t="shared" si="632"/>
        <v>0</v>
      </c>
      <c r="W1086">
        <f t="shared" si="633"/>
        <v>0</v>
      </c>
      <c r="X1086">
        <f t="shared" si="634"/>
        <v>0</v>
      </c>
      <c r="Y1086">
        <f t="shared" si="635"/>
        <v>0</v>
      </c>
      <c r="Z1086">
        <f t="shared" si="636"/>
        <v>0</v>
      </c>
      <c r="AA1086">
        <f t="shared" si="637"/>
        <v>0</v>
      </c>
      <c r="AB1086">
        <f t="shared" si="638"/>
        <v>0</v>
      </c>
      <c r="AC1086">
        <f t="shared" si="639"/>
        <v>0</v>
      </c>
      <c r="AD1086">
        <f t="shared" si="640"/>
        <v>0</v>
      </c>
      <c r="AF1086">
        <f t="shared" si="641"/>
        <v>0</v>
      </c>
      <c r="AG1086">
        <f t="shared" si="642"/>
        <v>0</v>
      </c>
      <c r="AH1086">
        <f t="shared" si="643"/>
        <v>0</v>
      </c>
      <c r="AI1086">
        <f t="shared" si="644"/>
        <v>0</v>
      </c>
      <c r="AJ1086">
        <f t="shared" si="645"/>
        <v>0</v>
      </c>
      <c r="AK1086">
        <f t="shared" si="646"/>
        <v>0</v>
      </c>
      <c r="AL1086">
        <f t="shared" si="647"/>
        <v>0</v>
      </c>
      <c r="AM1086">
        <f t="shared" si="648"/>
        <v>0</v>
      </c>
      <c r="AN1086">
        <f t="shared" si="649"/>
        <v>0</v>
      </c>
      <c r="AO1086">
        <f t="shared" si="650"/>
        <v>0</v>
      </c>
      <c r="AP1086">
        <f t="shared" si="651"/>
        <v>0</v>
      </c>
      <c r="AQ1086">
        <f t="shared" si="652"/>
        <v>0</v>
      </c>
    </row>
    <row r="1087" spans="6:43" x14ac:dyDescent="0.45">
      <c r="F1087">
        <f t="shared" si="617"/>
        <v>0</v>
      </c>
      <c r="G1087">
        <f t="shared" si="618"/>
        <v>0</v>
      </c>
      <c r="H1087">
        <f t="shared" si="619"/>
        <v>0</v>
      </c>
      <c r="I1087">
        <f t="shared" si="620"/>
        <v>0</v>
      </c>
      <c r="J1087">
        <f t="shared" si="621"/>
        <v>0</v>
      </c>
      <c r="K1087">
        <f t="shared" si="622"/>
        <v>0</v>
      </c>
      <c r="L1087">
        <f t="shared" si="623"/>
        <v>0</v>
      </c>
      <c r="M1087">
        <f t="shared" si="624"/>
        <v>0</v>
      </c>
      <c r="N1087">
        <f t="shared" si="625"/>
        <v>0</v>
      </c>
      <c r="O1087">
        <f t="shared" si="626"/>
        <v>0</v>
      </c>
      <c r="P1087">
        <f t="shared" si="627"/>
        <v>0</v>
      </c>
      <c r="Q1087">
        <f t="shared" si="628"/>
        <v>0</v>
      </c>
      <c r="S1087">
        <f t="shared" si="629"/>
        <v>0</v>
      </c>
      <c r="T1087">
        <f t="shared" si="630"/>
        <v>0</v>
      </c>
      <c r="U1087">
        <f t="shared" si="631"/>
        <v>0</v>
      </c>
      <c r="V1087">
        <f t="shared" si="632"/>
        <v>0</v>
      </c>
      <c r="W1087">
        <f t="shared" si="633"/>
        <v>0</v>
      </c>
      <c r="X1087">
        <f t="shared" si="634"/>
        <v>0</v>
      </c>
      <c r="Y1087">
        <f t="shared" si="635"/>
        <v>0</v>
      </c>
      <c r="Z1087">
        <f t="shared" si="636"/>
        <v>0</v>
      </c>
      <c r="AA1087">
        <f t="shared" si="637"/>
        <v>0</v>
      </c>
      <c r="AB1087">
        <f t="shared" si="638"/>
        <v>0</v>
      </c>
      <c r="AC1087">
        <f t="shared" si="639"/>
        <v>0</v>
      </c>
      <c r="AD1087">
        <f t="shared" si="640"/>
        <v>0</v>
      </c>
      <c r="AF1087">
        <f t="shared" si="641"/>
        <v>0</v>
      </c>
      <c r="AG1087">
        <f t="shared" si="642"/>
        <v>0</v>
      </c>
      <c r="AH1087">
        <f t="shared" si="643"/>
        <v>0</v>
      </c>
      <c r="AI1087">
        <f t="shared" si="644"/>
        <v>0</v>
      </c>
      <c r="AJ1087">
        <f t="shared" si="645"/>
        <v>0</v>
      </c>
      <c r="AK1087">
        <f t="shared" si="646"/>
        <v>0</v>
      </c>
      <c r="AL1087">
        <f t="shared" si="647"/>
        <v>0</v>
      </c>
      <c r="AM1087">
        <f t="shared" si="648"/>
        <v>0</v>
      </c>
      <c r="AN1087">
        <f t="shared" si="649"/>
        <v>0</v>
      </c>
      <c r="AO1087">
        <f t="shared" si="650"/>
        <v>0</v>
      </c>
      <c r="AP1087">
        <f t="shared" si="651"/>
        <v>0</v>
      </c>
      <c r="AQ1087">
        <f t="shared" si="652"/>
        <v>0</v>
      </c>
    </row>
    <row r="1088" spans="6:43" x14ac:dyDescent="0.45">
      <c r="F1088">
        <f t="shared" si="617"/>
        <v>0</v>
      </c>
      <c r="G1088">
        <f t="shared" si="618"/>
        <v>0</v>
      </c>
      <c r="H1088">
        <f t="shared" si="619"/>
        <v>0</v>
      </c>
      <c r="I1088">
        <f t="shared" si="620"/>
        <v>0</v>
      </c>
      <c r="J1088">
        <f t="shared" si="621"/>
        <v>0</v>
      </c>
      <c r="K1088">
        <f t="shared" si="622"/>
        <v>0</v>
      </c>
      <c r="L1088">
        <f t="shared" si="623"/>
        <v>0</v>
      </c>
      <c r="M1088">
        <f t="shared" si="624"/>
        <v>0</v>
      </c>
      <c r="N1088">
        <f t="shared" si="625"/>
        <v>0</v>
      </c>
      <c r="O1088">
        <f t="shared" si="626"/>
        <v>0</v>
      </c>
      <c r="P1088">
        <f t="shared" si="627"/>
        <v>0</v>
      </c>
      <c r="Q1088">
        <f t="shared" si="628"/>
        <v>0</v>
      </c>
      <c r="S1088">
        <f t="shared" si="629"/>
        <v>0</v>
      </c>
      <c r="T1088">
        <f t="shared" si="630"/>
        <v>0</v>
      </c>
      <c r="U1088">
        <f t="shared" si="631"/>
        <v>0</v>
      </c>
      <c r="V1088">
        <f t="shared" si="632"/>
        <v>0</v>
      </c>
      <c r="W1088">
        <f t="shared" si="633"/>
        <v>0</v>
      </c>
      <c r="X1088">
        <f t="shared" si="634"/>
        <v>0</v>
      </c>
      <c r="Y1088">
        <f t="shared" si="635"/>
        <v>0</v>
      </c>
      <c r="Z1088">
        <f t="shared" si="636"/>
        <v>0</v>
      </c>
      <c r="AA1088">
        <f t="shared" si="637"/>
        <v>0</v>
      </c>
      <c r="AB1088">
        <f t="shared" si="638"/>
        <v>0</v>
      </c>
      <c r="AC1088">
        <f t="shared" si="639"/>
        <v>0</v>
      </c>
      <c r="AD1088">
        <f t="shared" si="640"/>
        <v>0</v>
      </c>
      <c r="AF1088">
        <f t="shared" si="641"/>
        <v>0</v>
      </c>
      <c r="AG1088">
        <f t="shared" si="642"/>
        <v>0</v>
      </c>
      <c r="AH1088">
        <f t="shared" si="643"/>
        <v>0</v>
      </c>
      <c r="AI1088">
        <f t="shared" si="644"/>
        <v>0</v>
      </c>
      <c r="AJ1088">
        <f t="shared" si="645"/>
        <v>0</v>
      </c>
      <c r="AK1088">
        <f t="shared" si="646"/>
        <v>0</v>
      </c>
      <c r="AL1088">
        <f t="shared" si="647"/>
        <v>0</v>
      </c>
      <c r="AM1088">
        <f t="shared" si="648"/>
        <v>0</v>
      </c>
      <c r="AN1088">
        <f t="shared" si="649"/>
        <v>0</v>
      </c>
      <c r="AO1088">
        <f t="shared" si="650"/>
        <v>0</v>
      </c>
      <c r="AP1088">
        <f t="shared" si="651"/>
        <v>0</v>
      </c>
      <c r="AQ1088">
        <f t="shared" si="652"/>
        <v>0</v>
      </c>
    </row>
    <row r="1089" spans="6:43" x14ac:dyDescent="0.45">
      <c r="F1089">
        <f t="shared" si="617"/>
        <v>0</v>
      </c>
      <c r="G1089">
        <f t="shared" si="618"/>
        <v>0</v>
      </c>
      <c r="H1089">
        <f t="shared" si="619"/>
        <v>0</v>
      </c>
      <c r="I1089">
        <f t="shared" si="620"/>
        <v>0</v>
      </c>
      <c r="J1089">
        <f t="shared" si="621"/>
        <v>0</v>
      </c>
      <c r="K1089">
        <f t="shared" si="622"/>
        <v>0</v>
      </c>
      <c r="L1089">
        <f t="shared" si="623"/>
        <v>0</v>
      </c>
      <c r="M1089">
        <f t="shared" si="624"/>
        <v>0</v>
      </c>
      <c r="N1089">
        <f t="shared" si="625"/>
        <v>0</v>
      </c>
      <c r="O1089">
        <f t="shared" si="626"/>
        <v>0</v>
      </c>
      <c r="P1089">
        <f t="shared" si="627"/>
        <v>0</v>
      </c>
      <c r="Q1089">
        <f t="shared" si="628"/>
        <v>0</v>
      </c>
      <c r="S1089">
        <f t="shared" si="629"/>
        <v>0</v>
      </c>
      <c r="T1089">
        <f t="shared" si="630"/>
        <v>0</v>
      </c>
      <c r="U1089">
        <f t="shared" si="631"/>
        <v>0</v>
      </c>
      <c r="V1089">
        <f t="shared" si="632"/>
        <v>0</v>
      </c>
      <c r="W1089">
        <f t="shared" si="633"/>
        <v>0</v>
      </c>
      <c r="X1089">
        <f t="shared" si="634"/>
        <v>0</v>
      </c>
      <c r="Y1089">
        <f t="shared" si="635"/>
        <v>0</v>
      </c>
      <c r="Z1089">
        <f t="shared" si="636"/>
        <v>0</v>
      </c>
      <c r="AA1089">
        <f t="shared" si="637"/>
        <v>0</v>
      </c>
      <c r="AB1089">
        <f t="shared" si="638"/>
        <v>0</v>
      </c>
      <c r="AC1089">
        <f t="shared" si="639"/>
        <v>0</v>
      </c>
      <c r="AD1089">
        <f t="shared" si="640"/>
        <v>0</v>
      </c>
      <c r="AF1089">
        <f t="shared" si="641"/>
        <v>0</v>
      </c>
      <c r="AG1089">
        <f t="shared" si="642"/>
        <v>0</v>
      </c>
      <c r="AH1089">
        <f t="shared" si="643"/>
        <v>0</v>
      </c>
      <c r="AI1089">
        <f t="shared" si="644"/>
        <v>0</v>
      </c>
      <c r="AJ1089">
        <f t="shared" si="645"/>
        <v>0</v>
      </c>
      <c r="AK1089">
        <f t="shared" si="646"/>
        <v>0</v>
      </c>
      <c r="AL1089">
        <f t="shared" si="647"/>
        <v>0</v>
      </c>
      <c r="AM1089">
        <f t="shared" si="648"/>
        <v>0</v>
      </c>
      <c r="AN1089">
        <f t="shared" si="649"/>
        <v>0</v>
      </c>
      <c r="AO1089">
        <f t="shared" si="650"/>
        <v>0</v>
      </c>
      <c r="AP1089">
        <f t="shared" si="651"/>
        <v>0</v>
      </c>
      <c r="AQ1089">
        <f t="shared" si="652"/>
        <v>0</v>
      </c>
    </row>
    <row r="1090" spans="6:43" x14ac:dyDescent="0.45">
      <c r="F1090">
        <f t="shared" si="617"/>
        <v>0</v>
      </c>
      <c r="G1090">
        <f t="shared" si="618"/>
        <v>0</v>
      </c>
      <c r="H1090">
        <f t="shared" si="619"/>
        <v>0</v>
      </c>
      <c r="I1090">
        <f t="shared" si="620"/>
        <v>0</v>
      </c>
      <c r="J1090">
        <f t="shared" si="621"/>
        <v>0</v>
      </c>
      <c r="K1090">
        <f t="shared" si="622"/>
        <v>0</v>
      </c>
      <c r="L1090">
        <f t="shared" si="623"/>
        <v>0</v>
      </c>
      <c r="M1090">
        <f t="shared" si="624"/>
        <v>0</v>
      </c>
      <c r="N1090">
        <f t="shared" si="625"/>
        <v>0</v>
      </c>
      <c r="O1090">
        <f t="shared" si="626"/>
        <v>0</v>
      </c>
      <c r="P1090">
        <f t="shared" si="627"/>
        <v>0</v>
      </c>
      <c r="Q1090">
        <f t="shared" si="628"/>
        <v>0</v>
      </c>
      <c r="S1090">
        <f t="shared" si="629"/>
        <v>0</v>
      </c>
      <c r="T1090">
        <f t="shared" si="630"/>
        <v>0</v>
      </c>
      <c r="U1090">
        <f t="shared" si="631"/>
        <v>0</v>
      </c>
      <c r="V1090">
        <f t="shared" si="632"/>
        <v>0</v>
      </c>
      <c r="W1090">
        <f t="shared" si="633"/>
        <v>0</v>
      </c>
      <c r="X1090">
        <f t="shared" si="634"/>
        <v>0</v>
      </c>
      <c r="Y1090">
        <f t="shared" si="635"/>
        <v>0</v>
      </c>
      <c r="Z1090">
        <f t="shared" si="636"/>
        <v>0</v>
      </c>
      <c r="AA1090">
        <f t="shared" si="637"/>
        <v>0</v>
      </c>
      <c r="AB1090">
        <f t="shared" si="638"/>
        <v>0</v>
      </c>
      <c r="AC1090">
        <f t="shared" si="639"/>
        <v>0</v>
      </c>
      <c r="AD1090">
        <f t="shared" si="640"/>
        <v>0</v>
      </c>
      <c r="AF1090">
        <f t="shared" si="641"/>
        <v>0</v>
      </c>
      <c r="AG1090">
        <f t="shared" si="642"/>
        <v>0</v>
      </c>
      <c r="AH1090">
        <f t="shared" si="643"/>
        <v>0</v>
      </c>
      <c r="AI1090">
        <f t="shared" si="644"/>
        <v>0</v>
      </c>
      <c r="AJ1090">
        <f t="shared" si="645"/>
        <v>0</v>
      </c>
      <c r="AK1090">
        <f t="shared" si="646"/>
        <v>0</v>
      </c>
      <c r="AL1090">
        <f t="shared" si="647"/>
        <v>0</v>
      </c>
      <c r="AM1090">
        <f t="shared" si="648"/>
        <v>0</v>
      </c>
      <c r="AN1090">
        <f t="shared" si="649"/>
        <v>0</v>
      </c>
      <c r="AO1090">
        <f t="shared" si="650"/>
        <v>0</v>
      </c>
      <c r="AP1090">
        <f t="shared" si="651"/>
        <v>0</v>
      </c>
      <c r="AQ1090">
        <f t="shared" si="652"/>
        <v>0</v>
      </c>
    </row>
    <row r="1091" spans="6:43" x14ac:dyDescent="0.45">
      <c r="F1091">
        <f t="shared" si="617"/>
        <v>0</v>
      </c>
      <c r="G1091">
        <f t="shared" si="618"/>
        <v>0</v>
      </c>
      <c r="H1091">
        <f t="shared" si="619"/>
        <v>0</v>
      </c>
      <c r="I1091">
        <f t="shared" si="620"/>
        <v>0</v>
      </c>
      <c r="J1091">
        <f t="shared" si="621"/>
        <v>0</v>
      </c>
      <c r="K1091">
        <f t="shared" si="622"/>
        <v>0</v>
      </c>
      <c r="L1091">
        <f t="shared" si="623"/>
        <v>0</v>
      </c>
      <c r="M1091">
        <f t="shared" si="624"/>
        <v>0</v>
      </c>
      <c r="N1091">
        <f t="shared" si="625"/>
        <v>0</v>
      </c>
      <c r="O1091">
        <f t="shared" si="626"/>
        <v>0</v>
      </c>
      <c r="P1091">
        <f t="shared" si="627"/>
        <v>0</v>
      </c>
      <c r="Q1091">
        <f t="shared" si="628"/>
        <v>0</v>
      </c>
      <c r="S1091">
        <f t="shared" si="629"/>
        <v>0</v>
      </c>
      <c r="T1091">
        <f t="shared" si="630"/>
        <v>0</v>
      </c>
      <c r="U1091">
        <f t="shared" si="631"/>
        <v>0</v>
      </c>
      <c r="V1091">
        <f t="shared" si="632"/>
        <v>0</v>
      </c>
      <c r="W1091">
        <f t="shared" si="633"/>
        <v>0</v>
      </c>
      <c r="X1091">
        <f t="shared" si="634"/>
        <v>0</v>
      </c>
      <c r="Y1091">
        <f t="shared" si="635"/>
        <v>0</v>
      </c>
      <c r="Z1091">
        <f t="shared" si="636"/>
        <v>0</v>
      </c>
      <c r="AA1091">
        <f t="shared" si="637"/>
        <v>0</v>
      </c>
      <c r="AB1091">
        <f t="shared" si="638"/>
        <v>0</v>
      </c>
      <c r="AC1091">
        <f t="shared" si="639"/>
        <v>0</v>
      </c>
      <c r="AD1091">
        <f t="shared" si="640"/>
        <v>0</v>
      </c>
      <c r="AF1091">
        <f t="shared" si="641"/>
        <v>0</v>
      </c>
      <c r="AG1091">
        <f t="shared" si="642"/>
        <v>0</v>
      </c>
      <c r="AH1091">
        <f t="shared" si="643"/>
        <v>0</v>
      </c>
      <c r="AI1091">
        <f t="shared" si="644"/>
        <v>0</v>
      </c>
      <c r="AJ1091">
        <f t="shared" si="645"/>
        <v>0</v>
      </c>
      <c r="AK1091">
        <f t="shared" si="646"/>
        <v>0</v>
      </c>
      <c r="AL1091">
        <f t="shared" si="647"/>
        <v>0</v>
      </c>
      <c r="AM1091">
        <f t="shared" si="648"/>
        <v>0</v>
      </c>
      <c r="AN1091">
        <f t="shared" si="649"/>
        <v>0</v>
      </c>
      <c r="AO1091">
        <f t="shared" si="650"/>
        <v>0</v>
      </c>
      <c r="AP1091">
        <f t="shared" si="651"/>
        <v>0</v>
      </c>
      <c r="AQ1091">
        <f t="shared" si="652"/>
        <v>0</v>
      </c>
    </row>
    <row r="1092" spans="6:43" x14ac:dyDescent="0.45">
      <c r="F1092">
        <f t="shared" si="617"/>
        <v>0</v>
      </c>
      <c r="G1092">
        <f t="shared" si="618"/>
        <v>0</v>
      </c>
      <c r="H1092">
        <f t="shared" si="619"/>
        <v>0</v>
      </c>
      <c r="I1092">
        <f t="shared" si="620"/>
        <v>0</v>
      </c>
      <c r="J1092">
        <f t="shared" si="621"/>
        <v>0</v>
      </c>
      <c r="K1092">
        <f t="shared" si="622"/>
        <v>0</v>
      </c>
      <c r="L1092">
        <f t="shared" si="623"/>
        <v>0</v>
      </c>
      <c r="M1092">
        <f t="shared" si="624"/>
        <v>0</v>
      </c>
      <c r="N1092">
        <f t="shared" si="625"/>
        <v>0</v>
      </c>
      <c r="O1092">
        <f t="shared" si="626"/>
        <v>0</v>
      </c>
      <c r="P1092">
        <f t="shared" si="627"/>
        <v>0</v>
      </c>
      <c r="Q1092">
        <f t="shared" si="628"/>
        <v>0</v>
      </c>
      <c r="S1092">
        <f t="shared" si="629"/>
        <v>0</v>
      </c>
      <c r="T1092">
        <f t="shared" si="630"/>
        <v>0</v>
      </c>
      <c r="U1092">
        <f t="shared" si="631"/>
        <v>0</v>
      </c>
      <c r="V1092">
        <f t="shared" si="632"/>
        <v>0</v>
      </c>
      <c r="W1092">
        <f t="shared" si="633"/>
        <v>0</v>
      </c>
      <c r="X1092">
        <f t="shared" si="634"/>
        <v>0</v>
      </c>
      <c r="Y1092">
        <f t="shared" si="635"/>
        <v>0</v>
      </c>
      <c r="Z1092">
        <f t="shared" si="636"/>
        <v>0</v>
      </c>
      <c r="AA1092">
        <f t="shared" si="637"/>
        <v>0</v>
      </c>
      <c r="AB1092">
        <f t="shared" si="638"/>
        <v>0</v>
      </c>
      <c r="AC1092">
        <f t="shared" si="639"/>
        <v>0</v>
      </c>
      <c r="AD1092">
        <f t="shared" si="640"/>
        <v>0</v>
      </c>
      <c r="AF1092">
        <f t="shared" si="641"/>
        <v>0</v>
      </c>
      <c r="AG1092">
        <f t="shared" si="642"/>
        <v>0</v>
      </c>
      <c r="AH1092">
        <f t="shared" si="643"/>
        <v>0</v>
      </c>
      <c r="AI1092">
        <f t="shared" si="644"/>
        <v>0</v>
      </c>
      <c r="AJ1092">
        <f t="shared" si="645"/>
        <v>0</v>
      </c>
      <c r="AK1092">
        <f t="shared" si="646"/>
        <v>0</v>
      </c>
      <c r="AL1092">
        <f t="shared" si="647"/>
        <v>0</v>
      </c>
      <c r="AM1092">
        <f t="shared" si="648"/>
        <v>0</v>
      </c>
      <c r="AN1092">
        <f t="shared" si="649"/>
        <v>0</v>
      </c>
      <c r="AO1092">
        <f t="shared" si="650"/>
        <v>0</v>
      </c>
      <c r="AP1092">
        <f t="shared" si="651"/>
        <v>0</v>
      </c>
      <c r="AQ1092">
        <f t="shared" si="652"/>
        <v>0</v>
      </c>
    </row>
    <row r="1093" spans="6:43" x14ac:dyDescent="0.45">
      <c r="F1093">
        <f t="shared" si="617"/>
        <v>0</v>
      </c>
      <c r="G1093">
        <f t="shared" si="618"/>
        <v>0</v>
      </c>
      <c r="H1093">
        <f t="shared" si="619"/>
        <v>0</v>
      </c>
      <c r="I1093">
        <f t="shared" si="620"/>
        <v>0</v>
      </c>
      <c r="J1093">
        <f t="shared" si="621"/>
        <v>0</v>
      </c>
      <c r="K1093">
        <f t="shared" si="622"/>
        <v>0</v>
      </c>
      <c r="L1093">
        <f t="shared" si="623"/>
        <v>0</v>
      </c>
      <c r="M1093">
        <f t="shared" si="624"/>
        <v>0</v>
      </c>
      <c r="N1093">
        <f t="shared" si="625"/>
        <v>0</v>
      </c>
      <c r="O1093">
        <f t="shared" si="626"/>
        <v>0</v>
      </c>
      <c r="P1093">
        <f t="shared" si="627"/>
        <v>0</v>
      </c>
      <c r="Q1093">
        <f t="shared" si="628"/>
        <v>0</v>
      </c>
      <c r="S1093">
        <f t="shared" si="629"/>
        <v>0</v>
      </c>
      <c r="T1093">
        <f t="shared" si="630"/>
        <v>0</v>
      </c>
      <c r="U1093">
        <f t="shared" si="631"/>
        <v>0</v>
      </c>
      <c r="V1093">
        <f t="shared" si="632"/>
        <v>0</v>
      </c>
      <c r="W1093">
        <f t="shared" si="633"/>
        <v>0</v>
      </c>
      <c r="X1093">
        <f t="shared" si="634"/>
        <v>0</v>
      </c>
      <c r="Y1093">
        <f t="shared" si="635"/>
        <v>0</v>
      </c>
      <c r="Z1093">
        <f t="shared" si="636"/>
        <v>0</v>
      </c>
      <c r="AA1093">
        <f t="shared" si="637"/>
        <v>0</v>
      </c>
      <c r="AB1093">
        <f t="shared" si="638"/>
        <v>0</v>
      </c>
      <c r="AC1093">
        <f t="shared" si="639"/>
        <v>0</v>
      </c>
      <c r="AD1093">
        <f t="shared" si="640"/>
        <v>0</v>
      </c>
      <c r="AF1093">
        <f t="shared" si="641"/>
        <v>0</v>
      </c>
      <c r="AG1093">
        <f t="shared" si="642"/>
        <v>0</v>
      </c>
      <c r="AH1093">
        <f t="shared" si="643"/>
        <v>0</v>
      </c>
      <c r="AI1093">
        <f t="shared" si="644"/>
        <v>0</v>
      </c>
      <c r="AJ1093">
        <f t="shared" si="645"/>
        <v>0</v>
      </c>
      <c r="AK1093">
        <f t="shared" si="646"/>
        <v>0</v>
      </c>
      <c r="AL1093">
        <f t="shared" si="647"/>
        <v>0</v>
      </c>
      <c r="AM1093">
        <f t="shared" si="648"/>
        <v>0</v>
      </c>
      <c r="AN1093">
        <f t="shared" si="649"/>
        <v>0</v>
      </c>
      <c r="AO1093">
        <f t="shared" si="650"/>
        <v>0</v>
      </c>
      <c r="AP1093">
        <f t="shared" si="651"/>
        <v>0</v>
      </c>
      <c r="AQ1093">
        <f t="shared" si="652"/>
        <v>0</v>
      </c>
    </row>
    <row r="1094" spans="6:43" x14ac:dyDescent="0.45">
      <c r="F1094">
        <f t="shared" si="617"/>
        <v>0</v>
      </c>
      <c r="G1094">
        <f t="shared" si="618"/>
        <v>0</v>
      </c>
      <c r="H1094">
        <f t="shared" si="619"/>
        <v>0</v>
      </c>
      <c r="I1094">
        <f t="shared" si="620"/>
        <v>0</v>
      </c>
      <c r="J1094">
        <f t="shared" si="621"/>
        <v>0</v>
      </c>
      <c r="K1094">
        <f t="shared" si="622"/>
        <v>0</v>
      </c>
      <c r="L1094">
        <f t="shared" si="623"/>
        <v>0</v>
      </c>
      <c r="M1094">
        <f t="shared" si="624"/>
        <v>0</v>
      </c>
      <c r="N1094">
        <f t="shared" si="625"/>
        <v>0</v>
      </c>
      <c r="O1094">
        <f t="shared" si="626"/>
        <v>0</v>
      </c>
      <c r="P1094">
        <f t="shared" si="627"/>
        <v>0</v>
      </c>
      <c r="Q1094">
        <f t="shared" si="628"/>
        <v>0</v>
      </c>
      <c r="S1094">
        <f t="shared" si="629"/>
        <v>0</v>
      </c>
      <c r="T1094">
        <f t="shared" si="630"/>
        <v>0</v>
      </c>
      <c r="U1094">
        <f t="shared" si="631"/>
        <v>0</v>
      </c>
      <c r="V1094">
        <f t="shared" si="632"/>
        <v>0</v>
      </c>
      <c r="W1094">
        <f t="shared" si="633"/>
        <v>0</v>
      </c>
      <c r="X1094">
        <f t="shared" si="634"/>
        <v>0</v>
      </c>
      <c r="Y1094">
        <f t="shared" si="635"/>
        <v>0</v>
      </c>
      <c r="Z1094">
        <f t="shared" si="636"/>
        <v>0</v>
      </c>
      <c r="AA1094">
        <f t="shared" si="637"/>
        <v>0</v>
      </c>
      <c r="AB1094">
        <f t="shared" si="638"/>
        <v>0</v>
      </c>
      <c r="AC1094">
        <f t="shared" si="639"/>
        <v>0</v>
      </c>
      <c r="AD1094">
        <f t="shared" si="640"/>
        <v>0</v>
      </c>
      <c r="AF1094">
        <f t="shared" si="641"/>
        <v>0</v>
      </c>
      <c r="AG1094">
        <f t="shared" si="642"/>
        <v>0</v>
      </c>
      <c r="AH1094">
        <f t="shared" si="643"/>
        <v>0</v>
      </c>
      <c r="AI1094">
        <f t="shared" si="644"/>
        <v>0</v>
      </c>
      <c r="AJ1094">
        <f t="shared" si="645"/>
        <v>0</v>
      </c>
      <c r="AK1094">
        <f t="shared" si="646"/>
        <v>0</v>
      </c>
      <c r="AL1094">
        <f t="shared" si="647"/>
        <v>0</v>
      </c>
      <c r="AM1094">
        <f t="shared" si="648"/>
        <v>0</v>
      </c>
      <c r="AN1094">
        <f t="shared" si="649"/>
        <v>0</v>
      </c>
      <c r="AO1094">
        <f t="shared" si="650"/>
        <v>0</v>
      </c>
      <c r="AP1094">
        <f t="shared" si="651"/>
        <v>0</v>
      </c>
      <c r="AQ1094">
        <f t="shared" si="652"/>
        <v>0</v>
      </c>
    </row>
    <row r="1095" spans="6:43" x14ac:dyDescent="0.45">
      <c r="F1095">
        <f t="shared" si="617"/>
        <v>0</v>
      </c>
      <c r="G1095">
        <f t="shared" si="618"/>
        <v>0</v>
      </c>
      <c r="H1095">
        <f t="shared" si="619"/>
        <v>0</v>
      </c>
      <c r="I1095">
        <f t="shared" si="620"/>
        <v>0</v>
      </c>
      <c r="J1095">
        <f t="shared" si="621"/>
        <v>0</v>
      </c>
      <c r="K1095">
        <f t="shared" si="622"/>
        <v>0</v>
      </c>
      <c r="L1095">
        <f t="shared" si="623"/>
        <v>0</v>
      </c>
      <c r="M1095">
        <f t="shared" si="624"/>
        <v>0</v>
      </c>
      <c r="N1095">
        <f t="shared" si="625"/>
        <v>0</v>
      </c>
      <c r="O1095">
        <f t="shared" si="626"/>
        <v>0</v>
      </c>
      <c r="P1095">
        <f t="shared" si="627"/>
        <v>0</v>
      </c>
      <c r="Q1095">
        <f t="shared" si="628"/>
        <v>0</v>
      </c>
      <c r="S1095">
        <f t="shared" si="629"/>
        <v>0</v>
      </c>
      <c r="T1095">
        <f t="shared" si="630"/>
        <v>0</v>
      </c>
      <c r="U1095">
        <f t="shared" si="631"/>
        <v>0</v>
      </c>
      <c r="V1095">
        <f t="shared" si="632"/>
        <v>0</v>
      </c>
      <c r="W1095">
        <f t="shared" si="633"/>
        <v>0</v>
      </c>
      <c r="X1095">
        <f t="shared" si="634"/>
        <v>0</v>
      </c>
      <c r="Y1095">
        <f t="shared" si="635"/>
        <v>0</v>
      </c>
      <c r="Z1095">
        <f t="shared" si="636"/>
        <v>0</v>
      </c>
      <c r="AA1095">
        <f t="shared" si="637"/>
        <v>0</v>
      </c>
      <c r="AB1095">
        <f t="shared" si="638"/>
        <v>0</v>
      </c>
      <c r="AC1095">
        <f t="shared" si="639"/>
        <v>0</v>
      </c>
      <c r="AD1095">
        <f t="shared" si="640"/>
        <v>0</v>
      </c>
      <c r="AF1095">
        <f t="shared" si="641"/>
        <v>0</v>
      </c>
      <c r="AG1095">
        <f t="shared" si="642"/>
        <v>0</v>
      </c>
      <c r="AH1095">
        <f t="shared" si="643"/>
        <v>0</v>
      </c>
      <c r="AI1095">
        <f t="shared" si="644"/>
        <v>0</v>
      </c>
      <c r="AJ1095">
        <f t="shared" si="645"/>
        <v>0</v>
      </c>
      <c r="AK1095">
        <f t="shared" si="646"/>
        <v>0</v>
      </c>
      <c r="AL1095">
        <f t="shared" si="647"/>
        <v>0</v>
      </c>
      <c r="AM1095">
        <f t="shared" si="648"/>
        <v>0</v>
      </c>
      <c r="AN1095">
        <f t="shared" si="649"/>
        <v>0</v>
      </c>
      <c r="AO1095">
        <f t="shared" si="650"/>
        <v>0</v>
      </c>
      <c r="AP1095">
        <f t="shared" si="651"/>
        <v>0</v>
      </c>
      <c r="AQ1095">
        <f t="shared" si="652"/>
        <v>0</v>
      </c>
    </row>
    <row r="1096" spans="6:43" x14ac:dyDescent="0.45">
      <c r="F1096">
        <f t="shared" si="617"/>
        <v>0</v>
      </c>
      <c r="G1096">
        <f t="shared" si="618"/>
        <v>0</v>
      </c>
      <c r="H1096">
        <f t="shared" si="619"/>
        <v>0</v>
      </c>
      <c r="I1096">
        <f t="shared" si="620"/>
        <v>0</v>
      </c>
      <c r="J1096">
        <f t="shared" si="621"/>
        <v>0</v>
      </c>
      <c r="K1096">
        <f t="shared" si="622"/>
        <v>0</v>
      </c>
      <c r="L1096">
        <f t="shared" si="623"/>
        <v>0</v>
      </c>
      <c r="M1096">
        <f t="shared" si="624"/>
        <v>0</v>
      </c>
      <c r="N1096">
        <f t="shared" si="625"/>
        <v>0</v>
      </c>
      <c r="O1096">
        <f t="shared" si="626"/>
        <v>0</v>
      </c>
      <c r="P1096">
        <f t="shared" si="627"/>
        <v>0</v>
      </c>
      <c r="Q1096">
        <f t="shared" si="628"/>
        <v>0</v>
      </c>
      <c r="S1096">
        <f t="shared" si="629"/>
        <v>0</v>
      </c>
      <c r="T1096">
        <f t="shared" si="630"/>
        <v>0</v>
      </c>
      <c r="U1096">
        <f t="shared" si="631"/>
        <v>0</v>
      </c>
      <c r="V1096">
        <f t="shared" si="632"/>
        <v>0</v>
      </c>
      <c r="W1096">
        <f t="shared" si="633"/>
        <v>0</v>
      </c>
      <c r="X1096">
        <f t="shared" si="634"/>
        <v>0</v>
      </c>
      <c r="Y1096">
        <f t="shared" si="635"/>
        <v>0</v>
      </c>
      <c r="Z1096">
        <f t="shared" si="636"/>
        <v>0</v>
      </c>
      <c r="AA1096">
        <f t="shared" si="637"/>
        <v>0</v>
      </c>
      <c r="AB1096">
        <f t="shared" si="638"/>
        <v>0</v>
      </c>
      <c r="AC1096">
        <f t="shared" si="639"/>
        <v>0</v>
      </c>
      <c r="AD1096">
        <f t="shared" si="640"/>
        <v>0</v>
      </c>
      <c r="AF1096">
        <f t="shared" si="641"/>
        <v>0</v>
      </c>
      <c r="AG1096">
        <f t="shared" si="642"/>
        <v>0</v>
      </c>
      <c r="AH1096">
        <f t="shared" si="643"/>
        <v>0</v>
      </c>
      <c r="AI1096">
        <f t="shared" si="644"/>
        <v>0</v>
      </c>
      <c r="AJ1096">
        <f t="shared" si="645"/>
        <v>0</v>
      </c>
      <c r="AK1096">
        <f t="shared" si="646"/>
        <v>0</v>
      </c>
      <c r="AL1096">
        <f t="shared" si="647"/>
        <v>0</v>
      </c>
      <c r="AM1096">
        <f t="shared" si="648"/>
        <v>0</v>
      </c>
      <c r="AN1096">
        <f t="shared" si="649"/>
        <v>0</v>
      </c>
      <c r="AO1096">
        <f t="shared" si="650"/>
        <v>0</v>
      </c>
      <c r="AP1096">
        <f t="shared" si="651"/>
        <v>0</v>
      </c>
      <c r="AQ1096">
        <f t="shared" si="652"/>
        <v>0</v>
      </c>
    </row>
    <row r="1097" spans="6:43" x14ac:dyDescent="0.45">
      <c r="F1097">
        <f t="shared" si="617"/>
        <v>0</v>
      </c>
      <c r="G1097">
        <f t="shared" si="618"/>
        <v>0</v>
      </c>
      <c r="H1097">
        <f t="shared" si="619"/>
        <v>0</v>
      </c>
      <c r="I1097">
        <f t="shared" si="620"/>
        <v>0</v>
      </c>
      <c r="J1097">
        <f t="shared" si="621"/>
        <v>0</v>
      </c>
      <c r="K1097">
        <f t="shared" si="622"/>
        <v>0</v>
      </c>
      <c r="L1097">
        <f t="shared" si="623"/>
        <v>0</v>
      </c>
      <c r="M1097">
        <f t="shared" si="624"/>
        <v>0</v>
      </c>
      <c r="N1097">
        <f t="shared" si="625"/>
        <v>0</v>
      </c>
      <c r="O1097">
        <f t="shared" si="626"/>
        <v>0</v>
      </c>
      <c r="P1097">
        <f t="shared" si="627"/>
        <v>0</v>
      </c>
      <c r="Q1097">
        <f t="shared" si="628"/>
        <v>0</v>
      </c>
      <c r="S1097">
        <f t="shared" si="629"/>
        <v>0</v>
      </c>
      <c r="T1097">
        <f t="shared" si="630"/>
        <v>0</v>
      </c>
      <c r="U1097">
        <f t="shared" si="631"/>
        <v>0</v>
      </c>
      <c r="V1097">
        <f t="shared" si="632"/>
        <v>0</v>
      </c>
      <c r="W1097">
        <f t="shared" si="633"/>
        <v>0</v>
      </c>
      <c r="X1097">
        <f t="shared" si="634"/>
        <v>0</v>
      </c>
      <c r="Y1097">
        <f t="shared" si="635"/>
        <v>0</v>
      </c>
      <c r="Z1097">
        <f t="shared" si="636"/>
        <v>0</v>
      </c>
      <c r="AA1097">
        <f t="shared" si="637"/>
        <v>0</v>
      </c>
      <c r="AB1097">
        <f t="shared" si="638"/>
        <v>0</v>
      </c>
      <c r="AC1097">
        <f t="shared" si="639"/>
        <v>0</v>
      </c>
      <c r="AD1097">
        <f t="shared" si="640"/>
        <v>0</v>
      </c>
      <c r="AF1097">
        <f t="shared" si="641"/>
        <v>0</v>
      </c>
      <c r="AG1097">
        <f t="shared" si="642"/>
        <v>0</v>
      </c>
      <c r="AH1097">
        <f t="shared" si="643"/>
        <v>0</v>
      </c>
      <c r="AI1097">
        <f t="shared" si="644"/>
        <v>0</v>
      </c>
      <c r="AJ1097">
        <f t="shared" si="645"/>
        <v>0</v>
      </c>
      <c r="AK1097">
        <f t="shared" si="646"/>
        <v>0</v>
      </c>
      <c r="AL1097">
        <f t="shared" si="647"/>
        <v>0</v>
      </c>
      <c r="AM1097">
        <f t="shared" si="648"/>
        <v>0</v>
      </c>
      <c r="AN1097">
        <f t="shared" si="649"/>
        <v>0</v>
      </c>
      <c r="AO1097">
        <f t="shared" si="650"/>
        <v>0</v>
      </c>
      <c r="AP1097">
        <f t="shared" si="651"/>
        <v>0</v>
      </c>
      <c r="AQ1097">
        <f t="shared" si="652"/>
        <v>0</v>
      </c>
    </row>
    <row r="1098" spans="6:43" x14ac:dyDescent="0.45">
      <c r="F1098">
        <f t="shared" si="617"/>
        <v>0</v>
      </c>
      <c r="G1098">
        <f t="shared" si="618"/>
        <v>0</v>
      </c>
      <c r="H1098">
        <f t="shared" si="619"/>
        <v>0</v>
      </c>
      <c r="I1098">
        <f t="shared" si="620"/>
        <v>0</v>
      </c>
      <c r="J1098">
        <f t="shared" si="621"/>
        <v>0</v>
      </c>
      <c r="K1098">
        <f t="shared" si="622"/>
        <v>0</v>
      </c>
      <c r="L1098">
        <f t="shared" si="623"/>
        <v>0</v>
      </c>
      <c r="M1098">
        <f t="shared" si="624"/>
        <v>0</v>
      </c>
      <c r="N1098">
        <f t="shared" si="625"/>
        <v>0</v>
      </c>
      <c r="O1098">
        <f t="shared" si="626"/>
        <v>0</v>
      </c>
      <c r="P1098">
        <f t="shared" si="627"/>
        <v>0</v>
      </c>
      <c r="Q1098">
        <f t="shared" si="628"/>
        <v>0</v>
      </c>
      <c r="S1098">
        <f t="shared" si="629"/>
        <v>0</v>
      </c>
      <c r="T1098">
        <f t="shared" si="630"/>
        <v>0</v>
      </c>
      <c r="U1098">
        <f t="shared" si="631"/>
        <v>0</v>
      </c>
      <c r="V1098">
        <f t="shared" si="632"/>
        <v>0</v>
      </c>
      <c r="W1098">
        <f t="shared" si="633"/>
        <v>0</v>
      </c>
      <c r="X1098">
        <f t="shared" si="634"/>
        <v>0</v>
      </c>
      <c r="Y1098">
        <f t="shared" si="635"/>
        <v>0</v>
      </c>
      <c r="Z1098">
        <f t="shared" si="636"/>
        <v>0</v>
      </c>
      <c r="AA1098">
        <f t="shared" si="637"/>
        <v>0</v>
      </c>
      <c r="AB1098">
        <f t="shared" si="638"/>
        <v>0</v>
      </c>
      <c r="AC1098">
        <f t="shared" si="639"/>
        <v>0</v>
      </c>
      <c r="AD1098">
        <f t="shared" si="640"/>
        <v>0</v>
      </c>
      <c r="AF1098">
        <f t="shared" si="641"/>
        <v>0</v>
      </c>
      <c r="AG1098">
        <f t="shared" si="642"/>
        <v>0</v>
      </c>
      <c r="AH1098">
        <f t="shared" si="643"/>
        <v>0</v>
      </c>
      <c r="AI1098">
        <f t="shared" si="644"/>
        <v>0</v>
      </c>
      <c r="AJ1098">
        <f t="shared" si="645"/>
        <v>0</v>
      </c>
      <c r="AK1098">
        <f t="shared" si="646"/>
        <v>0</v>
      </c>
      <c r="AL1098">
        <f t="shared" si="647"/>
        <v>0</v>
      </c>
      <c r="AM1098">
        <f t="shared" si="648"/>
        <v>0</v>
      </c>
      <c r="AN1098">
        <f t="shared" si="649"/>
        <v>0</v>
      </c>
      <c r="AO1098">
        <f t="shared" si="650"/>
        <v>0</v>
      </c>
      <c r="AP1098">
        <f t="shared" si="651"/>
        <v>0</v>
      </c>
      <c r="AQ1098">
        <f t="shared" si="652"/>
        <v>0</v>
      </c>
    </row>
    <row r="1099" spans="6:43" x14ac:dyDescent="0.45">
      <c r="F1099">
        <f t="shared" si="617"/>
        <v>0</v>
      </c>
      <c r="G1099">
        <f t="shared" si="618"/>
        <v>0</v>
      </c>
      <c r="H1099">
        <f t="shared" si="619"/>
        <v>0</v>
      </c>
      <c r="I1099">
        <f t="shared" si="620"/>
        <v>0</v>
      </c>
      <c r="J1099">
        <f t="shared" si="621"/>
        <v>0</v>
      </c>
      <c r="K1099">
        <f t="shared" si="622"/>
        <v>0</v>
      </c>
      <c r="L1099">
        <f t="shared" si="623"/>
        <v>0</v>
      </c>
      <c r="M1099">
        <f t="shared" si="624"/>
        <v>0</v>
      </c>
      <c r="N1099">
        <f t="shared" si="625"/>
        <v>0</v>
      </c>
      <c r="O1099">
        <f t="shared" si="626"/>
        <v>0</v>
      </c>
      <c r="P1099">
        <f t="shared" si="627"/>
        <v>0</v>
      </c>
      <c r="Q1099">
        <f t="shared" si="628"/>
        <v>0</v>
      </c>
      <c r="S1099">
        <f t="shared" si="629"/>
        <v>0</v>
      </c>
      <c r="T1099">
        <f t="shared" si="630"/>
        <v>0</v>
      </c>
      <c r="U1099">
        <f t="shared" si="631"/>
        <v>0</v>
      </c>
      <c r="V1099">
        <f t="shared" si="632"/>
        <v>0</v>
      </c>
      <c r="W1099">
        <f t="shared" si="633"/>
        <v>0</v>
      </c>
      <c r="X1099">
        <f t="shared" si="634"/>
        <v>0</v>
      </c>
      <c r="Y1099">
        <f t="shared" si="635"/>
        <v>0</v>
      </c>
      <c r="Z1099">
        <f t="shared" si="636"/>
        <v>0</v>
      </c>
      <c r="AA1099">
        <f t="shared" si="637"/>
        <v>0</v>
      </c>
      <c r="AB1099">
        <f t="shared" si="638"/>
        <v>0</v>
      </c>
      <c r="AC1099">
        <f t="shared" si="639"/>
        <v>0</v>
      </c>
      <c r="AD1099">
        <f t="shared" si="640"/>
        <v>0</v>
      </c>
      <c r="AF1099">
        <f t="shared" si="641"/>
        <v>0</v>
      </c>
      <c r="AG1099">
        <f t="shared" si="642"/>
        <v>0</v>
      </c>
      <c r="AH1099">
        <f t="shared" si="643"/>
        <v>0</v>
      </c>
      <c r="AI1099">
        <f t="shared" si="644"/>
        <v>0</v>
      </c>
      <c r="AJ1099">
        <f t="shared" si="645"/>
        <v>0</v>
      </c>
      <c r="AK1099">
        <f t="shared" si="646"/>
        <v>0</v>
      </c>
      <c r="AL1099">
        <f t="shared" si="647"/>
        <v>0</v>
      </c>
      <c r="AM1099">
        <f t="shared" si="648"/>
        <v>0</v>
      </c>
      <c r="AN1099">
        <f t="shared" si="649"/>
        <v>0</v>
      </c>
      <c r="AO1099">
        <f t="shared" si="650"/>
        <v>0</v>
      </c>
      <c r="AP1099">
        <f t="shared" si="651"/>
        <v>0</v>
      </c>
      <c r="AQ1099">
        <f t="shared" si="652"/>
        <v>0</v>
      </c>
    </row>
    <row r="1100" spans="6:43" x14ac:dyDescent="0.45">
      <c r="F1100">
        <f t="shared" ref="F1100:F1163" si="653">IF(D1100="SPUR-01",E1100,0)</f>
        <v>0</v>
      </c>
      <c r="G1100">
        <f t="shared" ref="G1100:G1163" si="654">IF(D1100="SPUR-02",E1100,0)</f>
        <v>0</v>
      </c>
      <c r="H1100">
        <f t="shared" ref="H1100:H1163" si="655">IF(D1100="SPUR-03",E1100,0)</f>
        <v>0</v>
      </c>
      <c r="I1100">
        <f t="shared" ref="I1100:I1163" si="656">IF(D1100="SPUR-04",E1100,0)</f>
        <v>0</v>
      </c>
      <c r="J1100">
        <f t="shared" ref="J1100:J1163" si="657">IF(D1100="SPUR-05",E1100,0)</f>
        <v>0</v>
      </c>
      <c r="K1100">
        <f t="shared" ref="K1100:K1163" si="658">IF(D1100="SPUR-06",E1100,0)</f>
        <v>0</v>
      </c>
      <c r="L1100">
        <f t="shared" ref="L1100:L1163" si="659">IF(D1100="SPUR-07",E1100,0)</f>
        <v>0</v>
      </c>
      <c r="M1100">
        <f t="shared" ref="M1100:M1163" si="660">IF(D1100="SPUR-08",E1100,0)</f>
        <v>0</v>
      </c>
      <c r="N1100">
        <f t="shared" ref="N1100:N1163" si="661">IF(D1100="SPUR-09",E1100,0)</f>
        <v>0</v>
      </c>
      <c r="O1100">
        <f t="shared" ref="O1100:O1163" si="662">IF(D1100="SPUR-10",E1100,0)</f>
        <v>0</v>
      </c>
      <c r="P1100">
        <f t="shared" ref="P1100:P1163" si="663">IF(D1100="SPUR-SILO",E1100,0)</f>
        <v>0</v>
      </c>
      <c r="Q1100">
        <f t="shared" ref="Q1100:Q1163" si="664">IF(D1100="SPUR-DB",E1100,0)</f>
        <v>0</v>
      </c>
      <c r="S1100">
        <f t="shared" si="629"/>
        <v>0</v>
      </c>
      <c r="T1100">
        <f t="shared" si="630"/>
        <v>0</v>
      </c>
      <c r="U1100">
        <f t="shared" si="631"/>
        <v>0</v>
      </c>
      <c r="V1100">
        <f t="shared" si="632"/>
        <v>0</v>
      </c>
      <c r="W1100">
        <f t="shared" si="633"/>
        <v>0</v>
      </c>
      <c r="X1100">
        <f t="shared" si="634"/>
        <v>0</v>
      </c>
      <c r="Y1100">
        <f t="shared" si="635"/>
        <v>0</v>
      </c>
      <c r="Z1100">
        <f t="shared" si="636"/>
        <v>0</v>
      </c>
      <c r="AA1100">
        <f t="shared" si="637"/>
        <v>0</v>
      </c>
      <c r="AB1100">
        <f t="shared" si="638"/>
        <v>0</v>
      </c>
      <c r="AC1100">
        <f t="shared" si="639"/>
        <v>0</v>
      </c>
      <c r="AD1100">
        <f t="shared" si="640"/>
        <v>0</v>
      </c>
      <c r="AF1100">
        <f t="shared" si="641"/>
        <v>0</v>
      </c>
      <c r="AG1100">
        <f t="shared" si="642"/>
        <v>0</v>
      </c>
      <c r="AH1100">
        <f t="shared" si="643"/>
        <v>0</v>
      </c>
      <c r="AI1100">
        <f t="shared" si="644"/>
        <v>0</v>
      </c>
      <c r="AJ1100">
        <f t="shared" si="645"/>
        <v>0</v>
      </c>
      <c r="AK1100">
        <f t="shared" si="646"/>
        <v>0</v>
      </c>
      <c r="AL1100">
        <f t="shared" si="647"/>
        <v>0</v>
      </c>
      <c r="AM1100">
        <f t="shared" si="648"/>
        <v>0</v>
      </c>
      <c r="AN1100">
        <f t="shared" si="649"/>
        <v>0</v>
      </c>
      <c r="AO1100">
        <f t="shared" si="650"/>
        <v>0</v>
      </c>
      <c r="AP1100">
        <f t="shared" si="651"/>
        <v>0</v>
      </c>
      <c r="AQ1100">
        <f t="shared" si="652"/>
        <v>0</v>
      </c>
    </row>
    <row r="1101" spans="6:43" x14ac:dyDescent="0.45">
      <c r="F1101">
        <f t="shared" si="653"/>
        <v>0</v>
      </c>
      <c r="G1101">
        <f t="shared" si="654"/>
        <v>0</v>
      </c>
      <c r="H1101">
        <f t="shared" si="655"/>
        <v>0</v>
      </c>
      <c r="I1101">
        <f t="shared" si="656"/>
        <v>0</v>
      </c>
      <c r="J1101">
        <f t="shared" si="657"/>
        <v>0</v>
      </c>
      <c r="K1101">
        <f t="shared" si="658"/>
        <v>0</v>
      </c>
      <c r="L1101">
        <f t="shared" si="659"/>
        <v>0</v>
      </c>
      <c r="M1101">
        <f t="shared" si="660"/>
        <v>0</v>
      </c>
      <c r="N1101">
        <f t="shared" si="661"/>
        <v>0</v>
      </c>
      <c r="O1101">
        <f t="shared" si="662"/>
        <v>0</v>
      </c>
      <c r="P1101">
        <f t="shared" si="663"/>
        <v>0</v>
      </c>
      <c r="Q1101">
        <f t="shared" si="664"/>
        <v>0</v>
      </c>
      <c r="S1101">
        <f t="shared" si="629"/>
        <v>0</v>
      </c>
      <c r="T1101">
        <f t="shared" si="630"/>
        <v>0</v>
      </c>
      <c r="U1101">
        <f t="shared" si="631"/>
        <v>0</v>
      </c>
      <c r="V1101">
        <f t="shared" si="632"/>
        <v>0</v>
      </c>
      <c r="W1101">
        <f t="shared" si="633"/>
        <v>0</v>
      </c>
      <c r="X1101">
        <f t="shared" si="634"/>
        <v>0</v>
      </c>
      <c r="Y1101">
        <f t="shared" si="635"/>
        <v>0</v>
      </c>
      <c r="Z1101">
        <f t="shared" si="636"/>
        <v>0</v>
      </c>
      <c r="AA1101">
        <f t="shared" si="637"/>
        <v>0</v>
      </c>
      <c r="AB1101">
        <f t="shared" si="638"/>
        <v>0</v>
      </c>
      <c r="AC1101">
        <f t="shared" si="639"/>
        <v>0</v>
      </c>
      <c r="AD1101">
        <f t="shared" si="640"/>
        <v>0</v>
      </c>
      <c r="AF1101">
        <f t="shared" si="641"/>
        <v>0</v>
      </c>
      <c r="AG1101">
        <f t="shared" si="642"/>
        <v>0</v>
      </c>
      <c r="AH1101">
        <f t="shared" si="643"/>
        <v>0</v>
      </c>
      <c r="AI1101">
        <f t="shared" si="644"/>
        <v>0</v>
      </c>
      <c r="AJ1101">
        <f t="shared" si="645"/>
        <v>0</v>
      </c>
      <c r="AK1101">
        <f t="shared" si="646"/>
        <v>0</v>
      </c>
      <c r="AL1101">
        <f t="shared" si="647"/>
        <v>0</v>
      </c>
      <c r="AM1101">
        <f t="shared" si="648"/>
        <v>0</v>
      </c>
      <c r="AN1101">
        <f t="shared" si="649"/>
        <v>0</v>
      </c>
      <c r="AO1101">
        <f t="shared" si="650"/>
        <v>0</v>
      </c>
      <c r="AP1101">
        <f t="shared" si="651"/>
        <v>0</v>
      </c>
      <c r="AQ1101">
        <f t="shared" si="652"/>
        <v>0</v>
      </c>
    </row>
    <row r="1102" spans="6:43" x14ac:dyDescent="0.45">
      <c r="F1102">
        <f t="shared" si="653"/>
        <v>0</v>
      </c>
      <c r="G1102">
        <f t="shared" si="654"/>
        <v>0</v>
      </c>
      <c r="H1102">
        <f t="shared" si="655"/>
        <v>0</v>
      </c>
      <c r="I1102">
        <f t="shared" si="656"/>
        <v>0</v>
      </c>
      <c r="J1102">
        <f t="shared" si="657"/>
        <v>0</v>
      </c>
      <c r="K1102">
        <f t="shared" si="658"/>
        <v>0</v>
      </c>
      <c r="L1102">
        <f t="shared" si="659"/>
        <v>0</v>
      </c>
      <c r="M1102">
        <f t="shared" si="660"/>
        <v>0</v>
      </c>
      <c r="N1102">
        <f t="shared" si="661"/>
        <v>0</v>
      </c>
      <c r="O1102">
        <f t="shared" si="662"/>
        <v>0</v>
      </c>
      <c r="P1102">
        <f t="shared" si="663"/>
        <v>0</v>
      </c>
      <c r="Q1102">
        <f t="shared" si="664"/>
        <v>0</v>
      </c>
      <c r="S1102">
        <f t="shared" si="629"/>
        <v>0</v>
      </c>
      <c r="T1102">
        <f t="shared" si="630"/>
        <v>0</v>
      </c>
      <c r="U1102">
        <f t="shared" si="631"/>
        <v>0</v>
      </c>
      <c r="V1102">
        <f t="shared" si="632"/>
        <v>0</v>
      </c>
      <c r="W1102">
        <f t="shared" si="633"/>
        <v>0</v>
      </c>
      <c r="X1102">
        <f t="shared" si="634"/>
        <v>0</v>
      </c>
      <c r="Y1102">
        <f t="shared" si="635"/>
        <v>0</v>
      </c>
      <c r="Z1102">
        <f t="shared" si="636"/>
        <v>0</v>
      </c>
      <c r="AA1102">
        <f t="shared" si="637"/>
        <v>0</v>
      </c>
      <c r="AB1102">
        <f t="shared" si="638"/>
        <v>0</v>
      </c>
      <c r="AC1102">
        <f t="shared" si="639"/>
        <v>0</v>
      </c>
      <c r="AD1102">
        <f t="shared" si="640"/>
        <v>0</v>
      </c>
      <c r="AF1102">
        <f t="shared" si="641"/>
        <v>0</v>
      </c>
      <c r="AG1102">
        <f t="shared" si="642"/>
        <v>0</v>
      </c>
      <c r="AH1102">
        <f t="shared" si="643"/>
        <v>0</v>
      </c>
      <c r="AI1102">
        <f t="shared" si="644"/>
        <v>0</v>
      </c>
      <c r="AJ1102">
        <f t="shared" si="645"/>
        <v>0</v>
      </c>
      <c r="AK1102">
        <f t="shared" si="646"/>
        <v>0</v>
      </c>
      <c r="AL1102">
        <f t="shared" si="647"/>
        <v>0</v>
      </c>
      <c r="AM1102">
        <f t="shared" si="648"/>
        <v>0</v>
      </c>
      <c r="AN1102">
        <f t="shared" si="649"/>
        <v>0</v>
      </c>
      <c r="AO1102">
        <f t="shared" si="650"/>
        <v>0</v>
      </c>
      <c r="AP1102">
        <f t="shared" si="651"/>
        <v>0</v>
      </c>
      <c r="AQ1102">
        <f t="shared" si="652"/>
        <v>0</v>
      </c>
    </row>
    <row r="1103" spans="6:43" x14ac:dyDescent="0.45">
      <c r="F1103">
        <f t="shared" si="653"/>
        <v>0</v>
      </c>
      <c r="G1103">
        <f t="shared" si="654"/>
        <v>0</v>
      </c>
      <c r="H1103">
        <f t="shared" si="655"/>
        <v>0</v>
      </c>
      <c r="I1103">
        <f t="shared" si="656"/>
        <v>0</v>
      </c>
      <c r="J1103">
        <f t="shared" si="657"/>
        <v>0</v>
      </c>
      <c r="K1103">
        <f t="shared" si="658"/>
        <v>0</v>
      </c>
      <c r="L1103">
        <f t="shared" si="659"/>
        <v>0</v>
      </c>
      <c r="M1103">
        <f t="shared" si="660"/>
        <v>0</v>
      </c>
      <c r="N1103">
        <f t="shared" si="661"/>
        <v>0</v>
      </c>
      <c r="O1103">
        <f t="shared" si="662"/>
        <v>0</v>
      </c>
      <c r="P1103">
        <f t="shared" si="663"/>
        <v>0</v>
      </c>
      <c r="Q1103">
        <f t="shared" si="664"/>
        <v>0</v>
      </c>
      <c r="S1103">
        <f t="shared" si="629"/>
        <v>0</v>
      </c>
      <c r="T1103">
        <f t="shared" si="630"/>
        <v>0</v>
      </c>
      <c r="U1103">
        <f t="shared" si="631"/>
        <v>0</v>
      </c>
      <c r="V1103">
        <f t="shared" si="632"/>
        <v>0</v>
      </c>
      <c r="W1103">
        <f t="shared" si="633"/>
        <v>0</v>
      </c>
      <c r="X1103">
        <f t="shared" si="634"/>
        <v>0</v>
      </c>
      <c r="Y1103">
        <f t="shared" si="635"/>
        <v>0</v>
      </c>
      <c r="Z1103">
        <f t="shared" si="636"/>
        <v>0</v>
      </c>
      <c r="AA1103">
        <f t="shared" si="637"/>
        <v>0</v>
      </c>
      <c r="AB1103">
        <f t="shared" si="638"/>
        <v>0</v>
      </c>
      <c r="AC1103">
        <f t="shared" si="639"/>
        <v>0</v>
      </c>
      <c r="AD1103">
        <f t="shared" si="640"/>
        <v>0</v>
      </c>
      <c r="AF1103">
        <f t="shared" si="641"/>
        <v>0</v>
      </c>
      <c r="AG1103">
        <f t="shared" si="642"/>
        <v>0</v>
      </c>
      <c r="AH1103">
        <f t="shared" si="643"/>
        <v>0</v>
      </c>
      <c r="AI1103">
        <f t="shared" si="644"/>
        <v>0</v>
      </c>
      <c r="AJ1103">
        <f t="shared" si="645"/>
        <v>0</v>
      </c>
      <c r="AK1103">
        <f t="shared" si="646"/>
        <v>0</v>
      </c>
      <c r="AL1103">
        <f t="shared" si="647"/>
        <v>0</v>
      </c>
      <c r="AM1103">
        <f t="shared" si="648"/>
        <v>0</v>
      </c>
      <c r="AN1103">
        <f t="shared" si="649"/>
        <v>0</v>
      </c>
      <c r="AO1103">
        <f t="shared" si="650"/>
        <v>0</v>
      </c>
      <c r="AP1103">
        <f t="shared" si="651"/>
        <v>0</v>
      </c>
      <c r="AQ1103">
        <f t="shared" si="652"/>
        <v>0</v>
      </c>
    </row>
    <row r="1104" spans="6:43" x14ac:dyDescent="0.45">
      <c r="F1104">
        <f t="shared" si="653"/>
        <v>0</v>
      </c>
      <c r="G1104">
        <f t="shared" si="654"/>
        <v>0</v>
      </c>
      <c r="H1104">
        <f t="shared" si="655"/>
        <v>0</v>
      </c>
      <c r="I1104">
        <f t="shared" si="656"/>
        <v>0</v>
      </c>
      <c r="J1104">
        <f t="shared" si="657"/>
        <v>0</v>
      </c>
      <c r="K1104">
        <f t="shared" si="658"/>
        <v>0</v>
      </c>
      <c r="L1104">
        <f t="shared" si="659"/>
        <v>0</v>
      </c>
      <c r="M1104">
        <f t="shared" si="660"/>
        <v>0</v>
      </c>
      <c r="N1104">
        <f t="shared" si="661"/>
        <v>0</v>
      </c>
      <c r="O1104">
        <f t="shared" si="662"/>
        <v>0</v>
      </c>
      <c r="P1104">
        <f t="shared" si="663"/>
        <v>0</v>
      </c>
      <c r="Q1104">
        <f t="shared" si="664"/>
        <v>0</v>
      </c>
      <c r="S1104">
        <f t="shared" si="629"/>
        <v>0</v>
      </c>
      <c r="T1104">
        <f t="shared" si="630"/>
        <v>0</v>
      </c>
      <c r="U1104">
        <f t="shared" si="631"/>
        <v>0</v>
      </c>
      <c r="V1104">
        <f t="shared" si="632"/>
        <v>0</v>
      </c>
      <c r="W1104">
        <f t="shared" si="633"/>
        <v>0</v>
      </c>
      <c r="X1104">
        <f t="shared" si="634"/>
        <v>0</v>
      </c>
      <c r="Y1104">
        <f t="shared" si="635"/>
        <v>0</v>
      </c>
      <c r="Z1104">
        <f t="shared" si="636"/>
        <v>0</v>
      </c>
      <c r="AA1104">
        <f t="shared" si="637"/>
        <v>0</v>
      </c>
      <c r="AB1104">
        <f t="shared" si="638"/>
        <v>0</v>
      </c>
      <c r="AC1104">
        <f t="shared" si="639"/>
        <v>0</v>
      </c>
      <c r="AD1104">
        <f t="shared" si="640"/>
        <v>0</v>
      </c>
      <c r="AF1104">
        <f t="shared" si="641"/>
        <v>0</v>
      </c>
      <c r="AG1104">
        <f t="shared" si="642"/>
        <v>0</v>
      </c>
      <c r="AH1104">
        <f t="shared" si="643"/>
        <v>0</v>
      </c>
      <c r="AI1104">
        <f t="shared" si="644"/>
        <v>0</v>
      </c>
      <c r="AJ1104">
        <f t="shared" si="645"/>
        <v>0</v>
      </c>
      <c r="AK1104">
        <f t="shared" si="646"/>
        <v>0</v>
      </c>
      <c r="AL1104">
        <f t="shared" si="647"/>
        <v>0</v>
      </c>
      <c r="AM1104">
        <f t="shared" si="648"/>
        <v>0</v>
      </c>
      <c r="AN1104">
        <f t="shared" si="649"/>
        <v>0</v>
      </c>
      <c r="AO1104">
        <f t="shared" si="650"/>
        <v>0</v>
      </c>
      <c r="AP1104">
        <f t="shared" si="651"/>
        <v>0</v>
      </c>
      <c r="AQ1104">
        <f t="shared" si="652"/>
        <v>0</v>
      </c>
    </row>
    <row r="1105" spans="6:43" x14ac:dyDescent="0.45">
      <c r="F1105">
        <f t="shared" si="653"/>
        <v>0</v>
      </c>
      <c r="G1105">
        <f t="shared" si="654"/>
        <v>0</v>
      </c>
      <c r="H1105">
        <f t="shared" si="655"/>
        <v>0</v>
      </c>
      <c r="I1105">
        <f t="shared" si="656"/>
        <v>0</v>
      </c>
      <c r="J1105">
        <f t="shared" si="657"/>
        <v>0</v>
      </c>
      <c r="K1105">
        <f t="shared" si="658"/>
        <v>0</v>
      </c>
      <c r="L1105">
        <f t="shared" si="659"/>
        <v>0</v>
      </c>
      <c r="M1105">
        <f t="shared" si="660"/>
        <v>0</v>
      </c>
      <c r="N1105">
        <f t="shared" si="661"/>
        <v>0</v>
      </c>
      <c r="O1105">
        <f t="shared" si="662"/>
        <v>0</v>
      </c>
      <c r="P1105">
        <f t="shared" si="663"/>
        <v>0</v>
      </c>
      <c r="Q1105">
        <f t="shared" si="664"/>
        <v>0</v>
      </c>
      <c r="S1105">
        <f t="shared" si="629"/>
        <v>0</v>
      </c>
      <c r="T1105">
        <f t="shared" si="630"/>
        <v>0</v>
      </c>
      <c r="U1105">
        <f t="shared" si="631"/>
        <v>0</v>
      </c>
      <c r="V1105">
        <f t="shared" si="632"/>
        <v>0</v>
      </c>
      <c r="W1105">
        <f t="shared" si="633"/>
        <v>0</v>
      </c>
      <c r="X1105">
        <f t="shared" si="634"/>
        <v>0</v>
      </c>
      <c r="Y1105">
        <f t="shared" si="635"/>
        <v>0</v>
      </c>
      <c r="Z1105">
        <f t="shared" si="636"/>
        <v>0</v>
      </c>
      <c r="AA1105">
        <f t="shared" si="637"/>
        <v>0</v>
      </c>
      <c r="AB1105">
        <f t="shared" si="638"/>
        <v>0</v>
      </c>
      <c r="AC1105">
        <f t="shared" si="639"/>
        <v>0</v>
      </c>
      <c r="AD1105">
        <f t="shared" si="640"/>
        <v>0</v>
      </c>
      <c r="AF1105">
        <f t="shared" si="641"/>
        <v>0</v>
      </c>
      <c r="AG1105">
        <f t="shared" si="642"/>
        <v>0</v>
      </c>
      <c r="AH1105">
        <f t="shared" si="643"/>
        <v>0</v>
      </c>
      <c r="AI1105">
        <f t="shared" si="644"/>
        <v>0</v>
      </c>
      <c r="AJ1105">
        <f t="shared" si="645"/>
        <v>0</v>
      </c>
      <c r="AK1105">
        <f t="shared" si="646"/>
        <v>0</v>
      </c>
      <c r="AL1105">
        <f t="shared" si="647"/>
        <v>0</v>
      </c>
      <c r="AM1105">
        <f t="shared" si="648"/>
        <v>0</v>
      </c>
      <c r="AN1105">
        <f t="shared" si="649"/>
        <v>0</v>
      </c>
      <c r="AO1105">
        <f t="shared" si="650"/>
        <v>0</v>
      </c>
      <c r="AP1105">
        <f t="shared" si="651"/>
        <v>0</v>
      </c>
      <c r="AQ1105">
        <f t="shared" si="652"/>
        <v>0</v>
      </c>
    </row>
    <row r="1106" spans="6:43" x14ac:dyDescent="0.45">
      <c r="F1106">
        <f t="shared" si="653"/>
        <v>0</v>
      </c>
      <c r="G1106">
        <f t="shared" si="654"/>
        <v>0</v>
      </c>
      <c r="H1106">
        <f t="shared" si="655"/>
        <v>0</v>
      </c>
      <c r="I1106">
        <f t="shared" si="656"/>
        <v>0</v>
      </c>
      <c r="J1106">
        <f t="shared" si="657"/>
        <v>0</v>
      </c>
      <c r="K1106">
        <f t="shared" si="658"/>
        <v>0</v>
      </c>
      <c r="L1106">
        <f t="shared" si="659"/>
        <v>0</v>
      </c>
      <c r="M1106">
        <f t="shared" si="660"/>
        <v>0</v>
      </c>
      <c r="N1106">
        <f t="shared" si="661"/>
        <v>0</v>
      </c>
      <c r="O1106">
        <f t="shared" si="662"/>
        <v>0</v>
      </c>
      <c r="P1106">
        <f t="shared" si="663"/>
        <v>0</v>
      </c>
      <c r="Q1106">
        <f t="shared" si="664"/>
        <v>0</v>
      </c>
      <c r="S1106">
        <f t="shared" si="629"/>
        <v>0</v>
      </c>
      <c r="T1106">
        <f t="shared" si="630"/>
        <v>0</v>
      </c>
      <c r="U1106">
        <f t="shared" si="631"/>
        <v>0</v>
      </c>
      <c r="V1106">
        <f t="shared" si="632"/>
        <v>0</v>
      </c>
      <c r="W1106">
        <f t="shared" si="633"/>
        <v>0</v>
      </c>
      <c r="X1106">
        <f t="shared" si="634"/>
        <v>0</v>
      </c>
      <c r="Y1106">
        <f t="shared" si="635"/>
        <v>0</v>
      </c>
      <c r="Z1106">
        <f t="shared" si="636"/>
        <v>0</v>
      </c>
      <c r="AA1106">
        <f t="shared" si="637"/>
        <v>0</v>
      </c>
      <c r="AB1106">
        <f t="shared" si="638"/>
        <v>0</v>
      </c>
      <c r="AC1106">
        <f t="shared" si="639"/>
        <v>0</v>
      </c>
      <c r="AD1106">
        <f t="shared" si="640"/>
        <v>0</v>
      </c>
      <c r="AF1106">
        <f t="shared" si="641"/>
        <v>0</v>
      </c>
      <c r="AG1106">
        <f t="shared" si="642"/>
        <v>0</v>
      </c>
      <c r="AH1106">
        <f t="shared" si="643"/>
        <v>0</v>
      </c>
      <c r="AI1106">
        <f t="shared" si="644"/>
        <v>0</v>
      </c>
      <c r="AJ1106">
        <f t="shared" si="645"/>
        <v>0</v>
      </c>
      <c r="AK1106">
        <f t="shared" si="646"/>
        <v>0</v>
      </c>
      <c r="AL1106">
        <f t="shared" si="647"/>
        <v>0</v>
      </c>
      <c r="AM1106">
        <f t="shared" si="648"/>
        <v>0</v>
      </c>
      <c r="AN1106">
        <f t="shared" si="649"/>
        <v>0</v>
      </c>
      <c r="AO1106">
        <f t="shared" si="650"/>
        <v>0</v>
      </c>
      <c r="AP1106">
        <f t="shared" si="651"/>
        <v>0</v>
      </c>
      <c r="AQ1106">
        <f t="shared" si="652"/>
        <v>0</v>
      </c>
    </row>
    <row r="1107" spans="6:43" x14ac:dyDescent="0.45">
      <c r="F1107">
        <f t="shared" si="653"/>
        <v>0</v>
      </c>
      <c r="G1107">
        <f t="shared" si="654"/>
        <v>0</v>
      </c>
      <c r="H1107">
        <f t="shared" si="655"/>
        <v>0</v>
      </c>
      <c r="I1107">
        <f t="shared" si="656"/>
        <v>0</v>
      </c>
      <c r="J1107">
        <f t="shared" si="657"/>
        <v>0</v>
      </c>
      <c r="K1107">
        <f t="shared" si="658"/>
        <v>0</v>
      </c>
      <c r="L1107">
        <f t="shared" si="659"/>
        <v>0</v>
      </c>
      <c r="M1107">
        <f t="shared" si="660"/>
        <v>0</v>
      </c>
      <c r="N1107">
        <f t="shared" si="661"/>
        <v>0</v>
      </c>
      <c r="O1107">
        <f t="shared" si="662"/>
        <v>0</v>
      </c>
      <c r="P1107">
        <f t="shared" si="663"/>
        <v>0</v>
      </c>
      <c r="Q1107">
        <f t="shared" si="664"/>
        <v>0</v>
      </c>
      <c r="S1107">
        <f t="shared" si="629"/>
        <v>0</v>
      </c>
      <c r="T1107">
        <f t="shared" si="630"/>
        <v>0</v>
      </c>
      <c r="U1107">
        <f t="shared" si="631"/>
        <v>0</v>
      </c>
      <c r="V1107">
        <f t="shared" si="632"/>
        <v>0</v>
      </c>
      <c r="W1107">
        <f t="shared" si="633"/>
        <v>0</v>
      </c>
      <c r="X1107">
        <f t="shared" si="634"/>
        <v>0</v>
      </c>
      <c r="Y1107">
        <f t="shared" si="635"/>
        <v>0</v>
      </c>
      <c r="Z1107">
        <f t="shared" si="636"/>
        <v>0</v>
      </c>
      <c r="AA1107">
        <f t="shared" si="637"/>
        <v>0</v>
      </c>
      <c r="AB1107">
        <f t="shared" si="638"/>
        <v>0</v>
      </c>
      <c r="AC1107">
        <f t="shared" si="639"/>
        <v>0</v>
      </c>
      <c r="AD1107">
        <f t="shared" si="640"/>
        <v>0</v>
      </c>
      <c r="AF1107">
        <f t="shared" si="641"/>
        <v>0</v>
      </c>
      <c r="AG1107">
        <f t="shared" si="642"/>
        <v>0</v>
      </c>
      <c r="AH1107">
        <f t="shared" si="643"/>
        <v>0</v>
      </c>
      <c r="AI1107">
        <f t="shared" si="644"/>
        <v>0</v>
      </c>
      <c r="AJ1107">
        <f t="shared" si="645"/>
        <v>0</v>
      </c>
      <c r="AK1107">
        <f t="shared" si="646"/>
        <v>0</v>
      </c>
      <c r="AL1107">
        <f t="shared" si="647"/>
        <v>0</v>
      </c>
      <c r="AM1107">
        <f t="shared" si="648"/>
        <v>0</v>
      </c>
      <c r="AN1107">
        <f t="shared" si="649"/>
        <v>0</v>
      </c>
      <c r="AO1107">
        <f t="shared" si="650"/>
        <v>0</v>
      </c>
      <c r="AP1107">
        <f t="shared" si="651"/>
        <v>0</v>
      </c>
      <c r="AQ1107">
        <f t="shared" si="652"/>
        <v>0</v>
      </c>
    </row>
    <row r="1108" spans="6:43" x14ac:dyDescent="0.45">
      <c r="F1108">
        <f t="shared" si="653"/>
        <v>0</v>
      </c>
      <c r="G1108">
        <f t="shared" si="654"/>
        <v>0</v>
      </c>
      <c r="H1108">
        <f t="shared" si="655"/>
        <v>0</v>
      </c>
      <c r="I1108">
        <f t="shared" si="656"/>
        <v>0</v>
      </c>
      <c r="J1108">
        <f t="shared" si="657"/>
        <v>0</v>
      </c>
      <c r="K1108">
        <f t="shared" si="658"/>
        <v>0</v>
      </c>
      <c r="L1108">
        <f t="shared" si="659"/>
        <v>0</v>
      </c>
      <c r="M1108">
        <f t="shared" si="660"/>
        <v>0</v>
      </c>
      <c r="N1108">
        <f t="shared" si="661"/>
        <v>0</v>
      </c>
      <c r="O1108">
        <f t="shared" si="662"/>
        <v>0</v>
      </c>
      <c r="P1108">
        <f t="shared" si="663"/>
        <v>0</v>
      </c>
      <c r="Q1108">
        <f t="shared" si="664"/>
        <v>0</v>
      </c>
      <c r="S1108">
        <f t="shared" si="629"/>
        <v>0</v>
      </c>
      <c r="T1108">
        <f t="shared" si="630"/>
        <v>0</v>
      </c>
      <c r="U1108">
        <f t="shared" si="631"/>
        <v>0</v>
      </c>
      <c r="V1108">
        <f t="shared" si="632"/>
        <v>0</v>
      </c>
      <c r="W1108">
        <f t="shared" si="633"/>
        <v>0</v>
      </c>
      <c r="X1108">
        <f t="shared" si="634"/>
        <v>0</v>
      </c>
      <c r="Y1108">
        <f t="shared" si="635"/>
        <v>0</v>
      </c>
      <c r="Z1108">
        <f t="shared" si="636"/>
        <v>0</v>
      </c>
      <c r="AA1108">
        <f t="shared" si="637"/>
        <v>0</v>
      </c>
      <c r="AB1108">
        <f t="shared" si="638"/>
        <v>0</v>
      </c>
      <c r="AC1108">
        <f t="shared" si="639"/>
        <v>0</v>
      </c>
      <c r="AD1108">
        <f t="shared" si="640"/>
        <v>0</v>
      </c>
      <c r="AF1108">
        <f t="shared" si="641"/>
        <v>0</v>
      </c>
      <c r="AG1108">
        <f t="shared" si="642"/>
        <v>0</v>
      </c>
      <c r="AH1108">
        <f t="shared" si="643"/>
        <v>0</v>
      </c>
      <c r="AI1108">
        <f t="shared" si="644"/>
        <v>0</v>
      </c>
      <c r="AJ1108">
        <f t="shared" si="645"/>
        <v>0</v>
      </c>
      <c r="AK1108">
        <f t="shared" si="646"/>
        <v>0</v>
      </c>
      <c r="AL1108">
        <f t="shared" si="647"/>
        <v>0</v>
      </c>
      <c r="AM1108">
        <f t="shared" si="648"/>
        <v>0</v>
      </c>
      <c r="AN1108">
        <f t="shared" si="649"/>
        <v>0</v>
      </c>
      <c r="AO1108">
        <f t="shared" si="650"/>
        <v>0</v>
      </c>
      <c r="AP1108">
        <f t="shared" si="651"/>
        <v>0</v>
      </c>
      <c r="AQ1108">
        <f t="shared" si="652"/>
        <v>0</v>
      </c>
    </row>
    <row r="1109" spans="6:43" x14ac:dyDescent="0.45">
      <c r="F1109">
        <f t="shared" si="653"/>
        <v>0</v>
      </c>
      <c r="G1109">
        <f t="shared" si="654"/>
        <v>0</v>
      </c>
      <c r="H1109">
        <f t="shared" si="655"/>
        <v>0</v>
      </c>
      <c r="I1109">
        <f t="shared" si="656"/>
        <v>0</v>
      </c>
      <c r="J1109">
        <f t="shared" si="657"/>
        <v>0</v>
      </c>
      <c r="K1109">
        <f t="shared" si="658"/>
        <v>0</v>
      </c>
      <c r="L1109">
        <f t="shared" si="659"/>
        <v>0</v>
      </c>
      <c r="M1109">
        <f t="shared" si="660"/>
        <v>0</v>
      </c>
      <c r="N1109">
        <f t="shared" si="661"/>
        <v>0</v>
      </c>
      <c r="O1109">
        <f t="shared" si="662"/>
        <v>0</v>
      </c>
      <c r="P1109">
        <f t="shared" si="663"/>
        <v>0</v>
      </c>
      <c r="Q1109">
        <f t="shared" si="664"/>
        <v>0</v>
      </c>
      <c r="S1109">
        <f t="shared" si="629"/>
        <v>0</v>
      </c>
      <c r="T1109">
        <f t="shared" si="630"/>
        <v>0</v>
      </c>
      <c r="U1109">
        <f t="shared" si="631"/>
        <v>0</v>
      </c>
      <c r="V1109">
        <f t="shared" si="632"/>
        <v>0</v>
      </c>
      <c r="W1109">
        <f t="shared" si="633"/>
        <v>0</v>
      </c>
      <c r="X1109">
        <f t="shared" si="634"/>
        <v>0</v>
      </c>
      <c r="Y1109">
        <f t="shared" si="635"/>
        <v>0</v>
      </c>
      <c r="Z1109">
        <f t="shared" si="636"/>
        <v>0</v>
      </c>
      <c r="AA1109">
        <f t="shared" si="637"/>
        <v>0</v>
      </c>
      <c r="AB1109">
        <f t="shared" si="638"/>
        <v>0</v>
      </c>
      <c r="AC1109">
        <f t="shared" si="639"/>
        <v>0</v>
      </c>
      <c r="AD1109">
        <f t="shared" si="640"/>
        <v>0</v>
      </c>
      <c r="AF1109">
        <f t="shared" si="641"/>
        <v>0</v>
      </c>
      <c r="AG1109">
        <f t="shared" si="642"/>
        <v>0</v>
      </c>
      <c r="AH1109">
        <f t="shared" si="643"/>
        <v>0</v>
      </c>
      <c r="AI1109">
        <f t="shared" si="644"/>
        <v>0</v>
      </c>
      <c r="AJ1109">
        <f t="shared" si="645"/>
        <v>0</v>
      </c>
      <c r="AK1109">
        <f t="shared" si="646"/>
        <v>0</v>
      </c>
      <c r="AL1109">
        <f t="shared" si="647"/>
        <v>0</v>
      </c>
      <c r="AM1109">
        <f t="shared" si="648"/>
        <v>0</v>
      </c>
      <c r="AN1109">
        <f t="shared" si="649"/>
        <v>0</v>
      </c>
      <c r="AO1109">
        <f t="shared" si="650"/>
        <v>0</v>
      </c>
      <c r="AP1109">
        <f t="shared" si="651"/>
        <v>0</v>
      </c>
      <c r="AQ1109">
        <f t="shared" si="652"/>
        <v>0</v>
      </c>
    </row>
    <row r="1110" spans="6:43" x14ac:dyDescent="0.45">
      <c r="F1110">
        <f t="shared" si="653"/>
        <v>0</v>
      </c>
      <c r="G1110">
        <f t="shared" si="654"/>
        <v>0</v>
      </c>
      <c r="H1110">
        <f t="shared" si="655"/>
        <v>0</v>
      </c>
      <c r="I1110">
        <f t="shared" si="656"/>
        <v>0</v>
      </c>
      <c r="J1110">
        <f t="shared" si="657"/>
        <v>0</v>
      </c>
      <c r="K1110">
        <f t="shared" si="658"/>
        <v>0</v>
      </c>
      <c r="L1110">
        <f t="shared" si="659"/>
        <v>0</v>
      </c>
      <c r="M1110">
        <f t="shared" si="660"/>
        <v>0</v>
      </c>
      <c r="N1110">
        <f t="shared" si="661"/>
        <v>0</v>
      </c>
      <c r="O1110">
        <f t="shared" si="662"/>
        <v>0</v>
      </c>
      <c r="P1110">
        <f t="shared" si="663"/>
        <v>0</v>
      </c>
      <c r="Q1110">
        <f t="shared" si="664"/>
        <v>0</v>
      </c>
      <c r="S1110">
        <f t="shared" si="629"/>
        <v>0</v>
      </c>
      <c r="T1110">
        <f t="shared" si="630"/>
        <v>0</v>
      </c>
      <c r="U1110">
        <f t="shared" si="631"/>
        <v>0</v>
      </c>
      <c r="V1110">
        <f t="shared" si="632"/>
        <v>0</v>
      </c>
      <c r="W1110">
        <f t="shared" si="633"/>
        <v>0</v>
      </c>
      <c r="X1110">
        <f t="shared" si="634"/>
        <v>0</v>
      </c>
      <c r="Y1110">
        <f t="shared" si="635"/>
        <v>0</v>
      </c>
      <c r="Z1110">
        <f t="shared" si="636"/>
        <v>0</v>
      </c>
      <c r="AA1110">
        <f t="shared" si="637"/>
        <v>0</v>
      </c>
      <c r="AB1110">
        <f t="shared" si="638"/>
        <v>0</v>
      </c>
      <c r="AC1110">
        <f t="shared" si="639"/>
        <v>0</v>
      </c>
      <c r="AD1110">
        <f t="shared" si="640"/>
        <v>0</v>
      </c>
      <c r="AF1110">
        <f t="shared" si="641"/>
        <v>0</v>
      </c>
      <c r="AG1110">
        <f t="shared" si="642"/>
        <v>0</v>
      </c>
      <c r="AH1110">
        <f t="shared" si="643"/>
        <v>0</v>
      </c>
      <c r="AI1110">
        <f t="shared" si="644"/>
        <v>0</v>
      </c>
      <c r="AJ1110">
        <f t="shared" si="645"/>
        <v>0</v>
      </c>
      <c r="AK1110">
        <f t="shared" si="646"/>
        <v>0</v>
      </c>
      <c r="AL1110">
        <f t="shared" si="647"/>
        <v>0</v>
      </c>
      <c r="AM1110">
        <f t="shared" si="648"/>
        <v>0</v>
      </c>
      <c r="AN1110">
        <f t="shared" si="649"/>
        <v>0</v>
      </c>
      <c r="AO1110">
        <f t="shared" si="650"/>
        <v>0</v>
      </c>
      <c r="AP1110">
        <f t="shared" si="651"/>
        <v>0</v>
      </c>
      <c r="AQ1110">
        <f t="shared" si="652"/>
        <v>0</v>
      </c>
    </row>
    <row r="1111" spans="6:43" x14ac:dyDescent="0.45">
      <c r="F1111">
        <f t="shared" si="653"/>
        <v>0</v>
      </c>
      <c r="G1111">
        <f t="shared" si="654"/>
        <v>0</v>
      </c>
      <c r="H1111">
        <f t="shared" si="655"/>
        <v>0</v>
      </c>
      <c r="I1111">
        <f t="shared" si="656"/>
        <v>0</v>
      </c>
      <c r="J1111">
        <f t="shared" si="657"/>
        <v>0</v>
      </c>
      <c r="K1111">
        <f t="shared" si="658"/>
        <v>0</v>
      </c>
      <c r="L1111">
        <f t="shared" si="659"/>
        <v>0</v>
      </c>
      <c r="M1111">
        <f t="shared" si="660"/>
        <v>0</v>
      </c>
      <c r="N1111">
        <f t="shared" si="661"/>
        <v>0</v>
      </c>
      <c r="O1111">
        <f t="shared" si="662"/>
        <v>0</v>
      </c>
      <c r="P1111">
        <f t="shared" si="663"/>
        <v>0</v>
      </c>
      <c r="Q1111">
        <f t="shared" si="664"/>
        <v>0</v>
      </c>
      <c r="S1111">
        <f t="shared" si="629"/>
        <v>0</v>
      </c>
      <c r="T1111">
        <f t="shared" si="630"/>
        <v>0</v>
      </c>
      <c r="U1111">
        <f t="shared" si="631"/>
        <v>0</v>
      </c>
      <c r="V1111">
        <f t="shared" si="632"/>
        <v>0</v>
      </c>
      <c r="W1111">
        <f t="shared" si="633"/>
        <v>0</v>
      </c>
      <c r="X1111">
        <f t="shared" si="634"/>
        <v>0</v>
      </c>
      <c r="Y1111">
        <f t="shared" si="635"/>
        <v>0</v>
      </c>
      <c r="Z1111">
        <f t="shared" si="636"/>
        <v>0</v>
      </c>
      <c r="AA1111">
        <f t="shared" si="637"/>
        <v>0</v>
      </c>
      <c r="AB1111">
        <f t="shared" si="638"/>
        <v>0</v>
      </c>
      <c r="AC1111">
        <f t="shared" si="639"/>
        <v>0</v>
      </c>
      <c r="AD1111">
        <f t="shared" si="640"/>
        <v>0</v>
      </c>
      <c r="AF1111">
        <f t="shared" si="641"/>
        <v>0</v>
      </c>
      <c r="AG1111">
        <f t="shared" si="642"/>
        <v>0</v>
      </c>
      <c r="AH1111">
        <f t="shared" si="643"/>
        <v>0</v>
      </c>
      <c r="AI1111">
        <f t="shared" si="644"/>
        <v>0</v>
      </c>
      <c r="AJ1111">
        <f t="shared" si="645"/>
        <v>0</v>
      </c>
      <c r="AK1111">
        <f t="shared" si="646"/>
        <v>0</v>
      </c>
      <c r="AL1111">
        <f t="shared" si="647"/>
        <v>0</v>
      </c>
      <c r="AM1111">
        <f t="shared" si="648"/>
        <v>0</v>
      </c>
      <c r="AN1111">
        <f t="shared" si="649"/>
        <v>0</v>
      </c>
      <c r="AO1111">
        <f t="shared" si="650"/>
        <v>0</v>
      </c>
      <c r="AP1111">
        <f t="shared" si="651"/>
        <v>0</v>
      </c>
      <c r="AQ1111">
        <f t="shared" si="652"/>
        <v>0</v>
      </c>
    </row>
    <row r="1112" spans="6:43" x14ac:dyDescent="0.45">
      <c r="F1112">
        <f t="shared" si="653"/>
        <v>0</v>
      </c>
      <c r="G1112">
        <f t="shared" si="654"/>
        <v>0</v>
      </c>
      <c r="H1112">
        <f t="shared" si="655"/>
        <v>0</v>
      </c>
      <c r="I1112">
        <f t="shared" si="656"/>
        <v>0</v>
      </c>
      <c r="J1112">
        <f t="shared" si="657"/>
        <v>0</v>
      </c>
      <c r="K1112">
        <f t="shared" si="658"/>
        <v>0</v>
      </c>
      <c r="L1112">
        <f t="shared" si="659"/>
        <v>0</v>
      </c>
      <c r="M1112">
        <f t="shared" si="660"/>
        <v>0</v>
      </c>
      <c r="N1112">
        <f t="shared" si="661"/>
        <v>0</v>
      </c>
      <c r="O1112">
        <f t="shared" si="662"/>
        <v>0</v>
      </c>
      <c r="P1112">
        <f t="shared" si="663"/>
        <v>0</v>
      </c>
      <c r="Q1112">
        <f t="shared" si="664"/>
        <v>0</v>
      </c>
      <c r="S1112">
        <f t="shared" si="629"/>
        <v>0</v>
      </c>
      <c r="T1112">
        <f t="shared" si="630"/>
        <v>0</v>
      </c>
      <c r="U1112">
        <f t="shared" si="631"/>
        <v>0</v>
      </c>
      <c r="V1112">
        <f t="shared" si="632"/>
        <v>0</v>
      </c>
      <c r="W1112">
        <f t="shared" si="633"/>
        <v>0</v>
      </c>
      <c r="X1112">
        <f t="shared" si="634"/>
        <v>0</v>
      </c>
      <c r="Y1112">
        <f t="shared" si="635"/>
        <v>0</v>
      </c>
      <c r="Z1112">
        <f t="shared" si="636"/>
        <v>0</v>
      </c>
      <c r="AA1112">
        <f t="shared" si="637"/>
        <v>0</v>
      </c>
      <c r="AB1112">
        <f t="shared" si="638"/>
        <v>0</v>
      </c>
      <c r="AC1112">
        <f t="shared" si="639"/>
        <v>0</v>
      </c>
      <c r="AD1112">
        <f t="shared" si="640"/>
        <v>0</v>
      </c>
      <c r="AF1112">
        <f t="shared" si="641"/>
        <v>0</v>
      </c>
      <c r="AG1112">
        <f t="shared" si="642"/>
        <v>0</v>
      </c>
      <c r="AH1112">
        <f t="shared" si="643"/>
        <v>0</v>
      </c>
      <c r="AI1112">
        <f t="shared" si="644"/>
        <v>0</v>
      </c>
      <c r="AJ1112">
        <f t="shared" si="645"/>
        <v>0</v>
      </c>
      <c r="AK1112">
        <f t="shared" si="646"/>
        <v>0</v>
      </c>
      <c r="AL1112">
        <f t="shared" si="647"/>
        <v>0</v>
      </c>
      <c r="AM1112">
        <f t="shared" si="648"/>
        <v>0</v>
      </c>
      <c r="AN1112">
        <f t="shared" si="649"/>
        <v>0</v>
      </c>
      <c r="AO1112">
        <f t="shared" si="650"/>
        <v>0</v>
      </c>
      <c r="AP1112">
        <f t="shared" si="651"/>
        <v>0</v>
      </c>
      <c r="AQ1112">
        <f t="shared" si="652"/>
        <v>0</v>
      </c>
    </row>
    <row r="1113" spans="6:43" x14ac:dyDescent="0.45">
      <c r="F1113">
        <f t="shared" si="653"/>
        <v>0</v>
      </c>
      <c r="G1113">
        <f t="shared" si="654"/>
        <v>0</v>
      </c>
      <c r="H1113">
        <f t="shared" si="655"/>
        <v>0</v>
      </c>
      <c r="I1113">
        <f t="shared" si="656"/>
        <v>0</v>
      </c>
      <c r="J1113">
        <f t="shared" si="657"/>
        <v>0</v>
      </c>
      <c r="K1113">
        <f t="shared" si="658"/>
        <v>0</v>
      </c>
      <c r="L1113">
        <f t="shared" si="659"/>
        <v>0</v>
      </c>
      <c r="M1113">
        <f t="shared" si="660"/>
        <v>0</v>
      </c>
      <c r="N1113">
        <f t="shared" si="661"/>
        <v>0</v>
      </c>
      <c r="O1113">
        <f t="shared" si="662"/>
        <v>0</v>
      </c>
      <c r="P1113">
        <f t="shared" si="663"/>
        <v>0</v>
      </c>
      <c r="Q1113">
        <f t="shared" si="664"/>
        <v>0</v>
      </c>
      <c r="S1113">
        <f t="shared" si="629"/>
        <v>0</v>
      </c>
      <c r="T1113">
        <f t="shared" si="630"/>
        <v>0</v>
      </c>
      <c r="U1113">
        <f t="shared" si="631"/>
        <v>0</v>
      </c>
      <c r="V1113">
        <f t="shared" si="632"/>
        <v>0</v>
      </c>
      <c r="W1113">
        <f t="shared" si="633"/>
        <v>0</v>
      </c>
      <c r="X1113">
        <f t="shared" si="634"/>
        <v>0</v>
      </c>
      <c r="Y1113">
        <f t="shared" si="635"/>
        <v>0</v>
      </c>
      <c r="Z1113">
        <f t="shared" si="636"/>
        <v>0</v>
      </c>
      <c r="AA1113">
        <f t="shared" si="637"/>
        <v>0</v>
      </c>
      <c r="AB1113">
        <f t="shared" si="638"/>
        <v>0</v>
      </c>
      <c r="AC1113">
        <f t="shared" si="639"/>
        <v>0</v>
      </c>
      <c r="AD1113">
        <f t="shared" si="640"/>
        <v>0</v>
      </c>
      <c r="AF1113">
        <f t="shared" si="641"/>
        <v>0</v>
      </c>
      <c r="AG1113">
        <f t="shared" si="642"/>
        <v>0</v>
      </c>
      <c r="AH1113">
        <f t="shared" si="643"/>
        <v>0</v>
      </c>
      <c r="AI1113">
        <f t="shared" si="644"/>
        <v>0</v>
      </c>
      <c r="AJ1113">
        <f t="shared" si="645"/>
        <v>0</v>
      </c>
      <c r="AK1113">
        <f t="shared" si="646"/>
        <v>0</v>
      </c>
      <c r="AL1113">
        <f t="shared" si="647"/>
        <v>0</v>
      </c>
      <c r="AM1113">
        <f t="shared" si="648"/>
        <v>0</v>
      </c>
      <c r="AN1113">
        <f t="shared" si="649"/>
        <v>0</v>
      </c>
      <c r="AO1113">
        <f t="shared" si="650"/>
        <v>0</v>
      </c>
      <c r="AP1113">
        <f t="shared" si="651"/>
        <v>0</v>
      </c>
      <c r="AQ1113">
        <f t="shared" si="652"/>
        <v>0</v>
      </c>
    </row>
    <row r="1114" spans="6:43" x14ac:dyDescent="0.45">
      <c r="F1114">
        <f t="shared" si="653"/>
        <v>0</v>
      </c>
      <c r="G1114">
        <f t="shared" si="654"/>
        <v>0</v>
      </c>
      <c r="H1114">
        <f t="shared" si="655"/>
        <v>0</v>
      </c>
      <c r="I1114">
        <f t="shared" si="656"/>
        <v>0</v>
      </c>
      <c r="J1114">
        <f t="shared" si="657"/>
        <v>0</v>
      </c>
      <c r="K1114">
        <f t="shared" si="658"/>
        <v>0</v>
      </c>
      <c r="L1114">
        <f t="shared" si="659"/>
        <v>0</v>
      </c>
      <c r="M1114">
        <f t="shared" si="660"/>
        <v>0</v>
      </c>
      <c r="N1114">
        <f t="shared" si="661"/>
        <v>0</v>
      </c>
      <c r="O1114">
        <f t="shared" si="662"/>
        <v>0</v>
      </c>
      <c r="P1114">
        <f t="shared" si="663"/>
        <v>0</v>
      </c>
      <c r="Q1114">
        <f t="shared" si="664"/>
        <v>0</v>
      </c>
      <c r="S1114">
        <f t="shared" si="629"/>
        <v>0</v>
      </c>
      <c r="T1114">
        <f t="shared" si="630"/>
        <v>0</v>
      </c>
      <c r="U1114">
        <f t="shared" si="631"/>
        <v>0</v>
      </c>
      <c r="V1114">
        <f t="shared" si="632"/>
        <v>0</v>
      </c>
      <c r="W1114">
        <f t="shared" si="633"/>
        <v>0</v>
      </c>
      <c r="X1114">
        <f t="shared" si="634"/>
        <v>0</v>
      </c>
      <c r="Y1114">
        <f t="shared" si="635"/>
        <v>0</v>
      </c>
      <c r="Z1114">
        <f t="shared" si="636"/>
        <v>0</v>
      </c>
      <c r="AA1114">
        <f t="shared" si="637"/>
        <v>0</v>
      </c>
      <c r="AB1114">
        <f t="shared" si="638"/>
        <v>0</v>
      </c>
      <c r="AC1114">
        <f t="shared" si="639"/>
        <v>0</v>
      </c>
      <c r="AD1114">
        <f t="shared" si="640"/>
        <v>0</v>
      </c>
      <c r="AF1114">
        <f t="shared" si="641"/>
        <v>0</v>
      </c>
      <c r="AG1114">
        <f t="shared" si="642"/>
        <v>0</v>
      </c>
      <c r="AH1114">
        <f t="shared" si="643"/>
        <v>0</v>
      </c>
      <c r="AI1114">
        <f t="shared" si="644"/>
        <v>0</v>
      </c>
      <c r="AJ1114">
        <f t="shared" si="645"/>
        <v>0</v>
      </c>
      <c r="AK1114">
        <f t="shared" si="646"/>
        <v>0</v>
      </c>
      <c r="AL1114">
        <f t="shared" si="647"/>
        <v>0</v>
      </c>
      <c r="AM1114">
        <f t="shared" si="648"/>
        <v>0</v>
      </c>
      <c r="AN1114">
        <f t="shared" si="649"/>
        <v>0</v>
      </c>
      <c r="AO1114">
        <f t="shared" si="650"/>
        <v>0</v>
      </c>
      <c r="AP1114">
        <f t="shared" si="651"/>
        <v>0</v>
      </c>
      <c r="AQ1114">
        <f t="shared" si="652"/>
        <v>0</v>
      </c>
    </row>
    <row r="1115" spans="6:43" x14ac:dyDescent="0.45">
      <c r="F1115">
        <f t="shared" si="653"/>
        <v>0</v>
      </c>
      <c r="G1115">
        <f t="shared" si="654"/>
        <v>0</v>
      </c>
      <c r="H1115">
        <f t="shared" si="655"/>
        <v>0</v>
      </c>
      <c r="I1115">
        <f t="shared" si="656"/>
        <v>0</v>
      </c>
      <c r="J1115">
        <f t="shared" si="657"/>
        <v>0</v>
      </c>
      <c r="K1115">
        <f t="shared" si="658"/>
        <v>0</v>
      </c>
      <c r="L1115">
        <f t="shared" si="659"/>
        <v>0</v>
      </c>
      <c r="M1115">
        <f t="shared" si="660"/>
        <v>0</v>
      </c>
      <c r="N1115">
        <f t="shared" si="661"/>
        <v>0</v>
      </c>
      <c r="O1115">
        <f t="shared" si="662"/>
        <v>0</v>
      </c>
      <c r="P1115">
        <f t="shared" si="663"/>
        <v>0</v>
      </c>
      <c r="Q1115">
        <f t="shared" si="664"/>
        <v>0</v>
      </c>
      <c r="S1115">
        <f t="shared" si="629"/>
        <v>0</v>
      </c>
      <c r="T1115">
        <f t="shared" si="630"/>
        <v>0</v>
      </c>
      <c r="U1115">
        <f t="shared" si="631"/>
        <v>0</v>
      </c>
      <c r="V1115">
        <f t="shared" si="632"/>
        <v>0</v>
      </c>
      <c r="W1115">
        <f t="shared" si="633"/>
        <v>0</v>
      </c>
      <c r="X1115">
        <f t="shared" si="634"/>
        <v>0</v>
      </c>
      <c r="Y1115">
        <f t="shared" si="635"/>
        <v>0</v>
      </c>
      <c r="Z1115">
        <f t="shared" si="636"/>
        <v>0</v>
      </c>
      <c r="AA1115">
        <f t="shared" si="637"/>
        <v>0</v>
      </c>
      <c r="AB1115">
        <f t="shared" si="638"/>
        <v>0</v>
      </c>
      <c r="AC1115">
        <f t="shared" si="639"/>
        <v>0</v>
      </c>
      <c r="AD1115">
        <f t="shared" si="640"/>
        <v>0</v>
      </c>
      <c r="AF1115">
        <f t="shared" si="641"/>
        <v>0</v>
      </c>
      <c r="AG1115">
        <f t="shared" si="642"/>
        <v>0</v>
      </c>
      <c r="AH1115">
        <f t="shared" si="643"/>
        <v>0</v>
      </c>
      <c r="AI1115">
        <f t="shared" si="644"/>
        <v>0</v>
      </c>
      <c r="AJ1115">
        <f t="shared" si="645"/>
        <v>0</v>
      </c>
      <c r="AK1115">
        <f t="shared" si="646"/>
        <v>0</v>
      </c>
      <c r="AL1115">
        <f t="shared" si="647"/>
        <v>0</v>
      </c>
      <c r="AM1115">
        <f t="shared" si="648"/>
        <v>0</v>
      </c>
      <c r="AN1115">
        <f t="shared" si="649"/>
        <v>0</v>
      </c>
      <c r="AO1115">
        <f t="shared" si="650"/>
        <v>0</v>
      </c>
      <c r="AP1115">
        <f t="shared" si="651"/>
        <v>0</v>
      </c>
      <c r="AQ1115">
        <f t="shared" si="652"/>
        <v>0</v>
      </c>
    </row>
    <row r="1116" spans="6:43" x14ac:dyDescent="0.45">
      <c r="F1116">
        <f t="shared" si="653"/>
        <v>0</v>
      </c>
      <c r="G1116">
        <f t="shared" si="654"/>
        <v>0</v>
      </c>
      <c r="H1116">
        <f t="shared" si="655"/>
        <v>0</v>
      </c>
      <c r="I1116">
        <f t="shared" si="656"/>
        <v>0</v>
      </c>
      <c r="J1116">
        <f t="shared" si="657"/>
        <v>0</v>
      </c>
      <c r="K1116">
        <f t="shared" si="658"/>
        <v>0</v>
      </c>
      <c r="L1116">
        <f t="shared" si="659"/>
        <v>0</v>
      </c>
      <c r="M1116">
        <f t="shared" si="660"/>
        <v>0</v>
      </c>
      <c r="N1116">
        <f t="shared" si="661"/>
        <v>0</v>
      </c>
      <c r="O1116">
        <f t="shared" si="662"/>
        <v>0</v>
      </c>
      <c r="P1116">
        <f t="shared" si="663"/>
        <v>0</v>
      </c>
      <c r="Q1116">
        <f t="shared" si="664"/>
        <v>0</v>
      </c>
      <c r="S1116">
        <f t="shared" si="629"/>
        <v>0</v>
      </c>
      <c r="T1116">
        <f t="shared" si="630"/>
        <v>0</v>
      </c>
      <c r="U1116">
        <f t="shared" si="631"/>
        <v>0</v>
      </c>
      <c r="V1116">
        <f t="shared" si="632"/>
        <v>0</v>
      </c>
      <c r="W1116">
        <f t="shared" si="633"/>
        <v>0</v>
      </c>
      <c r="X1116">
        <f t="shared" si="634"/>
        <v>0</v>
      </c>
      <c r="Y1116">
        <f t="shared" si="635"/>
        <v>0</v>
      </c>
      <c r="Z1116">
        <f t="shared" si="636"/>
        <v>0</v>
      </c>
      <c r="AA1116">
        <f t="shared" si="637"/>
        <v>0</v>
      </c>
      <c r="AB1116">
        <f t="shared" si="638"/>
        <v>0</v>
      </c>
      <c r="AC1116">
        <f t="shared" si="639"/>
        <v>0</v>
      </c>
      <c r="AD1116">
        <f t="shared" si="640"/>
        <v>0</v>
      </c>
      <c r="AF1116">
        <f t="shared" si="641"/>
        <v>0</v>
      </c>
      <c r="AG1116">
        <f t="shared" si="642"/>
        <v>0</v>
      </c>
      <c r="AH1116">
        <f t="shared" si="643"/>
        <v>0</v>
      </c>
      <c r="AI1116">
        <f t="shared" si="644"/>
        <v>0</v>
      </c>
      <c r="AJ1116">
        <f t="shared" si="645"/>
        <v>0</v>
      </c>
      <c r="AK1116">
        <f t="shared" si="646"/>
        <v>0</v>
      </c>
      <c r="AL1116">
        <f t="shared" si="647"/>
        <v>0</v>
      </c>
      <c r="AM1116">
        <f t="shared" si="648"/>
        <v>0</v>
      </c>
      <c r="AN1116">
        <f t="shared" si="649"/>
        <v>0</v>
      </c>
      <c r="AO1116">
        <f t="shared" si="650"/>
        <v>0</v>
      </c>
      <c r="AP1116">
        <f t="shared" si="651"/>
        <v>0</v>
      </c>
      <c r="AQ1116">
        <f t="shared" si="652"/>
        <v>0</v>
      </c>
    </row>
    <row r="1117" spans="6:43" x14ac:dyDescent="0.45">
      <c r="F1117">
        <f t="shared" si="653"/>
        <v>0</v>
      </c>
      <c r="G1117">
        <f t="shared" si="654"/>
        <v>0</v>
      </c>
      <c r="H1117">
        <f t="shared" si="655"/>
        <v>0</v>
      </c>
      <c r="I1117">
        <f t="shared" si="656"/>
        <v>0</v>
      </c>
      <c r="J1117">
        <f t="shared" si="657"/>
        <v>0</v>
      </c>
      <c r="K1117">
        <f t="shared" si="658"/>
        <v>0</v>
      </c>
      <c r="L1117">
        <f t="shared" si="659"/>
        <v>0</v>
      </c>
      <c r="M1117">
        <f t="shared" si="660"/>
        <v>0</v>
      </c>
      <c r="N1117">
        <f t="shared" si="661"/>
        <v>0</v>
      </c>
      <c r="O1117">
        <f t="shared" si="662"/>
        <v>0</v>
      </c>
      <c r="P1117">
        <f t="shared" si="663"/>
        <v>0</v>
      </c>
      <c r="Q1117">
        <f t="shared" si="664"/>
        <v>0</v>
      </c>
      <c r="S1117">
        <f t="shared" si="629"/>
        <v>0</v>
      </c>
      <c r="T1117">
        <f t="shared" si="630"/>
        <v>0</v>
      </c>
      <c r="U1117">
        <f t="shared" si="631"/>
        <v>0</v>
      </c>
      <c r="V1117">
        <f t="shared" si="632"/>
        <v>0</v>
      </c>
      <c r="W1117">
        <f t="shared" si="633"/>
        <v>0</v>
      </c>
      <c r="X1117">
        <f t="shared" si="634"/>
        <v>0</v>
      </c>
      <c r="Y1117">
        <f t="shared" si="635"/>
        <v>0</v>
      </c>
      <c r="Z1117">
        <f t="shared" si="636"/>
        <v>0</v>
      </c>
      <c r="AA1117">
        <f t="shared" si="637"/>
        <v>0</v>
      </c>
      <c r="AB1117">
        <f t="shared" si="638"/>
        <v>0</v>
      </c>
      <c r="AC1117">
        <f t="shared" si="639"/>
        <v>0</v>
      </c>
      <c r="AD1117">
        <f t="shared" si="640"/>
        <v>0</v>
      </c>
      <c r="AF1117">
        <f t="shared" si="641"/>
        <v>0</v>
      </c>
      <c r="AG1117">
        <f t="shared" si="642"/>
        <v>0</v>
      </c>
      <c r="AH1117">
        <f t="shared" si="643"/>
        <v>0</v>
      </c>
      <c r="AI1117">
        <f t="shared" si="644"/>
        <v>0</v>
      </c>
      <c r="AJ1117">
        <f t="shared" si="645"/>
        <v>0</v>
      </c>
      <c r="AK1117">
        <f t="shared" si="646"/>
        <v>0</v>
      </c>
      <c r="AL1117">
        <f t="shared" si="647"/>
        <v>0</v>
      </c>
      <c r="AM1117">
        <f t="shared" si="648"/>
        <v>0</v>
      </c>
      <c r="AN1117">
        <f t="shared" si="649"/>
        <v>0</v>
      </c>
      <c r="AO1117">
        <f t="shared" si="650"/>
        <v>0</v>
      </c>
      <c r="AP1117">
        <f t="shared" si="651"/>
        <v>0</v>
      </c>
      <c r="AQ1117">
        <f t="shared" si="652"/>
        <v>0</v>
      </c>
    </row>
    <row r="1118" spans="6:43" x14ac:dyDescent="0.45">
      <c r="F1118">
        <f t="shared" si="653"/>
        <v>0</v>
      </c>
      <c r="G1118">
        <f t="shared" si="654"/>
        <v>0</v>
      </c>
      <c r="H1118">
        <f t="shared" si="655"/>
        <v>0</v>
      </c>
      <c r="I1118">
        <f t="shared" si="656"/>
        <v>0</v>
      </c>
      <c r="J1118">
        <f t="shared" si="657"/>
        <v>0</v>
      </c>
      <c r="K1118">
        <f t="shared" si="658"/>
        <v>0</v>
      </c>
      <c r="L1118">
        <f t="shared" si="659"/>
        <v>0</v>
      </c>
      <c r="M1118">
        <f t="shared" si="660"/>
        <v>0</v>
      </c>
      <c r="N1118">
        <f t="shared" si="661"/>
        <v>0</v>
      </c>
      <c r="O1118">
        <f t="shared" si="662"/>
        <v>0</v>
      </c>
      <c r="P1118">
        <f t="shared" si="663"/>
        <v>0</v>
      </c>
      <c r="Q1118">
        <f t="shared" si="664"/>
        <v>0</v>
      </c>
      <c r="S1118">
        <f t="shared" si="629"/>
        <v>0</v>
      </c>
      <c r="T1118">
        <f t="shared" si="630"/>
        <v>0</v>
      </c>
      <c r="U1118">
        <f t="shared" si="631"/>
        <v>0</v>
      </c>
      <c r="V1118">
        <f t="shared" si="632"/>
        <v>0</v>
      </c>
      <c r="W1118">
        <f t="shared" si="633"/>
        <v>0</v>
      </c>
      <c r="X1118">
        <f t="shared" si="634"/>
        <v>0</v>
      </c>
      <c r="Y1118">
        <f t="shared" si="635"/>
        <v>0</v>
      </c>
      <c r="Z1118">
        <f t="shared" si="636"/>
        <v>0</v>
      </c>
      <c r="AA1118">
        <f t="shared" si="637"/>
        <v>0</v>
      </c>
      <c r="AB1118">
        <f t="shared" si="638"/>
        <v>0</v>
      </c>
      <c r="AC1118">
        <f t="shared" si="639"/>
        <v>0</v>
      </c>
      <c r="AD1118">
        <f t="shared" si="640"/>
        <v>0</v>
      </c>
      <c r="AF1118">
        <f t="shared" si="641"/>
        <v>0</v>
      </c>
      <c r="AG1118">
        <f t="shared" si="642"/>
        <v>0</v>
      </c>
      <c r="AH1118">
        <f t="shared" si="643"/>
        <v>0</v>
      </c>
      <c r="AI1118">
        <f t="shared" si="644"/>
        <v>0</v>
      </c>
      <c r="AJ1118">
        <f t="shared" si="645"/>
        <v>0</v>
      </c>
      <c r="AK1118">
        <f t="shared" si="646"/>
        <v>0</v>
      </c>
      <c r="AL1118">
        <f t="shared" si="647"/>
        <v>0</v>
      </c>
      <c r="AM1118">
        <f t="shared" si="648"/>
        <v>0</v>
      </c>
      <c r="AN1118">
        <f t="shared" si="649"/>
        <v>0</v>
      </c>
      <c r="AO1118">
        <f t="shared" si="650"/>
        <v>0</v>
      </c>
      <c r="AP1118">
        <f t="shared" si="651"/>
        <v>0</v>
      </c>
      <c r="AQ1118">
        <f t="shared" si="652"/>
        <v>0</v>
      </c>
    </row>
    <row r="1119" spans="6:43" x14ac:dyDescent="0.45">
      <c r="F1119">
        <f t="shared" si="653"/>
        <v>0</v>
      </c>
      <c r="G1119">
        <f t="shared" si="654"/>
        <v>0</v>
      </c>
      <c r="H1119">
        <f t="shared" si="655"/>
        <v>0</v>
      </c>
      <c r="I1119">
        <f t="shared" si="656"/>
        <v>0</v>
      </c>
      <c r="J1119">
        <f t="shared" si="657"/>
        <v>0</v>
      </c>
      <c r="K1119">
        <f t="shared" si="658"/>
        <v>0</v>
      </c>
      <c r="L1119">
        <f t="shared" si="659"/>
        <v>0</v>
      </c>
      <c r="M1119">
        <f t="shared" si="660"/>
        <v>0</v>
      </c>
      <c r="N1119">
        <f t="shared" si="661"/>
        <v>0</v>
      </c>
      <c r="O1119">
        <f t="shared" si="662"/>
        <v>0</v>
      </c>
      <c r="P1119">
        <f t="shared" si="663"/>
        <v>0</v>
      </c>
      <c r="Q1119">
        <f t="shared" si="664"/>
        <v>0</v>
      </c>
      <c r="S1119">
        <f t="shared" si="629"/>
        <v>0</v>
      </c>
      <c r="T1119">
        <f t="shared" si="630"/>
        <v>0</v>
      </c>
      <c r="U1119">
        <f t="shared" si="631"/>
        <v>0</v>
      </c>
      <c r="V1119">
        <f t="shared" si="632"/>
        <v>0</v>
      </c>
      <c r="W1119">
        <f t="shared" si="633"/>
        <v>0</v>
      </c>
      <c r="X1119">
        <f t="shared" si="634"/>
        <v>0</v>
      </c>
      <c r="Y1119">
        <f t="shared" si="635"/>
        <v>0</v>
      </c>
      <c r="Z1119">
        <f t="shared" si="636"/>
        <v>0</v>
      </c>
      <c r="AA1119">
        <f t="shared" si="637"/>
        <v>0</v>
      </c>
      <c r="AB1119">
        <f t="shared" si="638"/>
        <v>0</v>
      </c>
      <c r="AC1119">
        <f t="shared" si="639"/>
        <v>0</v>
      </c>
      <c r="AD1119">
        <f t="shared" si="640"/>
        <v>0</v>
      </c>
      <c r="AF1119">
        <f t="shared" si="641"/>
        <v>0</v>
      </c>
      <c r="AG1119">
        <f t="shared" si="642"/>
        <v>0</v>
      </c>
      <c r="AH1119">
        <f t="shared" si="643"/>
        <v>0</v>
      </c>
      <c r="AI1119">
        <f t="shared" si="644"/>
        <v>0</v>
      </c>
      <c r="AJ1119">
        <f t="shared" si="645"/>
        <v>0</v>
      </c>
      <c r="AK1119">
        <f t="shared" si="646"/>
        <v>0</v>
      </c>
      <c r="AL1119">
        <f t="shared" si="647"/>
        <v>0</v>
      </c>
      <c r="AM1119">
        <f t="shared" si="648"/>
        <v>0</v>
      </c>
      <c r="AN1119">
        <f t="shared" si="649"/>
        <v>0</v>
      </c>
      <c r="AO1119">
        <f t="shared" si="650"/>
        <v>0</v>
      </c>
      <c r="AP1119">
        <f t="shared" si="651"/>
        <v>0</v>
      </c>
      <c r="AQ1119">
        <f t="shared" si="652"/>
        <v>0</v>
      </c>
    </row>
    <row r="1120" spans="6:43" x14ac:dyDescent="0.45">
      <c r="F1120">
        <f t="shared" si="653"/>
        <v>0</v>
      </c>
      <c r="G1120">
        <f t="shared" si="654"/>
        <v>0</v>
      </c>
      <c r="H1120">
        <f t="shared" si="655"/>
        <v>0</v>
      </c>
      <c r="I1120">
        <f t="shared" si="656"/>
        <v>0</v>
      </c>
      <c r="J1120">
        <f t="shared" si="657"/>
        <v>0</v>
      </c>
      <c r="K1120">
        <f t="shared" si="658"/>
        <v>0</v>
      </c>
      <c r="L1120">
        <f t="shared" si="659"/>
        <v>0</v>
      </c>
      <c r="M1120">
        <f t="shared" si="660"/>
        <v>0</v>
      </c>
      <c r="N1120">
        <f t="shared" si="661"/>
        <v>0</v>
      </c>
      <c r="O1120">
        <f t="shared" si="662"/>
        <v>0</v>
      </c>
      <c r="P1120">
        <f t="shared" si="663"/>
        <v>0</v>
      </c>
      <c r="Q1120">
        <f t="shared" si="664"/>
        <v>0</v>
      </c>
      <c r="S1120">
        <f t="shared" si="629"/>
        <v>0</v>
      </c>
      <c r="T1120">
        <f t="shared" si="630"/>
        <v>0</v>
      </c>
      <c r="U1120">
        <f t="shared" si="631"/>
        <v>0</v>
      </c>
      <c r="V1120">
        <f t="shared" si="632"/>
        <v>0</v>
      </c>
      <c r="W1120">
        <f t="shared" si="633"/>
        <v>0</v>
      </c>
      <c r="X1120">
        <f t="shared" si="634"/>
        <v>0</v>
      </c>
      <c r="Y1120">
        <f t="shared" si="635"/>
        <v>0</v>
      </c>
      <c r="Z1120">
        <f t="shared" si="636"/>
        <v>0</v>
      </c>
      <c r="AA1120">
        <f t="shared" si="637"/>
        <v>0</v>
      </c>
      <c r="AB1120">
        <f t="shared" si="638"/>
        <v>0</v>
      </c>
      <c r="AC1120">
        <f t="shared" si="639"/>
        <v>0</v>
      </c>
      <c r="AD1120">
        <f t="shared" si="640"/>
        <v>0</v>
      </c>
      <c r="AF1120">
        <f t="shared" si="641"/>
        <v>0</v>
      </c>
      <c r="AG1120">
        <f t="shared" si="642"/>
        <v>0</v>
      </c>
      <c r="AH1120">
        <f t="shared" si="643"/>
        <v>0</v>
      </c>
      <c r="AI1120">
        <f t="shared" si="644"/>
        <v>0</v>
      </c>
      <c r="AJ1120">
        <f t="shared" si="645"/>
        <v>0</v>
      </c>
      <c r="AK1120">
        <f t="shared" si="646"/>
        <v>0</v>
      </c>
      <c r="AL1120">
        <f t="shared" si="647"/>
        <v>0</v>
      </c>
      <c r="AM1120">
        <f t="shared" si="648"/>
        <v>0</v>
      </c>
      <c r="AN1120">
        <f t="shared" si="649"/>
        <v>0</v>
      </c>
      <c r="AO1120">
        <f t="shared" si="650"/>
        <v>0</v>
      </c>
      <c r="AP1120">
        <f t="shared" si="651"/>
        <v>0</v>
      </c>
      <c r="AQ1120">
        <f t="shared" si="652"/>
        <v>0</v>
      </c>
    </row>
    <row r="1121" spans="6:43" x14ac:dyDescent="0.45">
      <c r="F1121">
        <f t="shared" si="653"/>
        <v>0</v>
      </c>
      <c r="G1121">
        <f t="shared" si="654"/>
        <v>0</v>
      </c>
      <c r="H1121">
        <f t="shared" si="655"/>
        <v>0</v>
      </c>
      <c r="I1121">
        <f t="shared" si="656"/>
        <v>0</v>
      </c>
      <c r="J1121">
        <f t="shared" si="657"/>
        <v>0</v>
      </c>
      <c r="K1121">
        <f t="shared" si="658"/>
        <v>0</v>
      </c>
      <c r="L1121">
        <f t="shared" si="659"/>
        <v>0</v>
      </c>
      <c r="M1121">
        <f t="shared" si="660"/>
        <v>0</v>
      </c>
      <c r="N1121">
        <f t="shared" si="661"/>
        <v>0</v>
      </c>
      <c r="O1121">
        <f t="shared" si="662"/>
        <v>0</v>
      </c>
      <c r="P1121">
        <f t="shared" si="663"/>
        <v>0</v>
      </c>
      <c r="Q1121">
        <f t="shared" si="664"/>
        <v>0</v>
      </c>
      <c r="S1121">
        <f t="shared" si="629"/>
        <v>0</v>
      </c>
      <c r="T1121">
        <f t="shared" si="630"/>
        <v>0</v>
      </c>
      <c r="U1121">
        <f t="shared" si="631"/>
        <v>0</v>
      </c>
      <c r="V1121">
        <f t="shared" si="632"/>
        <v>0</v>
      </c>
      <c r="W1121">
        <f t="shared" si="633"/>
        <v>0</v>
      </c>
      <c r="X1121">
        <f t="shared" si="634"/>
        <v>0</v>
      </c>
      <c r="Y1121">
        <f t="shared" si="635"/>
        <v>0</v>
      </c>
      <c r="Z1121">
        <f t="shared" si="636"/>
        <v>0</v>
      </c>
      <c r="AA1121">
        <f t="shared" si="637"/>
        <v>0</v>
      </c>
      <c r="AB1121">
        <f t="shared" si="638"/>
        <v>0</v>
      </c>
      <c r="AC1121">
        <f t="shared" si="639"/>
        <v>0</v>
      </c>
      <c r="AD1121">
        <f t="shared" si="640"/>
        <v>0</v>
      </c>
      <c r="AF1121">
        <f t="shared" si="641"/>
        <v>0</v>
      </c>
      <c r="AG1121">
        <f t="shared" si="642"/>
        <v>0</v>
      </c>
      <c r="AH1121">
        <f t="shared" si="643"/>
        <v>0</v>
      </c>
      <c r="AI1121">
        <f t="shared" si="644"/>
        <v>0</v>
      </c>
      <c r="AJ1121">
        <f t="shared" si="645"/>
        <v>0</v>
      </c>
      <c r="AK1121">
        <f t="shared" si="646"/>
        <v>0</v>
      </c>
      <c r="AL1121">
        <f t="shared" si="647"/>
        <v>0</v>
      </c>
      <c r="AM1121">
        <f t="shared" si="648"/>
        <v>0</v>
      </c>
      <c r="AN1121">
        <f t="shared" si="649"/>
        <v>0</v>
      </c>
      <c r="AO1121">
        <f t="shared" si="650"/>
        <v>0</v>
      </c>
      <c r="AP1121">
        <f t="shared" si="651"/>
        <v>0</v>
      </c>
      <c r="AQ1121">
        <f t="shared" si="652"/>
        <v>0</v>
      </c>
    </row>
    <row r="1122" spans="6:43" x14ac:dyDescent="0.45">
      <c r="F1122">
        <f t="shared" si="653"/>
        <v>0</v>
      </c>
      <c r="G1122">
        <f t="shared" si="654"/>
        <v>0</v>
      </c>
      <c r="H1122">
        <f t="shared" si="655"/>
        <v>0</v>
      </c>
      <c r="I1122">
        <f t="shared" si="656"/>
        <v>0</v>
      </c>
      <c r="J1122">
        <f t="shared" si="657"/>
        <v>0</v>
      </c>
      <c r="K1122">
        <f t="shared" si="658"/>
        <v>0</v>
      </c>
      <c r="L1122">
        <f t="shared" si="659"/>
        <v>0</v>
      </c>
      <c r="M1122">
        <f t="shared" si="660"/>
        <v>0</v>
      </c>
      <c r="N1122">
        <f t="shared" si="661"/>
        <v>0</v>
      </c>
      <c r="O1122">
        <f t="shared" si="662"/>
        <v>0</v>
      </c>
      <c r="P1122">
        <f t="shared" si="663"/>
        <v>0</v>
      </c>
      <c r="Q1122">
        <f t="shared" si="664"/>
        <v>0</v>
      </c>
      <c r="S1122">
        <f t="shared" si="629"/>
        <v>0</v>
      </c>
      <c r="T1122">
        <f t="shared" si="630"/>
        <v>0</v>
      </c>
      <c r="U1122">
        <f t="shared" si="631"/>
        <v>0</v>
      </c>
      <c r="V1122">
        <f t="shared" si="632"/>
        <v>0</v>
      </c>
      <c r="W1122">
        <f t="shared" si="633"/>
        <v>0</v>
      </c>
      <c r="X1122">
        <f t="shared" si="634"/>
        <v>0</v>
      </c>
      <c r="Y1122">
        <f t="shared" si="635"/>
        <v>0</v>
      </c>
      <c r="Z1122">
        <f t="shared" si="636"/>
        <v>0</v>
      </c>
      <c r="AA1122">
        <f t="shared" si="637"/>
        <v>0</v>
      </c>
      <c r="AB1122">
        <f t="shared" si="638"/>
        <v>0</v>
      </c>
      <c r="AC1122">
        <f t="shared" si="639"/>
        <v>0</v>
      </c>
      <c r="AD1122">
        <f t="shared" si="640"/>
        <v>0</v>
      </c>
      <c r="AF1122">
        <f t="shared" si="641"/>
        <v>0</v>
      </c>
      <c r="AG1122">
        <f t="shared" si="642"/>
        <v>0</v>
      </c>
      <c r="AH1122">
        <f t="shared" si="643"/>
        <v>0</v>
      </c>
      <c r="AI1122">
        <f t="shared" si="644"/>
        <v>0</v>
      </c>
      <c r="AJ1122">
        <f t="shared" si="645"/>
        <v>0</v>
      </c>
      <c r="AK1122">
        <f t="shared" si="646"/>
        <v>0</v>
      </c>
      <c r="AL1122">
        <f t="shared" si="647"/>
        <v>0</v>
      </c>
      <c r="AM1122">
        <f t="shared" si="648"/>
        <v>0</v>
      </c>
      <c r="AN1122">
        <f t="shared" si="649"/>
        <v>0</v>
      </c>
      <c r="AO1122">
        <f t="shared" si="650"/>
        <v>0</v>
      </c>
      <c r="AP1122">
        <f t="shared" si="651"/>
        <v>0</v>
      </c>
      <c r="AQ1122">
        <f t="shared" si="652"/>
        <v>0</v>
      </c>
    </row>
    <row r="1123" spans="6:43" x14ac:dyDescent="0.45">
      <c r="F1123">
        <f t="shared" si="653"/>
        <v>0</v>
      </c>
      <c r="G1123">
        <f t="shared" si="654"/>
        <v>0</v>
      </c>
      <c r="H1123">
        <f t="shared" si="655"/>
        <v>0</v>
      </c>
      <c r="I1123">
        <f t="shared" si="656"/>
        <v>0</v>
      </c>
      <c r="J1123">
        <f t="shared" si="657"/>
        <v>0</v>
      </c>
      <c r="K1123">
        <f t="shared" si="658"/>
        <v>0</v>
      </c>
      <c r="L1123">
        <f t="shared" si="659"/>
        <v>0</v>
      </c>
      <c r="M1123">
        <f t="shared" si="660"/>
        <v>0</v>
      </c>
      <c r="N1123">
        <f t="shared" si="661"/>
        <v>0</v>
      </c>
      <c r="O1123">
        <f t="shared" si="662"/>
        <v>0</v>
      </c>
      <c r="P1123">
        <f t="shared" si="663"/>
        <v>0</v>
      </c>
      <c r="Q1123">
        <f t="shared" si="664"/>
        <v>0</v>
      </c>
      <c r="S1123">
        <f t="shared" si="629"/>
        <v>0</v>
      </c>
      <c r="T1123">
        <f t="shared" si="630"/>
        <v>0</v>
      </c>
      <c r="U1123">
        <f t="shared" si="631"/>
        <v>0</v>
      </c>
      <c r="V1123">
        <f t="shared" si="632"/>
        <v>0</v>
      </c>
      <c r="W1123">
        <f t="shared" si="633"/>
        <v>0</v>
      </c>
      <c r="X1123">
        <f t="shared" si="634"/>
        <v>0</v>
      </c>
      <c r="Y1123">
        <f t="shared" si="635"/>
        <v>0</v>
      </c>
      <c r="Z1123">
        <f t="shared" si="636"/>
        <v>0</v>
      </c>
      <c r="AA1123">
        <f t="shared" si="637"/>
        <v>0</v>
      </c>
      <c r="AB1123">
        <f t="shared" si="638"/>
        <v>0</v>
      </c>
      <c r="AC1123">
        <f t="shared" si="639"/>
        <v>0</v>
      </c>
      <c r="AD1123">
        <f t="shared" si="640"/>
        <v>0</v>
      </c>
      <c r="AF1123">
        <f t="shared" si="641"/>
        <v>0</v>
      </c>
      <c r="AG1123">
        <f t="shared" si="642"/>
        <v>0</v>
      </c>
      <c r="AH1123">
        <f t="shared" si="643"/>
        <v>0</v>
      </c>
      <c r="AI1123">
        <f t="shared" si="644"/>
        <v>0</v>
      </c>
      <c r="AJ1123">
        <f t="shared" si="645"/>
        <v>0</v>
      </c>
      <c r="AK1123">
        <f t="shared" si="646"/>
        <v>0</v>
      </c>
      <c r="AL1123">
        <f t="shared" si="647"/>
        <v>0</v>
      </c>
      <c r="AM1123">
        <f t="shared" si="648"/>
        <v>0</v>
      </c>
      <c r="AN1123">
        <f t="shared" si="649"/>
        <v>0</v>
      </c>
      <c r="AO1123">
        <f t="shared" si="650"/>
        <v>0</v>
      </c>
      <c r="AP1123">
        <f t="shared" si="651"/>
        <v>0</v>
      </c>
      <c r="AQ1123">
        <f t="shared" si="652"/>
        <v>0</v>
      </c>
    </row>
    <row r="1124" spans="6:43" x14ac:dyDescent="0.45">
      <c r="F1124">
        <f t="shared" si="653"/>
        <v>0</v>
      </c>
      <c r="G1124">
        <f t="shared" si="654"/>
        <v>0</v>
      </c>
      <c r="H1124">
        <f t="shared" si="655"/>
        <v>0</v>
      </c>
      <c r="I1124">
        <f t="shared" si="656"/>
        <v>0</v>
      </c>
      <c r="J1124">
        <f t="shared" si="657"/>
        <v>0</v>
      </c>
      <c r="K1124">
        <f t="shared" si="658"/>
        <v>0</v>
      </c>
      <c r="L1124">
        <f t="shared" si="659"/>
        <v>0</v>
      </c>
      <c r="M1124">
        <f t="shared" si="660"/>
        <v>0</v>
      </c>
      <c r="N1124">
        <f t="shared" si="661"/>
        <v>0</v>
      </c>
      <c r="O1124">
        <f t="shared" si="662"/>
        <v>0</v>
      </c>
      <c r="P1124">
        <f t="shared" si="663"/>
        <v>0</v>
      </c>
      <c r="Q1124">
        <f t="shared" si="664"/>
        <v>0</v>
      </c>
      <c r="S1124">
        <f t="shared" si="629"/>
        <v>0</v>
      </c>
      <c r="T1124">
        <f t="shared" si="630"/>
        <v>0</v>
      </c>
      <c r="U1124">
        <f t="shared" si="631"/>
        <v>0</v>
      </c>
      <c r="V1124">
        <f t="shared" si="632"/>
        <v>0</v>
      </c>
      <c r="W1124">
        <f t="shared" si="633"/>
        <v>0</v>
      </c>
      <c r="X1124">
        <f t="shared" si="634"/>
        <v>0</v>
      </c>
      <c r="Y1124">
        <f t="shared" si="635"/>
        <v>0</v>
      </c>
      <c r="Z1124">
        <f t="shared" si="636"/>
        <v>0</v>
      </c>
      <c r="AA1124">
        <f t="shared" si="637"/>
        <v>0</v>
      </c>
      <c r="AB1124">
        <f t="shared" si="638"/>
        <v>0</v>
      </c>
      <c r="AC1124">
        <f t="shared" si="639"/>
        <v>0</v>
      </c>
      <c r="AD1124">
        <f t="shared" si="640"/>
        <v>0</v>
      </c>
      <c r="AF1124">
        <f t="shared" si="641"/>
        <v>0</v>
      </c>
      <c r="AG1124">
        <f t="shared" si="642"/>
        <v>0</v>
      </c>
      <c r="AH1124">
        <f t="shared" si="643"/>
        <v>0</v>
      </c>
      <c r="AI1124">
        <f t="shared" si="644"/>
        <v>0</v>
      </c>
      <c r="AJ1124">
        <f t="shared" si="645"/>
        <v>0</v>
      </c>
      <c r="AK1124">
        <f t="shared" si="646"/>
        <v>0</v>
      </c>
      <c r="AL1124">
        <f t="shared" si="647"/>
        <v>0</v>
      </c>
      <c r="AM1124">
        <f t="shared" si="648"/>
        <v>0</v>
      </c>
      <c r="AN1124">
        <f t="shared" si="649"/>
        <v>0</v>
      </c>
      <c r="AO1124">
        <f t="shared" si="650"/>
        <v>0</v>
      </c>
      <c r="AP1124">
        <f t="shared" si="651"/>
        <v>0</v>
      </c>
      <c r="AQ1124">
        <f t="shared" si="652"/>
        <v>0</v>
      </c>
    </row>
    <row r="1125" spans="6:43" x14ac:dyDescent="0.45">
      <c r="F1125">
        <f t="shared" si="653"/>
        <v>0</v>
      </c>
      <c r="G1125">
        <f t="shared" si="654"/>
        <v>0</v>
      </c>
      <c r="H1125">
        <f t="shared" si="655"/>
        <v>0</v>
      </c>
      <c r="I1125">
        <f t="shared" si="656"/>
        <v>0</v>
      </c>
      <c r="J1125">
        <f t="shared" si="657"/>
        <v>0</v>
      </c>
      <c r="K1125">
        <f t="shared" si="658"/>
        <v>0</v>
      </c>
      <c r="L1125">
        <f t="shared" si="659"/>
        <v>0</v>
      </c>
      <c r="M1125">
        <f t="shared" si="660"/>
        <v>0</v>
      </c>
      <c r="N1125">
        <f t="shared" si="661"/>
        <v>0</v>
      </c>
      <c r="O1125">
        <f t="shared" si="662"/>
        <v>0</v>
      </c>
      <c r="P1125">
        <f t="shared" si="663"/>
        <v>0</v>
      </c>
      <c r="Q1125">
        <f t="shared" si="664"/>
        <v>0</v>
      </c>
      <c r="S1125">
        <f t="shared" si="629"/>
        <v>0</v>
      </c>
      <c r="T1125">
        <f t="shared" si="630"/>
        <v>0</v>
      </c>
      <c r="U1125">
        <f t="shared" si="631"/>
        <v>0</v>
      </c>
      <c r="V1125">
        <f t="shared" si="632"/>
        <v>0</v>
      </c>
      <c r="W1125">
        <f t="shared" si="633"/>
        <v>0</v>
      </c>
      <c r="X1125">
        <f t="shared" si="634"/>
        <v>0</v>
      </c>
      <c r="Y1125">
        <f t="shared" si="635"/>
        <v>0</v>
      </c>
      <c r="Z1125">
        <f t="shared" si="636"/>
        <v>0</v>
      </c>
      <c r="AA1125">
        <f t="shared" si="637"/>
        <v>0</v>
      </c>
      <c r="AB1125">
        <f t="shared" si="638"/>
        <v>0</v>
      </c>
      <c r="AC1125">
        <f t="shared" si="639"/>
        <v>0</v>
      </c>
      <c r="AD1125">
        <f t="shared" si="640"/>
        <v>0</v>
      </c>
      <c r="AF1125">
        <f t="shared" si="641"/>
        <v>0</v>
      </c>
      <c r="AG1125">
        <f t="shared" si="642"/>
        <v>0</v>
      </c>
      <c r="AH1125">
        <f t="shared" si="643"/>
        <v>0</v>
      </c>
      <c r="AI1125">
        <f t="shared" si="644"/>
        <v>0</v>
      </c>
      <c r="AJ1125">
        <f t="shared" si="645"/>
        <v>0</v>
      </c>
      <c r="AK1125">
        <f t="shared" si="646"/>
        <v>0</v>
      </c>
      <c r="AL1125">
        <f t="shared" si="647"/>
        <v>0</v>
      </c>
      <c r="AM1125">
        <f t="shared" si="648"/>
        <v>0</v>
      </c>
      <c r="AN1125">
        <f t="shared" si="649"/>
        <v>0</v>
      </c>
      <c r="AO1125">
        <f t="shared" si="650"/>
        <v>0</v>
      </c>
      <c r="AP1125">
        <f t="shared" si="651"/>
        <v>0</v>
      </c>
      <c r="AQ1125">
        <f t="shared" si="652"/>
        <v>0</v>
      </c>
    </row>
    <row r="1126" spans="6:43" x14ac:dyDescent="0.45">
      <c r="F1126">
        <f t="shared" si="653"/>
        <v>0</v>
      </c>
      <c r="G1126">
        <f t="shared" si="654"/>
        <v>0</v>
      </c>
      <c r="H1126">
        <f t="shared" si="655"/>
        <v>0</v>
      </c>
      <c r="I1126">
        <f t="shared" si="656"/>
        <v>0</v>
      </c>
      <c r="J1126">
        <f t="shared" si="657"/>
        <v>0</v>
      </c>
      <c r="K1126">
        <f t="shared" si="658"/>
        <v>0</v>
      </c>
      <c r="L1126">
        <f t="shared" si="659"/>
        <v>0</v>
      </c>
      <c r="M1126">
        <f t="shared" si="660"/>
        <v>0</v>
      </c>
      <c r="N1126">
        <f t="shared" si="661"/>
        <v>0</v>
      </c>
      <c r="O1126">
        <f t="shared" si="662"/>
        <v>0</v>
      </c>
      <c r="P1126">
        <f t="shared" si="663"/>
        <v>0</v>
      </c>
      <c r="Q1126">
        <f t="shared" si="664"/>
        <v>0</v>
      </c>
      <c r="S1126">
        <f t="shared" si="629"/>
        <v>0</v>
      </c>
      <c r="T1126">
        <f t="shared" si="630"/>
        <v>0</v>
      </c>
      <c r="U1126">
        <f t="shared" si="631"/>
        <v>0</v>
      </c>
      <c r="V1126">
        <f t="shared" si="632"/>
        <v>0</v>
      </c>
      <c r="W1126">
        <f t="shared" si="633"/>
        <v>0</v>
      </c>
      <c r="X1126">
        <f t="shared" si="634"/>
        <v>0</v>
      </c>
      <c r="Y1126">
        <f t="shared" si="635"/>
        <v>0</v>
      </c>
      <c r="Z1126">
        <f t="shared" si="636"/>
        <v>0</v>
      </c>
      <c r="AA1126">
        <f t="shared" si="637"/>
        <v>0</v>
      </c>
      <c r="AB1126">
        <f t="shared" si="638"/>
        <v>0</v>
      </c>
      <c r="AC1126">
        <f t="shared" si="639"/>
        <v>0</v>
      </c>
      <c r="AD1126">
        <f t="shared" si="640"/>
        <v>0</v>
      </c>
      <c r="AF1126">
        <f t="shared" si="641"/>
        <v>0</v>
      </c>
      <c r="AG1126">
        <f t="shared" si="642"/>
        <v>0</v>
      </c>
      <c r="AH1126">
        <f t="shared" si="643"/>
        <v>0</v>
      </c>
      <c r="AI1126">
        <f t="shared" si="644"/>
        <v>0</v>
      </c>
      <c r="AJ1126">
        <f t="shared" si="645"/>
        <v>0</v>
      </c>
      <c r="AK1126">
        <f t="shared" si="646"/>
        <v>0</v>
      </c>
      <c r="AL1126">
        <f t="shared" si="647"/>
        <v>0</v>
      </c>
      <c r="AM1126">
        <f t="shared" si="648"/>
        <v>0</v>
      </c>
      <c r="AN1126">
        <f t="shared" si="649"/>
        <v>0</v>
      </c>
      <c r="AO1126">
        <f t="shared" si="650"/>
        <v>0</v>
      </c>
      <c r="AP1126">
        <f t="shared" si="651"/>
        <v>0</v>
      </c>
      <c r="AQ1126">
        <f t="shared" si="652"/>
        <v>0</v>
      </c>
    </row>
    <row r="1127" spans="6:43" x14ac:dyDescent="0.45">
      <c r="F1127">
        <f t="shared" si="653"/>
        <v>0</v>
      </c>
      <c r="G1127">
        <f t="shared" si="654"/>
        <v>0</v>
      </c>
      <c r="H1127">
        <f t="shared" si="655"/>
        <v>0</v>
      </c>
      <c r="I1127">
        <f t="shared" si="656"/>
        <v>0</v>
      </c>
      <c r="J1127">
        <f t="shared" si="657"/>
        <v>0</v>
      </c>
      <c r="K1127">
        <f t="shared" si="658"/>
        <v>0</v>
      </c>
      <c r="L1127">
        <f t="shared" si="659"/>
        <v>0</v>
      </c>
      <c r="M1127">
        <f t="shared" si="660"/>
        <v>0</v>
      </c>
      <c r="N1127">
        <f t="shared" si="661"/>
        <v>0</v>
      </c>
      <c r="O1127">
        <f t="shared" si="662"/>
        <v>0</v>
      </c>
      <c r="P1127">
        <f t="shared" si="663"/>
        <v>0</v>
      </c>
      <c r="Q1127">
        <f t="shared" si="664"/>
        <v>0</v>
      </c>
      <c r="S1127">
        <f t="shared" si="629"/>
        <v>0</v>
      </c>
      <c r="T1127">
        <f t="shared" si="630"/>
        <v>0</v>
      </c>
      <c r="U1127">
        <f t="shared" si="631"/>
        <v>0</v>
      </c>
      <c r="V1127">
        <f t="shared" si="632"/>
        <v>0</v>
      </c>
      <c r="W1127">
        <f t="shared" si="633"/>
        <v>0</v>
      </c>
      <c r="X1127">
        <f t="shared" si="634"/>
        <v>0</v>
      </c>
      <c r="Y1127">
        <f t="shared" si="635"/>
        <v>0</v>
      </c>
      <c r="Z1127">
        <f t="shared" si="636"/>
        <v>0</v>
      </c>
      <c r="AA1127">
        <f t="shared" si="637"/>
        <v>0</v>
      </c>
      <c r="AB1127">
        <f t="shared" si="638"/>
        <v>0</v>
      </c>
      <c r="AC1127">
        <f t="shared" si="639"/>
        <v>0</v>
      </c>
      <c r="AD1127">
        <f t="shared" si="640"/>
        <v>0</v>
      </c>
      <c r="AF1127">
        <f t="shared" si="641"/>
        <v>0</v>
      </c>
      <c r="AG1127">
        <f t="shared" si="642"/>
        <v>0</v>
      </c>
      <c r="AH1127">
        <f t="shared" si="643"/>
        <v>0</v>
      </c>
      <c r="AI1127">
        <f t="shared" si="644"/>
        <v>0</v>
      </c>
      <c r="AJ1127">
        <f t="shared" si="645"/>
        <v>0</v>
      </c>
      <c r="AK1127">
        <f t="shared" si="646"/>
        <v>0</v>
      </c>
      <c r="AL1127">
        <f t="shared" si="647"/>
        <v>0</v>
      </c>
      <c r="AM1127">
        <f t="shared" si="648"/>
        <v>0</v>
      </c>
      <c r="AN1127">
        <f t="shared" si="649"/>
        <v>0</v>
      </c>
      <c r="AO1127">
        <f t="shared" si="650"/>
        <v>0</v>
      </c>
      <c r="AP1127">
        <f t="shared" si="651"/>
        <v>0</v>
      </c>
      <c r="AQ1127">
        <f t="shared" si="652"/>
        <v>0</v>
      </c>
    </row>
    <row r="1128" spans="6:43" x14ac:dyDescent="0.45">
      <c r="F1128">
        <f t="shared" si="653"/>
        <v>0</v>
      </c>
      <c r="G1128">
        <f t="shared" si="654"/>
        <v>0</v>
      </c>
      <c r="H1128">
        <f t="shared" si="655"/>
        <v>0</v>
      </c>
      <c r="I1128">
        <f t="shared" si="656"/>
        <v>0</v>
      </c>
      <c r="J1128">
        <f t="shared" si="657"/>
        <v>0</v>
      </c>
      <c r="K1128">
        <f t="shared" si="658"/>
        <v>0</v>
      </c>
      <c r="L1128">
        <f t="shared" si="659"/>
        <v>0</v>
      </c>
      <c r="M1128">
        <f t="shared" si="660"/>
        <v>0</v>
      </c>
      <c r="N1128">
        <f t="shared" si="661"/>
        <v>0</v>
      </c>
      <c r="O1128">
        <f t="shared" si="662"/>
        <v>0</v>
      </c>
      <c r="P1128">
        <f t="shared" si="663"/>
        <v>0</v>
      </c>
      <c r="Q1128">
        <f t="shared" si="664"/>
        <v>0</v>
      </c>
      <c r="S1128">
        <f t="shared" si="629"/>
        <v>0</v>
      </c>
      <c r="T1128">
        <f t="shared" si="630"/>
        <v>0</v>
      </c>
      <c r="U1128">
        <f t="shared" si="631"/>
        <v>0</v>
      </c>
      <c r="V1128">
        <f t="shared" si="632"/>
        <v>0</v>
      </c>
      <c r="W1128">
        <f t="shared" si="633"/>
        <v>0</v>
      </c>
      <c r="X1128">
        <f t="shared" si="634"/>
        <v>0</v>
      </c>
      <c r="Y1128">
        <f t="shared" si="635"/>
        <v>0</v>
      </c>
      <c r="Z1128">
        <f t="shared" si="636"/>
        <v>0</v>
      </c>
      <c r="AA1128">
        <f t="shared" si="637"/>
        <v>0</v>
      </c>
      <c r="AB1128">
        <f t="shared" si="638"/>
        <v>0</v>
      </c>
      <c r="AC1128">
        <f t="shared" si="639"/>
        <v>0</v>
      </c>
      <c r="AD1128">
        <f t="shared" si="640"/>
        <v>0</v>
      </c>
      <c r="AF1128">
        <f t="shared" si="641"/>
        <v>0</v>
      </c>
      <c r="AG1128">
        <f t="shared" si="642"/>
        <v>0</v>
      </c>
      <c r="AH1128">
        <f t="shared" si="643"/>
        <v>0</v>
      </c>
      <c r="AI1128">
        <f t="shared" si="644"/>
        <v>0</v>
      </c>
      <c r="AJ1128">
        <f t="shared" si="645"/>
        <v>0</v>
      </c>
      <c r="AK1128">
        <f t="shared" si="646"/>
        <v>0</v>
      </c>
      <c r="AL1128">
        <f t="shared" si="647"/>
        <v>0</v>
      </c>
      <c r="AM1128">
        <f t="shared" si="648"/>
        <v>0</v>
      </c>
      <c r="AN1128">
        <f t="shared" si="649"/>
        <v>0</v>
      </c>
      <c r="AO1128">
        <f t="shared" si="650"/>
        <v>0</v>
      </c>
      <c r="AP1128">
        <f t="shared" si="651"/>
        <v>0</v>
      </c>
      <c r="AQ1128">
        <f t="shared" si="652"/>
        <v>0</v>
      </c>
    </row>
    <row r="1129" spans="6:43" x14ac:dyDescent="0.45">
      <c r="F1129">
        <f t="shared" si="653"/>
        <v>0</v>
      </c>
      <c r="G1129">
        <f t="shared" si="654"/>
        <v>0</v>
      </c>
      <c r="H1129">
        <f t="shared" si="655"/>
        <v>0</v>
      </c>
      <c r="I1129">
        <f t="shared" si="656"/>
        <v>0</v>
      </c>
      <c r="J1129">
        <f t="shared" si="657"/>
        <v>0</v>
      </c>
      <c r="K1129">
        <f t="shared" si="658"/>
        <v>0</v>
      </c>
      <c r="L1129">
        <f t="shared" si="659"/>
        <v>0</v>
      </c>
      <c r="M1129">
        <f t="shared" si="660"/>
        <v>0</v>
      </c>
      <c r="N1129">
        <f t="shared" si="661"/>
        <v>0</v>
      </c>
      <c r="O1129">
        <f t="shared" si="662"/>
        <v>0</v>
      </c>
      <c r="P1129">
        <f t="shared" si="663"/>
        <v>0</v>
      </c>
      <c r="Q1129">
        <f t="shared" si="664"/>
        <v>0</v>
      </c>
      <c r="S1129">
        <f t="shared" si="629"/>
        <v>0</v>
      </c>
      <c r="T1129">
        <f t="shared" si="630"/>
        <v>0</v>
      </c>
      <c r="U1129">
        <f t="shared" si="631"/>
        <v>0</v>
      </c>
      <c r="V1129">
        <f t="shared" si="632"/>
        <v>0</v>
      </c>
      <c r="W1129">
        <f t="shared" si="633"/>
        <v>0</v>
      </c>
      <c r="X1129">
        <f t="shared" si="634"/>
        <v>0</v>
      </c>
      <c r="Y1129">
        <f t="shared" si="635"/>
        <v>0</v>
      </c>
      <c r="Z1129">
        <f t="shared" si="636"/>
        <v>0</v>
      </c>
      <c r="AA1129">
        <f t="shared" si="637"/>
        <v>0</v>
      </c>
      <c r="AB1129">
        <f t="shared" si="638"/>
        <v>0</v>
      </c>
      <c r="AC1129">
        <f t="shared" si="639"/>
        <v>0</v>
      </c>
      <c r="AD1129">
        <f t="shared" si="640"/>
        <v>0</v>
      </c>
      <c r="AF1129">
        <f t="shared" si="641"/>
        <v>0</v>
      </c>
      <c r="AG1129">
        <f t="shared" si="642"/>
        <v>0</v>
      </c>
      <c r="AH1129">
        <f t="shared" si="643"/>
        <v>0</v>
      </c>
      <c r="AI1129">
        <f t="shared" si="644"/>
        <v>0</v>
      </c>
      <c r="AJ1129">
        <f t="shared" si="645"/>
        <v>0</v>
      </c>
      <c r="AK1129">
        <f t="shared" si="646"/>
        <v>0</v>
      </c>
      <c r="AL1129">
        <f t="shared" si="647"/>
        <v>0</v>
      </c>
      <c r="AM1129">
        <f t="shared" si="648"/>
        <v>0</v>
      </c>
      <c r="AN1129">
        <f t="shared" si="649"/>
        <v>0</v>
      </c>
      <c r="AO1129">
        <f t="shared" si="650"/>
        <v>0</v>
      </c>
      <c r="AP1129">
        <f t="shared" si="651"/>
        <v>0</v>
      </c>
      <c r="AQ1129">
        <f t="shared" si="652"/>
        <v>0</v>
      </c>
    </row>
    <row r="1130" spans="6:43" x14ac:dyDescent="0.45">
      <c r="F1130">
        <f t="shared" si="653"/>
        <v>0</v>
      </c>
      <c r="G1130">
        <f t="shared" si="654"/>
        <v>0</v>
      </c>
      <c r="H1130">
        <f t="shared" si="655"/>
        <v>0</v>
      </c>
      <c r="I1130">
        <f t="shared" si="656"/>
        <v>0</v>
      </c>
      <c r="J1130">
        <f t="shared" si="657"/>
        <v>0</v>
      </c>
      <c r="K1130">
        <f t="shared" si="658"/>
        <v>0</v>
      </c>
      <c r="L1130">
        <f t="shared" si="659"/>
        <v>0</v>
      </c>
      <c r="M1130">
        <f t="shared" si="660"/>
        <v>0</v>
      </c>
      <c r="N1130">
        <f t="shared" si="661"/>
        <v>0</v>
      </c>
      <c r="O1130">
        <f t="shared" si="662"/>
        <v>0</v>
      </c>
      <c r="P1130">
        <f t="shared" si="663"/>
        <v>0</v>
      </c>
      <c r="Q1130">
        <f t="shared" si="664"/>
        <v>0</v>
      </c>
      <c r="S1130">
        <f t="shared" si="629"/>
        <v>0</v>
      </c>
      <c r="T1130">
        <f t="shared" si="630"/>
        <v>0</v>
      </c>
      <c r="U1130">
        <f t="shared" si="631"/>
        <v>0</v>
      </c>
      <c r="V1130">
        <f t="shared" si="632"/>
        <v>0</v>
      </c>
      <c r="W1130">
        <f t="shared" si="633"/>
        <v>0</v>
      </c>
      <c r="X1130">
        <f t="shared" si="634"/>
        <v>0</v>
      </c>
      <c r="Y1130">
        <f t="shared" si="635"/>
        <v>0</v>
      </c>
      <c r="Z1130">
        <f t="shared" si="636"/>
        <v>0</v>
      </c>
      <c r="AA1130">
        <f t="shared" si="637"/>
        <v>0</v>
      </c>
      <c r="AB1130">
        <f t="shared" si="638"/>
        <v>0</v>
      </c>
      <c r="AC1130">
        <f t="shared" si="639"/>
        <v>0</v>
      </c>
      <c r="AD1130">
        <f t="shared" si="640"/>
        <v>0</v>
      </c>
      <c r="AF1130">
        <f t="shared" si="641"/>
        <v>0</v>
      </c>
      <c r="AG1130">
        <f t="shared" si="642"/>
        <v>0</v>
      </c>
      <c r="AH1130">
        <f t="shared" si="643"/>
        <v>0</v>
      </c>
      <c r="AI1130">
        <f t="shared" si="644"/>
        <v>0</v>
      </c>
      <c r="AJ1130">
        <f t="shared" si="645"/>
        <v>0</v>
      </c>
      <c r="AK1130">
        <f t="shared" si="646"/>
        <v>0</v>
      </c>
      <c r="AL1130">
        <f t="shared" si="647"/>
        <v>0</v>
      </c>
      <c r="AM1130">
        <f t="shared" si="648"/>
        <v>0</v>
      </c>
      <c r="AN1130">
        <f t="shared" si="649"/>
        <v>0</v>
      </c>
      <c r="AO1130">
        <f t="shared" si="650"/>
        <v>0</v>
      </c>
      <c r="AP1130">
        <f t="shared" si="651"/>
        <v>0</v>
      </c>
      <c r="AQ1130">
        <f t="shared" si="652"/>
        <v>0</v>
      </c>
    </row>
    <row r="1131" spans="6:43" x14ac:dyDescent="0.45">
      <c r="F1131">
        <f t="shared" si="653"/>
        <v>0</v>
      </c>
      <c r="G1131">
        <f t="shared" si="654"/>
        <v>0</v>
      </c>
      <c r="H1131">
        <f t="shared" si="655"/>
        <v>0</v>
      </c>
      <c r="I1131">
        <f t="shared" si="656"/>
        <v>0</v>
      </c>
      <c r="J1131">
        <f t="shared" si="657"/>
        <v>0</v>
      </c>
      <c r="K1131">
        <f t="shared" si="658"/>
        <v>0</v>
      </c>
      <c r="L1131">
        <f t="shared" si="659"/>
        <v>0</v>
      </c>
      <c r="M1131">
        <f t="shared" si="660"/>
        <v>0</v>
      </c>
      <c r="N1131">
        <f t="shared" si="661"/>
        <v>0</v>
      </c>
      <c r="O1131">
        <f t="shared" si="662"/>
        <v>0</v>
      </c>
      <c r="P1131">
        <f t="shared" si="663"/>
        <v>0</v>
      </c>
      <c r="Q1131">
        <f t="shared" si="664"/>
        <v>0</v>
      </c>
      <c r="S1131">
        <f t="shared" ref="S1131:S1194" si="665">IF(F1131&gt;0,1,0)+S1132</f>
        <v>0</v>
      </c>
      <c r="T1131">
        <f t="shared" ref="T1131:T1194" si="666">IF(G1131&gt;0,1,0)+T1132</f>
        <v>0</v>
      </c>
      <c r="U1131">
        <f t="shared" ref="U1131:U1194" si="667">IF(H1131&gt;0,1,0)+U1132</f>
        <v>0</v>
      </c>
      <c r="V1131">
        <f t="shared" ref="V1131:V1194" si="668">IF(I1131&gt;0,1,0)+V1132</f>
        <v>0</v>
      </c>
      <c r="W1131">
        <f t="shared" ref="W1131:W1194" si="669">IF(J1131&gt;0,1,0)+W1132</f>
        <v>0</v>
      </c>
      <c r="X1131">
        <f t="shared" ref="X1131:X1194" si="670">IF(K1131&gt;0,1,0)+X1132</f>
        <v>0</v>
      </c>
      <c r="Y1131">
        <f t="shared" ref="Y1131:Y1194" si="671">IF(L1131&gt;0,1,0)+Y1132</f>
        <v>0</v>
      </c>
      <c r="Z1131">
        <f t="shared" ref="Z1131:Z1194" si="672">IF(M1131&gt;0,1,0)+Z1132</f>
        <v>0</v>
      </c>
      <c r="AA1131">
        <f t="shared" ref="AA1131:AA1194" si="673">IF(N1131&gt;0,1,0)+AA1132</f>
        <v>0</v>
      </c>
      <c r="AB1131">
        <f t="shared" ref="AB1131:AB1194" si="674">IF(O1131&gt;0,1,0)+AB1132</f>
        <v>0</v>
      </c>
      <c r="AC1131">
        <f t="shared" ref="AC1131:AC1194" si="675">IF(P1131&gt;0,1,0)+AC1132</f>
        <v>0</v>
      </c>
      <c r="AD1131">
        <f t="shared" ref="AD1131:AD1194" si="676">IF(Q1131&gt;0,1,0)+AD1132</f>
        <v>0</v>
      </c>
      <c r="AF1131">
        <f t="shared" ref="AF1131:AF1194" si="677">IF(S1131&lt;=$AT$1,F1131,0)</f>
        <v>0</v>
      </c>
      <c r="AG1131">
        <f t="shared" ref="AG1131:AG1194" si="678">IF(T1131&lt;=$AT$1,G1131,0)</f>
        <v>0</v>
      </c>
      <c r="AH1131">
        <f t="shared" ref="AH1131:AH1194" si="679">IF(U1131&lt;=$AT$1,H1131,0)</f>
        <v>0</v>
      </c>
      <c r="AI1131">
        <f t="shared" ref="AI1131:AI1194" si="680">IF(V1131&lt;=$AT$1,I1131,0)</f>
        <v>0</v>
      </c>
      <c r="AJ1131">
        <f t="shared" ref="AJ1131:AJ1194" si="681">IF(W1131&lt;=$AT$1,J1131,0)</f>
        <v>0</v>
      </c>
      <c r="AK1131">
        <f t="shared" ref="AK1131:AK1194" si="682">IF(X1131&lt;=$AT$1,K1131,0)</f>
        <v>0</v>
      </c>
      <c r="AL1131">
        <f t="shared" ref="AL1131:AL1194" si="683">IF(Y1131&lt;=$AT$1,L1131,0)</f>
        <v>0</v>
      </c>
      <c r="AM1131">
        <f t="shared" ref="AM1131:AM1194" si="684">IF(Z1131&lt;=$AT$1,M1131,0)</f>
        <v>0</v>
      </c>
      <c r="AN1131">
        <f t="shared" ref="AN1131:AN1194" si="685">IF(AA1131&lt;=$AT$1,N1131,0)</f>
        <v>0</v>
      </c>
      <c r="AO1131">
        <f t="shared" ref="AO1131:AO1194" si="686">IF(AB1131&lt;=$AT$1,O1131,0)</f>
        <v>0</v>
      </c>
      <c r="AP1131">
        <f t="shared" ref="AP1131:AP1194" si="687">IF(AC1131&lt;=$AT$1,P1131,0)</f>
        <v>0</v>
      </c>
      <c r="AQ1131">
        <f t="shared" ref="AQ1131:AQ1194" si="688">IF(AD1131&lt;=$AT$1,Q1131,0)</f>
        <v>0</v>
      </c>
    </row>
    <row r="1132" spans="6:43" x14ac:dyDescent="0.45">
      <c r="F1132">
        <f t="shared" si="653"/>
        <v>0</v>
      </c>
      <c r="G1132">
        <f t="shared" si="654"/>
        <v>0</v>
      </c>
      <c r="H1132">
        <f t="shared" si="655"/>
        <v>0</v>
      </c>
      <c r="I1132">
        <f t="shared" si="656"/>
        <v>0</v>
      </c>
      <c r="J1132">
        <f t="shared" si="657"/>
        <v>0</v>
      </c>
      <c r="K1132">
        <f t="shared" si="658"/>
        <v>0</v>
      </c>
      <c r="L1132">
        <f t="shared" si="659"/>
        <v>0</v>
      </c>
      <c r="M1132">
        <f t="shared" si="660"/>
        <v>0</v>
      </c>
      <c r="N1132">
        <f t="shared" si="661"/>
        <v>0</v>
      </c>
      <c r="O1132">
        <f t="shared" si="662"/>
        <v>0</v>
      </c>
      <c r="P1132">
        <f t="shared" si="663"/>
        <v>0</v>
      </c>
      <c r="Q1132">
        <f t="shared" si="664"/>
        <v>0</v>
      </c>
      <c r="S1132">
        <f t="shared" si="665"/>
        <v>0</v>
      </c>
      <c r="T1132">
        <f t="shared" si="666"/>
        <v>0</v>
      </c>
      <c r="U1132">
        <f t="shared" si="667"/>
        <v>0</v>
      </c>
      <c r="V1132">
        <f t="shared" si="668"/>
        <v>0</v>
      </c>
      <c r="W1132">
        <f t="shared" si="669"/>
        <v>0</v>
      </c>
      <c r="X1132">
        <f t="shared" si="670"/>
        <v>0</v>
      </c>
      <c r="Y1132">
        <f t="shared" si="671"/>
        <v>0</v>
      </c>
      <c r="Z1132">
        <f t="shared" si="672"/>
        <v>0</v>
      </c>
      <c r="AA1132">
        <f t="shared" si="673"/>
        <v>0</v>
      </c>
      <c r="AB1132">
        <f t="shared" si="674"/>
        <v>0</v>
      </c>
      <c r="AC1132">
        <f t="shared" si="675"/>
        <v>0</v>
      </c>
      <c r="AD1132">
        <f t="shared" si="676"/>
        <v>0</v>
      </c>
      <c r="AF1132">
        <f t="shared" si="677"/>
        <v>0</v>
      </c>
      <c r="AG1132">
        <f t="shared" si="678"/>
        <v>0</v>
      </c>
      <c r="AH1132">
        <f t="shared" si="679"/>
        <v>0</v>
      </c>
      <c r="AI1132">
        <f t="shared" si="680"/>
        <v>0</v>
      </c>
      <c r="AJ1132">
        <f t="shared" si="681"/>
        <v>0</v>
      </c>
      <c r="AK1132">
        <f t="shared" si="682"/>
        <v>0</v>
      </c>
      <c r="AL1132">
        <f t="shared" si="683"/>
        <v>0</v>
      </c>
      <c r="AM1132">
        <f t="shared" si="684"/>
        <v>0</v>
      </c>
      <c r="AN1132">
        <f t="shared" si="685"/>
        <v>0</v>
      </c>
      <c r="AO1132">
        <f t="shared" si="686"/>
        <v>0</v>
      </c>
      <c r="AP1132">
        <f t="shared" si="687"/>
        <v>0</v>
      </c>
      <c r="AQ1132">
        <f t="shared" si="688"/>
        <v>0</v>
      </c>
    </row>
    <row r="1133" spans="6:43" x14ac:dyDescent="0.45">
      <c r="F1133">
        <f t="shared" si="653"/>
        <v>0</v>
      </c>
      <c r="G1133">
        <f t="shared" si="654"/>
        <v>0</v>
      </c>
      <c r="H1133">
        <f t="shared" si="655"/>
        <v>0</v>
      </c>
      <c r="I1133">
        <f t="shared" si="656"/>
        <v>0</v>
      </c>
      <c r="J1133">
        <f t="shared" si="657"/>
        <v>0</v>
      </c>
      <c r="K1133">
        <f t="shared" si="658"/>
        <v>0</v>
      </c>
      <c r="L1133">
        <f t="shared" si="659"/>
        <v>0</v>
      </c>
      <c r="M1133">
        <f t="shared" si="660"/>
        <v>0</v>
      </c>
      <c r="N1133">
        <f t="shared" si="661"/>
        <v>0</v>
      </c>
      <c r="O1133">
        <f t="shared" si="662"/>
        <v>0</v>
      </c>
      <c r="P1133">
        <f t="shared" si="663"/>
        <v>0</v>
      </c>
      <c r="Q1133">
        <f t="shared" si="664"/>
        <v>0</v>
      </c>
      <c r="S1133">
        <f t="shared" si="665"/>
        <v>0</v>
      </c>
      <c r="T1133">
        <f t="shared" si="666"/>
        <v>0</v>
      </c>
      <c r="U1133">
        <f t="shared" si="667"/>
        <v>0</v>
      </c>
      <c r="V1133">
        <f t="shared" si="668"/>
        <v>0</v>
      </c>
      <c r="W1133">
        <f t="shared" si="669"/>
        <v>0</v>
      </c>
      <c r="X1133">
        <f t="shared" si="670"/>
        <v>0</v>
      </c>
      <c r="Y1133">
        <f t="shared" si="671"/>
        <v>0</v>
      </c>
      <c r="Z1133">
        <f t="shared" si="672"/>
        <v>0</v>
      </c>
      <c r="AA1133">
        <f t="shared" si="673"/>
        <v>0</v>
      </c>
      <c r="AB1133">
        <f t="shared" si="674"/>
        <v>0</v>
      </c>
      <c r="AC1133">
        <f t="shared" si="675"/>
        <v>0</v>
      </c>
      <c r="AD1133">
        <f t="shared" si="676"/>
        <v>0</v>
      </c>
      <c r="AF1133">
        <f t="shared" si="677"/>
        <v>0</v>
      </c>
      <c r="AG1133">
        <f t="shared" si="678"/>
        <v>0</v>
      </c>
      <c r="AH1133">
        <f t="shared" si="679"/>
        <v>0</v>
      </c>
      <c r="AI1133">
        <f t="shared" si="680"/>
        <v>0</v>
      </c>
      <c r="AJ1133">
        <f t="shared" si="681"/>
        <v>0</v>
      </c>
      <c r="AK1133">
        <f t="shared" si="682"/>
        <v>0</v>
      </c>
      <c r="AL1133">
        <f t="shared" si="683"/>
        <v>0</v>
      </c>
      <c r="AM1133">
        <f t="shared" si="684"/>
        <v>0</v>
      </c>
      <c r="AN1133">
        <f t="shared" si="685"/>
        <v>0</v>
      </c>
      <c r="AO1133">
        <f t="shared" si="686"/>
        <v>0</v>
      </c>
      <c r="AP1133">
        <f t="shared" si="687"/>
        <v>0</v>
      </c>
      <c r="AQ1133">
        <f t="shared" si="688"/>
        <v>0</v>
      </c>
    </row>
    <row r="1134" spans="6:43" x14ac:dyDescent="0.45">
      <c r="F1134">
        <f t="shared" si="653"/>
        <v>0</v>
      </c>
      <c r="G1134">
        <f t="shared" si="654"/>
        <v>0</v>
      </c>
      <c r="H1134">
        <f t="shared" si="655"/>
        <v>0</v>
      </c>
      <c r="I1134">
        <f t="shared" si="656"/>
        <v>0</v>
      </c>
      <c r="J1134">
        <f t="shared" si="657"/>
        <v>0</v>
      </c>
      <c r="K1134">
        <f t="shared" si="658"/>
        <v>0</v>
      </c>
      <c r="L1134">
        <f t="shared" si="659"/>
        <v>0</v>
      </c>
      <c r="M1134">
        <f t="shared" si="660"/>
        <v>0</v>
      </c>
      <c r="N1134">
        <f t="shared" si="661"/>
        <v>0</v>
      </c>
      <c r="O1134">
        <f t="shared" si="662"/>
        <v>0</v>
      </c>
      <c r="P1134">
        <f t="shared" si="663"/>
        <v>0</v>
      </c>
      <c r="Q1134">
        <f t="shared" si="664"/>
        <v>0</v>
      </c>
      <c r="S1134">
        <f t="shared" si="665"/>
        <v>0</v>
      </c>
      <c r="T1134">
        <f t="shared" si="666"/>
        <v>0</v>
      </c>
      <c r="U1134">
        <f t="shared" si="667"/>
        <v>0</v>
      </c>
      <c r="V1134">
        <f t="shared" si="668"/>
        <v>0</v>
      </c>
      <c r="W1134">
        <f t="shared" si="669"/>
        <v>0</v>
      </c>
      <c r="X1134">
        <f t="shared" si="670"/>
        <v>0</v>
      </c>
      <c r="Y1134">
        <f t="shared" si="671"/>
        <v>0</v>
      </c>
      <c r="Z1134">
        <f t="shared" si="672"/>
        <v>0</v>
      </c>
      <c r="AA1134">
        <f t="shared" si="673"/>
        <v>0</v>
      </c>
      <c r="AB1134">
        <f t="shared" si="674"/>
        <v>0</v>
      </c>
      <c r="AC1134">
        <f t="shared" si="675"/>
        <v>0</v>
      </c>
      <c r="AD1134">
        <f t="shared" si="676"/>
        <v>0</v>
      </c>
      <c r="AF1134">
        <f t="shared" si="677"/>
        <v>0</v>
      </c>
      <c r="AG1134">
        <f t="shared" si="678"/>
        <v>0</v>
      </c>
      <c r="AH1134">
        <f t="shared" si="679"/>
        <v>0</v>
      </c>
      <c r="AI1134">
        <f t="shared" si="680"/>
        <v>0</v>
      </c>
      <c r="AJ1134">
        <f t="shared" si="681"/>
        <v>0</v>
      </c>
      <c r="AK1134">
        <f t="shared" si="682"/>
        <v>0</v>
      </c>
      <c r="AL1134">
        <f t="shared" si="683"/>
        <v>0</v>
      </c>
      <c r="AM1134">
        <f t="shared" si="684"/>
        <v>0</v>
      </c>
      <c r="AN1134">
        <f t="shared" si="685"/>
        <v>0</v>
      </c>
      <c r="AO1134">
        <f t="shared" si="686"/>
        <v>0</v>
      </c>
      <c r="AP1134">
        <f t="shared" si="687"/>
        <v>0</v>
      </c>
      <c r="AQ1134">
        <f t="shared" si="688"/>
        <v>0</v>
      </c>
    </row>
    <row r="1135" spans="6:43" x14ac:dyDescent="0.45">
      <c r="F1135">
        <f t="shared" si="653"/>
        <v>0</v>
      </c>
      <c r="G1135">
        <f t="shared" si="654"/>
        <v>0</v>
      </c>
      <c r="H1135">
        <f t="shared" si="655"/>
        <v>0</v>
      </c>
      <c r="I1135">
        <f t="shared" si="656"/>
        <v>0</v>
      </c>
      <c r="J1135">
        <f t="shared" si="657"/>
        <v>0</v>
      </c>
      <c r="K1135">
        <f t="shared" si="658"/>
        <v>0</v>
      </c>
      <c r="L1135">
        <f t="shared" si="659"/>
        <v>0</v>
      </c>
      <c r="M1135">
        <f t="shared" si="660"/>
        <v>0</v>
      </c>
      <c r="N1135">
        <f t="shared" si="661"/>
        <v>0</v>
      </c>
      <c r="O1135">
        <f t="shared" si="662"/>
        <v>0</v>
      </c>
      <c r="P1135">
        <f t="shared" si="663"/>
        <v>0</v>
      </c>
      <c r="Q1135">
        <f t="shared" si="664"/>
        <v>0</v>
      </c>
      <c r="S1135">
        <f t="shared" si="665"/>
        <v>0</v>
      </c>
      <c r="T1135">
        <f t="shared" si="666"/>
        <v>0</v>
      </c>
      <c r="U1135">
        <f t="shared" si="667"/>
        <v>0</v>
      </c>
      <c r="V1135">
        <f t="shared" si="668"/>
        <v>0</v>
      </c>
      <c r="W1135">
        <f t="shared" si="669"/>
        <v>0</v>
      </c>
      <c r="X1135">
        <f t="shared" si="670"/>
        <v>0</v>
      </c>
      <c r="Y1135">
        <f t="shared" si="671"/>
        <v>0</v>
      </c>
      <c r="Z1135">
        <f t="shared" si="672"/>
        <v>0</v>
      </c>
      <c r="AA1135">
        <f t="shared" si="673"/>
        <v>0</v>
      </c>
      <c r="AB1135">
        <f t="shared" si="674"/>
        <v>0</v>
      </c>
      <c r="AC1135">
        <f t="shared" si="675"/>
        <v>0</v>
      </c>
      <c r="AD1135">
        <f t="shared" si="676"/>
        <v>0</v>
      </c>
      <c r="AF1135">
        <f t="shared" si="677"/>
        <v>0</v>
      </c>
      <c r="AG1135">
        <f t="shared" si="678"/>
        <v>0</v>
      </c>
      <c r="AH1135">
        <f t="shared" si="679"/>
        <v>0</v>
      </c>
      <c r="AI1135">
        <f t="shared" si="680"/>
        <v>0</v>
      </c>
      <c r="AJ1135">
        <f t="shared" si="681"/>
        <v>0</v>
      </c>
      <c r="AK1135">
        <f t="shared" si="682"/>
        <v>0</v>
      </c>
      <c r="AL1135">
        <f t="shared" si="683"/>
        <v>0</v>
      </c>
      <c r="AM1135">
        <f t="shared" si="684"/>
        <v>0</v>
      </c>
      <c r="AN1135">
        <f t="shared" si="685"/>
        <v>0</v>
      </c>
      <c r="AO1135">
        <f t="shared" si="686"/>
        <v>0</v>
      </c>
      <c r="AP1135">
        <f t="shared" si="687"/>
        <v>0</v>
      </c>
      <c r="AQ1135">
        <f t="shared" si="688"/>
        <v>0</v>
      </c>
    </row>
    <row r="1136" spans="6:43" x14ac:dyDescent="0.45">
      <c r="F1136">
        <f t="shared" si="653"/>
        <v>0</v>
      </c>
      <c r="G1136">
        <f t="shared" si="654"/>
        <v>0</v>
      </c>
      <c r="H1136">
        <f t="shared" si="655"/>
        <v>0</v>
      </c>
      <c r="I1136">
        <f t="shared" si="656"/>
        <v>0</v>
      </c>
      <c r="J1136">
        <f t="shared" si="657"/>
        <v>0</v>
      </c>
      <c r="K1136">
        <f t="shared" si="658"/>
        <v>0</v>
      </c>
      <c r="L1136">
        <f t="shared" si="659"/>
        <v>0</v>
      </c>
      <c r="M1136">
        <f t="shared" si="660"/>
        <v>0</v>
      </c>
      <c r="N1136">
        <f t="shared" si="661"/>
        <v>0</v>
      </c>
      <c r="O1136">
        <f t="shared" si="662"/>
        <v>0</v>
      </c>
      <c r="P1136">
        <f t="shared" si="663"/>
        <v>0</v>
      </c>
      <c r="Q1136">
        <f t="shared" si="664"/>
        <v>0</v>
      </c>
      <c r="S1136">
        <f t="shared" si="665"/>
        <v>0</v>
      </c>
      <c r="T1136">
        <f t="shared" si="666"/>
        <v>0</v>
      </c>
      <c r="U1136">
        <f t="shared" si="667"/>
        <v>0</v>
      </c>
      <c r="V1136">
        <f t="shared" si="668"/>
        <v>0</v>
      </c>
      <c r="W1136">
        <f t="shared" si="669"/>
        <v>0</v>
      </c>
      <c r="X1136">
        <f t="shared" si="670"/>
        <v>0</v>
      </c>
      <c r="Y1136">
        <f t="shared" si="671"/>
        <v>0</v>
      </c>
      <c r="Z1136">
        <f t="shared" si="672"/>
        <v>0</v>
      </c>
      <c r="AA1136">
        <f t="shared" si="673"/>
        <v>0</v>
      </c>
      <c r="AB1136">
        <f t="shared" si="674"/>
        <v>0</v>
      </c>
      <c r="AC1136">
        <f t="shared" si="675"/>
        <v>0</v>
      </c>
      <c r="AD1136">
        <f t="shared" si="676"/>
        <v>0</v>
      </c>
      <c r="AF1136">
        <f t="shared" si="677"/>
        <v>0</v>
      </c>
      <c r="AG1136">
        <f t="shared" si="678"/>
        <v>0</v>
      </c>
      <c r="AH1136">
        <f t="shared" si="679"/>
        <v>0</v>
      </c>
      <c r="AI1136">
        <f t="shared" si="680"/>
        <v>0</v>
      </c>
      <c r="AJ1136">
        <f t="shared" si="681"/>
        <v>0</v>
      </c>
      <c r="AK1136">
        <f t="shared" si="682"/>
        <v>0</v>
      </c>
      <c r="AL1136">
        <f t="shared" si="683"/>
        <v>0</v>
      </c>
      <c r="AM1136">
        <f t="shared" si="684"/>
        <v>0</v>
      </c>
      <c r="AN1136">
        <f t="shared" si="685"/>
        <v>0</v>
      </c>
      <c r="AO1136">
        <f t="shared" si="686"/>
        <v>0</v>
      </c>
      <c r="AP1136">
        <f t="shared" si="687"/>
        <v>0</v>
      </c>
      <c r="AQ1136">
        <f t="shared" si="688"/>
        <v>0</v>
      </c>
    </row>
    <row r="1137" spans="6:43" x14ac:dyDescent="0.45">
      <c r="F1137">
        <f t="shared" si="653"/>
        <v>0</v>
      </c>
      <c r="G1137">
        <f t="shared" si="654"/>
        <v>0</v>
      </c>
      <c r="H1137">
        <f t="shared" si="655"/>
        <v>0</v>
      </c>
      <c r="I1137">
        <f t="shared" si="656"/>
        <v>0</v>
      </c>
      <c r="J1137">
        <f t="shared" si="657"/>
        <v>0</v>
      </c>
      <c r="K1137">
        <f t="shared" si="658"/>
        <v>0</v>
      </c>
      <c r="L1137">
        <f t="shared" si="659"/>
        <v>0</v>
      </c>
      <c r="M1137">
        <f t="shared" si="660"/>
        <v>0</v>
      </c>
      <c r="N1137">
        <f t="shared" si="661"/>
        <v>0</v>
      </c>
      <c r="O1137">
        <f t="shared" si="662"/>
        <v>0</v>
      </c>
      <c r="P1137">
        <f t="shared" si="663"/>
        <v>0</v>
      </c>
      <c r="Q1137">
        <f t="shared" si="664"/>
        <v>0</v>
      </c>
      <c r="S1137">
        <f t="shared" si="665"/>
        <v>0</v>
      </c>
      <c r="T1137">
        <f t="shared" si="666"/>
        <v>0</v>
      </c>
      <c r="U1137">
        <f t="shared" si="667"/>
        <v>0</v>
      </c>
      <c r="V1137">
        <f t="shared" si="668"/>
        <v>0</v>
      </c>
      <c r="W1137">
        <f t="shared" si="669"/>
        <v>0</v>
      </c>
      <c r="X1137">
        <f t="shared" si="670"/>
        <v>0</v>
      </c>
      <c r="Y1137">
        <f t="shared" si="671"/>
        <v>0</v>
      </c>
      <c r="Z1137">
        <f t="shared" si="672"/>
        <v>0</v>
      </c>
      <c r="AA1137">
        <f t="shared" si="673"/>
        <v>0</v>
      </c>
      <c r="AB1137">
        <f t="shared" si="674"/>
        <v>0</v>
      </c>
      <c r="AC1137">
        <f t="shared" si="675"/>
        <v>0</v>
      </c>
      <c r="AD1137">
        <f t="shared" si="676"/>
        <v>0</v>
      </c>
      <c r="AF1137">
        <f t="shared" si="677"/>
        <v>0</v>
      </c>
      <c r="AG1137">
        <f t="shared" si="678"/>
        <v>0</v>
      </c>
      <c r="AH1137">
        <f t="shared" si="679"/>
        <v>0</v>
      </c>
      <c r="AI1137">
        <f t="shared" si="680"/>
        <v>0</v>
      </c>
      <c r="AJ1137">
        <f t="shared" si="681"/>
        <v>0</v>
      </c>
      <c r="AK1137">
        <f t="shared" si="682"/>
        <v>0</v>
      </c>
      <c r="AL1137">
        <f t="shared" si="683"/>
        <v>0</v>
      </c>
      <c r="AM1137">
        <f t="shared" si="684"/>
        <v>0</v>
      </c>
      <c r="AN1137">
        <f t="shared" si="685"/>
        <v>0</v>
      </c>
      <c r="AO1137">
        <f t="shared" si="686"/>
        <v>0</v>
      </c>
      <c r="AP1137">
        <f t="shared" si="687"/>
        <v>0</v>
      </c>
      <c r="AQ1137">
        <f t="shared" si="688"/>
        <v>0</v>
      </c>
    </row>
    <row r="1138" spans="6:43" x14ac:dyDescent="0.45">
      <c r="F1138">
        <f t="shared" si="653"/>
        <v>0</v>
      </c>
      <c r="G1138">
        <f t="shared" si="654"/>
        <v>0</v>
      </c>
      <c r="H1138">
        <f t="shared" si="655"/>
        <v>0</v>
      </c>
      <c r="I1138">
        <f t="shared" si="656"/>
        <v>0</v>
      </c>
      <c r="J1138">
        <f t="shared" si="657"/>
        <v>0</v>
      </c>
      <c r="K1138">
        <f t="shared" si="658"/>
        <v>0</v>
      </c>
      <c r="L1138">
        <f t="shared" si="659"/>
        <v>0</v>
      </c>
      <c r="M1138">
        <f t="shared" si="660"/>
        <v>0</v>
      </c>
      <c r="N1138">
        <f t="shared" si="661"/>
        <v>0</v>
      </c>
      <c r="O1138">
        <f t="shared" si="662"/>
        <v>0</v>
      </c>
      <c r="P1138">
        <f t="shared" si="663"/>
        <v>0</v>
      </c>
      <c r="Q1138">
        <f t="shared" si="664"/>
        <v>0</v>
      </c>
      <c r="S1138">
        <f t="shared" si="665"/>
        <v>0</v>
      </c>
      <c r="T1138">
        <f t="shared" si="666"/>
        <v>0</v>
      </c>
      <c r="U1138">
        <f t="shared" si="667"/>
        <v>0</v>
      </c>
      <c r="V1138">
        <f t="shared" si="668"/>
        <v>0</v>
      </c>
      <c r="W1138">
        <f t="shared" si="669"/>
        <v>0</v>
      </c>
      <c r="X1138">
        <f t="shared" si="670"/>
        <v>0</v>
      </c>
      <c r="Y1138">
        <f t="shared" si="671"/>
        <v>0</v>
      </c>
      <c r="Z1138">
        <f t="shared" si="672"/>
        <v>0</v>
      </c>
      <c r="AA1138">
        <f t="shared" si="673"/>
        <v>0</v>
      </c>
      <c r="AB1138">
        <f t="shared" si="674"/>
        <v>0</v>
      </c>
      <c r="AC1138">
        <f t="shared" si="675"/>
        <v>0</v>
      </c>
      <c r="AD1138">
        <f t="shared" si="676"/>
        <v>0</v>
      </c>
      <c r="AF1138">
        <f t="shared" si="677"/>
        <v>0</v>
      </c>
      <c r="AG1138">
        <f t="shared" si="678"/>
        <v>0</v>
      </c>
      <c r="AH1138">
        <f t="shared" si="679"/>
        <v>0</v>
      </c>
      <c r="AI1138">
        <f t="shared" si="680"/>
        <v>0</v>
      </c>
      <c r="AJ1138">
        <f t="shared" si="681"/>
        <v>0</v>
      </c>
      <c r="AK1138">
        <f t="shared" si="682"/>
        <v>0</v>
      </c>
      <c r="AL1138">
        <f t="shared" si="683"/>
        <v>0</v>
      </c>
      <c r="AM1138">
        <f t="shared" si="684"/>
        <v>0</v>
      </c>
      <c r="AN1138">
        <f t="shared" si="685"/>
        <v>0</v>
      </c>
      <c r="AO1138">
        <f t="shared" si="686"/>
        <v>0</v>
      </c>
      <c r="AP1138">
        <f t="shared" si="687"/>
        <v>0</v>
      </c>
      <c r="AQ1138">
        <f t="shared" si="688"/>
        <v>0</v>
      </c>
    </row>
    <row r="1139" spans="6:43" x14ac:dyDescent="0.45">
      <c r="F1139">
        <f t="shared" si="653"/>
        <v>0</v>
      </c>
      <c r="G1139">
        <f t="shared" si="654"/>
        <v>0</v>
      </c>
      <c r="H1139">
        <f t="shared" si="655"/>
        <v>0</v>
      </c>
      <c r="I1139">
        <f t="shared" si="656"/>
        <v>0</v>
      </c>
      <c r="J1139">
        <f t="shared" si="657"/>
        <v>0</v>
      </c>
      <c r="K1139">
        <f t="shared" si="658"/>
        <v>0</v>
      </c>
      <c r="L1139">
        <f t="shared" si="659"/>
        <v>0</v>
      </c>
      <c r="M1139">
        <f t="shared" si="660"/>
        <v>0</v>
      </c>
      <c r="N1139">
        <f t="shared" si="661"/>
        <v>0</v>
      </c>
      <c r="O1139">
        <f t="shared" si="662"/>
        <v>0</v>
      </c>
      <c r="P1139">
        <f t="shared" si="663"/>
        <v>0</v>
      </c>
      <c r="Q1139">
        <f t="shared" si="664"/>
        <v>0</v>
      </c>
      <c r="S1139">
        <f t="shared" si="665"/>
        <v>0</v>
      </c>
      <c r="T1139">
        <f t="shared" si="666"/>
        <v>0</v>
      </c>
      <c r="U1139">
        <f t="shared" si="667"/>
        <v>0</v>
      </c>
      <c r="V1139">
        <f t="shared" si="668"/>
        <v>0</v>
      </c>
      <c r="W1139">
        <f t="shared" si="669"/>
        <v>0</v>
      </c>
      <c r="X1139">
        <f t="shared" si="670"/>
        <v>0</v>
      </c>
      <c r="Y1139">
        <f t="shared" si="671"/>
        <v>0</v>
      </c>
      <c r="Z1139">
        <f t="shared" si="672"/>
        <v>0</v>
      </c>
      <c r="AA1139">
        <f t="shared" si="673"/>
        <v>0</v>
      </c>
      <c r="AB1139">
        <f t="shared" si="674"/>
        <v>0</v>
      </c>
      <c r="AC1139">
        <f t="shared" si="675"/>
        <v>0</v>
      </c>
      <c r="AD1139">
        <f t="shared" si="676"/>
        <v>0</v>
      </c>
      <c r="AF1139">
        <f t="shared" si="677"/>
        <v>0</v>
      </c>
      <c r="AG1139">
        <f t="shared" si="678"/>
        <v>0</v>
      </c>
      <c r="AH1139">
        <f t="shared" si="679"/>
        <v>0</v>
      </c>
      <c r="AI1139">
        <f t="shared" si="680"/>
        <v>0</v>
      </c>
      <c r="AJ1139">
        <f t="shared" si="681"/>
        <v>0</v>
      </c>
      <c r="AK1139">
        <f t="shared" si="682"/>
        <v>0</v>
      </c>
      <c r="AL1139">
        <f t="shared" si="683"/>
        <v>0</v>
      </c>
      <c r="AM1139">
        <f t="shared" si="684"/>
        <v>0</v>
      </c>
      <c r="AN1139">
        <f t="shared" si="685"/>
        <v>0</v>
      </c>
      <c r="AO1139">
        <f t="shared" si="686"/>
        <v>0</v>
      </c>
      <c r="AP1139">
        <f t="shared" si="687"/>
        <v>0</v>
      </c>
      <c r="AQ1139">
        <f t="shared" si="688"/>
        <v>0</v>
      </c>
    </row>
    <row r="1140" spans="6:43" x14ac:dyDescent="0.45">
      <c r="F1140">
        <f t="shared" si="653"/>
        <v>0</v>
      </c>
      <c r="G1140">
        <f t="shared" si="654"/>
        <v>0</v>
      </c>
      <c r="H1140">
        <f t="shared" si="655"/>
        <v>0</v>
      </c>
      <c r="I1140">
        <f t="shared" si="656"/>
        <v>0</v>
      </c>
      <c r="J1140">
        <f t="shared" si="657"/>
        <v>0</v>
      </c>
      <c r="K1140">
        <f t="shared" si="658"/>
        <v>0</v>
      </c>
      <c r="L1140">
        <f t="shared" si="659"/>
        <v>0</v>
      </c>
      <c r="M1140">
        <f t="shared" si="660"/>
        <v>0</v>
      </c>
      <c r="N1140">
        <f t="shared" si="661"/>
        <v>0</v>
      </c>
      <c r="O1140">
        <f t="shared" si="662"/>
        <v>0</v>
      </c>
      <c r="P1140">
        <f t="shared" si="663"/>
        <v>0</v>
      </c>
      <c r="Q1140">
        <f t="shared" si="664"/>
        <v>0</v>
      </c>
      <c r="S1140">
        <f t="shared" si="665"/>
        <v>0</v>
      </c>
      <c r="T1140">
        <f t="shared" si="666"/>
        <v>0</v>
      </c>
      <c r="U1140">
        <f t="shared" si="667"/>
        <v>0</v>
      </c>
      <c r="V1140">
        <f t="shared" si="668"/>
        <v>0</v>
      </c>
      <c r="W1140">
        <f t="shared" si="669"/>
        <v>0</v>
      </c>
      <c r="X1140">
        <f t="shared" si="670"/>
        <v>0</v>
      </c>
      <c r="Y1140">
        <f t="shared" si="671"/>
        <v>0</v>
      </c>
      <c r="Z1140">
        <f t="shared" si="672"/>
        <v>0</v>
      </c>
      <c r="AA1140">
        <f t="shared" si="673"/>
        <v>0</v>
      </c>
      <c r="AB1140">
        <f t="shared" si="674"/>
        <v>0</v>
      </c>
      <c r="AC1140">
        <f t="shared" si="675"/>
        <v>0</v>
      </c>
      <c r="AD1140">
        <f t="shared" si="676"/>
        <v>0</v>
      </c>
      <c r="AF1140">
        <f t="shared" si="677"/>
        <v>0</v>
      </c>
      <c r="AG1140">
        <f t="shared" si="678"/>
        <v>0</v>
      </c>
      <c r="AH1140">
        <f t="shared" si="679"/>
        <v>0</v>
      </c>
      <c r="AI1140">
        <f t="shared" si="680"/>
        <v>0</v>
      </c>
      <c r="AJ1140">
        <f t="shared" si="681"/>
        <v>0</v>
      </c>
      <c r="AK1140">
        <f t="shared" si="682"/>
        <v>0</v>
      </c>
      <c r="AL1140">
        <f t="shared" si="683"/>
        <v>0</v>
      </c>
      <c r="AM1140">
        <f t="shared" si="684"/>
        <v>0</v>
      </c>
      <c r="AN1140">
        <f t="shared" si="685"/>
        <v>0</v>
      </c>
      <c r="AO1140">
        <f t="shared" si="686"/>
        <v>0</v>
      </c>
      <c r="AP1140">
        <f t="shared" si="687"/>
        <v>0</v>
      </c>
      <c r="AQ1140">
        <f t="shared" si="688"/>
        <v>0</v>
      </c>
    </row>
    <row r="1141" spans="6:43" x14ac:dyDescent="0.45">
      <c r="F1141">
        <f t="shared" si="653"/>
        <v>0</v>
      </c>
      <c r="G1141">
        <f t="shared" si="654"/>
        <v>0</v>
      </c>
      <c r="H1141">
        <f t="shared" si="655"/>
        <v>0</v>
      </c>
      <c r="I1141">
        <f t="shared" si="656"/>
        <v>0</v>
      </c>
      <c r="J1141">
        <f t="shared" si="657"/>
        <v>0</v>
      </c>
      <c r="K1141">
        <f t="shared" si="658"/>
        <v>0</v>
      </c>
      <c r="L1141">
        <f t="shared" si="659"/>
        <v>0</v>
      </c>
      <c r="M1141">
        <f t="shared" si="660"/>
        <v>0</v>
      </c>
      <c r="N1141">
        <f t="shared" si="661"/>
        <v>0</v>
      </c>
      <c r="O1141">
        <f t="shared" si="662"/>
        <v>0</v>
      </c>
      <c r="P1141">
        <f t="shared" si="663"/>
        <v>0</v>
      </c>
      <c r="Q1141">
        <f t="shared" si="664"/>
        <v>0</v>
      </c>
      <c r="S1141">
        <f t="shared" si="665"/>
        <v>0</v>
      </c>
      <c r="T1141">
        <f t="shared" si="666"/>
        <v>0</v>
      </c>
      <c r="U1141">
        <f t="shared" si="667"/>
        <v>0</v>
      </c>
      <c r="V1141">
        <f t="shared" si="668"/>
        <v>0</v>
      </c>
      <c r="W1141">
        <f t="shared" si="669"/>
        <v>0</v>
      </c>
      <c r="X1141">
        <f t="shared" si="670"/>
        <v>0</v>
      </c>
      <c r="Y1141">
        <f t="shared" si="671"/>
        <v>0</v>
      </c>
      <c r="Z1141">
        <f t="shared" si="672"/>
        <v>0</v>
      </c>
      <c r="AA1141">
        <f t="shared" si="673"/>
        <v>0</v>
      </c>
      <c r="AB1141">
        <f t="shared" si="674"/>
        <v>0</v>
      </c>
      <c r="AC1141">
        <f t="shared" si="675"/>
        <v>0</v>
      </c>
      <c r="AD1141">
        <f t="shared" si="676"/>
        <v>0</v>
      </c>
      <c r="AF1141">
        <f t="shared" si="677"/>
        <v>0</v>
      </c>
      <c r="AG1141">
        <f t="shared" si="678"/>
        <v>0</v>
      </c>
      <c r="AH1141">
        <f t="shared" si="679"/>
        <v>0</v>
      </c>
      <c r="AI1141">
        <f t="shared" si="680"/>
        <v>0</v>
      </c>
      <c r="AJ1141">
        <f t="shared" si="681"/>
        <v>0</v>
      </c>
      <c r="AK1141">
        <f t="shared" si="682"/>
        <v>0</v>
      </c>
      <c r="AL1141">
        <f t="shared" si="683"/>
        <v>0</v>
      </c>
      <c r="AM1141">
        <f t="shared" si="684"/>
        <v>0</v>
      </c>
      <c r="AN1141">
        <f t="shared" si="685"/>
        <v>0</v>
      </c>
      <c r="AO1141">
        <f t="shared" si="686"/>
        <v>0</v>
      </c>
      <c r="AP1141">
        <f t="shared" si="687"/>
        <v>0</v>
      </c>
      <c r="AQ1141">
        <f t="shared" si="688"/>
        <v>0</v>
      </c>
    </row>
    <row r="1142" spans="6:43" x14ac:dyDescent="0.45">
      <c r="F1142">
        <f t="shared" si="653"/>
        <v>0</v>
      </c>
      <c r="G1142">
        <f t="shared" si="654"/>
        <v>0</v>
      </c>
      <c r="H1142">
        <f t="shared" si="655"/>
        <v>0</v>
      </c>
      <c r="I1142">
        <f t="shared" si="656"/>
        <v>0</v>
      </c>
      <c r="J1142">
        <f t="shared" si="657"/>
        <v>0</v>
      </c>
      <c r="K1142">
        <f t="shared" si="658"/>
        <v>0</v>
      </c>
      <c r="L1142">
        <f t="shared" si="659"/>
        <v>0</v>
      </c>
      <c r="M1142">
        <f t="shared" si="660"/>
        <v>0</v>
      </c>
      <c r="N1142">
        <f t="shared" si="661"/>
        <v>0</v>
      </c>
      <c r="O1142">
        <f t="shared" si="662"/>
        <v>0</v>
      </c>
      <c r="P1142">
        <f t="shared" si="663"/>
        <v>0</v>
      </c>
      <c r="Q1142">
        <f t="shared" si="664"/>
        <v>0</v>
      </c>
      <c r="S1142">
        <f t="shared" si="665"/>
        <v>0</v>
      </c>
      <c r="T1142">
        <f t="shared" si="666"/>
        <v>0</v>
      </c>
      <c r="U1142">
        <f t="shared" si="667"/>
        <v>0</v>
      </c>
      <c r="V1142">
        <f t="shared" si="668"/>
        <v>0</v>
      </c>
      <c r="W1142">
        <f t="shared" si="669"/>
        <v>0</v>
      </c>
      <c r="X1142">
        <f t="shared" si="670"/>
        <v>0</v>
      </c>
      <c r="Y1142">
        <f t="shared" si="671"/>
        <v>0</v>
      </c>
      <c r="Z1142">
        <f t="shared" si="672"/>
        <v>0</v>
      </c>
      <c r="AA1142">
        <f t="shared" si="673"/>
        <v>0</v>
      </c>
      <c r="AB1142">
        <f t="shared" si="674"/>
        <v>0</v>
      </c>
      <c r="AC1142">
        <f t="shared" si="675"/>
        <v>0</v>
      </c>
      <c r="AD1142">
        <f t="shared" si="676"/>
        <v>0</v>
      </c>
      <c r="AF1142">
        <f t="shared" si="677"/>
        <v>0</v>
      </c>
      <c r="AG1142">
        <f t="shared" si="678"/>
        <v>0</v>
      </c>
      <c r="AH1142">
        <f t="shared" si="679"/>
        <v>0</v>
      </c>
      <c r="AI1142">
        <f t="shared" si="680"/>
        <v>0</v>
      </c>
      <c r="AJ1142">
        <f t="shared" si="681"/>
        <v>0</v>
      </c>
      <c r="AK1142">
        <f t="shared" si="682"/>
        <v>0</v>
      </c>
      <c r="AL1142">
        <f t="shared" si="683"/>
        <v>0</v>
      </c>
      <c r="AM1142">
        <f t="shared" si="684"/>
        <v>0</v>
      </c>
      <c r="AN1142">
        <f t="shared" si="685"/>
        <v>0</v>
      </c>
      <c r="AO1142">
        <f t="shared" si="686"/>
        <v>0</v>
      </c>
      <c r="AP1142">
        <f t="shared" si="687"/>
        <v>0</v>
      </c>
      <c r="AQ1142">
        <f t="shared" si="688"/>
        <v>0</v>
      </c>
    </row>
    <row r="1143" spans="6:43" x14ac:dyDescent="0.45">
      <c r="F1143">
        <f t="shared" si="653"/>
        <v>0</v>
      </c>
      <c r="G1143">
        <f t="shared" si="654"/>
        <v>0</v>
      </c>
      <c r="H1143">
        <f t="shared" si="655"/>
        <v>0</v>
      </c>
      <c r="I1143">
        <f t="shared" si="656"/>
        <v>0</v>
      </c>
      <c r="J1143">
        <f t="shared" si="657"/>
        <v>0</v>
      </c>
      <c r="K1143">
        <f t="shared" si="658"/>
        <v>0</v>
      </c>
      <c r="L1143">
        <f t="shared" si="659"/>
        <v>0</v>
      </c>
      <c r="M1143">
        <f t="shared" si="660"/>
        <v>0</v>
      </c>
      <c r="N1143">
        <f t="shared" si="661"/>
        <v>0</v>
      </c>
      <c r="O1143">
        <f t="shared" si="662"/>
        <v>0</v>
      </c>
      <c r="P1143">
        <f t="shared" si="663"/>
        <v>0</v>
      </c>
      <c r="Q1143">
        <f t="shared" si="664"/>
        <v>0</v>
      </c>
      <c r="S1143">
        <f t="shared" si="665"/>
        <v>0</v>
      </c>
      <c r="T1143">
        <f t="shared" si="666"/>
        <v>0</v>
      </c>
      <c r="U1143">
        <f t="shared" si="667"/>
        <v>0</v>
      </c>
      <c r="V1143">
        <f t="shared" si="668"/>
        <v>0</v>
      </c>
      <c r="W1143">
        <f t="shared" si="669"/>
        <v>0</v>
      </c>
      <c r="X1143">
        <f t="shared" si="670"/>
        <v>0</v>
      </c>
      <c r="Y1143">
        <f t="shared" si="671"/>
        <v>0</v>
      </c>
      <c r="Z1143">
        <f t="shared" si="672"/>
        <v>0</v>
      </c>
      <c r="AA1143">
        <f t="shared" si="673"/>
        <v>0</v>
      </c>
      <c r="AB1143">
        <f t="shared" si="674"/>
        <v>0</v>
      </c>
      <c r="AC1143">
        <f t="shared" si="675"/>
        <v>0</v>
      </c>
      <c r="AD1143">
        <f t="shared" si="676"/>
        <v>0</v>
      </c>
      <c r="AF1143">
        <f t="shared" si="677"/>
        <v>0</v>
      </c>
      <c r="AG1143">
        <f t="shared" si="678"/>
        <v>0</v>
      </c>
      <c r="AH1143">
        <f t="shared" si="679"/>
        <v>0</v>
      </c>
      <c r="AI1143">
        <f t="shared" si="680"/>
        <v>0</v>
      </c>
      <c r="AJ1143">
        <f t="shared" si="681"/>
        <v>0</v>
      </c>
      <c r="AK1143">
        <f t="shared" si="682"/>
        <v>0</v>
      </c>
      <c r="AL1143">
        <f t="shared" si="683"/>
        <v>0</v>
      </c>
      <c r="AM1143">
        <f t="shared" si="684"/>
        <v>0</v>
      </c>
      <c r="AN1143">
        <f t="shared" si="685"/>
        <v>0</v>
      </c>
      <c r="AO1143">
        <f t="shared" si="686"/>
        <v>0</v>
      </c>
      <c r="AP1143">
        <f t="shared" si="687"/>
        <v>0</v>
      </c>
      <c r="AQ1143">
        <f t="shared" si="688"/>
        <v>0</v>
      </c>
    </row>
    <row r="1144" spans="6:43" x14ac:dyDescent="0.45">
      <c r="F1144">
        <f t="shared" si="653"/>
        <v>0</v>
      </c>
      <c r="G1144">
        <f t="shared" si="654"/>
        <v>0</v>
      </c>
      <c r="H1144">
        <f t="shared" si="655"/>
        <v>0</v>
      </c>
      <c r="I1144">
        <f t="shared" si="656"/>
        <v>0</v>
      </c>
      <c r="J1144">
        <f t="shared" si="657"/>
        <v>0</v>
      </c>
      <c r="K1144">
        <f t="shared" si="658"/>
        <v>0</v>
      </c>
      <c r="L1144">
        <f t="shared" si="659"/>
        <v>0</v>
      </c>
      <c r="M1144">
        <f t="shared" si="660"/>
        <v>0</v>
      </c>
      <c r="N1144">
        <f t="shared" si="661"/>
        <v>0</v>
      </c>
      <c r="O1144">
        <f t="shared" si="662"/>
        <v>0</v>
      </c>
      <c r="P1144">
        <f t="shared" si="663"/>
        <v>0</v>
      </c>
      <c r="Q1144">
        <f t="shared" si="664"/>
        <v>0</v>
      </c>
      <c r="S1144">
        <f t="shared" si="665"/>
        <v>0</v>
      </c>
      <c r="T1144">
        <f t="shared" si="666"/>
        <v>0</v>
      </c>
      <c r="U1144">
        <f t="shared" si="667"/>
        <v>0</v>
      </c>
      <c r="V1144">
        <f t="shared" si="668"/>
        <v>0</v>
      </c>
      <c r="W1144">
        <f t="shared" si="669"/>
        <v>0</v>
      </c>
      <c r="X1144">
        <f t="shared" si="670"/>
        <v>0</v>
      </c>
      <c r="Y1144">
        <f t="shared" si="671"/>
        <v>0</v>
      </c>
      <c r="Z1144">
        <f t="shared" si="672"/>
        <v>0</v>
      </c>
      <c r="AA1144">
        <f t="shared" si="673"/>
        <v>0</v>
      </c>
      <c r="AB1144">
        <f t="shared" si="674"/>
        <v>0</v>
      </c>
      <c r="AC1144">
        <f t="shared" si="675"/>
        <v>0</v>
      </c>
      <c r="AD1144">
        <f t="shared" si="676"/>
        <v>0</v>
      </c>
      <c r="AF1144">
        <f t="shared" si="677"/>
        <v>0</v>
      </c>
      <c r="AG1144">
        <f t="shared" si="678"/>
        <v>0</v>
      </c>
      <c r="AH1144">
        <f t="shared" si="679"/>
        <v>0</v>
      </c>
      <c r="AI1144">
        <f t="shared" si="680"/>
        <v>0</v>
      </c>
      <c r="AJ1144">
        <f t="shared" si="681"/>
        <v>0</v>
      </c>
      <c r="AK1144">
        <f t="shared" si="682"/>
        <v>0</v>
      </c>
      <c r="AL1144">
        <f t="shared" si="683"/>
        <v>0</v>
      </c>
      <c r="AM1144">
        <f t="shared" si="684"/>
        <v>0</v>
      </c>
      <c r="AN1144">
        <f t="shared" si="685"/>
        <v>0</v>
      </c>
      <c r="AO1144">
        <f t="shared" si="686"/>
        <v>0</v>
      </c>
      <c r="AP1144">
        <f t="shared" si="687"/>
        <v>0</v>
      </c>
      <c r="AQ1144">
        <f t="shared" si="688"/>
        <v>0</v>
      </c>
    </row>
    <row r="1145" spans="6:43" x14ac:dyDescent="0.45">
      <c r="F1145">
        <f t="shared" si="653"/>
        <v>0</v>
      </c>
      <c r="G1145">
        <f t="shared" si="654"/>
        <v>0</v>
      </c>
      <c r="H1145">
        <f t="shared" si="655"/>
        <v>0</v>
      </c>
      <c r="I1145">
        <f t="shared" si="656"/>
        <v>0</v>
      </c>
      <c r="J1145">
        <f t="shared" si="657"/>
        <v>0</v>
      </c>
      <c r="K1145">
        <f t="shared" si="658"/>
        <v>0</v>
      </c>
      <c r="L1145">
        <f t="shared" si="659"/>
        <v>0</v>
      </c>
      <c r="M1145">
        <f t="shared" si="660"/>
        <v>0</v>
      </c>
      <c r="N1145">
        <f t="shared" si="661"/>
        <v>0</v>
      </c>
      <c r="O1145">
        <f t="shared" si="662"/>
        <v>0</v>
      </c>
      <c r="P1145">
        <f t="shared" si="663"/>
        <v>0</v>
      </c>
      <c r="Q1145">
        <f t="shared" si="664"/>
        <v>0</v>
      </c>
      <c r="S1145">
        <f t="shared" si="665"/>
        <v>0</v>
      </c>
      <c r="T1145">
        <f t="shared" si="666"/>
        <v>0</v>
      </c>
      <c r="U1145">
        <f t="shared" si="667"/>
        <v>0</v>
      </c>
      <c r="V1145">
        <f t="shared" si="668"/>
        <v>0</v>
      </c>
      <c r="W1145">
        <f t="shared" si="669"/>
        <v>0</v>
      </c>
      <c r="X1145">
        <f t="shared" si="670"/>
        <v>0</v>
      </c>
      <c r="Y1145">
        <f t="shared" si="671"/>
        <v>0</v>
      </c>
      <c r="Z1145">
        <f t="shared" si="672"/>
        <v>0</v>
      </c>
      <c r="AA1145">
        <f t="shared" si="673"/>
        <v>0</v>
      </c>
      <c r="AB1145">
        <f t="shared" si="674"/>
        <v>0</v>
      </c>
      <c r="AC1145">
        <f t="shared" si="675"/>
        <v>0</v>
      </c>
      <c r="AD1145">
        <f t="shared" si="676"/>
        <v>0</v>
      </c>
      <c r="AF1145">
        <f t="shared" si="677"/>
        <v>0</v>
      </c>
      <c r="AG1145">
        <f t="shared" si="678"/>
        <v>0</v>
      </c>
      <c r="AH1145">
        <f t="shared" si="679"/>
        <v>0</v>
      </c>
      <c r="AI1145">
        <f t="shared" si="680"/>
        <v>0</v>
      </c>
      <c r="AJ1145">
        <f t="shared" si="681"/>
        <v>0</v>
      </c>
      <c r="AK1145">
        <f t="shared" si="682"/>
        <v>0</v>
      </c>
      <c r="AL1145">
        <f t="shared" si="683"/>
        <v>0</v>
      </c>
      <c r="AM1145">
        <f t="shared" si="684"/>
        <v>0</v>
      </c>
      <c r="AN1145">
        <f t="shared" si="685"/>
        <v>0</v>
      </c>
      <c r="AO1145">
        <f t="shared" si="686"/>
        <v>0</v>
      </c>
      <c r="AP1145">
        <f t="shared" si="687"/>
        <v>0</v>
      </c>
      <c r="AQ1145">
        <f t="shared" si="688"/>
        <v>0</v>
      </c>
    </row>
    <row r="1146" spans="6:43" x14ac:dyDescent="0.45">
      <c r="F1146">
        <f t="shared" si="653"/>
        <v>0</v>
      </c>
      <c r="G1146">
        <f t="shared" si="654"/>
        <v>0</v>
      </c>
      <c r="H1146">
        <f t="shared" si="655"/>
        <v>0</v>
      </c>
      <c r="I1146">
        <f t="shared" si="656"/>
        <v>0</v>
      </c>
      <c r="J1146">
        <f t="shared" si="657"/>
        <v>0</v>
      </c>
      <c r="K1146">
        <f t="shared" si="658"/>
        <v>0</v>
      </c>
      <c r="L1146">
        <f t="shared" si="659"/>
        <v>0</v>
      </c>
      <c r="M1146">
        <f t="shared" si="660"/>
        <v>0</v>
      </c>
      <c r="N1146">
        <f t="shared" si="661"/>
        <v>0</v>
      </c>
      <c r="O1146">
        <f t="shared" si="662"/>
        <v>0</v>
      </c>
      <c r="P1146">
        <f t="shared" si="663"/>
        <v>0</v>
      </c>
      <c r="Q1146">
        <f t="shared" si="664"/>
        <v>0</v>
      </c>
      <c r="S1146">
        <f t="shared" si="665"/>
        <v>0</v>
      </c>
      <c r="T1146">
        <f t="shared" si="666"/>
        <v>0</v>
      </c>
      <c r="U1146">
        <f t="shared" si="667"/>
        <v>0</v>
      </c>
      <c r="V1146">
        <f t="shared" si="668"/>
        <v>0</v>
      </c>
      <c r="W1146">
        <f t="shared" si="669"/>
        <v>0</v>
      </c>
      <c r="X1146">
        <f t="shared" si="670"/>
        <v>0</v>
      </c>
      <c r="Y1146">
        <f t="shared" si="671"/>
        <v>0</v>
      </c>
      <c r="Z1146">
        <f t="shared" si="672"/>
        <v>0</v>
      </c>
      <c r="AA1146">
        <f t="shared" si="673"/>
        <v>0</v>
      </c>
      <c r="AB1146">
        <f t="shared" si="674"/>
        <v>0</v>
      </c>
      <c r="AC1146">
        <f t="shared" si="675"/>
        <v>0</v>
      </c>
      <c r="AD1146">
        <f t="shared" si="676"/>
        <v>0</v>
      </c>
      <c r="AF1146">
        <f t="shared" si="677"/>
        <v>0</v>
      </c>
      <c r="AG1146">
        <f t="shared" si="678"/>
        <v>0</v>
      </c>
      <c r="AH1146">
        <f t="shared" si="679"/>
        <v>0</v>
      </c>
      <c r="AI1146">
        <f t="shared" si="680"/>
        <v>0</v>
      </c>
      <c r="AJ1146">
        <f t="shared" si="681"/>
        <v>0</v>
      </c>
      <c r="AK1146">
        <f t="shared" si="682"/>
        <v>0</v>
      </c>
      <c r="AL1146">
        <f t="shared" si="683"/>
        <v>0</v>
      </c>
      <c r="AM1146">
        <f t="shared" si="684"/>
        <v>0</v>
      </c>
      <c r="AN1146">
        <f t="shared" si="685"/>
        <v>0</v>
      </c>
      <c r="AO1146">
        <f t="shared" si="686"/>
        <v>0</v>
      </c>
      <c r="AP1146">
        <f t="shared" si="687"/>
        <v>0</v>
      </c>
      <c r="AQ1146">
        <f t="shared" si="688"/>
        <v>0</v>
      </c>
    </row>
    <row r="1147" spans="6:43" x14ac:dyDescent="0.45">
      <c r="F1147">
        <f t="shared" si="653"/>
        <v>0</v>
      </c>
      <c r="G1147">
        <f t="shared" si="654"/>
        <v>0</v>
      </c>
      <c r="H1147">
        <f t="shared" si="655"/>
        <v>0</v>
      </c>
      <c r="I1147">
        <f t="shared" si="656"/>
        <v>0</v>
      </c>
      <c r="J1147">
        <f t="shared" si="657"/>
        <v>0</v>
      </c>
      <c r="K1147">
        <f t="shared" si="658"/>
        <v>0</v>
      </c>
      <c r="L1147">
        <f t="shared" si="659"/>
        <v>0</v>
      </c>
      <c r="M1147">
        <f t="shared" si="660"/>
        <v>0</v>
      </c>
      <c r="N1147">
        <f t="shared" si="661"/>
        <v>0</v>
      </c>
      <c r="O1147">
        <f t="shared" si="662"/>
        <v>0</v>
      </c>
      <c r="P1147">
        <f t="shared" si="663"/>
        <v>0</v>
      </c>
      <c r="Q1147">
        <f t="shared" si="664"/>
        <v>0</v>
      </c>
      <c r="S1147">
        <f t="shared" si="665"/>
        <v>0</v>
      </c>
      <c r="T1147">
        <f t="shared" si="666"/>
        <v>0</v>
      </c>
      <c r="U1147">
        <f t="shared" si="667"/>
        <v>0</v>
      </c>
      <c r="V1147">
        <f t="shared" si="668"/>
        <v>0</v>
      </c>
      <c r="W1147">
        <f t="shared" si="669"/>
        <v>0</v>
      </c>
      <c r="X1147">
        <f t="shared" si="670"/>
        <v>0</v>
      </c>
      <c r="Y1147">
        <f t="shared" si="671"/>
        <v>0</v>
      </c>
      <c r="Z1147">
        <f t="shared" si="672"/>
        <v>0</v>
      </c>
      <c r="AA1147">
        <f t="shared" si="673"/>
        <v>0</v>
      </c>
      <c r="AB1147">
        <f t="shared" si="674"/>
        <v>0</v>
      </c>
      <c r="AC1147">
        <f t="shared" si="675"/>
        <v>0</v>
      </c>
      <c r="AD1147">
        <f t="shared" si="676"/>
        <v>0</v>
      </c>
      <c r="AF1147">
        <f t="shared" si="677"/>
        <v>0</v>
      </c>
      <c r="AG1147">
        <f t="shared" si="678"/>
        <v>0</v>
      </c>
      <c r="AH1147">
        <f t="shared" si="679"/>
        <v>0</v>
      </c>
      <c r="AI1147">
        <f t="shared" si="680"/>
        <v>0</v>
      </c>
      <c r="AJ1147">
        <f t="shared" si="681"/>
        <v>0</v>
      </c>
      <c r="AK1147">
        <f t="shared" si="682"/>
        <v>0</v>
      </c>
      <c r="AL1147">
        <f t="shared" si="683"/>
        <v>0</v>
      </c>
      <c r="AM1147">
        <f t="shared" si="684"/>
        <v>0</v>
      </c>
      <c r="AN1147">
        <f t="shared" si="685"/>
        <v>0</v>
      </c>
      <c r="AO1147">
        <f t="shared" si="686"/>
        <v>0</v>
      </c>
      <c r="AP1147">
        <f t="shared" si="687"/>
        <v>0</v>
      </c>
      <c r="AQ1147">
        <f t="shared" si="688"/>
        <v>0</v>
      </c>
    </row>
    <row r="1148" spans="6:43" x14ac:dyDescent="0.45">
      <c r="F1148">
        <f t="shared" si="653"/>
        <v>0</v>
      </c>
      <c r="G1148">
        <f t="shared" si="654"/>
        <v>0</v>
      </c>
      <c r="H1148">
        <f t="shared" si="655"/>
        <v>0</v>
      </c>
      <c r="I1148">
        <f t="shared" si="656"/>
        <v>0</v>
      </c>
      <c r="J1148">
        <f t="shared" si="657"/>
        <v>0</v>
      </c>
      <c r="K1148">
        <f t="shared" si="658"/>
        <v>0</v>
      </c>
      <c r="L1148">
        <f t="shared" si="659"/>
        <v>0</v>
      </c>
      <c r="M1148">
        <f t="shared" si="660"/>
        <v>0</v>
      </c>
      <c r="N1148">
        <f t="shared" si="661"/>
        <v>0</v>
      </c>
      <c r="O1148">
        <f t="shared" si="662"/>
        <v>0</v>
      </c>
      <c r="P1148">
        <f t="shared" si="663"/>
        <v>0</v>
      </c>
      <c r="Q1148">
        <f t="shared" si="664"/>
        <v>0</v>
      </c>
      <c r="S1148">
        <f t="shared" si="665"/>
        <v>0</v>
      </c>
      <c r="T1148">
        <f t="shared" si="666"/>
        <v>0</v>
      </c>
      <c r="U1148">
        <f t="shared" si="667"/>
        <v>0</v>
      </c>
      <c r="V1148">
        <f t="shared" si="668"/>
        <v>0</v>
      </c>
      <c r="W1148">
        <f t="shared" si="669"/>
        <v>0</v>
      </c>
      <c r="X1148">
        <f t="shared" si="670"/>
        <v>0</v>
      </c>
      <c r="Y1148">
        <f t="shared" si="671"/>
        <v>0</v>
      </c>
      <c r="Z1148">
        <f t="shared" si="672"/>
        <v>0</v>
      </c>
      <c r="AA1148">
        <f t="shared" si="673"/>
        <v>0</v>
      </c>
      <c r="AB1148">
        <f t="shared" si="674"/>
        <v>0</v>
      </c>
      <c r="AC1148">
        <f t="shared" si="675"/>
        <v>0</v>
      </c>
      <c r="AD1148">
        <f t="shared" si="676"/>
        <v>0</v>
      </c>
      <c r="AF1148">
        <f t="shared" si="677"/>
        <v>0</v>
      </c>
      <c r="AG1148">
        <f t="shared" si="678"/>
        <v>0</v>
      </c>
      <c r="AH1148">
        <f t="shared" si="679"/>
        <v>0</v>
      </c>
      <c r="AI1148">
        <f t="shared" si="680"/>
        <v>0</v>
      </c>
      <c r="AJ1148">
        <f t="shared" si="681"/>
        <v>0</v>
      </c>
      <c r="AK1148">
        <f t="shared" si="682"/>
        <v>0</v>
      </c>
      <c r="AL1148">
        <f t="shared" si="683"/>
        <v>0</v>
      </c>
      <c r="AM1148">
        <f t="shared" si="684"/>
        <v>0</v>
      </c>
      <c r="AN1148">
        <f t="shared" si="685"/>
        <v>0</v>
      </c>
      <c r="AO1148">
        <f t="shared" si="686"/>
        <v>0</v>
      </c>
      <c r="AP1148">
        <f t="shared" si="687"/>
        <v>0</v>
      </c>
      <c r="AQ1148">
        <f t="shared" si="688"/>
        <v>0</v>
      </c>
    </row>
    <row r="1149" spans="6:43" x14ac:dyDescent="0.45">
      <c r="F1149">
        <f t="shared" si="653"/>
        <v>0</v>
      </c>
      <c r="G1149">
        <f t="shared" si="654"/>
        <v>0</v>
      </c>
      <c r="H1149">
        <f t="shared" si="655"/>
        <v>0</v>
      </c>
      <c r="I1149">
        <f t="shared" si="656"/>
        <v>0</v>
      </c>
      <c r="J1149">
        <f t="shared" si="657"/>
        <v>0</v>
      </c>
      <c r="K1149">
        <f t="shared" si="658"/>
        <v>0</v>
      </c>
      <c r="L1149">
        <f t="shared" si="659"/>
        <v>0</v>
      </c>
      <c r="M1149">
        <f t="shared" si="660"/>
        <v>0</v>
      </c>
      <c r="N1149">
        <f t="shared" si="661"/>
        <v>0</v>
      </c>
      <c r="O1149">
        <f t="shared" si="662"/>
        <v>0</v>
      </c>
      <c r="P1149">
        <f t="shared" si="663"/>
        <v>0</v>
      </c>
      <c r="Q1149">
        <f t="shared" si="664"/>
        <v>0</v>
      </c>
      <c r="S1149">
        <f t="shared" si="665"/>
        <v>0</v>
      </c>
      <c r="T1149">
        <f t="shared" si="666"/>
        <v>0</v>
      </c>
      <c r="U1149">
        <f t="shared" si="667"/>
        <v>0</v>
      </c>
      <c r="V1149">
        <f t="shared" si="668"/>
        <v>0</v>
      </c>
      <c r="W1149">
        <f t="shared" si="669"/>
        <v>0</v>
      </c>
      <c r="X1149">
        <f t="shared" si="670"/>
        <v>0</v>
      </c>
      <c r="Y1149">
        <f t="shared" si="671"/>
        <v>0</v>
      </c>
      <c r="Z1149">
        <f t="shared" si="672"/>
        <v>0</v>
      </c>
      <c r="AA1149">
        <f t="shared" si="673"/>
        <v>0</v>
      </c>
      <c r="AB1149">
        <f t="shared" si="674"/>
        <v>0</v>
      </c>
      <c r="AC1149">
        <f t="shared" si="675"/>
        <v>0</v>
      </c>
      <c r="AD1149">
        <f t="shared" si="676"/>
        <v>0</v>
      </c>
      <c r="AF1149">
        <f t="shared" si="677"/>
        <v>0</v>
      </c>
      <c r="AG1149">
        <f t="shared" si="678"/>
        <v>0</v>
      </c>
      <c r="AH1149">
        <f t="shared" si="679"/>
        <v>0</v>
      </c>
      <c r="AI1149">
        <f t="shared" si="680"/>
        <v>0</v>
      </c>
      <c r="AJ1149">
        <f t="shared" si="681"/>
        <v>0</v>
      </c>
      <c r="AK1149">
        <f t="shared" si="682"/>
        <v>0</v>
      </c>
      <c r="AL1149">
        <f t="shared" si="683"/>
        <v>0</v>
      </c>
      <c r="AM1149">
        <f t="shared" si="684"/>
        <v>0</v>
      </c>
      <c r="AN1149">
        <f t="shared" si="685"/>
        <v>0</v>
      </c>
      <c r="AO1149">
        <f t="shared" si="686"/>
        <v>0</v>
      </c>
      <c r="AP1149">
        <f t="shared" si="687"/>
        <v>0</v>
      </c>
      <c r="AQ1149">
        <f t="shared" si="688"/>
        <v>0</v>
      </c>
    </row>
    <row r="1150" spans="6:43" x14ac:dyDescent="0.45">
      <c r="F1150">
        <f t="shared" si="653"/>
        <v>0</v>
      </c>
      <c r="G1150">
        <f t="shared" si="654"/>
        <v>0</v>
      </c>
      <c r="H1150">
        <f t="shared" si="655"/>
        <v>0</v>
      </c>
      <c r="I1150">
        <f t="shared" si="656"/>
        <v>0</v>
      </c>
      <c r="J1150">
        <f t="shared" si="657"/>
        <v>0</v>
      </c>
      <c r="K1150">
        <f t="shared" si="658"/>
        <v>0</v>
      </c>
      <c r="L1150">
        <f t="shared" si="659"/>
        <v>0</v>
      </c>
      <c r="M1150">
        <f t="shared" si="660"/>
        <v>0</v>
      </c>
      <c r="N1150">
        <f t="shared" si="661"/>
        <v>0</v>
      </c>
      <c r="O1150">
        <f t="shared" si="662"/>
        <v>0</v>
      </c>
      <c r="P1150">
        <f t="shared" si="663"/>
        <v>0</v>
      </c>
      <c r="Q1150">
        <f t="shared" si="664"/>
        <v>0</v>
      </c>
      <c r="S1150">
        <f t="shared" si="665"/>
        <v>0</v>
      </c>
      <c r="T1150">
        <f t="shared" si="666"/>
        <v>0</v>
      </c>
      <c r="U1150">
        <f t="shared" si="667"/>
        <v>0</v>
      </c>
      <c r="V1150">
        <f t="shared" si="668"/>
        <v>0</v>
      </c>
      <c r="W1150">
        <f t="shared" si="669"/>
        <v>0</v>
      </c>
      <c r="X1150">
        <f t="shared" si="670"/>
        <v>0</v>
      </c>
      <c r="Y1150">
        <f t="shared" si="671"/>
        <v>0</v>
      </c>
      <c r="Z1150">
        <f t="shared" si="672"/>
        <v>0</v>
      </c>
      <c r="AA1150">
        <f t="shared" si="673"/>
        <v>0</v>
      </c>
      <c r="AB1150">
        <f t="shared" si="674"/>
        <v>0</v>
      </c>
      <c r="AC1150">
        <f t="shared" si="675"/>
        <v>0</v>
      </c>
      <c r="AD1150">
        <f t="shared" si="676"/>
        <v>0</v>
      </c>
      <c r="AF1150">
        <f t="shared" si="677"/>
        <v>0</v>
      </c>
      <c r="AG1150">
        <f t="shared" si="678"/>
        <v>0</v>
      </c>
      <c r="AH1150">
        <f t="shared" si="679"/>
        <v>0</v>
      </c>
      <c r="AI1150">
        <f t="shared" si="680"/>
        <v>0</v>
      </c>
      <c r="AJ1150">
        <f t="shared" si="681"/>
        <v>0</v>
      </c>
      <c r="AK1150">
        <f t="shared" si="682"/>
        <v>0</v>
      </c>
      <c r="AL1150">
        <f t="shared" si="683"/>
        <v>0</v>
      </c>
      <c r="AM1150">
        <f t="shared" si="684"/>
        <v>0</v>
      </c>
      <c r="AN1150">
        <f t="shared" si="685"/>
        <v>0</v>
      </c>
      <c r="AO1150">
        <f t="shared" si="686"/>
        <v>0</v>
      </c>
      <c r="AP1150">
        <f t="shared" si="687"/>
        <v>0</v>
      </c>
      <c r="AQ1150">
        <f t="shared" si="688"/>
        <v>0</v>
      </c>
    </row>
    <row r="1151" spans="6:43" x14ac:dyDescent="0.45">
      <c r="F1151">
        <f t="shared" si="653"/>
        <v>0</v>
      </c>
      <c r="G1151">
        <f t="shared" si="654"/>
        <v>0</v>
      </c>
      <c r="H1151">
        <f t="shared" si="655"/>
        <v>0</v>
      </c>
      <c r="I1151">
        <f t="shared" si="656"/>
        <v>0</v>
      </c>
      <c r="J1151">
        <f t="shared" si="657"/>
        <v>0</v>
      </c>
      <c r="K1151">
        <f t="shared" si="658"/>
        <v>0</v>
      </c>
      <c r="L1151">
        <f t="shared" si="659"/>
        <v>0</v>
      </c>
      <c r="M1151">
        <f t="shared" si="660"/>
        <v>0</v>
      </c>
      <c r="N1151">
        <f t="shared" si="661"/>
        <v>0</v>
      </c>
      <c r="O1151">
        <f t="shared" si="662"/>
        <v>0</v>
      </c>
      <c r="P1151">
        <f t="shared" si="663"/>
        <v>0</v>
      </c>
      <c r="Q1151">
        <f t="shared" si="664"/>
        <v>0</v>
      </c>
      <c r="S1151">
        <f t="shared" si="665"/>
        <v>0</v>
      </c>
      <c r="T1151">
        <f t="shared" si="666"/>
        <v>0</v>
      </c>
      <c r="U1151">
        <f t="shared" si="667"/>
        <v>0</v>
      </c>
      <c r="V1151">
        <f t="shared" si="668"/>
        <v>0</v>
      </c>
      <c r="W1151">
        <f t="shared" si="669"/>
        <v>0</v>
      </c>
      <c r="X1151">
        <f t="shared" si="670"/>
        <v>0</v>
      </c>
      <c r="Y1151">
        <f t="shared" si="671"/>
        <v>0</v>
      </c>
      <c r="Z1151">
        <f t="shared" si="672"/>
        <v>0</v>
      </c>
      <c r="AA1151">
        <f t="shared" si="673"/>
        <v>0</v>
      </c>
      <c r="AB1151">
        <f t="shared" si="674"/>
        <v>0</v>
      </c>
      <c r="AC1151">
        <f t="shared" si="675"/>
        <v>0</v>
      </c>
      <c r="AD1151">
        <f t="shared" si="676"/>
        <v>0</v>
      </c>
      <c r="AF1151">
        <f t="shared" si="677"/>
        <v>0</v>
      </c>
      <c r="AG1151">
        <f t="shared" si="678"/>
        <v>0</v>
      </c>
      <c r="AH1151">
        <f t="shared" si="679"/>
        <v>0</v>
      </c>
      <c r="AI1151">
        <f t="shared" si="680"/>
        <v>0</v>
      </c>
      <c r="AJ1151">
        <f t="shared" si="681"/>
        <v>0</v>
      </c>
      <c r="AK1151">
        <f t="shared" si="682"/>
        <v>0</v>
      </c>
      <c r="AL1151">
        <f t="shared" si="683"/>
        <v>0</v>
      </c>
      <c r="AM1151">
        <f t="shared" si="684"/>
        <v>0</v>
      </c>
      <c r="AN1151">
        <f t="shared" si="685"/>
        <v>0</v>
      </c>
      <c r="AO1151">
        <f t="shared" si="686"/>
        <v>0</v>
      </c>
      <c r="AP1151">
        <f t="shared" si="687"/>
        <v>0</v>
      </c>
      <c r="AQ1151">
        <f t="shared" si="688"/>
        <v>0</v>
      </c>
    </row>
    <row r="1152" spans="6:43" x14ac:dyDescent="0.45">
      <c r="F1152">
        <f t="shared" si="653"/>
        <v>0</v>
      </c>
      <c r="G1152">
        <f t="shared" si="654"/>
        <v>0</v>
      </c>
      <c r="H1152">
        <f t="shared" si="655"/>
        <v>0</v>
      </c>
      <c r="I1152">
        <f t="shared" si="656"/>
        <v>0</v>
      </c>
      <c r="J1152">
        <f t="shared" si="657"/>
        <v>0</v>
      </c>
      <c r="K1152">
        <f t="shared" si="658"/>
        <v>0</v>
      </c>
      <c r="L1152">
        <f t="shared" si="659"/>
        <v>0</v>
      </c>
      <c r="M1152">
        <f t="shared" si="660"/>
        <v>0</v>
      </c>
      <c r="N1152">
        <f t="shared" si="661"/>
        <v>0</v>
      </c>
      <c r="O1152">
        <f t="shared" si="662"/>
        <v>0</v>
      </c>
      <c r="P1152">
        <f t="shared" si="663"/>
        <v>0</v>
      </c>
      <c r="Q1152">
        <f t="shared" si="664"/>
        <v>0</v>
      </c>
      <c r="S1152">
        <f t="shared" si="665"/>
        <v>0</v>
      </c>
      <c r="T1152">
        <f t="shared" si="666"/>
        <v>0</v>
      </c>
      <c r="U1152">
        <f t="shared" si="667"/>
        <v>0</v>
      </c>
      <c r="V1152">
        <f t="shared" si="668"/>
        <v>0</v>
      </c>
      <c r="W1152">
        <f t="shared" si="669"/>
        <v>0</v>
      </c>
      <c r="X1152">
        <f t="shared" si="670"/>
        <v>0</v>
      </c>
      <c r="Y1152">
        <f t="shared" si="671"/>
        <v>0</v>
      </c>
      <c r="Z1152">
        <f t="shared" si="672"/>
        <v>0</v>
      </c>
      <c r="AA1152">
        <f t="shared" si="673"/>
        <v>0</v>
      </c>
      <c r="AB1152">
        <f t="shared" si="674"/>
        <v>0</v>
      </c>
      <c r="AC1152">
        <f t="shared" si="675"/>
        <v>0</v>
      </c>
      <c r="AD1152">
        <f t="shared" si="676"/>
        <v>0</v>
      </c>
      <c r="AF1152">
        <f t="shared" si="677"/>
        <v>0</v>
      </c>
      <c r="AG1152">
        <f t="shared" si="678"/>
        <v>0</v>
      </c>
      <c r="AH1152">
        <f t="shared" si="679"/>
        <v>0</v>
      </c>
      <c r="AI1152">
        <f t="shared" si="680"/>
        <v>0</v>
      </c>
      <c r="AJ1152">
        <f t="shared" si="681"/>
        <v>0</v>
      </c>
      <c r="AK1152">
        <f t="shared" si="682"/>
        <v>0</v>
      </c>
      <c r="AL1152">
        <f t="shared" si="683"/>
        <v>0</v>
      </c>
      <c r="AM1152">
        <f t="shared" si="684"/>
        <v>0</v>
      </c>
      <c r="AN1152">
        <f t="shared" si="685"/>
        <v>0</v>
      </c>
      <c r="AO1152">
        <f t="shared" si="686"/>
        <v>0</v>
      </c>
      <c r="AP1152">
        <f t="shared" si="687"/>
        <v>0</v>
      </c>
      <c r="AQ1152">
        <f t="shared" si="688"/>
        <v>0</v>
      </c>
    </row>
    <row r="1153" spans="6:43" x14ac:dyDescent="0.45">
      <c r="F1153">
        <f t="shared" si="653"/>
        <v>0</v>
      </c>
      <c r="G1153">
        <f t="shared" si="654"/>
        <v>0</v>
      </c>
      <c r="H1153">
        <f t="shared" si="655"/>
        <v>0</v>
      </c>
      <c r="I1153">
        <f t="shared" si="656"/>
        <v>0</v>
      </c>
      <c r="J1153">
        <f t="shared" si="657"/>
        <v>0</v>
      </c>
      <c r="K1153">
        <f t="shared" si="658"/>
        <v>0</v>
      </c>
      <c r="L1153">
        <f t="shared" si="659"/>
        <v>0</v>
      </c>
      <c r="M1153">
        <f t="shared" si="660"/>
        <v>0</v>
      </c>
      <c r="N1153">
        <f t="shared" si="661"/>
        <v>0</v>
      </c>
      <c r="O1153">
        <f t="shared" si="662"/>
        <v>0</v>
      </c>
      <c r="P1153">
        <f t="shared" si="663"/>
        <v>0</v>
      </c>
      <c r="Q1153">
        <f t="shared" si="664"/>
        <v>0</v>
      </c>
      <c r="S1153">
        <f t="shared" si="665"/>
        <v>0</v>
      </c>
      <c r="T1153">
        <f t="shared" si="666"/>
        <v>0</v>
      </c>
      <c r="U1153">
        <f t="shared" si="667"/>
        <v>0</v>
      </c>
      <c r="V1153">
        <f t="shared" si="668"/>
        <v>0</v>
      </c>
      <c r="W1153">
        <f t="shared" si="669"/>
        <v>0</v>
      </c>
      <c r="X1153">
        <f t="shared" si="670"/>
        <v>0</v>
      </c>
      <c r="Y1153">
        <f t="shared" si="671"/>
        <v>0</v>
      </c>
      <c r="Z1153">
        <f t="shared" si="672"/>
        <v>0</v>
      </c>
      <c r="AA1153">
        <f t="shared" si="673"/>
        <v>0</v>
      </c>
      <c r="AB1153">
        <f t="shared" si="674"/>
        <v>0</v>
      </c>
      <c r="AC1153">
        <f t="shared" si="675"/>
        <v>0</v>
      </c>
      <c r="AD1153">
        <f t="shared" si="676"/>
        <v>0</v>
      </c>
      <c r="AF1153">
        <f t="shared" si="677"/>
        <v>0</v>
      </c>
      <c r="AG1153">
        <f t="shared" si="678"/>
        <v>0</v>
      </c>
      <c r="AH1153">
        <f t="shared" si="679"/>
        <v>0</v>
      </c>
      <c r="AI1153">
        <f t="shared" si="680"/>
        <v>0</v>
      </c>
      <c r="AJ1153">
        <f t="shared" si="681"/>
        <v>0</v>
      </c>
      <c r="AK1153">
        <f t="shared" si="682"/>
        <v>0</v>
      </c>
      <c r="AL1153">
        <f t="shared" si="683"/>
        <v>0</v>
      </c>
      <c r="AM1153">
        <f t="shared" si="684"/>
        <v>0</v>
      </c>
      <c r="AN1153">
        <f t="shared" si="685"/>
        <v>0</v>
      </c>
      <c r="AO1153">
        <f t="shared" si="686"/>
        <v>0</v>
      </c>
      <c r="AP1153">
        <f t="shared" si="687"/>
        <v>0</v>
      </c>
      <c r="AQ1153">
        <f t="shared" si="688"/>
        <v>0</v>
      </c>
    </row>
    <row r="1154" spans="6:43" x14ac:dyDescent="0.45">
      <c r="F1154">
        <f t="shared" si="653"/>
        <v>0</v>
      </c>
      <c r="G1154">
        <f t="shared" si="654"/>
        <v>0</v>
      </c>
      <c r="H1154">
        <f t="shared" si="655"/>
        <v>0</v>
      </c>
      <c r="I1154">
        <f t="shared" si="656"/>
        <v>0</v>
      </c>
      <c r="J1154">
        <f t="shared" si="657"/>
        <v>0</v>
      </c>
      <c r="K1154">
        <f t="shared" si="658"/>
        <v>0</v>
      </c>
      <c r="L1154">
        <f t="shared" si="659"/>
        <v>0</v>
      </c>
      <c r="M1154">
        <f t="shared" si="660"/>
        <v>0</v>
      </c>
      <c r="N1154">
        <f t="shared" si="661"/>
        <v>0</v>
      </c>
      <c r="O1154">
        <f t="shared" si="662"/>
        <v>0</v>
      </c>
      <c r="P1154">
        <f t="shared" si="663"/>
        <v>0</v>
      </c>
      <c r="Q1154">
        <f t="shared" si="664"/>
        <v>0</v>
      </c>
      <c r="S1154">
        <f t="shared" si="665"/>
        <v>0</v>
      </c>
      <c r="T1154">
        <f t="shared" si="666"/>
        <v>0</v>
      </c>
      <c r="U1154">
        <f t="shared" si="667"/>
        <v>0</v>
      </c>
      <c r="V1154">
        <f t="shared" si="668"/>
        <v>0</v>
      </c>
      <c r="W1154">
        <f t="shared" si="669"/>
        <v>0</v>
      </c>
      <c r="X1154">
        <f t="shared" si="670"/>
        <v>0</v>
      </c>
      <c r="Y1154">
        <f t="shared" si="671"/>
        <v>0</v>
      </c>
      <c r="Z1154">
        <f t="shared" si="672"/>
        <v>0</v>
      </c>
      <c r="AA1154">
        <f t="shared" si="673"/>
        <v>0</v>
      </c>
      <c r="AB1154">
        <f t="shared" si="674"/>
        <v>0</v>
      </c>
      <c r="AC1154">
        <f t="shared" si="675"/>
        <v>0</v>
      </c>
      <c r="AD1154">
        <f t="shared" si="676"/>
        <v>0</v>
      </c>
      <c r="AF1154">
        <f t="shared" si="677"/>
        <v>0</v>
      </c>
      <c r="AG1154">
        <f t="shared" si="678"/>
        <v>0</v>
      </c>
      <c r="AH1154">
        <f t="shared" si="679"/>
        <v>0</v>
      </c>
      <c r="AI1154">
        <f t="shared" si="680"/>
        <v>0</v>
      </c>
      <c r="AJ1154">
        <f t="shared" si="681"/>
        <v>0</v>
      </c>
      <c r="AK1154">
        <f t="shared" si="682"/>
        <v>0</v>
      </c>
      <c r="AL1154">
        <f t="shared" si="683"/>
        <v>0</v>
      </c>
      <c r="AM1154">
        <f t="shared" si="684"/>
        <v>0</v>
      </c>
      <c r="AN1154">
        <f t="shared" si="685"/>
        <v>0</v>
      </c>
      <c r="AO1154">
        <f t="shared" si="686"/>
        <v>0</v>
      </c>
      <c r="AP1154">
        <f t="shared" si="687"/>
        <v>0</v>
      </c>
      <c r="AQ1154">
        <f t="shared" si="688"/>
        <v>0</v>
      </c>
    </row>
    <row r="1155" spans="6:43" x14ac:dyDescent="0.45">
      <c r="F1155">
        <f t="shared" si="653"/>
        <v>0</v>
      </c>
      <c r="G1155">
        <f t="shared" si="654"/>
        <v>0</v>
      </c>
      <c r="H1155">
        <f t="shared" si="655"/>
        <v>0</v>
      </c>
      <c r="I1155">
        <f t="shared" si="656"/>
        <v>0</v>
      </c>
      <c r="J1155">
        <f t="shared" si="657"/>
        <v>0</v>
      </c>
      <c r="K1155">
        <f t="shared" si="658"/>
        <v>0</v>
      </c>
      <c r="L1155">
        <f t="shared" si="659"/>
        <v>0</v>
      </c>
      <c r="M1155">
        <f t="shared" si="660"/>
        <v>0</v>
      </c>
      <c r="N1155">
        <f t="shared" si="661"/>
        <v>0</v>
      </c>
      <c r="O1155">
        <f t="shared" si="662"/>
        <v>0</v>
      </c>
      <c r="P1155">
        <f t="shared" si="663"/>
        <v>0</v>
      </c>
      <c r="Q1155">
        <f t="shared" si="664"/>
        <v>0</v>
      </c>
      <c r="S1155">
        <f t="shared" si="665"/>
        <v>0</v>
      </c>
      <c r="T1155">
        <f t="shared" si="666"/>
        <v>0</v>
      </c>
      <c r="U1155">
        <f t="shared" si="667"/>
        <v>0</v>
      </c>
      <c r="V1155">
        <f t="shared" si="668"/>
        <v>0</v>
      </c>
      <c r="W1155">
        <f t="shared" si="669"/>
        <v>0</v>
      </c>
      <c r="X1155">
        <f t="shared" si="670"/>
        <v>0</v>
      </c>
      <c r="Y1155">
        <f t="shared" si="671"/>
        <v>0</v>
      </c>
      <c r="Z1155">
        <f t="shared" si="672"/>
        <v>0</v>
      </c>
      <c r="AA1155">
        <f t="shared" si="673"/>
        <v>0</v>
      </c>
      <c r="AB1155">
        <f t="shared" si="674"/>
        <v>0</v>
      </c>
      <c r="AC1155">
        <f t="shared" si="675"/>
        <v>0</v>
      </c>
      <c r="AD1155">
        <f t="shared" si="676"/>
        <v>0</v>
      </c>
      <c r="AF1155">
        <f t="shared" si="677"/>
        <v>0</v>
      </c>
      <c r="AG1155">
        <f t="shared" si="678"/>
        <v>0</v>
      </c>
      <c r="AH1155">
        <f t="shared" si="679"/>
        <v>0</v>
      </c>
      <c r="AI1155">
        <f t="shared" si="680"/>
        <v>0</v>
      </c>
      <c r="AJ1155">
        <f t="shared" si="681"/>
        <v>0</v>
      </c>
      <c r="AK1155">
        <f t="shared" si="682"/>
        <v>0</v>
      </c>
      <c r="AL1155">
        <f t="shared" si="683"/>
        <v>0</v>
      </c>
      <c r="AM1155">
        <f t="shared" si="684"/>
        <v>0</v>
      </c>
      <c r="AN1155">
        <f t="shared" si="685"/>
        <v>0</v>
      </c>
      <c r="AO1155">
        <f t="shared" si="686"/>
        <v>0</v>
      </c>
      <c r="AP1155">
        <f t="shared" si="687"/>
        <v>0</v>
      </c>
      <c r="AQ1155">
        <f t="shared" si="688"/>
        <v>0</v>
      </c>
    </row>
    <row r="1156" spans="6:43" x14ac:dyDescent="0.45">
      <c r="F1156">
        <f t="shared" si="653"/>
        <v>0</v>
      </c>
      <c r="G1156">
        <f t="shared" si="654"/>
        <v>0</v>
      </c>
      <c r="H1156">
        <f t="shared" si="655"/>
        <v>0</v>
      </c>
      <c r="I1156">
        <f t="shared" si="656"/>
        <v>0</v>
      </c>
      <c r="J1156">
        <f t="shared" si="657"/>
        <v>0</v>
      </c>
      <c r="K1156">
        <f t="shared" si="658"/>
        <v>0</v>
      </c>
      <c r="L1156">
        <f t="shared" si="659"/>
        <v>0</v>
      </c>
      <c r="M1156">
        <f t="shared" si="660"/>
        <v>0</v>
      </c>
      <c r="N1156">
        <f t="shared" si="661"/>
        <v>0</v>
      </c>
      <c r="O1156">
        <f t="shared" si="662"/>
        <v>0</v>
      </c>
      <c r="P1156">
        <f t="shared" si="663"/>
        <v>0</v>
      </c>
      <c r="Q1156">
        <f t="shared" si="664"/>
        <v>0</v>
      </c>
      <c r="S1156">
        <f t="shared" si="665"/>
        <v>0</v>
      </c>
      <c r="T1156">
        <f t="shared" si="666"/>
        <v>0</v>
      </c>
      <c r="U1156">
        <f t="shared" si="667"/>
        <v>0</v>
      </c>
      <c r="V1156">
        <f t="shared" si="668"/>
        <v>0</v>
      </c>
      <c r="W1156">
        <f t="shared" si="669"/>
        <v>0</v>
      </c>
      <c r="X1156">
        <f t="shared" si="670"/>
        <v>0</v>
      </c>
      <c r="Y1156">
        <f t="shared" si="671"/>
        <v>0</v>
      </c>
      <c r="Z1156">
        <f t="shared" si="672"/>
        <v>0</v>
      </c>
      <c r="AA1156">
        <f t="shared" si="673"/>
        <v>0</v>
      </c>
      <c r="AB1156">
        <f t="shared" si="674"/>
        <v>0</v>
      </c>
      <c r="AC1156">
        <f t="shared" si="675"/>
        <v>0</v>
      </c>
      <c r="AD1156">
        <f t="shared" si="676"/>
        <v>0</v>
      </c>
      <c r="AF1156">
        <f t="shared" si="677"/>
        <v>0</v>
      </c>
      <c r="AG1156">
        <f t="shared" si="678"/>
        <v>0</v>
      </c>
      <c r="AH1156">
        <f t="shared" si="679"/>
        <v>0</v>
      </c>
      <c r="AI1156">
        <f t="shared" si="680"/>
        <v>0</v>
      </c>
      <c r="AJ1156">
        <f t="shared" si="681"/>
        <v>0</v>
      </c>
      <c r="AK1156">
        <f t="shared" si="682"/>
        <v>0</v>
      </c>
      <c r="AL1156">
        <f t="shared" si="683"/>
        <v>0</v>
      </c>
      <c r="AM1156">
        <f t="shared" si="684"/>
        <v>0</v>
      </c>
      <c r="AN1156">
        <f t="shared" si="685"/>
        <v>0</v>
      </c>
      <c r="AO1156">
        <f t="shared" si="686"/>
        <v>0</v>
      </c>
      <c r="AP1156">
        <f t="shared" si="687"/>
        <v>0</v>
      </c>
      <c r="AQ1156">
        <f t="shared" si="688"/>
        <v>0</v>
      </c>
    </row>
    <row r="1157" spans="6:43" x14ac:dyDescent="0.45">
      <c r="F1157">
        <f t="shared" si="653"/>
        <v>0</v>
      </c>
      <c r="G1157">
        <f t="shared" si="654"/>
        <v>0</v>
      </c>
      <c r="H1157">
        <f t="shared" si="655"/>
        <v>0</v>
      </c>
      <c r="I1157">
        <f t="shared" si="656"/>
        <v>0</v>
      </c>
      <c r="J1157">
        <f t="shared" si="657"/>
        <v>0</v>
      </c>
      <c r="K1157">
        <f t="shared" si="658"/>
        <v>0</v>
      </c>
      <c r="L1157">
        <f t="shared" si="659"/>
        <v>0</v>
      </c>
      <c r="M1157">
        <f t="shared" si="660"/>
        <v>0</v>
      </c>
      <c r="N1157">
        <f t="shared" si="661"/>
        <v>0</v>
      </c>
      <c r="O1157">
        <f t="shared" si="662"/>
        <v>0</v>
      </c>
      <c r="P1157">
        <f t="shared" si="663"/>
        <v>0</v>
      </c>
      <c r="Q1157">
        <f t="shared" si="664"/>
        <v>0</v>
      </c>
      <c r="S1157">
        <f t="shared" si="665"/>
        <v>0</v>
      </c>
      <c r="T1157">
        <f t="shared" si="666"/>
        <v>0</v>
      </c>
      <c r="U1157">
        <f t="shared" si="667"/>
        <v>0</v>
      </c>
      <c r="V1157">
        <f t="shared" si="668"/>
        <v>0</v>
      </c>
      <c r="W1157">
        <f t="shared" si="669"/>
        <v>0</v>
      </c>
      <c r="X1157">
        <f t="shared" si="670"/>
        <v>0</v>
      </c>
      <c r="Y1157">
        <f t="shared" si="671"/>
        <v>0</v>
      </c>
      <c r="Z1157">
        <f t="shared" si="672"/>
        <v>0</v>
      </c>
      <c r="AA1157">
        <f t="shared" si="673"/>
        <v>0</v>
      </c>
      <c r="AB1157">
        <f t="shared" si="674"/>
        <v>0</v>
      </c>
      <c r="AC1157">
        <f t="shared" si="675"/>
        <v>0</v>
      </c>
      <c r="AD1157">
        <f t="shared" si="676"/>
        <v>0</v>
      </c>
      <c r="AF1157">
        <f t="shared" si="677"/>
        <v>0</v>
      </c>
      <c r="AG1157">
        <f t="shared" si="678"/>
        <v>0</v>
      </c>
      <c r="AH1157">
        <f t="shared" si="679"/>
        <v>0</v>
      </c>
      <c r="AI1157">
        <f t="shared" si="680"/>
        <v>0</v>
      </c>
      <c r="AJ1157">
        <f t="shared" si="681"/>
        <v>0</v>
      </c>
      <c r="AK1157">
        <f t="shared" si="682"/>
        <v>0</v>
      </c>
      <c r="AL1157">
        <f t="shared" si="683"/>
        <v>0</v>
      </c>
      <c r="AM1157">
        <f t="shared" si="684"/>
        <v>0</v>
      </c>
      <c r="AN1157">
        <f t="shared" si="685"/>
        <v>0</v>
      </c>
      <c r="AO1157">
        <f t="shared" si="686"/>
        <v>0</v>
      </c>
      <c r="AP1157">
        <f t="shared" si="687"/>
        <v>0</v>
      </c>
      <c r="AQ1157">
        <f t="shared" si="688"/>
        <v>0</v>
      </c>
    </row>
    <row r="1158" spans="6:43" x14ac:dyDescent="0.45">
      <c r="F1158">
        <f t="shared" si="653"/>
        <v>0</v>
      </c>
      <c r="G1158">
        <f t="shared" si="654"/>
        <v>0</v>
      </c>
      <c r="H1158">
        <f t="shared" si="655"/>
        <v>0</v>
      </c>
      <c r="I1158">
        <f t="shared" si="656"/>
        <v>0</v>
      </c>
      <c r="J1158">
        <f t="shared" si="657"/>
        <v>0</v>
      </c>
      <c r="K1158">
        <f t="shared" si="658"/>
        <v>0</v>
      </c>
      <c r="L1158">
        <f t="shared" si="659"/>
        <v>0</v>
      </c>
      <c r="M1158">
        <f t="shared" si="660"/>
        <v>0</v>
      </c>
      <c r="N1158">
        <f t="shared" si="661"/>
        <v>0</v>
      </c>
      <c r="O1158">
        <f t="shared" si="662"/>
        <v>0</v>
      </c>
      <c r="P1158">
        <f t="shared" si="663"/>
        <v>0</v>
      </c>
      <c r="Q1158">
        <f t="shared" si="664"/>
        <v>0</v>
      </c>
      <c r="S1158">
        <f t="shared" si="665"/>
        <v>0</v>
      </c>
      <c r="T1158">
        <f t="shared" si="666"/>
        <v>0</v>
      </c>
      <c r="U1158">
        <f t="shared" si="667"/>
        <v>0</v>
      </c>
      <c r="V1158">
        <f t="shared" si="668"/>
        <v>0</v>
      </c>
      <c r="W1158">
        <f t="shared" si="669"/>
        <v>0</v>
      </c>
      <c r="X1158">
        <f t="shared" si="670"/>
        <v>0</v>
      </c>
      <c r="Y1158">
        <f t="shared" si="671"/>
        <v>0</v>
      </c>
      <c r="Z1158">
        <f t="shared" si="672"/>
        <v>0</v>
      </c>
      <c r="AA1158">
        <f t="shared" si="673"/>
        <v>0</v>
      </c>
      <c r="AB1158">
        <f t="shared" si="674"/>
        <v>0</v>
      </c>
      <c r="AC1158">
        <f t="shared" si="675"/>
        <v>0</v>
      </c>
      <c r="AD1158">
        <f t="shared" si="676"/>
        <v>0</v>
      </c>
      <c r="AF1158">
        <f t="shared" si="677"/>
        <v>0</v>
      </c>
      <c r="AG1158">
        <f t="shared" si="678"/>
        <v>0</v>
      </c>
      <c r="AH1158">
        <f t="shared" si="679"/>
        <v>0</v>
      </c>
      <c r="AI1158">
        <f t="shared" si="680"/>
        <v>0</v>
      </c>
      <c r="AJ1158">
        <f t="shared" si="681"/>
        <v>0</v>
      </c>
      <c r="AK1158">
        <f t="shared" si="682"/>
        <v>0</v>
      </c>
      <c r="AL1158">
        <f t="shared" si="683"/>
        <v>0</v>
      </c>
      <c r="AM1158">
        <f t="shared" si="684"/>
        <v>0</v>
      </c>
      <c r="AN1158">
        <f t="shared" si="685"/>
        <v>0</v>
      </c>
      <c r="AO1158">
        <f t="shared" si="686"/>
        <v>0</v>
      </c>
      <c r="AP1158">
        <f t="shared" si="687"/>
        <v>0</v>
      </c>
      <c r="AQ1158">
        <f t="shared" si="688"/>
        <v>0</v>
      </c>
    </row>
    <row r="1159" spans="6:43" x14ac:dyDescent="0.45">
      <c r="F1159">
        <f t="shared" si="653"/>
        <v>0</v>
      </c>
      <c r="G1159">
        <f t="shared" si="654"/>
        <v>0</v>
      </c>
      <c r="H1159">
        <f t="shared" si="655"/>
        <v>0</v>
      </c>
      <c r="I1159">
        <f t="shared" si="656"/>
        <v>0</v>
      </c>
      <c r="J1159">
        <f t="shared" si="657"/>
        <v>0</v>
      </c>
      <c r="K1159">
        <f t="shared" si="658"/>
        <v>0</v>
      </c>
      <c r="L1159">
        <f t="shared" si="659"/>
        <v>0</v>
      </c>
      <c r="M1159">
        <f t="shared" si="660"/>
        <v>0</v>
      </c>
      <c r="N1159">
        <f t="shared" si="661"/>
        <v>0</v>
      </c>
      <c r="O1159">
        <f t="shared" si="662"/>
        <v>0</v>
      </c>
      <c r="P1159">
        <f t="shared" si="663"/>
        <v>0</v>
      </c>
      <c r="Q1159">
        <f t="shared" si="664"/>
        <v>0</v>
      </c>
      <c r="S1159">
        <f t="shared" si="665"/>
        <v>0</v>
      </c>
      <c r="T1159">
        <f t="shared" si="666"/>
        <v>0</v>
      </c>
      <c r="U1159">
        <f t="shared" si="667"/>
        <v>0</v>
      </c>
      <c r="V1159">
        <f t="shared" si="668"/>
        <v>0</v>
      </c>
      <c r="W1159">
        <f t="shared" si="669"/>
        <v>0</v>
      </c>
      <c r="X1159">
        <f t="shared" si="670"/>
        <v>0</v>
      </c>
      <c r="Y1159">
        <f t="shared" si="671"/>
        <v>0</v>
      </c>
      <c r="Z1159">
        <f t="shared" si="672"/>
        <v>0</v>
      </c>
      <c r="AA1159">
        <f t="shared" si="673"/>
        <v>0</v>
      </c>
      <c r="AB1159">
        <f t="shared" si="674"/>
        <v>0</v>
      </c>
      <c r="AC1159">
        <f t="shared" si="675"/>
        <v>0</v>
      </c>
      <c r="AD1159">
        <f t="shared" si="676"/>
        <v>0</v>
      </c>
      <c r="AF1159">
        <f t="shared" si="677"/>
        <v>0</v>
      </c>
      <c r="AG1159">
        <f t="shared" si="678"/>
        <v>0</v>
      </c>
      <c r="AH1159">
        <f t="shared" si="679"/>
        <v>0</v>
      </c>
      <c r="AI1159">
        <f t="shared" si="680"/>
        <v>0</v>
      </c>
      <c r="AJ1159">
        <f t="shared" si="681"/>
        <v>0</v>
      </c>
      <c r="AK1159">
        <f t="shared" si="682"/>
        <v>0</v>
      </c>
      <c r="AL1159">
        <f t="shared" si="683"/>
        <v>0</v>
      </c>
      <c r="AM1159">
        <f t="shared" si="684"/>
        <v>0</v>
      </c>
      <c r="AN1159">
        <f t="shared" si="685"/>
        <v>0</v>
      </c>
      <c r="AO1159">
        <f t="shared" si="686"/>
        <v>0</v>
      </c>
      <c r="AP1159">
        <f t="shared" si="687"/>
        <v>0</v>
      </c>
      <c r="AQ1159">
        <f t="shared" si="688"/>
        <v>0</v>
      </c>
    </row>
    <row r="1160" spans="6:43" x14ac:dyDescent="0.45">
      <c r="F1160">
        <f t="shared" si="653"/>
        <v>0</v>
      </c>
      <c r="G1160">
        <f t="shared" si="654"/>
        <v>0</v>
      </c>
      <c r="H1160">
        <f t="shared" si="655"/>
        <v>0</v>
      </c>
      <c r="I1160">
        <f t="shared" si="656"/>
        <v>0</v>
      </c>
      <c r="J1160">
        <f t="shared" si="657"/>
        <v>0</v>
      </c>
      <c r="K1160">
        <f t="shared" si="658"/>
        <v>0</v>
      </c>
      <c r="L1160">
        <f t="shared" si="659"/>
        <v>0</v>
      </c>
      <c r="M1160">
        <f t="shared" si="660"/>
        <v>0</v>
      </c>
      <c r="N1160">
        <f t="shared" si="661"/>
        <v>0</v>
      </c>
      <c r="O1160">
        <f t="shared" si="662"/>
        <v>0</v>
      </c>
      <c r="P1160">
        <f t="shared" si="663"/>
        <v>0</v>
      </c>
      <c r="Q1160">
        <f t="shared" si="664"/>
        <v>0</v>
      </c>
      <c r="S1160">
        <f t="shared" si="665"/>
        <v>0</v>
      </c>
      <c r="T1160">
        <f t="shared" si="666"/>
        <v>0</v>
      </c>
      <c r="U1160">
        <f t="shared" si="667"/>
        <v>0</v>
      </c>
      <c r="V1160">
        <f t="shared" si="668"/>
        <v>0</v>
      </c>
      <c r="W1160">
        <f t="shared" si="669"/>
        <v>0</v>
      </c>
      <c r="X1160">
        <f t="shared" si="670"/>
        <v>0</v>
      </c>
      <c r="Y1160">
        <f t="shared" si="671"/>
        <v>0</v>
      </c>
      <c r="Z1160">
        <f t="shared" si="672"/>
        <v>0</v>
      </c>
      <c r="AA1160">
        <f t="shared" si="673"/>
        <v>0</v>
      </c>
      <c r="AB1160">
        <f t="shared" si="674"/>
        <v>0</v>
      </c>
      <c r="AC1160">
        <f t="shared" si="675"/>
        <v>0</v>
      </c>
      <c r="AD1160">
        <f t="shared" si="676"/>
        <v>0</v>
      </c>
      <c r="AF1160">
        <f t="shared" si="677"/>
        <v>0</v>
      </c>
      <c r="AG1160">
        <f t="shared" si="678"/>
        <v>0</v>
      </c>
      <c r="AH1160">
        <f t="shared" si="679"/>
        <v>0</v>
      </c>
      <c r="AI1160">
        <f t="shared" si="680"/>
        <v>0</v>
      </c>
      <c r="AJ1160">
        <f t="shared" si="681"/>
        <v>0</v>
      </c>
      <c r="AK1160">
        <f t="shared" si="682"/>
        <v>0</v>
      </c>
      <c r="AL1160">
        <f t="shared" si="683"/>
        <v>0</v>
      </c>
      <c r="AM1160">
        <f t="shared" si="684"/>
        <v>0</v>
      </c>
      <c r="AN1160">
        <f t="shared" si="685"/>
        <v>0</v>
      </c>
      <c r="AO1160">
        <f t="shared" si="686"/>
        <v>0</v>
      </c>
      <c r="AP1160">
        <f t="shared" si="687"/>
        <v>0</v>
      </c>
      <c r="AQ1160">
        <f t="shared" si="688"/>
        <v>0</v>
      </c>
    </row>
    <row r="1161" spans="6:43" x14ac:dyDescent="0.45">
      <c r="F1161">
        <f t="shared" si="653"/>
        <v>0</v>
      </c>
      <c r="G1161">
        <f t="shared" si="654"/>
        <v>0</v>
      </c>
      <c r="H1161">
        <f t="shared" si="655"/>
        <v>0</v>
      </c>
      <c r="I1161">
        <f t="shared" si="656"/>
        <v>0</v>
      </c>
      <c r="J1161">
        <f t="shared" si="657"/>
        <v>0</v>
      </c>
      <c r="K1161">
        <f t="shared" si="658"/>
        <v>0</v>
      </c>
      <c r="L1161">
        <f t="shared" si="659"/>
        <v>0</v>
      </c>
      <c r="M1161">
        <f t="shared" si="660"/>
        <v>0</v>
      </c>
      <c r="N1161">
        <f t="shared" si="661"/>
        <v>0</v>
      </c>
      <c r="O1161">
        <f t="shared" si="662"/>
        <v>0</v>
      </c>
      <c r="P1161">
        <f t="shared" si="663"/>
        <v>0</v>
      </c>
      <c r="Q1161">
        <f t="shared" si="664"/>
        <v>0</v>
      </c>
      <c r="S1161">
        <f t="shared" si="665"/>
        <v>0</v>
      </c>
      <c r="T1161">
        <f t="shared" si="666"/>
        <v>0</v>
      </c>
      <c r="U1161">
        <f t="shared" si="667"/>
        <v>0</v>
      </c>
      <c r="V1161">
        <f t="shared" si="668"/>
        <v>0</v>
      </c>
      <c r="W1161">
        <f t="shared" si="669"/>
        <v>0</v>
      </c>
      <c r="X1161">
        <f t="shared" si="670"/>
        <v>0</v>
      </c>
      <c r="Y1161">
        <f t="shared" si="671"/>
        <v>0</v>
      </c>
      <c r="Z1161">
        <f t="shared" si="672"/>
        <v>0</v>
      </c>
      <c r="AA1161">
        <f t="shared" si="673"/>
        <v>0</v>
      </c>
      <c r="AB1161">
        <f t="shared" si="674"/>
        <v>0</v>
      </c>
      <c r="AC1161">
        <f t="shared" si="675"/>
        <v>0</v>
      </c>
      <c r="AD1161">
        <f t="shared" si="676"/>
        <v>0</v>
      </c>
      <c r="AF1161">
        <f t="shared" si="677"/>
        <v>0</v>
      </c>
      <c r="AG1161">
        <f t="shared" si="678"/>
        <v>0</v>
      </c>
      <c r="AH1161">
        <f t="shared" si="679"/>
        <v>0</v>
      </c>
      <c r="AI1161">
        <f t="shared" si="680"/>
        <v>0</v>
      </c>
      <c r="AJ1161">
        <f t="shared" si="681"/>
        <v>0</v>
      </c>
      <c r="AK1161">
        <f t="shared" si="682"/>
        <v>0</v>
      </c>
      <c r="AL1161">
        <f t="shared" si="683"/>
        <v>0</v>
      </c>
      <c r="AM1161">
        <f t="shared" si="684"/>
        <v>0</v>
      </c>
      <c r="AN1161">
        <f t="shared" si="685"/>
        <v>0</v>
      </c>
      <c r="AO1161">
        <f t="shared" si="686"/>
        <v>0</v>
      </c>
      <c r="AP1161">
        <f t="shared" si="687"/>
        <v>0</v>
      </c>
      <c r="AQ1161">
        <f t="shared" si="688"/>
        <v>0</v>
      </c>
    </row>
    <row r="1162" spans="6:43" x14ac:dyDescent="0.45">
      <c r="F1162">
        <f t="shared" si="653"/>
        <v>0</v>
      </c>
      <c r="G1162">
        <f t="shared" si="654"/>
        <v>0</v>
      </c>
      <c r="H1162">
        <f t="shared" si="655"/>
        <v>0</v>
      </c>
      <c r="I1162">
        <f t="shared" si="656"/>
        <v>0</v>
      </c>
      <c r="J1162">
        <f t="shared" si="657"/>
        <v>0</v>
      </c>
      <c r="K1162">
        <f t="shared" si="658"/>
        <v>0</v>
      </c>
      <c r="L1162">
        <f t="shared" si="659"/>
        <v>0</v>
      </c>
      <c r="M1162">
        <f t="shared" si="660"/>
        <v>0</v>
      </c>
      <c r="N1162">
        <f t="shared" si="661"/>
        <v>0</v>
      </c>
      <c r="O1162">
        <f t="shared" si="662"/>
        <v>0</v>
      </c>
      <c r="P1162">
        <f t="shared" si="663"/>
        <v>0</v>
      </c>
      <c r="Q1162">
        <f t="shared" si="664"/>
        <v>0</v>
      </c>
      <c r="S1162">
        <f t="shared" si="665"/>
        <v>0</v>
      </c>
      <c r="T1162">
        <f t="shared" si="666"/>
        <v>0</v>
      </c>
      <c r="U1162">
        <f t="shared" si="667"/>
        <v>0</v>
      </c>
      <c r="V1162">
        <f t="shared" si="668"/>
        <v>0</v>
      </c>
      <c r="W1162">
        <f t="shared" si="669"/>
        <v>0</v>
      </c>
      <c r="X1162">
        <f t="shared" si="670"/>
        <v>0</v>
      </c>
      <c r="Y1162">
        <f t="shared" si="671"/>
        <v>0</v>
      </c>
      <c r="Z1162">
        <f t="shared" si="672"/>
        <v>0</v>
      </c>
      <c r="AA1162">
        <f t="shared" si="673"/>
        <v>0</v>
      </c>
      <c r="AB1162">
        <f t="shared" si="674"/>
        <v>0</v>
      </c>
      <c r="AC1162">
        <f t="shared" si="675"/>
        <v>0</v>
      </c>
      <c r="AD1162">
        <f t="shared" si="676"/>
        <v>0</v>
      </c>
      <c r="AF1162">
        <f t="shared" si="677"/>
        <v>0</v>
      </c>
      <c r="AG1162">
        <f t="shared" si="678"/>
        <v>0</v>
      </c>
      <c r="AH1162">
        <f t="shared" si="679"/>
        <v>0</v>
      </c>
      <c r="AI1162">
        <f t="shared" si="680"/>
        <v>0</v>
      </c>
      <c r="AJ1162">
        <f t="shared" si="681"/>
        <v>0</v>
      </c>
      <c r="AK1162">
        <f t="shared" si="682"/>
        <v>0</v>
      </c>
      <c r="AL1162">
        <f t="shared" si="683"/>
        <v>0</v>
      </c>
      <c r="AM1162">
        <f t="shared" si="684"/>
        <v>0</v>
      </c>
      <c r="AN1162">
        <f t="shared" si="685"/>
        <v>0</v>
      </c>
      <c r="AO1162">
        <f t="shared" si="686"/>
        <v>0</v>
      </c>
      <c r="AP1162">
        <f t="shared" si="687"/>
        <v>0</v>
      </c>
      <c r="AQ1162">
        <f t="shared" si="688"/>
        <v>0</v>
      </c>
    </row>
    <row r="1163" spans="6:43" x14ac:dyDescent="0.45">
      <c r="F1163">
        <f t="shared" si="653"/>
        <v>0</v>
      </c>
      <c r="G1163">
        <f t="shared" si="654"/>
        <v>0</v>
      </c>
      <c r="H1163">
        <f t="shared" si="655"/>
        <v>0</v>
      </c>
      <c r="I1163">
        <f t="shared" si="656"/>
        <v>0</v>
      </c>
      <c r="J1163">
        <f t="shared" si="657"/>
        <v>0</v>
      </c>
      <c r="K1163">
        <f t="shared" si="658"/>
        <v>0</v>
      </c>
      <c r="L1163">
        <f t="shared" si="659"/>
        <v>0</v>
      </c>
      <c r="M1163">
        <f t="shared" si="660"/>
        <v>0</v>
      </c>
      <c r="N1163">
        <f t="shared" si="661"/>
        <v>0</v>
      </c>
      <c r="O1163">
        <f t="shared" si="662"/>
        <v>0</v>
      </c>
      <c r="P1163">
        <f t="shared" si="663"/>
        <v>0</v>
      </c>
      <c r="Q1163">
        <f t="shared" si="664"/>
        <v>0</v>
      </c>
      <c r="S1163">
        <f t="shared" si="665"/>
        <v>0</v>
      </c>
      <c r="T1163">
        <f t="shared" si="666"/>
        <v>0</v>
      </c>
      <c r="U1163">
        <f t="shared" si="667"/>
        <v>0</v>
      </c>
      <c r="V1163">
        <f t="shared" si="668"/>
        <v>0</v>
      </c>
      <c r="W1163">
        <f t="shared" si="669"/>
        <v>0</v>
      </c>
      <c r="X1163">
        <f t="shared" si="670"/>
        <v>0</v>
      </c>
      <c r="Y1163">
        <f t="shared" si="671"/>
        <v>0</v>
      </c>
      <c r="Z1163">
        <f t="shared" si="672"/>
        <v>0</v>
      </c>
      <c r="AA1163">
        <f t="shared" si="673"/>
        <v>0</v>
      </c>
      <c r="AB1163">
        <f t="shared" si="674"/>
        <v>0</v>
      </c>
      <c r="AC1163">
        <f t="shared" si="675"/>
        <v>0</v>
      </c>
      <c r="AD1163">
        <f t="shared" si="676"/>
        <v>0</v>
      </c>
      <c r="AF1163">
        <f t="shared" si="677"/>
        <v>0</v>
      </c>
      <c r="AG1163">
        <f t="shared" si="678"/>
        <v>0</v>
      </c>
      <c r="AH1163">
        <f t="shared" si="679"/>
        <v>0</v>
      </c>
      <c r="AI1163">
        <f t="shared" si="680"/>
        <v>0</v>
      </c>
      <c r="AJ1163">
        <f t="shared" si="681"/>
        <v>0</v>
      </c>
      <c r="AK1163">
        <f t="shared" si="682"/>
        <v>0</v>
      </c>
      <c r="AL1163">
        <f t="shared" si="683"/>
        <v>0</v>
      </c>
      <c r="AM1163">
        <f t="shared" si="684"/>
        <v>0</v>
      </c>
      <c r="AN1163">
        <f t="shared" si="685"/>
        <v>0</v>
      </c>
      <c r="AO1163">
        <f t="shared" si="686"/>
        <v>0</v>
      </c>
      <c r="AP1163">
        <f t="shared" si="687"/>
        <v>0</v>
      </c>
      <c r="AQ1163">
        <f t="shared" si="688"/>
        <v>0</v>
      </c>
    </row>
    <row r="1164" spans="6:43" x14ac:dyDescent="0.45">
      <c r="F1164">
        <f t="shared" ref="F1164:F1227" si="689">IF(D1164="SPUR-01",E1164,0)</f>
        <v>0</v>
      </c>
      <c r="G1164">
        <f t="shared" ref="G1164:G1227" si="690">IF(D1164="SPUR-02",E1164,0)</f>
        <v>0</v>
      </c>
      <c r="H1164">
        <f t="shared" ref="H1164:H1227" si="691">IF(D1164="SPUR-03",E1164,0)</f>
        <v>0</v>
      </c>
      <c r="I1164">
        <f t="shared" ref="I1164:I1227" si="692">IF(D1164="SPUR-04",E1164,0)</f>
        <v>0</v>
      </c>
      <c r="J1164">
        <f t="shared" ref="J1164:J1227" si="693">IF(D1164="SPUR-05",E1164,0)</f>
        <v>0</v>
      </c>
      <c r="K1164">
        <f t="shared" ref="K1164:K1227" si="694">IF(D1164="SPUR-06",E1164,0)</f>
        <v>0</v>
      </c>
      <c r="L1164">
        <f t="shared" ref="L1164:L1227" si="695">IF(D1164="SPUR-07",E1164,0)</f>
        <v>0</v>
      </c>
      <c r="M1164">
        <f t="shared" ref="M1164:M1227" si="696">IF(D1164="SPUR-08",E1164,0)</f>
        <v>0</v>
      </c>
      <c r="N1164">
        <f t="shared" ref="N1164:N1227" si="697">IF(D1164="SPUR-09",E1164,0)</f>
        <v>0</v>
      </c>
      <c r="O1164">
        <f t="shared" ref="O1164:O1227" si="698">IF(D1164="SPUR-10",E1164,0)</f>
        <v>0</v>
      </c>
      <c r="P1164">
        <f t="shared" ref="P1164:P1227" si="699">IF(D1164="SPUR-SILO",E1164,0)</f>
        <v>0</v>
      </c>
      <c r="Q1164">
        <f t="shared" ref="Q1164:Q1227" si="700">IF(D1164="SPUR-DB",E1164,0)</f>
        <v>0</v>
      </c>
      <c r="S1164">
        <f t="shared" si="665"/>
        <v>0</v>
      </c>
      <c r="T1164">
        <f t="shared" si="666"/>
        <v>0</v>
      </c>
      <c r="U1164">
        <f t="shared" si="667"/>
        <v>0</v>
      </c>
      <c r="V1164">
        <f t="shared" si="668"/>
        <v>0</v>
      </c>
      <c r="W1164">
        <f t="shared" si="669"/>
        <v>0</v>
      </c>
      <c r="X1164">
        <f t="shared" si="670"/>
        <v>0</v>
      </c>
      <c r="Y1164">
        <f t="shared" si="671"/>
        <v>0</v>
      </c>
      <c r="Z1164">
        <f t="shared" si="672"/>
        <v>0</v>
      </c>
      <c r="AA1164">
        <f t="shared" si="673"/>
        <v>0</v>
      </c>
      <c r="AB1164">
        <f t="shared" si="674"/>
        <v>0</v>
      </c>
      <c r="AC1164">
        <f t="shared" si="675"/>
        <v>0</v>
      </c>
      <c r="AD1164">
        <f t="shared" si="676"/>
        <v>0</v>
      </c>
      <c r="AF1164">
        <f t="shared" si="677"/>
        <v>0</v>
      </c>
      <c r="AG1164">
        <f t="shared" si="678"/>
        <v>0</v>
      </c>
      <c r="AH1164">
        <f t="shared" si="679"/>
        <v>0</v>
      </c>
      <c r="AI1164">
        <f t="shared" si="680"/>
        <v>0</v>
      </c>
      <c r="AJ1164">
        <f t="shared" si="681"/>
        <v>0</v>
      </c>
      <c r="AK1164">
        <f t="shared" si="682"/>
        <v>0</v>
      </c>
      <c r="AL1164">
        <f t="shared" si="683"/>
        <v>0</v>
      </c>
      <c r="AM1164">
        <f t="shared" si="684"/>
        <v>0</v>
      </c>
      <c r="AN1164">
        <f t="shared" si="685"/>
        <v>0</v>
      </c>
      <c r="AO1164">
        <f t="shared" si="686"/>
        <v>0</v>
      </c>
      <c r="AP1164">
        <f t="shared" si="687"/>
        <v>0</v>
      </c>
      <c r="AQ1164">
        <f t="shared" si="688"/>
        <v>0</v>
      </c>
    </row>
    <row r="1165" spans="6:43" x14ac:dyDescent="0.45">
      <c r="F1165">
        <f t="shared" si="689"/>
        <v>0</v>
      </c>
      <c r="G1165">
        <f t="shared" si="690"/>
        <v>0</v>
      </c>
      <c r="H1165">
        <f t="shared" si="691"/>
        <v>0</v>
      </c>
      <c r="I1165">
        <f t="shared" si="692"/>
        <v>0</v>
      </c>
      <c r="J1165">
        <f t="shared" si="693"/>
        <v>0</v>
      </c>
      <c r="K1165">
        <f t="shared" si="694"/>
        <v>0</v>
      </c>
      <c r="L1165">
        <f t="shared" si="695"/>
        <v>0</v>
      </c>
      <c r="M1165">
        <f t="shared" si="696"/>
        <v>0</v>
      </c>
      <c r="N1165">
        <f t="shared" si="697"/>
        <v>0</v>
      </c>
      <c r="O1165">
        <f t="shared" si="698"/>
        <v>0</v>
      </c>
      <c r="P1165">
        <f t="shared" si="699"/>
        <v>0</v>
      </c>
      <c r="Q1165">
        <f t="shared" si="700"/>
        <v>0</v>
      </c>
      <c r="S1165">
        <f t="shared" si="665"/>
        <v>0</v>
      </c>
      <c r="T1165">
        <f t="shared" si="666"/>
        <v>0</v>
      </c>
      <c r="U1165">
        <f t="shared" si="667"/>
        <v>0</v>
      </c>
      <c r="V1165">
        <f t="shared" si="668"/>
        <v>0</v>
      </c>
      <c r="W1165">
        <f t="shared" si="669"/>
        <v>0</v>
      </c>
      <c r="X1165">
        <f t="shared" si="670"/>
        <v>0</v>
      </c>
      <c r="Y1165">
        <f t="shared" si="671"/>
        <v>0</v>
      </c>
      <c r="Z1165">
        <f t="shared" si="672"/>
        <v>0</v>
      </c>
      <c r="AA1165">
        <f t="shared" si="673"/>
        <v>0</v>
      </c>
      <c r="AB1165">
        <f t="shared" si="674"/>
        <v>0</v>
      </c>
      <c r="AC1165">
        <f t="shared" si="675"/>
        <v>0</v>
      </c>
      <c r="AD1165">
        <f t="shared" si="676"/>
        <v>0</v>
      </c>
      <c r="AF1165">
        <f t="shared" si="677"/>
        <v>0</v>
      </c>
      <c r="AG1165">
        <f t="shared" si="678"/>
        <v>0</v>
      </c>
      <c r="AH1165">
        <f t="shared" si="679"/>
        <v>0</v>
      </c>
      <c r="AI1165">
        <f t="shared" si="680"/>
        <v>0</v>
      </c>
      <c r="AJ1165">
        <f t="shared" si="681"/>
        <v>0</v>
      </c>
      <c r="AK1165">
        <f t="shared" si="682"/>
        <v>0</v>
      </c>
      <c r="AL1165">
        <f t="shared" si="683"/>
        <v>0</v>
      </c>
      <c r="AM1165">
        <f t="shared" si="684"/>
        <v>0</v>
      </c>
      <c r="AN1165">
        <f t="shared" si="685"/>
        <v>0</v>
      </c>
      <c r="AO1165">
        <f t="shared" si="686"/>
        <v>0</v>
      </c>
      <c r="AP1165">
        <f t="shared" si="687"/>
        <v>0</v>
      </c>
      <c r="AQ1165">
        <f t="shared" si="688"/>
        <v>0</v>
      </c>
    </row>
    <row r="1166" spans="6:43" x14ac:dyDescent="0.45">
      <c r="F1166">
        <f t="shared" si="689"/>
        <v>0</v>
      </c>
      <c r="G1166">
        <f t="shared" si="690"/>
        <v>0</v>
      </c>
      <c r="H1166">
        <f t="shared" si="691"/>
        <v>0</v>
      </c>
      <c r="I1166">
        <f t="shared" si="692"/>
        <v>0</v>
      </c>
      <c r="J1166">
        <f t="shared" si="693"/>
        <v>0</v>
      </c>
      <c r="K1166">
        <f t="shared" si="694"/>
        <v>0</v>
      </c>
      <c r="L1166">
        <f t="shared" si="695"/>
        <v>0</v>
      </c>
      <c r="M1166">
        <f t="shared" si="696"/>
        <v>0</v>
      </c>
      <c r="N1166">
        <f t="shared" si="697"/>
        <v>0</v>
      </c>
      <c r="O1166">
        <f t="shared" si="698"/>
        <v>0</v>
      </c>
      <c r="P1166">
        <f t="shared" si="699"/>
        <v>0</v>
      </c>
      <c r="Q1166">
        <f t="shared" si="700"/>
        <v>0</v>
      </c>
      <c r="S1166">
        <f t="shared" si="665"/>
        <v>0</v>
      </c>
      <c r="T1166">
        <f t="shared" si="666"/>
        <v>0</v>
      </c>
      <c r="U1166">
        <f t="shared" si="667"/>
        <v>0</v>
      </c>
      <c r="V1166">
        <f t="shared" si="668"/>
        <v>0</v>
      </c>
      <c r="W1166">
        <f t="shared" si="669"/>
        <v>0</v>
      </c>
      <c r="X1166">
        <f t="shared" si="670"/>
        <v>0</v>
      </c>
      <c r="Y1166">
        <f t="shared" si="671"/>
        <v>0</v>
      </c>
      <c r="Z1166">
        <f t="shared" si="672"/>
        <v>0</v>
      </c>
      <c r="AA1166">
        <f t="shared" si="673"/>
        <v>0</v>
      </c>
      <c r="AB1166">
        <f t="shared" si="674"/>
        <v>0</v>
      </c>
      <c r="AC1166">
        <f t="shared" si="675"/>
        <v>0</v>
      </c>
      <c r="AD1166">
        <f t="shared" si="676"/>
        <v>0</v>
      </c>
      <c r="AF1166">
        <f t="shared" si="677"/>
        <v>0</v>
      </c>
      <c r="AG1166">
        <f t="shared" si="678"/>
        <v>0</v>
      </c>
      <c r="AH1166">
        <f t="shared" si="679"/>
        <v>0</v>
      </c>
      <c r="AI1166">
        <f t="shared" si="680"/>
        <v>0</v>
      </c>
      <c r="AJ1166">
        <f t="shared" si="681"/>
        <v>0</v>
      </c>
      <c r="AK1166">
        <f t="shared" si="682"/>
        <v>0</v>
      </c>
      <c r="AL1166">
        <f t="shared" si="683"/>
        <v>0</v>
      </c>
      <c r="AM1166">
        <f t="shared" si="684"/>
        <v>0</v>
      </c>
      <c r="AN1166">
        <f t="shared" si="685"/>
        <v>0</v>
      </c>
      <c r="AO1166">
        <f t="shared" si="686"/>
        <v>0</v>
      </c>
      <c r="AP1166">
        <f t="shared" si="687"/>
        <v>0</v>
      </c>
      <c r="AQ1166">
        <f t="shared" si="688"/>
        <v>0</v>
      </c>
    </row>
    <row r="1167" spans="6:43" x14ac:dyDescent="0.45">
      <c r="F1167">
        <f t="shared" si="689"/>
        <v>0</v>
      </c>
      <c r="G1167">
        <f t="shared" si="690"/>
        <v>0</v>
      </c>
      <c r="H1167">
        <f t="shared" si="691"/>
        <v>0</v>
      </c>
      <c r="I1167">
        <f t="shared" si="692"/>
        <v>0</v>
      </c>
      <c r="J1167">
        <f t="shared" si="693"/>
        <v>0</v>
      </c>
      <c r="K1167">
        <f t="shared" si="694"/>
        <v>0</v>
      </c>
      <c r="L1167">
        <f t="shared" si="695"/>
        <v>0</v>
      </c>
      <c r="M1167">
        <f t="shared" si="696"/>
        <v>0</v>
      </c>
      <c r="N1167">
        <f t="shared" si="697"/>
        <v>0</v>
      </c>
      <c r="O1167">
        <f t="shared" si="698"/>
        <v>0</v>
      </c>
      <c r="P1167">
        <f t="shared" si="699"/>
        <v>0</v>
      </c>
      <c r="Q1167">
        <f t="shared" si="700"/>
        <v>0</v>
      </c>
      <c r="S1167">
        <f t="shared" si="665"/>
        <v>0</v>
      </c>
      <c r="T1167">
        <f t="shared" si="666"/>
        <v>0</v>
      </c>
      <c r="U1167">
        <f t="shared" si="667"/>
        <v>0</v>
      </c>
      <c r="V1167">
        <f t="shared" si="668"/>
        <v>0</v>
      </c>
      <c r="W1167">
        <f t="shared" si="669"/>
        <v>0</v>
      </c>
      <c r="X1167">
        <f t="shared" si="670"/>
        <v>0</v>
      </c>
      <c r="Y1167">
        <f t="shared" si="671"/>
        <v>0</v>
      </c>
      <c r="Z1167">
        <f t="shared" si="672"/>
        <v>0</v>
      </c>
      <c r="AA1167">
        <f t="shared" si="673"/>
        <v>0</v>
      </c>
      <c r="AB1167">
        <f t="shared" si="674"/>
        <v>0</v>
      </c>
      <c r="AC1167">
        <f t="shared" si="675"/>
        <v>0</v>
      </c>
      <c r="AD1167">
        <f t="shared" si="676"/>
        <v>0</v>
      </c>
      <c r="AF1167">
        <f t="shared" si="677"/>
        <v>0</v>
      </c>
      <c r="AG1167">
        <f t="shared" si="678"/>
        <v>0</v>
      </c>
      <c r="AH1167">
        <f t="shared" si="679"/>
        <v>0</v>
      </c>
      <c r="AI1167">
        <f t="shared" si="680"/>
        <v>0</v>
      </c>
      <c r="AJ1167">
        <f t="shared" si="681"/>
        <v>0</v>
      </c>
      <c r="AK1167">
        <f t="shared" si="682"/>
        <v>0</v>
      </c>
      <c r="AL1167">
        <f t="shared" si="683"/>
        <v>0</v>
      </c>
      <c r="AM1167">
        <f t="shared" si="684"/>
        <v>0</v>
      </c>
      <c r="AN1167">
        <f t="shared" si="685"/>
        <v>0</v>
      </c>
      <c r="AO1167">
        <f t="shared" si="686"/>
        <v>0</v>
      </c>
      <c r="AP1167">
        <f t="shared" si="687"/>
        <v>0</v>
      </c>
      <c r="AQ1167">
        <f t="shared" si="688"/>
        <v>0</v>
      </c>
    </row>
    <row r="1168" spans="6:43" x14ac:dyDescent="0.45">
      <c r="F1168">
        <f t="shared" si="689"/>
        <v>0</v>
      </c>
      <c r="G1168">
        <f t="shared" si="690"/>
        <v>0</v>
      </c>
      <c r="H1168">
        <f t="shared" si="691"/>
        <v>0</v>
      </c>
      <c r="I1168">
        <f t="shared" si="692"/>
        <v>0</v>
      </c>
      <c r="J1168">
        <f t="shared" si="693"/>
        <v>0</v>
      </c>
      <c r="K1168">
        <f t="shared" si="694"/>
        <v>0</v>
      </c>
      <c r="L1168">
        <f t="shared" si="695"/>
        <v>0</v>
      </c>
      <c r="M1168">
        <f t="shared" si="696"/>
        <v>0</v>
      </c>
      <c r="N1168">
        <f t="shared" si="697"/>
        <v>0</v>
      </c>
      <c r="O1168">
        <f t="shared" si="698"/>
        <v>0</v>
      </c>
      <c r="P1168">
        <f t="shared" si="699"/>
        <v>0</v>
      </c>
      <c r="Q1168">
        <f t="shared" si="700"/>
        <v>0</v>
      </c>
      <c r="S1168">
        <f t="shared" si="665"/>
        <v>0</v>
      </c>
      <c r="T1168">
        <f t="shared" si="666"/>
        <v>0</v>
      </c>
      <c r="U1168">
        <f t="shared" si="667"/>
        <v>0</v>
      </c>
      <c r="V1168">
        <f t="shared" si="668"/>
        <v>0</v>
      </c>
      <c r="W1168">
        <f t="shared" si="669"/>
        <v>0</v>
      </c>
      <c r="X1168">
        <f t="shared" si="670"/>
        <v>0</v>
      </c>
      <c r="Y1168">
        <f t="shared" si="671"/>
        <v>0</v>
      </c>
      <c r="Z1168">
        <f t="shared" si="672"/>
        <v>0</v>
      </c>
      <c r="AA1168">
        <f t="shared" si="673"/>
        <v>0</v>
      </c>
      <c r="AB1168">
        <f t="shared" si="674"/>
        <v>0</v>
      </c>
      <c r="AC1168">
        <f t="shared" si="675"/>
        <v>0</v>
      </c>
      <c r="AD1168">
        <f t="shared" si="676"/>
        <v>0</v>
      </c>
      <c r="AF1168">
        <f t="shared" si="677"/>
        <v>0</v>
      </c>
      <c r="AG1168">
        <f t="shared" si="678"/>
        <v>0</v>
      </c>
      <c r="AH1168">
        <f t="shared" si="679"/>
        <v>0</v>
      </c>
      <c r="AI1168">
        <f t="shared" si="680"/>
        <v>0</v>
      </c>
      <c r="AJ1168">
        <f t="shared" si="681"/>
        <v>0</v>
      </c>
      <c r="AK1168">
        <f t="shared" si="682"/>
        <v>0</v>
      </c>
      <c r="AL1168">
        <f t="shared" si="683"/>
        <v>0</v>
      </c>
      <c r="AM1168">
        <f t="shared" si="684"/>
        <v>0</v>
      </c>
      <c r="AN1168">
        <f t="shared" si="685"/>
        <v>0</v>
      </c>
      <c r="AO1168">
        <f t="shared" si="686"/>
        <v>0</v>
      </c>
      <c r="AP1168">
        <f t="shared" si="687"/>
        <v>0</v>
      </c>
      <c r="AQ1168">
        <f t="shared" si="688"/>
        <v>0</v>
      </c>
    </row>
    <row r="1169" spans="6:43" x14ac:dyDescent="0.45">
      <c r="F1169">
        <f t="shared" si="689"/>
        <v>0</v>
      </c>
      <c r="G1169">
        <f t="shared" si="690"/>
        <v>0</v>
      </c>
      <c r="H1169">
        <f t="shared" si="691"/>
        <v>0</v>
      </c>
      <c r="I1169">
        <f t="shared" si="692"/>
        <v>0</v>
      </c>
      <c r="J1169">
        <f t="shared" si="693"/>
        <v>0</v>
      </c>
      <c r="K1169">
        <f t="shared" si="694"/>
        <v>0</v>
      </c>
      <c r="L1169">
        <f t="shared" si="695"/>
        <v>0</v>
      </c>
      <c r="M1169">
        <f t="shared" si="696"/>
        <v>0</v>
      </c>
      <c r="N1169">
        <f t="shared" si="697"/>
        <v>0</v>
      </c>
      <c r="O1169">
        <f t="shared" si="698"/>
        <v>0</v>
      </c>
      <c r="P1169">
        <f t="shared" si="699"/>
        <v>0</v>
      </c>
      <c r="Q1169">
        <f t="shared" si="700"/>
        <v>0</v>
      </c>
      <c r="S1169">
        <f t="shared" si="665"/>
        <v>0</v>
      </c>
      <c r="T1169">
        <f t="shared" si="666"/>
        <v>0</v>
      </c>
      <c r="U1169">
        <f t="shared" si="667"/>
        <v>0</v>
      </c>
      <c r="V1169">
        <f t="shared" si="668"/>
        <v>0</v>
      </c>
      <c r="W1169">
        <f t="shared" si="669"/>
        <v>0</v>
      </c>
      <c r="X1169">
        <f t="shared" si="670"/>
        <v>0</v>
      </c>
      <c r="Y1169">
        <f t="shared" si="671"/>
        <v>0</v>
      </c>
      <c r="Z1169">
        <f t="shared" si="672"/>
        <v>0</v>
      </c>
      <c r="AA1169">
        <f t="shared" si="673"/>
        <v>0</v>
      </c>
      <c r="AB1169">
        <f t="shared" si="674"/>
        <v>0</v>
      </c>
      <c r="AC1169">
        <f t="shared" si="675"/>
        <v>0</v>
      </c>
      <c r="AD1169">
        <f t="shared" si="676"/>
        <v>0</v>
      </c>
      <c r="AF1169">
        <f t="shared" si="677"/>
        <v>0</v>
      </c>
      <c r="AG1169">
        <f t="shared" si="678"/>
        <v>0</v>
      </c>
      <c r="AH1169">
        <f t="shared" si="679"/>
        <v>0</v>
      </c>
      <c r="AI1169">
        <f t="shared" si="680"/>
        <v>0</v>
      </c>
      <c r="AJ1169">
        <f t="shared" si="681"/>
        <v>0</v>
      </c>
      <c r="AK1169">
        <f t="shared" si="682"/>
        <v>0</v>
      </c>
      <c r="AL1169">
        <f t="shared" si="683"/>
        <v>0</v>
      </c>
      <c r="AM1169">
        <f t="shared" si="684"/>
        <v>0</v>
      </c>
      <c r="AN1169">
        <f t="shared" si="685"/>
        <v>0</v>
      </c>
      <c r="AO1169">
        <f t="shared" si="686"/>
        <v>0</v>
      </c>
      <c r="AP1169">
        <f t="shared" si="687"/>
        <v>0</v>
      </c>
      <c r="AQ1169">
        <f t="shared" si="688"/>
        <v>0</v>
      </c>
    </row>
    <row r="1170" spans="6:43" x14ac:dyDescent="0.45">
      <c r="F1170">
        <f t="shared" si="689"/>
        <v>0</v>
      </c>
      <c r="G1170">
        <f t="shared" si="690"/>
        <v>0</v>
      </c>
      <c r="H1170">
        <f t="shared" si="691"/>
        <v>0</v>
      </c>
      <c r="I1170">
        <f t="shared" si="692"/>
        <v>0</v>
      </c>
      <c r="J1170">
        <f t="shared" si="693"/>
        <v>0</v>
      </c>
      <c r="K1170">
        <f t="shared" si="694"/>
        <v>0</v>
      </c>
      <c r="L1170">
        <f t="shared" si="695"/>
        <v>0</v>
      </c>
      <c r="M1170">
        <f t="shared" si="696"/>
        <v>0</v>
      </c>
      <c r="N1170">
        <f t="shared" si="697"/>
        <v>0</v>
      </c>
      <c r="O1170">
        <f t="shared" si="698"/>
        <v>0</v>
      </c>
      <c r="P1170">
        <f t="shared" si="699"/>
        <v>0</v>
      </c>
      <c r="Q1170">
        <f t="shared" si="700"/>
        <v>0</v>
      </c>
      <c r="S1170">
        <f t="shared" si="665"/>
        <v>0</v>
      </c>
      <c r="T1170">
        <f t="shared" si="666"/>
        <v>0</v>
      </c>
      <c r="U1170">
        <f t="shared" si="667"/>
        <v>0</v>
      </c>
      <c r="V1170">
        <f t="shared" si="668"/>
        <v>0</v>
      </c>
      <c r="W1170">
        <f t="shared" si="669"/>
        <v>0</v>
      </c>
      <c r="X1170">
        <f t="shared" si="670"/>
        <v>0</v>
      </c>
      <c r="Y1170">
        <f t="shared" si="671"/>
        <v>0</v>
      </c>
      <c r="Z1170">
        <f t="shared" si="672"/>
        <v>0</v>
      </c>
      <c r="AA1170">
        <f t="shared" si="673"/>
        <v>0</v>
      </c>
      <c r="AB1170">
        <f t="shared" si="674"/>
        <v>0</v>
      </c>
      <c r="AC1170">
        <f t="shared" si="675"/>
        <v>0</v>
      </c>
      <c r="AD1170">
        <f t="shared" si="676"/>
        <v>0</v>
      </c>
      <c r="AF1170">
        <f t="shared" si="677"/>
        <v>0</v>
      </c>
      <c r="AG1170">
        <f t="shared" si="678"/>
        <v>0</v>
      </c>
      <c r="AH1170">
        <f t="shared" si="679"/>
        <v>0</v>
      </c>
      <c r="AI1170">
        <f t="shared" si="680"/>
        <v>0</v>
      </c>
      <c r="AJ1170">
        <f t="shared" si="681"/>
        <v>0</v>
      </c>
      <c r="AK1170">
        <f t="shared" si="682"/>
        <v>0</v>
      </c>
      <c r="AL1170">
        <f t="shared" si="683"/>
        <v>0</v>
      </c>
      <c r="AM1170">
        <f t="shared" si="684"/>
        <v>0</v>
      </c>
      <c r="AN1170">
        <f t="shared" si="685"/>
        <v>0</v>
      </c>
      <c r="AO1170">
        <f t="shared" si="686"/>
        <v>0</v>
      </c>
      <c r="AP1170">
        <f t="shared" si="687"/>
        <v>0</v>
      </c>
      <c r="AQ1170">
        <f t="shared" si="688"/>
        <v>0</v>
      </c>
    </row>
    <row r="1171" spans="6:43" x14ac:dyDescent="0.45">
      <c r="F1171">
        <f t="shared" si="689"/>
        <v>0</v>
      </c>
      <c r="G1171">
        <f t="shared" si="690"/>
        <v>0</v>
      </c>
      <c r="H1171">
        <f t="shared" si="691"/>
        <v>0</v>
      </c>
      <c r="I1171">
        <f t="shared" si="692"/>
        <v>0</v>
      </c>
      <c r="J1171">
        <f t="shared" si="693"/>
        <v>0</v>
      </c>
      <c r="K1171">
        <f t="shared" si="694"/>
        <v>0</v>
      </c>
      <c r="L1171">
        <f t="shared" si="695"/>
        <v>0</v>
      </c>
      <c r="M1171">
        <f t="shared" si="696"/>
        <v>0</v>
      </c>
      <c r="N1171">
        <f t="shared" si="697"/>
        <v>0</v>
      </c>
      <c r="O1171">
        <f t="shared" si="698"/>
        <v>0</v>
      </c>
      <c r="P1171">
        <f t="shared" si="699"/>
        <v>0</v>
      </c>
      <c r="Q1171">
        <f t="shared" si="700"/>
        <v>0</v>
      </c>
      <c r="S1171">
        <f t="shared" si="665"/>
        <v>0</v>
      </c>
      <c r="T1171">
        <f t="shared" si="666"/>
        <v>0</v>
      </c>
      <c r="U1171">
        <f t="shared" si="667"/>
        <v>0</v>
      </c>
      <c r="V1171">
        <f t="shared" si="668"/>
        <v>0</v>
      </c>
      <c r="W1171">
        <f t="shared" si="669"/>
        <v>0</v>
      </c>
      <c r="X1171">
        <f t="shared" si="670"/>
        <v>0</v>
      </c>
      <c r="Y1171">
        <f t="shared" si="671"/>
        <v>0</v>
      </c>
      <c r="Z1171">
        <f t="shared" si="672"/>
        <v>0</v>
      </c>
      <c r="AA1171">
        <f t="shared" si="673"/>
        <v>0</v>
      </c>
      <c r="AB1171">
        <f t="shared" si="674"/>
        <v>0</v>
      </c>
      <c r="AC1171">
        <f t="shared" si="675"/>
        <v>0</v>
      </c>
      <c r="AD1171">
        <f t="shared" si="676"/>
        <v>0</v>
      </c>
      <c r="AF1171">
        <f t="shared" si="677"/>
        <v>0</v>
      </c>
      <c r="AG1171">
        <f t="shared" si="678"/>
        <v>0</v>
      </c>
      <c r="AH1171">
        <f t="shared" si="679"/>
        <v>0</v>
      </c>
      <c r="AI1171">
        <f t="shared" si="680"/>
        <v>0</v>
      </c>
      <c r="AJ1171">
        <f t="shared" si="681"/>
        <v>0</v>
      </c>
      <c r="AK1171">
        <f t="shared" si="682"/>
        <v>0</v>
      </c>
      <c r="AL1171">
        <f t="shared" si="683"/>
        <v>0</v>
      </c>
      <c r="AM1171">
        <f t="shared" si="684"/>
        <v>0</v>
      </c>
      <c r="AN1171">
        <f t="shared" si="685"/>
        <v>0</v>
      </c>
      <c r="AO1171">
        <f t="shared" si="686"/>
        <v>0</v>
      </c>
      <c r="AP1171">
        <f t="shared" si="687"/>
        <v>0</v>
      </c>
      <c r="AQ1171">
        <f t="shared" si="688"/>
        <v>0</v>
      </c>
    </row>
    <row r="1172" spans="6:43" x14ac:dyDescent="0.45">
      <c r="F1172">
        <f t="shared" si="689"/>
        <v>0</v>
      </c>
      <c r="G1172">
        <f t="shared" si="690"/>
        <v>0</v>
      </c>
      <c r="H1172">
        <f t="shared" si="691"/>
        <v>0</v>
      </c>
      <c r="I1172">
        <f t="shared" si="692"/>
        <v>0</v>
      </c>
      <c r="J1172">
        <f t="shared" si="693"/>
        <v>0</v>
      </c>
      <c r="K1172">
        <f t="shared" si="694"/>
        <v>0</v>
      </c>
      <c r="L1172">
        <f t="shared" si="695"/>
        <v>0</v>
      </c>
      <c r="M1172">
        <f t="shared" si="696"/>
        <v>0</v>
      </c>
      <c r="N1172">
        <f t="shared" si="697"/>
        <v>0</v>
      </c>
      <c r="O1172">
        <f t="shared" si="698"/>
        <v>0</v>
      </c>
      <c r="P1172">
        <f t="shared" si="699"/>
        <v>0</v>
      </c>
      <c r="Q1172">
        <f t="shared" si="700"/>
        <v>0</v>
      </c>
      <c r="S1172">
        <f t="shared" si="665"/>
        <v>0</v>
      </c>
      <c r="T1172">
        <f t="shared" si="666"/>
        <v>0</v>
      </c>
      <c r="U1172">
        <f t="shared" si="667"/>
        <v>0</v>
      </c>
      <c r="V1172">
        <f t="shared" si="668"/>
        <v>0</v>
      </c>
      <c r="W1172">
        <f t="shared" si="669"/>
        <v>0</v>
      </c>
      <c r="X1172">
        <f t="shared" si="670"/>
        <v>0</v>
      </c>
      <c r="Y1172">
        <f t="shared" si="671"/>
        <v>0</v>
      </c>
      <c r="Z1172">
        <f t="shared" si="672"/>
        <v>0</v>
      </c>
      <c r="AA1172">
        <f t="shared" si="673"/>
        <v>0</v>
      </c>
      <c r="AB1172">
        <f t="shared" si="674"/>
        <v>0</v>
      </c>
      <c r="AC1172">
        <f t="shared" si="675"/>
        <v>0</v>
      </c>
      <c r="AD1172">
        <f t="shared" si="676"/>
        <v>0</v>
      </c>
      <c r="AF1172">
        <f t="shared" si="677"/>
        <v>0</v>
      </c>
      <c r="AG1172">
        <f t="shared" si="678"/>
        <v>0</v>
      </c>
      <c r="AH1172">
        <f t="shared" si="679"/>
        <v>0</v>
      </c>
      <c r="AI1172">
        <f t="shared" si="680"/>
        <v>0</v>
      </c>
      <c r="AJ1172">
        <f t="shared" si="681"/>
        <v>0</v>
      </c>
      <c r="AK1172">
        <f t="shared" si="682"/>
        <v>0</v>
      </c>
      <c r="AL1172">
        <f t="shared" si="683"/>
        <v>0</v>
      </c>
      <c r="AM1172">
        <f t="shared" si="684"/>
        <v>0</v>
      </c>
      <c r="AN1172">
        <f t="shared" si="685"/>
        <v>0</v>
      </c>
      <c r="AO1172">
        <f t="shared" si="686"/>
        <v>0</v>
      </c>
      <c r="AP1172">
        <f t="shared" si="687"/>
        <v>0</v>
      </c>
      <c r="AQ1172">
        <f t="shared" si="688"/>
        <v>0</v>
      </c>
    </row>
    <row r="1173" spans="6:43" x14ac:dyDescent="0.45">
      <c r="F1173">
        <f t="shared" si="689"/>
        <v>0</v>
      </c>
      <c r="G1173">
        <f t="shared" si="690"/>
        <v>0</v>
      </c>
      <c r="H1173">
        <f t="shared" si="691"/>
        <v>0</v>
      </c>
      <c r="I1173">
        <f t="shared" si="692"/>
        <v>0</v>
      </c>
      <c r="J1173">
        <f t="shared" si="693"/>
        <v>0</v>
      </c>
      <c r="K1173">
        <f t="shared" si="694"/>
        <v>0</v>
      </c>
      <c r="L1173">
        <f t="shared" si="695"/>
        <v>0</v>
      </c>
      <c r="M1173">
        <f t="shared" si="696"/>
        <v>0</v>
      </c>
      <c r="N1173">
        <f t="shared" si="697"/>
        <v>0</v>
      </c>
      <c r="O1173">
        <f t="shared" si="698"/>
        <v>0</v>
      </c>
      <c r="P1173">
        <f t="shared" si="699"/>
        <v>0</v>
      </c>
      <c r="Q1173">
        <f t="shared" si="700"/>
        <v>0</v>
      </c>
      <c r="S1173">
        <f t="shared" si="665"/>
        <v>0</v>
      </c>
      <c r="T1173">
        <f t="shared" si="666"/>
        <v>0</v>
      </c>
      <c r="U1173">
        <f t="shared" si="667"/>
        <v>0</v>
      </c>
      <c r="V1173">
        <f t="shared" si="668"/>
        <v>0</v>
      </c>
      <c r="W1173">
        <f t="shared" si="669"/>
        <v>0</v>
      </c>
      <c r="X1173">
        <f t="shared" si="670"/>
        <v>0</v>
      </c>
      <c r="Y1173">
        <f t="shared" si="671"/>
        <v>0</v>
      </c>
      <c r="Z1173">
        <f t="shared" si="672"/>
        <v>0</v>
      </c>
      <c r="AA1173">
        <f t="shared" si="673"/>
        <v>0</v>
      </c>
      <c r="AB1173">
        <f t="shared" si="674"/>
        <v>0</v>
      </c>
      <c r="AC1173">
        <f t="shared" si="675"/>
        <v>0</v>
      </c>
      <c r="AD1173">
        <f t="shared" si="676"/>
        <v>0</v>
      </c>
      <c r="AF1173">
        <f t="shared" si="677"/>
        <v>0</v>
      </c>
      <c r="AG1173">
        <f t="shared" si="678"/>
        <v>0</v>
      </c>
      <c r="AH1173">
        <f t="shared" si="679"/>
        <v>0</v>
      </c>
      <c r="AI1173">
        <f t="shared" si="680"/>
        <v>0</v>
      </c>
      <c r="AJ1173">
        <f t="shared" si="681"/>
        <v>0</v>
      </c>
      <c r="AK1173">
        <f t="shared" si="682"/>
        <v>0</v>
      </c>
      <c r="AL1173">
        <f t="shared" si="683"/>
        <v>0</v>
      </c>
      <c r="AM1173">
        <f t="shared" si="684"/>
        <v>0</v>
      </c>
      <c r="AN1173">
        <f t="shared" si="685"/>
        <v>0</v>
      </c>
      <c r="AO1173">
        <f t="shared" si="686"/>
        <v>0</v>
      </c>
      <c r="AP1173">
        <f t="shared" si="687"/>
        <v>0</v>
      </c>
      <c r="AQ1173">
        <f t="shared" si="688"/>
        <v>0</v>
      </c>
    </row>
    <row r="1174" spans="6:43" x14ac:dyDescent="0.45">
      <c r="F1174">
        <f t="shared" si="689"/>
        <v>0</v>
      </c>
      <c r="G1174">
        <f t="shared" si="690"/>
        <v>0</v>
      </c>
      <c r="H1174">
        <f t="shared" si="691"/>
        <v>0</v>
      </c>
      <c r="I1174">
        <f t="shared" si="692"/>
        <v>0</v>
      </c>
      <c r="J1174">
        <f t="shared" si="693"/>
        <v>0</v>
      </c>
      <c r="K1174">
        <f t="shared" si="694"/>
        <v>0</v>
      </c>
      <c r="L1174">
        <f t="shared" si="695"/>
        <v>0</v>
      </c>
      <c r="M1174">
        <f t="shared" si="696"/>
        <v>0</v>
      </c>
      <c r="N1174">
        <f t="shared" si="697"/>
        <v>0</v>
      </c>
      <c r="O1174">
        <f t="shared" si="698"/>
        <v>0</v>
      </c>
      <c r="P1174">
        <f t="shared" si="699"/>
        <v>0</v>
      </c>
      <c r="Q1174">
        <f t="shared" si="700"/>
        <v>0</v>
      </c>
      <c r="S1174">
        <f t="shared" si="665"/>
        <v>0</v>
      </c>
      <c r="T1174">
        <f t="shared" si="666"/>
        <v>0</v>
      </c>
      <c r="U1174">
        <f t="shared" si="667"/>
        <v>0</v>
      </c>
      <c r="V1174">
        <f t="shared" si="668"/>
        <v>0</v>
      </c>
      <c r="W1174">
        <f t="shared" si="669"/>
        <v>0</v>
      </c>
      <c r="X1174">
        <f t="shared" si="670"/>
        <v>0</v>
      </c>
      <c r="Y1174">
        <f t="shared" si="671"/>
        <v>0</v>
      </c>
      <c r="Z1174">
        <f t="shared" si="672"/>
        <v>0</v>
      </c>
      <c r="AA1174">
        <f t="shared" si="673"/>
        <v>0</v>
      </c>
      <c r="AB1174">
        <f t="shared" si="674"/>
        <v>0</v>
      </c>
      <c r="AC1174">
        <f t="shared" si="675"/>
        <v>0</v>
      </c>
      <c r="AD1174">
        <f t="shared" si="676"/>
        <v>0</v>
      </c>
      <c r="AF1174">
        <f t="shared" si="677"/>
        <v>0</v>
      </c>
      <c r="AG1174">
        <f t="shared" si="678"/>
        <v>0</v>
      </c>
      <c r="AH1174">
        <f t="shared" si="679"/>
        <v>0</v>
      </c>
      <c r="AI1174">
        <f t="shared" si="680"/>
        <v>0</v>
      </c>
      <c r="AJ1174">
        <f t="shared" si="681"/>
        <v>0</v>
      </c>
      <c r="AK1174">
        <f t="shared" si="682"/>
        <v>0</v>
      </c>
      <c r="AL1174">
        <f t="shared" si="683"/>
        <v>0</v>
      </c>
      <c r="AM1174">
        <f t="shared" si="684"/>
        <v>0</v>
      </c>
      <c r="AN1174">
        <f t="shared" si="685"/>
        <v>0</v>
      </c>
      <c r="AO1174">
        <f t="shared" si="686"/>
        <v>0</v>
      </c>
      <c r="AP1174">
        <f t="shared" si="687"/>
        <v>0</v>
      </c>
      <c r="AQ1174">
        <f t="shared" si="688"/>
        <v>0</v>
      </c>
    </row>
    <row r="1175" spans="6:43" x14ac:dyDescent="0.45">
      <c r="F1175">
        <f t="shared" si="689"/>
        <v>0</v>
      </c>
      <c r="G1175">
        <f t="shared" si="690"/>
        <v>0</v>
      </c>
      <c r="H1175">
        <f t="shared" si="691"/>
        <v>0</v>
      </c>
      <c r="I1175">
        <f t="shared" si="692"/>
        <v>0</v>
      </c>
      <c r="J1175">
        <f t="shared" si="693"/>
        <v>0</v>
      </c>
      <c r="K1175">
        <f t="shared" si="694"/>
        <v>0</v>
      </c>
      <c r="L1175">
        <f t="shared" si="695"/>
        <v>0</v>
      </c>
      <c r="M1175">
        <f t="shared" si="696"/>
        <v>0</v>
      </c>
      <c r="N1175">
        <f t="shared" si="697"/>
        <v>0</v>
      </c>
      <c r="O1175">
        <f t="shared" si="698"/>
        <v>0</v>
      </c>
      <c r="P1175">
        <f t="shared" si="699"/>
        <v>0</v>
      </c>
      <c r="Q1175">
        <f t="shared" si="700"/>
        <v>0</v>
      </c>
      <c r="S1175">
        <f t="shared" si="665"/>
        <v>0</v>
      </c>
      <c r="T1175">
        <f t="shared" si="666"/>
        <v>0</v>
      </c>
      <c r="U1175">
        <f t="shared" si="667"/>
        <v>0</v>
      </c>
      <c r="V1175">
        <f t="shared" si="668"/>
        <v>0</v>
      </c>
      <c r="W1175">
        <f t="shared" si="669"/>
        <v>0</v>
      </c>
      <c r="X1175">
        <f t="shared" si="670"/>
        <v>0</v>
      </c>
      <c r="Y1175">
        <f t="shared" si="671"/>
        <v>0</v>
      </c>
      <c r="Z1175">
        <f t="shared" si="672"/>
        <v>0</v>
      </c>
      <c r="AA1175">
        <f t="shared" si="673"/>
        <v>0</v>
      </c>
      <c r="AB1175">
        <f t="shared" si="674"/>
        <v>0</v>
      </c>
      <c r="AC1175">
        <f t="shared" si="675"/>
        <v>0</v>
      </c>
      <c r="AD1175">
        <f t="shared" si="676"/>
        <v>0</v>
      </c>
      <c r="AF1175">
        <f t="shared" si="677"/>
        <v>0</v>
      </c>
      <c r="AG1175">
        <f t="shared" si="678"/>
        <v>0</v>
      </c>
      <c r="AH1175">
        <f t="shared" si="679"/>
        <v>0</v>
      </c>
      <c r="AI1175">
        <f t="shared" si="680"/>
        <v>0</v>
      </c>
      <c r="AJ1175">
        <f t="shared" si="681"/>
        <v>0</v>
      </c>
      <c r="AK1175">
        <f t="shared" si="682"/>
        <v>0</v>
      </c>
      <c r="AL1175">
        <f t="shared" si="683"/>
        <v>0</v>
      </c>
      <c r="AM1175">
        <f t="shared" si="684"/>
        <v>0</v>
      </c>
      <c r="AN1175">
        <f t="shared" si="685"/>
        <v>0</v>
      </c>
      <c r="AO1175">
        <f t="shared" si="686"/>
        <v>0</v>
      </c>
      <c r="AP1175">
        <f t="shared" si="687"/>
        <v>0</v>
      </c>
      <c r="AQ1175">
        <f t="shared" si="688"/>
        <v>0</v>
      </c>
    </row>
    <row r="1176" spans="6:43" x14ac:dyDescent="0.45">
      <c r="F1176">
        <f t="shared" si="689"/>
        <v>0</v>
      </c>
      <c r="G1176">
        <f t="shared" si="690"/>
        <v>0</v>
      </c>
      <c r="H1176">
        <f t="shared" si="691"/>
        <v>0</v>
      </c>
      <c r="I1176">
        <f t="shared" si="692"/>
        <v>0</v>
      </c>
      <c r="J1176">
        <f t="shared" si="693"/>
        <v>0</v>
      </c>
      <c r="K1176">
        <f t="shared" si="694"/>
        <v>0</v>
      </c>
      <c r="L1176">
        <f t="shared" si="695"/>
        <v>0</v>
      </c>
      <c r="M1176">
        <f t="shared" si="696"/>
        <v>0</v>
      </c>
      <c r="N1176">
        <f t="shared" si="697"/>
        <v>0</v>
      </c>
      <c r="O1176">
        <f t="shared" si="698"/>
        <v>0</v>
      </c>
      <c r="P1176">
        <f t="shared" si="699"/>
        <v>0</v>
      </c>
      <c r="Q1176">
        <f t="shared" si="700"/>
        <v>0</v>
      </c>
      <c r="S1176">
        <f t="shared" si="665"/>
        <v>0</v>
      </c>
      <c r="T1176">
        <f t="shared" si="666"/>
        <v>0</v>
      </c>
      <c r="U1176">
        <f t="shared" si="667"/>
        <v>0</v>
      </c>
      <c r="V1176">
        <f t="shared" si="668"/>
        <v>0</v>
      </c>
      <c r="W1176">
        <f t="shared" si="669"/>
        <v>0</v>
      </c>
      <c r="X1176">
        <f t="shared" si="670"/>
        <v>0</v>
      </c>
      <c r="Y1176">
        <f t="shared" si="671"/>
        <v>0</v>
      </c>
      <c r="Z1176">
        <f t="shared" si="672"/>
        <v>0</v>
      </c>
      <c r="AA1176">
        <f t="shared" si="673"/>
        <v>0</v>
      </c>
      <c r="AB1176">
        <f t="shared" si="674"/>
        <v>0</v>
      </c>
      <c r="AC1176">
        <f t="shared" si="675"/>
        <v>0</v>
      </c>
      <c r="AD1176">
        <f t="shared" si="676"/>
        <v>0</v>
      </c>
      <c r="AF1176">
        <f t="shared" si="677"/>
        <v>0</v>
      </c>
      <c r="AG1176">
        <f t="shared" si="678"/>
        <v>0</v>
      </c>
      <c r="AH1176">
        <f t="shared" si="679"/>
        <v>0</v>
      </c>
      <c r="AI1176">
        <f t="shared" si="680"/>
        <v>0</v>
      </c>
      <c r="AJ1176">
        <f t="shared" si="681"/>
        <v>0</v>
      </c>
      <c r="AK1176">
        <f t="shared" si="682"/>
        <v>0</v>
      </c>
      <c r="AL1176">
        <f t="shared" si="683"/>
        <v>0</v>
      </c>
      <c r="AM1176">
        <f t="shared" si="684"/>
        <v>0</v>
      </c>
      <c r="AN1176">
        <f t="shared" si="685"/>
        <v>0</v>
      </c>
      <c r="AO1176">
        <f t="shared" si="686"/>
        <v>0</v>
      </c>
      <c r="AP1176">
        <f t="shared" si="687"/>
        <v>0</v>
      </c>
      <c r="AQ1176">
        <f t="shared" si="688"/>
        <v>0</v>
      </c>
    </row>
    <row r="1177" spans="6:43" x14ac:dyDescent="0.45">
      <c r="F1177">
        <f t="shared" si="689"/>
        <v>0</v>
      </c>
      <c r="G1177">
        <f t="shared" si="690"/>
        <v>0</v>
      </c>
      <c r="H1177">
        <f t="shared" si="691"/>
        <v>0</v>
      </c>
      <c r="I1177">
        <f t="shared" si="692"/>
        <v>0</v>
      </c>
      <c r="J1177">
        <f t="shared" si="693"/>
        <v>0</v>
      </c>
      <c r="K1177">
        <f t="shared" si="694"/>
        <v>0</v>
      </c>
      <c r="L1177">
        <f t="shared" si="695"/>
        <v>0</v>
      </c>
      <c r="M1177">
        <f t="shared" si="696"/>
        <v>0</v>
      </c>
      <c r="N1177">
        <f t="shared" si="697"/>
        <v>0</v>
      </c>
      <c r="O1177">
        <f t="shared" si="698"/>
        <v>0</v>
      </c>
      <c r="P1177">
        <f t="shared" si="699"/>
        <v>0</v>
      </c>
      <c r="Q1177">
        <f t="shared" si="700"/>
        <v>0</v>
      </c>
      <c r="S1177">
        <f t="shared" si="665"/>
        <v>0</v>
      </c>
      <c r="T1177">
        <f t="shared" si="666"/>
        <v>0</v>
      </c>
      <c r="U1177">
        <f t="shared" si="667"/>
        <v>0</v>
      </c>
      <c r="V1177">
        <f t="shared" si="668"/>
        <v>0</v>
      </c>
      <c r="W1177">
        <f t="shared" si="669"/>
        <v>0</v>
      </c>
      <c r="X1177">
        <f t="shared" si="670"/>
        <v>0</v>
      </c>
      <c r="Y1177">
        <f t="shared" si="671"/>
        <v>0</v>
      </c>
      <c r="Z1177">
        <f t="shared" si="672"/>
        <v>0</v>
      </c>
      <c r="AA1177">
        <f t="shared" si="673"/>
        <v>0</v>
      </c>
      <c r="AB1177">
        <f t="shared" si="674"/>
        <v>0</v>
      </c>
      <c r="AC1177">
        <f t="shared" si="675"/>
        <v>0</v>
      </c>
      <c r="AD1177">
        <f t="shared" si="676"/>
        <v>0</v>
      </c>
      <c r="AF1177">
        <f t="shared" si="677"/>
        <v>0</v>
      </c>
      <c r="AG1177">
        <f t="shared" si="678"/>
        <v>0</v>
      </c>
      <c r="AH1177">
        <f t="shared" si="679"/>
        <v>0</v>
      </c>
      <c r="AI1177">
        <f t="shared" si="680"/>
        <v>0</v>
      </c>
      <c r="AJ1177">
        <f t="shared" si="681"/>
        <v>0</v>
      </c>
      <c r="AK1177">
        <f t="shared" si="682"/>
        <v>0</v>
      </c>
      <c r="AL1177">
        <f t="shared" si="683"/>
        <v>0</v>
      </c>
      <c r="AM1177">
        <f t="shared" si="684"/>
        <v>0</v>
      </c>
      <c r="AN1177">
        <f t="shared" si="685"/>
        <v>0</v>
      </c>
      <c r="AO1177">
        <f t="shared" si="686"/>
        <v>0</v>
      </c>
      <c r="AP1177">
        <f t="shared" si="687"/>
        <v>0</v>
      </c>
      <c r="AQ1177">
        <f t="shared" si="688"/>
        <v>0</v>
      </c>
    </row>
    <row r="1178" spans="6:43" x14ac:dyDescent="0.45">
      <c r="F1178">
        <f t="shared" si="689"/>
        <v>0</v>
      </c>
      <c r="G1178">
        <f t="shared" si="690"/>
        <v>0</v>
      </c>
      <c r="H1178">
        <f t="shared" si="691"/>
        <v>0</v>
      </c>
      <c r="I1178">
        <f t="shared" si="692"/>
        <v>0</v>
      </c>
      <c r="J1178">
        <f t="shared" si="693"/>
        <v>0</v>
      </c>
      <c r="K1178">
        <f t="shared" si="694"/>
        <v>0</v>
      </c>
      <c r="L1178">
        <f t="shared" si="695"/>
        <v>0</v>
      </c>
      <c r="M1178">
        <f t="shared" si="696"/>
        <v>0</v>
      </c>
      <c r="N1178">
        <f t="shared" si="697"/>
        <v>0</v>
      </c>
      <c r="O1178">
        <f t="shared" si="698"/>
        <v>0</v>
      </c>
      <c r="P1178">
        <f t="shared" si="699"/>
        <v>0</v>
      </c>
      <c r="Q1178">
        <f t="shared" si="700"/>
        <v>0</v>
      </c>
      <c r="S1178">
        <f t="shared" si="665"/>
        <v>0</v>
      </c>
      <c r="T1178">
        <f t="shared" si="666"/>
        <v>0</v>
      </c>
      <c r="U1178">
        <f t="shared" si="667"/>
        <v>0</v>
      </c>
      <c r="V1178">
        <f t="shared" si="668"/>
        <v>0</v>
      </c>
      <c r="W1178">
        <f t="shared" si="669"/>
        <v>0</v>
      </c>
      <c r="X1178">
        <f t="shared" si="670"/>
        <v>0</v>
      </c>
      <c r="Y1178">
        <f t="shared" si="671"/>
        <v>0</v>
      </c>
      <c r="Z1178">
        <f t="shared" si="672"/>
        <v>0</v>
      </c>
      <c r="AA1178">
        <f t="shared" si="673"/>
        <v>0</v>
      </c>
      <c r="AB1178">
        <f t="shared" si="674"/>
        <v>0</v>
      </c>
      <c r="AC1178">
        <f t="shared" si="675"/>
        <v>0</v>
      </c>
      <c r="AD1178">
        <f t="shared" si="676"/>
        <v>0</v>
      </c>
      <c r="AF1178">
        <f t="shared" si="677"/>
        <v>0</v>
      </c>
      <c r="AG1178">
        <f t="shared" si="678"/>
        <v>0</v>
      </c>
      <c r="AH1178">
        <f t="shared" si="679"/>
        <v>0</v>
      </c>
      <c r="AI1178">
        <f t="shared" si="680"/>
        <v>0</v>
      </c>
      <c r="AJ1178">
        <f t="shared" si="681"/>
        <v>0</v>
      </c>
      <c r="AK1178">
        <f t="shared" si="682"/>
        <v>0</v>
      </c>
      <c r="AL1178">
        <f t="shared" si="683"/>
        <v>0</v>
      </c>
      <c r="AM1178">
        <f t="shared" si="684"/>
        <v>0</v>
      </c>
      <c r="AN1178">
        <f t="shared" si="685"/>
        <v>0</v>
      </c>
      <c r="AO1178">
        <f t="shared" si="686"/>
        <v>0</v>
      </c>
      <c r="AP1178">
        <f t="shared" si="687"/>
        <v>0</v>
      </c>
      <c r="AQ1178">
        <f t="shared" si="688"/>
        <v>0</v>
      </c>
    </row>
    <row r="1179" spans="6:43" x14ac:dyDescent="0.45">
      <c r="F1179">
        <f t="shared" si="689"/>
        <v>0</v>
      </c>
      <c r="G1179">
        <f t="shared" si="690"/>
        <v>0</v>
      </c>
      <c r="H1179">
        <f t="shared" si="691"/>
        <v>0</v>
      </c>
      <c r="I1179">
        <f t="shared" si="692"/>
        <v>0</v>
      </c>
      <c r="J1179">
        <f t="shared" si="693"/>
        <v>0</v>
      </c>
      <c r="K1179">
        <f t="shared" si="694"/>
        <v>0</v>
      </c>
      <c r="L1179">
        <f t="shared" si="695"/>
        <v>0</v>
      </c>
      <c r="M1179">
        <f t="shared" si="696"/>
        <v>0</v>
      </c>
      <c r="N1179">
        <f t="shared" si="697"/>
        <v>0</v>
      </c>
      <c r="O1179">
        <f t="shared" si="698"/>
        <v>0</v>
      </c>
      <c r="P1179">
        <f t="shared" si="699"/>
        <v>0</v>
      </c>
      <c r="Q1179">
        <f t="shared" si="700"/>
        <v>0</v>
      </c>
      <c r="S1179">
        <f t="shared" si="665"/>
        <v>0</v>
      </c>
      <c r="T1179">
        <f t="shared" si="666"/>
        <v>0</v>
      </c>
      <c r="U1179">
        <f t="shared" si="667"/>
        <v>0</v>
      </c>
      <c r="V1179">
        <f t="shared" si="668"/>
        <v>0</v>
      </c>
      <c r="W1179">
        <f t="shared" si="669"/>
        <v>0</v>
      </c>
      <c r="X1179">
        <f t="shared" si="670"/>
        <v>0</v>
      </c>
      <c r="Y1179">
        <f t="shared" si="671"/>
        <v>0</v>
      </c>
      <c r="Z1179">
        <f t="shared" si="672"/>
        <v>0</v>
      </c>
      <c r="AA1179">
        <f t="shared" si="673"/>
        <v>0</v>
      </c>
      <c r="AB1179">
        <f t="shared" si="674"/>
        <v>0</v>
      </c>
      <c r="AC1179">
        <f t="shared" si="675"/>
        <v>0</v>
      </c>
      <c r="AD1179">
        <f t="shared" si="676"/>
        <v>0</v>
      </c>
      <c r="AF1179">
        <f t="shared" si="677"/>
        <v>0</v>
      </c>
      <c r="AG1179">
        <f t="shared" si="678"/>
        <v>0</v>
      </c>
      <c r="AH1179">
        <f t="shared" si="679"/>
        <v>0</v>
      </c>
      <c r="AI1179">
        <f t="shared" si="680"/>
        <v>0</v>
      </c>
      <c r="AJ1179">
        <f t="shared" si="681"/>
        <v>0</v>
      </c>
      <c r="AK1179">
        <f t="shared" si="682"/>
        <v>0</v>
      </c>
      <c r="AL1179">
        <f t="shared" si="683"/>
        <v>0</v>
      </c>
      <c r="AM1179">
        <f t="shared" si="684"/>
        <v>0</v>
      </c>
      <c r="AN1179">
        <f t="shared" si="685"/>
        <v>0</v>
      </c>
      <c r="AO1179">
        <f t="shared" si="686"/>
        <v>0</v>
      </c>
      <c r="AP1179">
        <f t="shared" si="687"/>
        <v>0</v>
      </c>
      <c r="AQ1179">
        <f t="shared" si="688"/>
        <v>0</v>
      </c>
    </row>
    <row r="1180" spans="6:43" x14ac:dyDescent="0.45">
      <c r="F1180">
        <f t="shared" si="689"/>
        <v>0</v>
      </c>
      <c r="G1180">
        <f t="shared" si="690"/>
        <v>0</v>
      </c>
      <c r="H1180">
        <f t="shared" si="691"/>
        <v>0</v>
      </c>
      <c r="I1180">
        <f t="shared" si="692"/>
        <v>0</v>
      </c>
      <c r="J1180">
        <f t="shared" si="693"/>
        <v>0</v>
      </c>
      <c r="K1180">
        <f t="shared" si="694"/>
        <v>0</v>
      </c>
      <c r="L1180">
        <f t="shared" si="695"/>
        <v>0</v>
      </c>
      <c r="M1180">
        <f t="shared" si="696"/>
        <v>0</v>
      </c>
      <c r="N1180">
        <f t="shared" si="697"/>
        <v>0</v>
      </c>
      <c r="O1180">
        <f t="shared" si="698"/>
        <v>0</v>
      </c>
      <c r="P1180">
        <f t="shared" si="699"/>
        <v>0</v>
      </c>
      <c r="Q1180">
        <f t="shared" si="700"/>
        <v>0</v>
      </c>
      <c r="S1180">
        <f t="shared" si="665"/>
        <v>0</v>
      </c>
      <c r="T1180">
        <f t="shared" si="666"/>
        <v>0</v>
      </c>
      <c r="U1180">
        <f t="shared" si="667"/>
        <v>0</v>
      </c>
      <c r="V1180">
        <f t="shared" si="668"/>
        <v>0</v>
      </c>
      <c r="W1180">
        <f t="shared" si="669"/>
        <v>0</v>
      </c>
      <c r="X1180">
        <f t="shared" si="670"/>
        <v>0</v>
      </c>
      <c r="Y1180">
        <f t="shared" si="671"/>
        <v>0</v>
      </c>
      <c r="Z1180">
        <f t="shared" si="672"/>
        <v>0</v>
      </c>
      <c r="AA1180">
        <f t="shared" si="673"/>
        <v>0</v>
      </c>
      <c r="AB1180">
        <f t="shared" si="674"/>
        <v>0</v>
      </c>
      <c r="AC1180">
        <f t="shared" si="675"/>
        <v>0</v>
      </c>
      <c r="AD1180">
        <f t="shared" si="676"/>
        <v>0</v>
      </c>
      <c r="AF1180">
        <f t="shared" si="677"/>
        <v>0</v>
      </c>
      <c r="AG1180">
        <f t="shared" si="678"/>
        <v>0</v>
      </c>
      <c r="AH1180">
        <f t="shared" si="679"/>
        <v>0</v>
      </c>
      <c r="AI1180">
        <f t="shared" si="680"/>
        <v>0</v>
      </c>
      <c r="AJ1180">
        <f t="shared" si="681"/>
        <v>0</v>
      </c>
      <c r="AK1180">
        <f t="shared" si="682"/>
        <v>0</v>
      </c>
      <c r="AL1180">
        <f t="shared" si="683"/>
        <v>0</v>
      </c>
      <c r="AM1180">
        <f t="shared" si="684"/>
        <v>0</v>
      </c>
      <c r="AN1180">
        <f t="shared" si="685"/>
        <v>0</v>
      </c>
      <c r="AO1180">
        <f t="shared" si="686"/>
        <v>0</v>
      </c>
      <c r="AP1180">
        <f t="shared" si="687"/>
        <v>0</v>
      </c>
      <c r="AQ1180">
        <f t="shared" si="688"/>
        <v>0</v>
      </c>
    </row>
    <row r="1181" spans="6:43" x14ac:dyDescent="0.45">
      <c r="F1181">
        <f t="shared" si="689"/>
        <v>0</v>
      </c>
      <c r="G1181">
        <f t="shared" si="690"/>
        <v>0</v>
      </c>
      <c r="H1181">
        <f t="shared" si="691"/>
        <v>0</v>
      </c>
      <c r="I1181">
        <f t="shared" si="692"/>
        <v>0</v>
      </c>
      <c r="J1181">
        <f t="shared" si="693"/>
        <v>0</v>
      </c>
      <c r="K1181">
        <f t="shared" si="694"/>
        <v>0</v>
      </c>
      <c r="L1181">
        <f t="shared" si="695"/>
        <v>0</v>
      </c>
      <c r="M1181">
        <f t="shared" si="696"/>
        <v>0</v>
      </c>
      <c r="N1181">
        <f t="shared" si="697"/>
        <v>0</v>
      </c>
      <c r="O1181">
        <f t="shared" si="698"/>
        <v>0</v>
      </c>
      <c r="P1181">
        <f t="shared" si="699"/>
        <v>0</v>
      </c>
      <c r="Q1181">
        <f t="shared" si="700"/>
        <v>0</v>
      </c>
      <c r="S1181">
        <f t="shared" si="665"/>
        <v>0</v>
      </c>
      <c r="T1181">
        <f t="shared" si="666"/>
        <v>0</v>
      </c>
      <c r="U1181">
        <f t="shared" si="667"/>
        <v>0</v>
      </c>
      <c r="V1181">
        <f t="shared" si="668"/>
        <v>0</v>
      </c>
      <c r="W1181">
        <f t="shared" si="669"/>
        <v>0</v>
      </c>
      <c r="X1181">
        <f t="shared" si="670"/>
        <v>0</v>
      </c>
      <c r="Y1181">
        <f t="shared" si="671"/>
        <v>0</v>
      </c>
      <c r="Z1181">
        <f t="shared" si="672"/>
        <v>0</v>
      </c>
      <c r="AA1181">
        <f t="shared" si="673"/>
        <v>0</v>
      </c>
      <c r="AB1181">
        <f t="shared" si="674"/>
        <v>0</v>
      </c>
      <c r="AC1181">
        <f t="shared" si="675"/>
        <v>0</v>
      </c>
      <c r="AD1181">
        <f t="shared" si="676"/>
        <v>0</v>
      </c>
      <c r="AF1181">
        <f t="shared" si="677"/>
        <v>0</v>
      </c>
      <c r="AG1181">
        <f t="shared" si="678"/>
        <v>0</v>
      </c>
      <c r="AH1181">
        <f t="shared" si="679"/>
        <v>0</v>
      </c>
      <c r="AI1181">
        <f t="shared" si="680"/>
        <v>0</v>
      </c>
      <c r="AJ1181">
        <f t="shared" si="681"/>
        <v>0</v>
      </c>
      <c r="AK1181">
        <f t="shared" si="682"/>
        <v>0</v>
      </c>
      <c r="AL1181">
        <f t="shared" si="683"/>
        <v>0</v>
      </c>
      <c r="AM1181">
        <f t="shared" si="684"/>
        <v>0</v>
      </c>
      <c r="AN1181">
        <f t="shared" si="685"/>
        <v>0</v>
      </c>
      <c r="AO1181">
        <f t="shared" si="686"/>
        <v>0</v>
      </c>
      <c r="AP1181">
        <f t="shared" si="687"/>
        <v>0</v>
      </c>
      <c r="AQ1181">
        <f t="shared" si="688"/>
        <v>0</v>
      </c>
    </row>
    <row r="1182" spans="6:43" x14ac:dyDescent="0.45">
      <c r="F1182">
        <f t="shared" si="689"/>
        <v>0</v>
      </c>
      <c r="G1182">
        <f t="shared" si="690"/>
        <v>0</v>
      </c>
      <c r="H1182">
        <f t="shared" si="691"/>
        <v>0</v>
      </c>
      <c r="I1182">
        <f t="shared" si="692"/>
        <v>0</v>
      </c>
      <c r="J1182">
        <f t="shared" si="693"/>
        <v>0</v>
      </c>
      <c r="K1182">
        <f t="shared" si="694"/>
        <v>0</v>
      </c>
      <c r="L1182">
        <f t="shared" si="695"/>
        <v>0</v>
      </c>
      <c r="M1182">
        <f t="shared" si="696"/>
        <v>0</v>
      </c>
      <c r="N1182">
        <f t="shared" si="697"/>
        <v>0</v>
      </c>
      <c r="O1182">
        <f t="shared" si="698"/>
        <v>0</v>
      </c>
      <c r="P1182">
        <f t="shared" si="699"/>
        <v>0</v>
      </c>
      <c r="Q1182">
        <f t="shared" si="700"/>
        <v>0</v>
      </c>
      <c r="S1182">
        <f t="shared" si="665"/>
        <v>0</v>
      </c>
      <c r="T1182">
        <f t="shared" si="666"/>
        <v>0</v>
      </c>
      <c r="U1182">
        <f t="shared" si="667"/>
        <v>0</v>
      </c>
      <c r="V1182">
        <f t="shared" si="668"/>
        <v>0</v>
      </c>
      <c r="W1182">
        <f t="shared" si="669"/>
        <v>0</v>
      </c>
      <c r="X1182">
        <f t="shared" si="670"/>
        <v>0</v>
      </c>
      <c r="Y1182">
        <f t="shared" si="671"/>
        <v>0</v>
      </c>
      <c r="Z1182">
        <f t="shared" si="672"/>
        <v>0</v>
      </c>
      <c r="AA1182">
        <f t="shared" si="673"/>
        <v>0</v>
      </c>
      <c r="AB1182">
        <f t="shared" si="674"/>
        <v>0</v>
      </c>
      <c r="AC1182">
        <f t="shared" si="675"/>
        <v>0</v>
      </c>
      <c r="AD1182">
        <f t="shared" si="676"/>
        <v>0</v>
      </c>
      <c r="AF1182">
        <f t="shared" si="677"/>
        <v>0</v>
      </c>
      <c r="AG1182">
        <f t="shared" si="678"/>
        <v>0</v>
      </c>
      <c r="AH1182">
        <f t="shared" si="679"/>
        <v>0</v>
      </c>
      <c r="AI1182">
        <f t="shared" si="680"/>
        <v>0</v>
      </c>
      <c r="AJ1182">
        <f t="shared" si="681"/>
        <v>0</v>
      </c>
      <c r="AK1182">
        <f t="shared" si="682"/>
        <v>0</v>
      </c>
      <c r="AL1182">
        <f t="shared" si="683"/>
        <v>0</v>
      </c>
      <c r="AM1182">
        <f t="shared" si="684"/>
        <v>0</v>
      </c>
      <c r="AN1182">
        <f t="shared" si="685"/>
        <v>0</v>
      </c>
      <c r="AO1182">
        <f t="shared" si="686"/>
        <v>0</v>
      </c>
      <c r="AP1182">
        <f t="shared" si="687"/>
        <v>0</v>
      </c>
      <c r="AQ1182">
        <f t="shared" si="688"/>
        <v>0</v>
      </c>
    </row>
    <row r="1183" spans="6:43" x14ac:dyDescent="0.45">
      <c r="F1183">
        <f t="shared" si="689"/>
        <v>0</v>
      </c>
      <c r="G1183">
        <f t="shared" si="690"/>
        <v>0</v>
      </c>
      <c r="H1183">
        <f t="shared" si="691"/>
        <v>0</v>
      </c>
      <c r="I1183">
        <f t="shared" si="692"/>
        <v>0</v>
      </c>
      <c r="J1183">
        <f t="shared" si="693"/>
        <v>0</v>
      </c>
      <c r="K1183">
        <f t="shared" si="694"/>
        <v>0</v>
      </c>
      <c r="L1183">
        <f t="shared" si="695"/>
        <v>0</v>
      </c>
      <c r="M1183">
        <f t="shared" si="696"/>
        <v>0</v>
      </c>
      <c r="N1183">
        <f t="shared" si="697"/>
        <v>0</v>
      </c>
      <c r="O1183">
        <f t="shared" si="698"/>
        <v>0</v>
      </c>
      <c r="P1183">
        <f t="shared" si="699"/>
        <v>0</v>
      </c>
      <c r="Q1183">
        <f t="shared" si="700"/>
        <v>0</v>
      </c>
      <c r="S1183">
        <f t="shared" si="665"/>
        <v>0</v>
      </c>
      <c r="T1183">
        <f t="shared" si="666"/>
        <v>0</v>
      </c>
      <c r="U1183">
        <f t="shared" si="667"/>
        <v>0</v>
      </c>
      <c r="V1183">
        <f t="shared" si="668"/>
        <v>0</v>
      </c>
      <c r="W1183">
        <f t="shared" si="669"/>
        <v>0</v>
      </c>
      <c r="X1183">
        <f t="shared" si="670"/>
        <v>0</v>
      </c>
      <c r="Y1183">
        <f t="shared" si="671"/>
        <v>0</v>
      </c>
      <c r="Z1183">
        <f t="shared" si="672"/>
        <v>0</v>
      </c>
      <c r="AA1183">
        <f t="shared" si="673"/>
        <v>0</v>
      </c>
      <c r="AB1183">
        <f t="shared" si="674"/>
        <v>0</v>
      </c>
      <c r="AC1183">
        <f t="shared" si="675"/>
        <v>0</v>
      </c>
      <c r="AD1183">
        <f t="shared" si="676"/>
        <v>0</v>
      </c>
      <c r="AF1183">
        <f t="shared" si="677"/>
        <v>0</v>
      </c>
      <c r="AG1183">
        <f t="shared" si="678"/>
        <v>0</v>
      </c>
      <c r="AH1183">
        <f t="shared" si="679"/>
        <v>0</v>
      </c>
      <c r="AI1183">
        <f t="shared" si="680"/>
        <v>0</v>
      </c>
      <c r="AJ1183">
        <f t="shared" si="681"/>
        <v>0</v>
      </c>
      <c r="AK1183">
        <f t="shared" si="682"/>
        <v>0</v>
      </c>
      <c r="AL1183">
        <f t="shared" si="683"/>
        <v>0</v>
      </c>
      <c r="AM1183">
        <f t="shared" si="684"/>
        <v>0</v>
      </c>
      <c r="AN1183">
        <f t="shared" si="685"/>
        <v>0</v>
      </c>
      <c r="AO1183">
        <f t="shared" si="686"/>
        <v>0</v>
      </c>
      <c r="AP1183">
        <f t="shared" si="687"/>
        <v>0</v>
      </c>
      <c r="AQ1183">
        <f t="shared" si="688"/>
        <v>0</v>
      </c>
    </row>
    <row r="1184" spans="6:43" x14ac:dyDescent="0.45">
      <c r="F1184">
        <f t="shared" si="689"/>
        <v>0</v>
      </c>
      <c r="G1184">
        <f t="shared" si="690"/>
        <v>0</v>
      </c>
      <c r="H1184">
        <f t="shared" si="691"/>
        <v>0</v>
      </c>
      <c r="I1184">
        <f t="shared" si="692"/>
        <v>0</v>
      </c>
      <c r="J1184">
        <f t="shared" si="693"/>
        <v>0</v>
      </c>
      <c r="K1184">
        <f t="shared" si="694"/>
        <v>0</v>
      </c>
      <c r="L1184">
        <f t="shared" si="695"/>
        <v>0</v>
      </c>
      <c r="M1184">
        <f t="shared" si="696"/>
        <v>0</v>
      </c>
      <c r="N1184">
        <f t="shared" si="697"/>
        <v>0</v>
      </c>
      <c r="O1184">
        <f t="shared" si="698"/>
        <v>0</v>
      </c>
      <c r="P1184">
        <f t="shared" si="699"/>
        <v>0</v>
      </c>
      <c r="Q1184">
        <f t="shared" si="700"/>
        <v>0</v>
      </c>
      <c r="S1184">
        <f t="shared" si="665"/>
        <v>0</v>
      </c>
      <c r="T1184">
        <f t="shared" si="666"/>
        <v>0</v>
      </c>
      <c r="U1184">
        <f t="shared" si="667"/>
        <v>0</v>
      </c>
      <c r="V1184">
        <f t="shared" si="668"/>
        <v>0</v>
      </c>
      <c r="W1184">
        <f t="shared" si="669"/>
        <v>0</v>
      </c>
      <c r="X1184">
        <f t="shared" si="670"/>
        <v>0</v>
      </c>
      <c r="Y1184">
        <f t="shared" si="671"/>
        <v>0</v>
      </c>
      <c r="Z1184">
        <f t="shared" si="672"/>
        <v>0</v>
      </c>
      <c r="AA1184">
        <f t="shared" si="673"/>
        <v>0</v>
      </c>
      <c r="AB1184">
        <f t="shared" si="674"/>
        <v>0</v>
      </c>
      <c r="AC1184">
        <f t="shared" si="675"/>
        <v>0</v>
      </c>
      <c r="AD1184">
        <f t="shared" si="676"/>
        <v>0</v>
      </c>
      <c r="AF1184">
        <f t="shared" si="677"/>
        <v>0</v>
      </c>
      <c r="AG1184">
        <f t="shared" si="678"/>
        <v>0</v>
      </c>
      <c r="AH1184">
        <f t="shared" si="679"/>
        <v>0</v>
      </c>
      <c r="AI1184">
        <f t="shared" si="680"/>
        <v>0</v>
      </c>
      <c r="AJ1184">
        <f t="shared" si="681"/>
        <v>0</v>
      </c>
      <c r="AK1184">
        <f t="shared" si="682"/>
        <v>0</v>
      </c>
      <c r="AL1184">
        <f t="shared" si="683"/>
        <v>0</v>
      </c>
      <c r="AM1184">
        <f t="shared" si="684"/>
        <v>0</v>
      </c>
      <c r="AN1184">
        <f t="shared" si="685"/>
        <v>0</v>
      </c>
      <c r="AO1184">
        <f t="shared" si="686"/>
        <v>0</v>
      </c>
      <c r="AP1184">
        <f t="shared" si="687"/>
        <v>0</v>
      </c>
      <c r="AQ1184">
        <f t="shared" si="688"/>
        <v>0</v>
      </c>
    </row>
    <row r="1185" spans="6:43" x14ac:dyDescent="0.45">
      <c r="F1185">
        <f t="shared" si="689"/>
        <v>0</v>
      </c>
      <c r="G1185">
        <f t="shared" si="690"/>
        <v>0</v>
      </c>
      <c r="H1185">
        <f t="shared" si="691"/>
        <v>0</v>
      </c>
      <c r="I1185">
        <f t="shared" si="692"/>
        <v>0</v>
      </c>
      <c r="J1185">
        <f t="shared" si="693"/>
        <v>0</v>
      </c>
      <c r="K1185">
        <f t="shared" si="694"/>
        <v>0</v>
      </c>
      <c r="L1185">
        <f t="shared" si="695"/>
        <v>0</v>
      </c>
      <c r="M1185">
        <f t="shared" si="696"/>
        <v>0</v>
      </c>
      <c r="N1185">
        <f t="shared" si="697"/>
        <v>0</v>
      </c>
      <c r="O1185">
        <f t="shared" si="698"/>
        <v>0</v>
      </c>
      <c r="P1185">
        <f t="shared" si="699"/>
        <v>0</v>
      </c>
      <c r="Q1185">
        <f t="shared" si="700"/>
        <v>0</v>
      </c>
      <c r="S1185">
        <f t="shared" si="665"/>
        <v>0</v>
      </c>
      <c r="T1185">
        <f t="shared" si="666"/>
        <v>0</v>
      </c>
      <c r="U1185">
        <f t="shared" si="667"/>
        <v>0</v>
      </c>
      <c r="V1185">
        <f t="shared" si="668"/>
        <v>0</v>
      </c>
      <c r="W1185">
        <f t="shared" si="669"/>
        <v>0</v>
      </c>
      <c r="X1185">
        <f t="shared" si="670"/>
        <v>0</v>
      </c>
      <c r="Y1185">
        <f t="shared" si="671"/>
        <v>0</v>
      </c>
      <c r="Z1185">
        <f t="shared" si="672"/>
        <v>0</v>
      </c>
      <c r="AA1185">
        <f t="shared" si="673"/>
        <v>0</v>
      </c>
      <c r="AB1185">
        <f t="shared" si="674"/>
        <v>0</v>
      </c>
      <c r="AC1185">
        <f t="shared" si="675"/>
        <v>0</v>
      </c>
      <c r="AD1185">
        <f t="shared" si="676"/>
        <v>0</v>
      </c>
      <c r="AF1185">
        <f t="shared" si="677"/>
        <v>0</v>
      </c>
      <c r="AG1185">
        <f t="shared" si="678"/>
        <v>0</v>
      </c>
      <c r="AH1185">
        <f t="shared" si="679"/>
        <v>0</v>
      </c>
      <c r="AI1185">
        <f t="shared" si="680"/>
        <v>0</v>
      </c>
      <c r="AJ1185">
        <f t="shared" si="681"/>
        <v>0</v>
      </c>
      <c r="AK1185">
        <f t="shared" si="682"/>
        <v>0</v>
      </c>
      <c r="AL1185">
        <f t="shared" si="683"/>
        <v>0</v>
      </c>
      <c r="AM1185">
        <f t="shared" si="684"/>
        <v>0</v>
      </c>
      <c r="AN1185">
        <f t="shared" si="685"/>
        <v>0</v>
      </c>
      <c r="AO1185">
        <f t="shared" si="686"/>
        <v>0</v>
      </c>
      <c r="AP1185">
        <f t="shared" si="687"/>
        <v>0</v>
      </c>
      <c r="AQ1185">
        <f t="shared" si="688"/>
        <v>0</v>
      </c>
    </row>
    <row r="1186" spans="6:43" x14ac:dyDescent="0.45">
      <c r="F1186">
        <f t="shared" si="689"/>
        <v>0</v>
      </c>
      <c r="G1186">
        <f t="shared" si="690"/>
        <v>0</v>
      </c>
      <c r="H1186">
        <f t="shared" si="691"/>
        <v>0</v>
      </c>
      <c r="I1186">
        <f t="shared" si="692"/>
        <v>0</v>
      </c>
      <c r="J1186">
        <f t="shared" si="693"/>
        <v>0</v>
      </c>
      <c r="K1186">
        <f t="shared" si="694"/>
        <v>0</v>
      </c>
      <c r="L1186">
        <f t="shared" si="695"/>
        <v>0</v>
      </c>
      <c r="M1186">
        <f t="shared" si="696"/>
        <v>0</v>
      </c>
      <c r="N1186">
        <f t="shared" si="697"/>
        <v>0</v>
      </c>
      <c r="O1186">
        <f t="shared" si="698"/>
        <v>0</v>
      </c>
      <c r="P1186">
        <f t="shared" si="699"/>
        <v>0</v>
      </c>
      <c r="Q1186">
        <f t="shared" si="700"/>
        <v>0</v>
      </c>
      <c r="S1186">
        <f t="shared" si="665"/>
        <v>0</v>
      </c>
      <c r="T1186">
        <f t="shared" si="666"/>
        <v>0</v>
      </c>
      <c r="U1186">
        <f t="shared" si="667"/>
        <v>0</v>
      </c>
      <c r="V1186">
        <f t="shared" si="668"/>
        <v>0</v>
      </c>
      <c r="W1186">
        <f t="shared" si="669"/>
        <v>0</v>
      </c>
      <c r="X1186">
        <f t="shared" si="670"/>
        <v>0</v>
      </c>
      <c r="Y1186">
        <f t="shared" si="671"/>
        <v>0</v>
      </c>
      <c r="Z1186">
        <f t="shared" si="672"/>
        <v>0</v>
      </c>
      <c r="AA1186">
        <f t="shared" si="673"/>
        <v>0</v>
      </c>
      <c r="AB1186">
        <f t="shared" si="674"/>
        <v>0</v>
      </c>
      <c r="AC1186">
        <f t="shared" si="675"/>
        <v>0</v>
      </c>
      <c r="AD1186">
        <f t="shared" si="676"/>
        <v>0</v>
      </c>
      <c r="AF1186">
        <f t="shared" si="677"/>
        <v>0</v>
      </c>
      <c r="AG1186">
        <f t="shared" si="678"/>
        <v>0</v>
      </c>
      <c r="AH1186">
        <f t="shared" si="679"/>
        <v>0</v>
      </c>
      <c r="AI1186">
        <f t="shared" si="680"/>
        <v>0</v>
      </c>
      <c r="AJ1186">
        <f t="shared" si="681"/>
        <v>0</v>
      </c>
      <c r="AK1186">
        <f t="shared" si="682"/>
        <v>0</v>
      </c>
      <c r="AL1186">
        <f t="shared" si="683"/>
        <v>0</v>
      </c>
      <c r="AM1186">
        <f t="shared" si="684"/>
        <v>0</v>
      </c>
      <c r="AN1186">
        <f t="shared" si="685"/>
        <v>0</v>
      </c>
      <c r="AO1186">
        <f t="shared" si="686"/>
        <v>0</v>
      </c>
      <c r="AP1186">
        <f t="shared" si="687"/>
        <v>0</v>
      </c>
      <c r="AQ1186">
        <f t="shared" si="688"/>
        <v>0</v>
      </c>
    </row>
    <row r="1187" spans="6:43" x14ac:dyDescent="0.45">
      <c r="F1187">
        <f t="shared" si="689"/>
        <v>0</v>
      </c>
      <c r="G1187">
        <f t="shared" si="690"/>
        <v>0</v>
      </c>
      <c r="H1187">
        <f t="shared" si="691"/>
        <v>0</v>
      </c>
      <c r="I1187">
        <f t="shared" si="692"/>
        <v>0</v>
      </c>
      <c r="J1187">
        <f t="shared" si="693"/>
        <v>0</v>
      </c>
      <c r="K1187">
        <f t="shared" si="694"/>
        <v>0</v>
      </c>
      <c r="L1187">
        <f t="shared" si="695"/>
        <v>0</v>
      </c>
      <c r="M1187">
        <f t="shared" si="696"/>
        <v>0</v>
      </c>
      <c r="N1187">
        <f t="shared" si="697"/>
        <v>0</v>
      </c>
      <c r="O1187">
        <f t="shared" si="698"/>
        <v>0</v>
      </c>
      <c r="P1187">
        <f t="shared" si="699"/>
        <v>0</v>
      </c>
      <c r="Q1187">
        <f t="shared" si="700"/>
        <v>0</v>
      </c>
      <c r="S1187">
        <f t="shared" si="665"/>
        <v>0</v>
      </c>
      <c r="T1187">
        <f t="shared" si="666"/>
        <v>0</v>
      </c>
      <c r="U1187">
        <f t="shared" si="667"/>
        <v>0</v>
      </c>
      <c r="V1187">
        <f t="shared" si="668"/>
        <v>0</v>
      </c>
      <c r="W1187">
        <f t="shared" si="669"/>
        <v>0</v>
      </c>
      <c r="X1187">
        <f t="shared" si="670"/>
        <v>0</v>
      </c>
      <c r="Y1187">
        <f t="shared" si="671"/>
        <v>0</v>
      </c>
      <c r="Z1187">
        <f t="shared" si="672"/>
        <v>0</v>
      </c>
      <c r="AA1187">
        <f t="shared" si="673"/>
        <v>0</v>
      </c>
      <c r="AB1187">
        <f t="shared" si="674"/>
        <v>0</v>
      </c>
      <c r="AC1187">
        <f t="shared" si="675"/>
        <v>0</v>
      </c>
      <c r="AD1187">
        <f t="shared" si="676"/>
        <v>0</v>
      </c>
      <c r="AF1187">
        <f t="shared" si="677"/>
        <v>0</v>
      </c>
      <c r="AG1187">
        <f t="shared" si="678"/>
        <v>0</v>
      </c>
      <c r="AH1187">
        <f t="shared" si="679"/>
        <v>0</v>
      </c>
      <c r="AI1187">
        <f t="shared" si="680"/>
        <v>0</v>
      </c>
      <c r="AJ1187">
        <f t="shared" si="681"/>
        <v>0</v>
      </c>
      <c r="AK1187">
        <f t="shared" si="682"/>
        <v>0</v>
      </c>
      <c r="AL1187">
        <f t="shared" si="683"/>
        <v>0</v>
      </c>
      <c r="AM1187">
        <f t="shared" si="684"/>
        <v>0</v>
      </c>
      <c r="AN1187">
        <f t="shared" si="685"/>
        <v>0</v>
      </c>
      <c r="AO1187">
        <f t="shared" si="686"/>
        <v>0</v>
      </c>
      <c r="AP1187">
        <f t="shared" si="687"/>
        <v>0</v>
      </c>
      <c r="AQ1187">
        <f t="shared" si="688"/>
        <v>0</v>
      </c>
    </row>
    <row r="1188" spans="6:43" x14ac:dyDescent="0.45">
      <c r="F1188">
        <f t="shared" si="689"/>
        <v>0</v>
      </c>
      <c r="G1188">
        <f t="shared" si="690"/>
        <v>0</v>
      </c>
      <c r="H1188">
        <f t="shared" si="691"/>
        <v>0</v>
      </c>
      <c r="I1188">
        <f t="shared" si="692"/>
        <v>0</v>
      </c>
      <c r="J1188">
        <f t="shared" si="693"/>
        <v>0</v>
      </c>
      <c r="K1188">
        <f t="shared" si="694"/>
        <v>0</v>
      </c>
      <c r="L1188">
        <f t="shared" si="695"/>
        <v>0</v>
      </c>
      <c r="M1188">
        <f t="shared" si="696"/>
        <v>0</v>
      </c>
      <c r="N1188">
        <f t="shared" si="697"/>
        <v>0</v>
      </c>
      <c r="O1188">
        <f t="shared" si="698"/>
        <v>0</v>
      </c>
      <c r="P1188">
        <f t="shared" si="699"/>
        <v>0</v>
      </c>
      <c r="Q1188">
        <f t="shared" si="700"/>
        <v>0</v>
      </c>
      <c r="S1188">
        <f t="shared" si="665"/>
        <v>0</v>
      </c>
      <c r="T1188">
        <f t="shared" si="666"/>
        <v>0</v>
      </c>
      <c r="U1188">
        <f t="shared" si="667"/>
        <v>0</v>
      </c>
      <c r="V1188">
        <f t="shared" si="668"/>
        <v>0</v>
      </c>
      <c r="W1188">
        <f t="shared" si="669"/>
        <v>0</v>
      </c>
      <c r="X1188">
        <f t="shared" si="670"/>
        <v>0</v>
      </c>
      <c r="Y1188">
        <f t="shared" si="671"/>
        <v>0</v>
      </c>
      <c r="Z1188">
        <f t="shared" si="672"/>
        <v>0</v>
      </c>
      <c r="AA1188">
        <f t="shared" si="673"/>
        <v>0</v>
      </c>
      <c r="AB1188">
        <f t="shared" si="674"/>
        <v>0</v>
      </c>
      <c r="AC1188">
        <f t="shared" si="675"/>
        <v>0</v>
      </c>
      <c r="AD1188">
        <f t="shared" si="676"/>
        <v>0</v>
      </c>
      <c r="AF1188">
        <f t="shared" si="677"/>
        <v>0</v>
      </c>
      <c r="AG1188">
        <f t="shared" si="678"/>
        <v>0</v>
      </c>
      <c r="AH1188">
        <f t="shared" si="679"/>
        <v>0</v>
      </c>
      <c r="AI1188">
        <f t="shared" si="680"/>
        <v>0</v>
      </c>
      <c r="AJ1188">
        <f t="shared" si="681"/>
        <v>0</v>
      </c>
      <c r="AK1188">
        <f t="shared" si="682"/>
        <v>0</v>
      </c>
      <c r="AL1188">
        <f t="shared" si="683"/>
        <v>0</v>
      </c>
      <c r="AM1188">
        <f t="shared" si="684"/>
        <v>0</v>
      </c>
      <c r="AN1188">
        <f t="shared" si="685"/>
        <v>0</v>
      </c>
      <c r="AO1188">
        <f t="shared" si="686"/>
        <v>0</v>
      </c>
      <c r="AP1188">
        <f t="shared" si="687"/>
        <v>0</v>
      </c>
      <c r="AQ1188">
        <f t="shared" si="688"/>
        <v>0</v>
      </c>
    </row>
    <row r="1189" spans="6:43" x14ac:dyDescent="0.45">
      <c r="F1189">
        <f t="shared" si="689"/>
        <v>0</v>
      </c>
      <c r="G1189">
        <f t="shared" si="690"/>
        <v>0</v>
      </c>
      <c r="H1189">
        <f t="shared" si="691"/>
        <v>0</v>
      </c>
      <c r="I1189">
        <f t="shared" si="692"/>
        <v>0</v>
      </c>
      <c r="J1189">
        <f t="shared" si="693"/>
        <v>0</v>
      </c>
      <c r="K1189">
        <f t="shared" si="694"/>
        <v>0</v>
      </c>
      <c r="L1189">
        <f t="shared" si="695"/>
        <v>0</v>
      </c>
      <c r="M1189">
        <f t="shared" si="696"/>
        <v>0</v>
      </c>
      <c r="N1189">
        <f t="shared" si="697"/>
        <v>0</v>
      </c>
      <c r="O1189">
        <f t="shared" si="698"/>
        <v>0</v>
      </c>
      <c r="P1189">
        <f t="shared" si="699"/>
        <v>0</v>
      </c>
      <c r="Q1189">
        <f t="shared" si="700"/>
        <v>0</v>
      </c>
      <c r="S1189">
        <f t="shared" si="665"/>
        <v>0</v>
      </c>
      <c r="T1189">
        <f t="shared" si="666"/>
        <v>0</v>
      </c>
      <c r="U1189">
        <f t="shared" si="667"/>
        <v>0</v>
      </c>
      <c r="V1189">
        <f t="shared" si="668"/>
        <v>0</v>
      </c>
      <c r="W1189">
        <f t="shared" si="669"/>
        <v>0</v>
      </c>
      <c r="X1189">
        <f t="shared" si="670"/>
        <v>0</v>
      </c>
      <c r="Y1189">
        <f t="shared" si="671"/>
        <v>0</v>
      </c>
      <c r="Z1189">
        <f t="shared" si="672"/>
        <v>0</v>
      </c>
      <c r="AA1189">
        <f t="shared" si="673"/>
        <v>0</v>
      </c>
      <c r="AB1189">
        <f t="shared" si="674"/>
        <v>0</v>
      </c>
      <c r="AC1189">
        <f t="shared" si="675"/>
        <v>0</v>
      </c>
      <c r="AD1189">
        <f t="shared" si="676"/>
        <v>0</v>
      </c>
      <c r="AF1189">
        <f t="shared" si="677"/>
        <v>0</v>
      </c>
      <c r="AG1189">
        <f t="shared" si="678"/>
        <v>0</v>
      </c>
      <c r="AH1189">
        <f t="shared" si="679"/>
        <v>0</v>
      </c>
      <c r="AI1189">
        <f t="shared" si="680"/>
        <v>0</v>
      </c>
      <c r="AJ1189">
        <f t="shared" si="681"/>
        <v>0</v>
      </c>
      <c r="AK1189">
        <f t="shared" si="682"/>
        <v>0</v>
      </c>
      <c r="AL1189">
        <f t="shared" si="683"/>
        <v>0</v>
      </c>
      <c r="AM1189">
        <f t="shared" si="684"/>
        <v>0</v>
      </c>
      <c r="AN1189">
        <f t="shared" si="685"/>
        <v>0</v>
      </c>
      <c r="AO1189">
        <f t="shared" si="686"/>
        <v>0</v>
      </c>
      <c r="AP1189">
        <f t="shared" si="687"/>
        <v>0</v>
      </c>
      <c r="AQ1189">
        <f t="shared" si="688"/>
        <v>0</v>
      </c>
    </row>
    <row r="1190" spans="6:43" x14ac:dyDescent="0.45">
      <c r="F1190">
        <f t="shared" si="689"/>
        <v>0</v>
      </c>
      <c r="G1190">
        <f t="shared" si="690"/>
        <v>0</v>
      </c>
      <c r="H1190">
        <f t="shared" si="691"/>
        <v>0</v>
      </c>
      <c r="I1190">
        <f t="shared" si="692"/>
        <v>0</v>
      </c>
      <c r="J1190">
        <f t="shared" si="693"/>
        <v>0</v>
      </c>
      <c r="K1190">
        <f t="shared" si="694"/>
        <v>0</v>
      </c>
      <c r="L1190">
        <f t="shared" si="695"/>
        <v>0</v>
      </c>
      <c r="M1190">
        <f t="shared" si="696"/>
        <v>0</v>
      </c>
      <c r="N1190">
        <f t="shared" si="697"/>
        <v>0</v>
      </c>
      <c r="O1190">
        <f t="shared" si="698"/>
        <v>0</v>
      </c>
      <c r="P1190">
        <f t="shared" si="699"/>
        <v>0</v>
      </c>
      <c r="Q1190">
        <f t="shared" si="700"/>
        <v>0</v>
      </c>
      <c r="S1190">
        <f t="shared" si="665"/>
        <v>0</v>
      </c>
      <c r="T1190">
        <f t="shared" si="666"/>
        <v>0</v>
      </c>
      <c r="U1190">
        <f t="shared" si="667"/>
        <v>0</v>
      </c>
      <c r="V1190">
        <f t="shared" si="668"/>
        <v>0</v>
      </c>
      <c r="W1190">
        <f t="shared" si="669"/>
        <v>0</v>
      </c>
      <c r="X1190">
        <f t="shared" si="670"/>
        <v>0</v>
      </c>
      <c r="Y1190">
        <f t="shared" si="671"/>
        <v>0</v>
      </c>
      <c r="Z1190">
        <f t="shared" si="672"/>
        <v>0</v>
      </c>
      <c r="AA1190">
        <f t="shared" si="673"/>
        <v>0</v>
      </c>
      <c r="AB1190">
        <f t="shared" si="674"/>
        <v>0</v>
      </c>
      <c r="AC1190">
        <f t="shared" si="675"/>
        <v>0</v>
      </c>
      <c r="AD1190">
        <f t="shared" si="676"/>
        <v>0</v>
      </c>
      <c r="AF1190">
        <f t="shared" si="677"/>
        <v>0</v>
      </c>
      <c r="AG1190">
        <f t="shared" si="678"/>
        <v>0</v>
      </c>
      <c r="AH1190">
        <f t="shared" si="679"/>
        <v>0</v>
      </c>
      <c r="AI1190">
        <f t="shared" si="680"/>
        <v>0</v>
      </c>
      <c r="AJ1190">
        <f t="shared" si="681"/>
        <v>0</v>
      </c>
      <c r="AK1190">
        <f t="shared" si="682"/>
        <v>0</v>
      </c>
      <c r="AL1190">
        <f t="shared" si="683"/>
        <v>0</v>
      </c>
      <c r="AM1190">
        <f t="shared" si="684"/>
        <v>0</v>
      </c>
      <c r="AN1190">
        <f t="shared" si="685"/>
        <v>0</v>
      </c>
      <c r="AO1190">
        <f t="shared" si="686"/>
        <v>0</v>
      </c>
      <c r="AP1190">
        <f t="shared" si="687"/>
        <v>0</v>
      </c>
      <c r="AQ1190">
        <f t="shared" si="688"/>
        <v>0</v>
      </c>
    </row>
    <row r="1191" spans="6:43" x14ac:dyDescent="0.45">
      <c r="F1191">
        <f t="shared" si="689"/>
        <v>0</v>
      </c>
      <c r="G1191">
        <f t="shared" si="690"/>
        <v>0</v>
      </c>
      <c r="H1191">
        <f t="shared" si="691"/>
        <v>0</v>
      </c>
      <c r="I1191">
        <f t="shared" si="692"/>
        <v>0</v>
      </c>
      <c r="J1191">
        <f t="shared" si="693"/>
        <v>0</v>
      </c>
      <c r="K1191">
        <f t="shared" si="694"/>
        <v>0</v>
      </c>
      <c r="L1191">
        <f t="shared" si="695"/>
        <v>0</v>
      </c>
      <c r="M1191">
        <f t="shared" si="696"/>
        <v>0</v>
      </c>
      <c r="N1191">
        <f t="shared" si="697"/>
        <v>0</v>
      </c>
      <c r="O1191">
        <f t="shared" si="698"/>
        <v>0</v>
      </c>
      <c r="P1191">
        <f t="shared" si="699"/>
        <v>0</v>
      </c>
      <c r="Q1191">
        <f t="shared" si="700"/>
        <v>0</v>
      </c>
      <c r="S1191">
        <f t="shared" si="665"/>
        <v>0</v>
      </c>
      <c r="T1191">
        <f t="shared" si="666"/>
        <v>0</v>
      </c>
      <c r="U1191">
        <f t="shared" si="667"/>
        <v>0</v>
      </c>
      <c r="V1191">
        <f t="shared" si="668"/>
        <v>0</v>
      </c>
      <c r="W1191">
        <f t="shared" si="669"/>
        <v>0</v>
      </c>
      <c r="X1191">
        <f t="shared" si="670"/>
        <v>0</v>
      </c>
      <c r="Y1191">
        <f t="shared" si="671"/>
        <v>0</v>
      </c>
      <c r="Z1191">
        <f t="shared" si="672"/>
        <v>0</v>
      </c>
      <c r="AA1191">
        <f t="shared" si="673"/>
        <v>0</v>
      </c>
      <c r="AB1191">
        <f t="shared" si="674"/>
        <v>0</v>
      </c>
      <c r="AC1191">
        <f t="shared" si="675"/>
        <v>0</v>
      </c>
      <c r="AD1191">
        <f t="shared" si="676"/>
        <v>0</v>
      </c>
      <c r="AF1191">
        <f t="shared" si="677"/>
        <v>0</v>
      </c>
      <c r="AG1191">
        <f t="shared" si="678"/>
        <v>0</v>
      </c>
      <c r="AH1191">
        <f t="shared" si="679"/>
        <v>0</v>
      </c>
      <c r="AI1191">
        <f t="shared" si="680"/>
        <v>0</v>
      </c>
      <c r="AJ1191">
        <f t="shared" si="681"/>
        <v>0</v>
      </c>
      <c r="AK1191">
        <f t="shared" si="682"/>
        <v>0</v>
      </c>
      <c r="AL1191">
        <f t="shared" si="683"/>
        <v>0</v>
      </c>
      <c r="AM1191">
        <f t="shared" si="684"/>
        <v>0</v>
      </c>
      <c r="AN1191">
        <f t="shared" si="685"/>
        <v>0</v>
      </c>
      <c r="AO1191">
        <f t="shared" si="686"/>
        <v>0</v>
      </c>
      <c r="AP1191">
        <f t="shared" si="687"/>
        <v>0</v>
      </c>
      <c r="AQ1191">
        <f t="shared" si="688"/>
        <v>0</v>
      </c>
    </row>
    <row r="1192" spans="6:43" x14ac:dyDescent="0.45">
      <c r="F1192">
        <f t="shared" si="689"/>
        <v>0</v>
      </c>
      <c r="G1192">
        <f t="shared" si="690"/>
        <v>0</v>
      </c>
      <c r="H1192">
        <f t="shared" si="691"/>
        <v>0</v>
      </c>
      <c r="I1192">
        <f t="shared" si="692"/>
        <v>0</v>
      </c>
      <c r="J1192">
        <f t="shared" si="693"/>
        <v>0</v>
      </c>
      <c r="K1192">
        <f t="shared" si="694"/>
        <v>0</v>
      </c>
      <c r="L1192">
        <f t="shared" si="695"/>
        <v>0</v>
      </c>
      <c r="M1192">
        <f t="shared" si="696"/>
        <v>0</v>
      </c>
      <c r="N1192">
        <f t="shared" si="697"/>
        <v>0</v>
      </c>
      <c r="O1192">
        <f t="shared" si="698"/>
        <v>0</v>
      </c>
      <c r="P1192">
        <f t="shared" si="699"/>
        <v>0</v>
      </c>
      <c r="Q1192">
        <f t="shared" si="700"/>
        <v>0</v>
      </c>
      <c r="S1192">
        <f t="shared" si="665"/>
        <v>0</v>
      </c>
      <c r="T1192">
        <f t="shared" si="666"/>
        <v>0</v>
      </c>
      <c r="U1192">
        <f t="shared" si="667"/>
        <v>0</v>
      </c>
      <c r="V1192">
        <f t="shared" si="668"/>
        <v>0</v>
      </c>
      <c r="W1192">
        <f t="shared" si="669"/>
        <v>0</v>
      </c>
      <c r="X1192">
        <f t="shared" si="670"/>
        <v>0</v>
      </c>
      <c r="Y1192">
        <f t="shared" si="671"/>
        <v>0</v>
      </c>
      <c r="Z1192">
        <f t="shared" si="672"/>
        <v>0</v>
      </c>
      <c r="AA1192">
        <f t="shared" si="673"/>
        <v>0</v>
      </c>
      <c r="AB1192">
        <f t="shared" si="674"/>
        <v>0</v>
      </c>
      <c r="AC1192">
        <f t="shared" si="675"/>
        <v>0</v>
      </c>
      <c r="AD1192">
        <f t="shared" si="676"/>
        <v>0</v>
      </c>
      <c r="AF1192">
        <f t="shared" si="677"/>
        <v>0</v>
      </c>
      <c r="AG1192">
        <f t="shared" si="678"/>
        <v>0</v>
      </c>
      <c r="AH1192">
        <f t="shared" si="679"/>
        <v>0</v>
      </c>
      <c r="AI1192">
        <f t="shared" si="680"/>
        <v>0</v>
      </c>
      <c r="AJ1192">
        <f t="shared" si="681"/>
        <v>0</v>
      </c>
      <c r="AK1192">
        <f t="shared" si="682"/>
        <v>0</v>
      </c>
      <c r="AL1192">
        <f t="shared" si="683"/>
        <v>0</v>
      </c>
      <c r="AM1192">
        <f t="shared" si="684"/>
        <v>0</v>
      </c>
      <c r="AN1192">
        <f t="shared" si="685"/>
        <v>0</v>
      </c>
      <c r="AO1192">
        <f t="shared" si="686"/>
        <v>0</v>
      </c>
      <c r="AP1192">
        <f t="shared" si="687"/>
        <v>0</v>
      </c>
      <c r="AQ1192">
        <f t="shared" si="688"/>
        <v>0</v>
      </c>
    </row>
    <row r="1193" spans="6:43" x14ac:dyDescent="0.45">
      <c r="F1193">
        <f t="shared" si="689"/>
        <v>0</v>
      </c>
      <c r="G1193">
        <f t="shared" si="690"/>
        <v>0</v>
      </c>
      <c r="H1193">
        <f t="shared" si="691"/>
        <v>0</v>
      </c>
      <c r="I1193">
        <f t="shared" si="692"/>
        <v>0</v>
      </c>
      <c r="J1193">
        <f t="shared" si="693"/>
        <v>0</v>
      </c>
      <c r="K1193">
        <f t="shared" si="694"/>
        <v>0</v>
      </c>
      <c r="L1193">
        <f t="shared" si="695"/>
        <v>0</v>
      </c>
      <c r="M1193">
        <f t="shared" si="696"/>
        <v>0</v>
      </c>
      <c r="N1193">
        <f t="shared" si="697"/>
        <v>0</v>
      </c>
      <c r="O1193">
        <f t="shared" si="698"/>
        <v>0</v>
      </c>
      <c r="P1193">
        <f t="shared" si="699"/>
        <v>0</v>
      </c>
      <c r="Q1193">
        <f t="shared" si="700"/>
        <v>0</v>
      </c>
      <c r="S1193">
        <f t="shared" si="665"/>
        <v>0</v>
      </c>
      <c r="T1193">
        <f t="shared" si="666"/>
        <v>0</v>
      </c>
      <c r="U1193">
        <f t="shared" si="667"/>
        <v>0</v>
      </c>
      <c r="V1193">
        <f t="shared" si="668"/>
        <v>0</v>
      </c>
      <c r="W1193">
        <f t="shared" si="669"/>
        <v>0</v>
      </c>
      <c r="X1193">
        <f t="shared" si="670"/>
        <v>0</v>
      </c>
      <c r="Y1193">
        <f t="shared" si="671"/>
        <v>0</v>
      </c>
      <c r="Z1193">
        <f t="shared" si="672"/>
        <v>0</v>
      </c>
      <c r="AA1193">
        <f t="shared" si="673"/>
        <v>0</v>
      </c>
      <c r="AB1193">
        <f t="shared" si="674"/>
        <v>0</v>
      </c>
      <c r="AC1193">
        <f t="shared" si="675"/>
        <v>0</v>
      </c>
      <c r="AD1193">
        <f t="shared" si="676"/>
        <v>0</v>
      </c>
      <c r="AF1193">
        <f t="shared" si="677"/>
        <v>0</v>
      </c>
      <c r="AG1193">
        <f t="shared" si="678"/>
        <v>0</v>
      </c>
      <c r="AH1193">
        <f t="shared" si="679"/>
        <v>0</v>
      </c>
      <c r="AI1193">
        <f t="shared" si="680"/>
        <v>0</v>
      </c>
      <c r="AJ1193">
        <f t="shared" si="681"/>
        <v>0</v>
      </c>
      <c r="AK1193">
        <f t="shared" si="682"/>
        <v>0</v>
      </c>
      <c r="AL1193">
        <f t="shared" si="683"/>
        <v>0</v>
      </c>
      <c r="AM1193">
        <f t="shared" si="684"/>
        <v>0</v>
      </c>
      <c r="AN1193">
        <f t="shared" si="685"/>
        <v>0</v>
      </c>
      <c r="AO1193">
        <f t="shared" si="686"/>
        <v>0</v>
      </c>
      <c r="AP1193">
        <f t="shared" si="687"/>
        <v>0</v>
      </c>
      <c r="AQ1193">
        <f t="shared" si="688"/>
        <v>0</v>
      </c>
    </row>
    <row r="1194" spans="6:43" x14ac:dyDescent="0.45">
      <c r="F1194">
        <f t="shared" si="689"/>
        <v>0</v>
      </c>
      <c r="G1194">
        <f t="shared" si="690"/>
        <v>0</v>
      </c>
      <c r="H1194">
        <f t="shared" si="691"/>
        <v>0</v>
      </c>
      <c r="I1194">
        <f t="shared" si="692"/>
        <v>0</v>
      </c>
      <c r="J1194">
        <f t="shared" si="693"/>
        <v>0</v>
      </c>
      <c r="K1194">
        <f t="shared" si="694"/>
        <v>0</v>
      </c>
      <c r="L1194">
        <f t="shared" si="695"/>
        <v>0</v>
      </c>
      <c r="M1194">
        <f t="shared" si="696"/>
        <v>0</v>
      </c>
      <c r="N1194">
        <f t="shared" si="697"/>
        <v>0</v>
      </c>
      <c r="O1194">
        <f t="shared" si="698"/>
        <v>0</v>
      </c>
      <c r="P1194">
        <f t="shared" si="699"/>
        <v>0</v>
      </c>
      <c r="Q1194">
        <f t="shared" si="700"/>
        <v>0</v>
      </c>
      <c r="S1194">
        <f t="shared" si="665"/>
        <v>0</v>
      </c>
      <c r="T1194">
        <f t="shared" si="666"/>
        <v>0</v>
      </c>
      <c r="U1194">
        <f t="shared" si="667"/>
        <v>0</v>
      </c>
      <c r="V1194">
        <f t="shared" si="668"/>
        <v>0</v>
      </c>
      <c r="W1194">
        <f t="shared" si="669"/>
        <v>0</v>
      </c>
      <c r="X1194">
        <f t="shared" si="670"/>
        <v>0</v>
      </c>
      <c r="Y1194">
        <f t="shared" si="671"/>
        <v>0</v>
      </c>
      <c r="Z1194">
        <f t="shared" si="672"/>
        <v>0</v>
      </c>
      <c r="AA1194">
        <f t="shared" si="673"/>
        <v>0</v>
      </c>
      <c r="AB1194">
        <f t="shared" si="674"/>
        <v>0</v>
      </c>
      <c r="AC1194">
        <f t="shared" si="675"/>
        <v>0</v>
      </c>
      <c r="AD1194">
        <f t="shared" si="676"/>
        <v>0</v>
      </c>
      <c r="AF1194">
        <f t="shared" si="677"/>
        <v>0</v>
      </c>
      <c r="AG1194">
        <f t="shared" si="678"/>
        <v>0</v>
      </c>
      <c r="AH1194">
        <f t="shared" si="679"/>
        <v>0</v>
      </c>
      <c r="AI1194">
        <f t="shared" si="680"/>
        <v>0</v>
      </c>
      <c r="AJ1194">
        <f t="shared" si="681"/>
        <v>0</v>
      </c>
      <c r="AK1194">
        <f t="shared" si="682"/>
        <v>0</v>
      </c>
      <c r="AL1194">
        <f t="shared" si="683"/>
        <v>0</v>
      </c>
      <c r="AM1194">
        <f t="shared" si="684"/>
        <v>0</v>
      </c>
      <c r="AN1194">
        <f t="shared" si="685"/>
        <v>0</v>
      </c>
      <c r="AO1194">
        <f t="shared" si="686"/>
        <v>0</v>
      </c>
      <c r="AP1194">
        <f t="shared" si="687"/>
        <v>0</v>
      </c>
      <c r="AQ1194">
        <f t="shared" si="688"/>
        <v>0</v>
      </c>
    </row>
    <row r="1195" spans="6:43" x14ac:dyDescent="0.45">
      <c r="F1195">
        <f t="shared" si="689"/>
        <v>0</v>
      </c>
      <c r="G1195">
        <f t="shared" si="690"/>
        <v>0</v>
      </c>
      <c r="H1195">
        <f t="shared" si="691"/>
        <v>0</v>
      </c>
      <c r="I1195">
        <f t="shared" si="692"/>
        <v>0</v>
      </c>
      <c r="J1195">
        <f t="shared" si="693"/>
        <v>0</v>
      </c>
      <c r="K1195">
        <f t="shared" si="694"/>
        <v>0</v>
      </c>
      <c r="L1195">
        <f t="shared" si="695"/>
        <v>0</v>
      </c>
      <c r="M1195">
        <f t="shared" si="696"/>
        <v>0</v>
      </c>
      <c r="N1195">
        <f t="shared" si="697"/>
        <v>0</v>
      </c>
      <c r="O1195">
        <f t="shared" si="698"/>
        <v>0</v>
      </c>
      <c r="P1195">
        <f t="shared" si="699"/>
        <v>0</v>
      </c>
      <c r="Q1195">
        <f t="shared" si="700"/>
        <v>0</v>
      </c>
      <c r="S1195">
        <f t="shared" ref="S1195:S1258" si="701">IF(F1195&gt;0,1,0)+S1196</f>
        <v>0</v>
      </c>
      <c r="T1195">
        <f t="shared" ref="T1195:T1258" si="702">IF(G1195&gt;0,1,0)+T1196</f>
        <v>0</v>
      </c>
      <c r="U1195">
        <f t="shared" ref="U1195:U1258" si="703">IF(H1195&gt;0,1,0)+U1196</f>
        <v>0</v>
      </c>
      <c r="V1195">
        <f t="shared" ref="V1195:V1258" si="704">IF(I1195&gt;0,1,0)+V1196</f>
        <v>0</v>
      </c>
      <c r="W1195">
        <f t="shared" ref="W1195:W1258" si="705">IF(J1195&gt;0,1,0)+W1196</f>
        <v>0</v>
      </c>
      <c r="X1195">
        <f t="shared" ref="X1195:X1258" si="706">IF(K1195&gt;0,1,0)+X1196</f>
        <v>0</v>
      </c>
      <c r="Y1195">
        <f t="shared" ref="Y1195:Y1258" si="707">IF(L1195&gt;0,1,0)+Y1196</f>
        <v>0</v>
      </c>
      <c r="Z1195">
        <f t="shared" ref="Z1195:Z1258" si="708">IF(M1195&gt;0,1,0)+Z1196</f>
        <v>0</v>
      </c>
      <c r="AA1195">
        <f t="shared" ref="AA1195:AA1258" si="709">IF(N1195&gt;0,1,0)+AA1196</f>
        <v>0</v>
      </c>
      <c r="AB1195">
        <f t="shared" ref="AB1195:AB1258" si="710">IF(O1195&gt;0,1,0)+AB1196</f>
        <v>0</v>
      </c>
      <c r="AC1195">
        <f t="shared" ref="AC1195:AC1258" si="711">IF(P1195&gt;0,1,0)+AC1196</f>
        <v>0</v>
      </c>
      <c r="AD1195">
        <f t="shared" ref="AD1195:AD1258" si="712">IF(Q1195&gt;0,1,0)+AD1196</f>
        <v>0</v>
      </c>
      <c r="AF1195">
        <f t="shared" ref="AF1195:AF1258" si="713">IF(S1195&lt;=$AT$1,F1195,0)</f>
        <v>0</v>
      </c>
      <c r="AG1195">
        <f t="shared" ref="AG1195:AG1258" si="714">IF(T1195&lt;=$AT$1,G1195,0)</f>
        <v>0</v>
      </c>
      <c r="AH1195">
        <f t="shared" ref="AH1195:AH1258" si="715">IF(U1195&lt;=$AT$1,H1195,0)</f>
        <v>0</v>
      </c>
      <c r="AI1195">
        <f t="shared" ref="AI1195:AI1258" si="716">IF(V1195&lt;=$AT$1,I1195,0)</f>
        <v>0</v>
      </c>
      <c r="AJ1195">
        <f t="shared" ref="AJ1195:AJ1258" si="717">IF(W1195&lt;=$AT$1,J1195,0)</f>
        <v>0</v>
      </c>
      <c r="AK1195">
        <f t="shared" ref="AK1195:AK1258" si="718">IF(X1195&lt;=$AT$1,K1195,0)</f>
        <v>0</v>
      </c>
      <c r="AL1195">
        <f t="shared" ref="AL1195:AL1258" si="719">IF(Y1195&lt;=$AT$1,L1195,0)</f>
        <v>0</v>
      </c>
      <c r="AM1195">
        <f t="shared" ref="AM1195:AM1258" si="720">IF(Z1195&lt;=$AT$1,M1195,0)</f>
        <v>0</v>
      </c>
      <c r="AN1195">
        <f t="shared" ref="AN1195:AN1258" si="721">IF(AA1195&lt;=$AT$1,N1195,0)</f>
        <v>0</v>
      </c>
      <c r="AO1195">
        <f t="shared" ref="AO1195:AO1258" si="722">IF(AB1195&lt;=$AT$1,O1195,0)</f>
        <v>0</v>
      </c>
      <c r="AP1195">
        <f t="shared" ref="AP1195:AP1258" si="723">IF(AC1195&lt;=$AT$1,P1195,0)</f>
        <v>0</v>
      </c>
      <c r="AQ1195">
        <f t="shared" ref="AQ1195:AQ1258" si="724">IF(AD1195&lt;=$AT$1,Q1195,0)</f>
        <v>0</v>
      </c>
    </row>
    <row r="1196" spans="6:43" x14ac:dyDescent="0.45">
      <c r="F1196">
        <f t="shared" si="689"/>
        <v>0</v>
      </c>
      <c r="G1196">
        <f t="shared" si="690"/>
        <v>0</v>
      </c>
      <c r="H1196">
        <f t="shared" si="691"/>
        <v>0</v>
      </c>
      <c r="I1196">
        <f t="shared" si="692"/>
        <v>0</v>
      </c>
      <c r="J1196">
        <f t="shared" si="693"/>
        <v>0</v>
      </c>
      <c r="K1196">
        <f t="shared" si="694"/>
        <v>0</v>
      </c>
      <c r="L1196">
        <f t="shared" si="695"/>
        <v>0</v>
      </c>
      <c r="M1196">
        <f t="shared" si="696"/>
        <v>0</v>
      </c>
      <c r="N1196">
        <f t="shared" si="697"/>
        <v>0</v>
      </c>
      <c r="O1196">
        <f t="shared" si="698"/>
        <v>0</v>
      </c>
      <c r="P1196">
        <f t="shared" si="699"/>
        <v>0</v>
      </c>
      <c r="Q1196">
        <f t="shared" si="700"/>
        <v>0</v>
      </c>
      <c r="S1196">
        <f t="shared" si="701"/>
        <v>0</v>
      </c>
      <c r="T1196">
        <f t="shared" si="702"/>
        <v>0</v>
      </c>
      <c r="U1196">
        <f t="shared" si="703"/>
        <v>0</v>
      </c>
      <c r="V1196">
        <f t="shared" si="704"/>
        <v>0</v>
      </c>
      <c r="W1196">
        <f t="shared" si="705"/>
        <v>0</v>
      </c>
      <c r="X1196">
        <f t="shared" si="706"/>
        <v>0</v>
      </c>
      <c r="Y1196">
        <f t="shared" si="707"/>
        <v>0</v>
      </c>
      <c r="Z1196">
        <f t="shared" si="708"/>
        <v>0</v>
      </c>
      <c r="AA1196">
        <f t="shared" si="709"/>
        <v>0</v>
      </c>
      <c r="AB1196">
        <f t="shared" si="710"/>
        <v>0</v>
      </c>
      <c r="AC1196">
        <f t="shared" si="711"/>
        <v>0</v>
      </c>
      <c r="AD1196">
        <f t="shared" si="712"/>
        <v>0</v>
      </c>
      <c r="AF1196">
        <f t="shared" si="713"/>
        <v>0</v>
      </c>
      <c r="AG1196">
        <f t="shared" si="714"/>
        <v>0</v>
      </c>
      <c r="AH1196">
        <f t="shared" si="715"/>
        <v>0</v>
      </c>
      <c r="AI1196">
        <f t="shared" si="716"/>
        <v>0</v>
      </c>
      <c r="AJ1196">
        <f t="shared" si="717"/>
        <v>0</v>
      </c>
      <c r="AK1196">
        <f t="shared" si="718"/>
        <v>0</v>
      </c>
      <c r="AL1196">
        <f t="shared" si="719"/>
        <v>0</v>
      </c>
      <c r="AM1196">
        <f t="shared" si="720"/>
        <v>0</v>
      </c>
      <c r="AN1196">
        <f t="shared" si="721"/>
        <v>0</v>
      </c>
      <c r="AO1196">
        <f t="shared" si="722"/>
        <v>0</v>
      </c>
      <c r="AP1196">
        <f t="shared" si="723"/>
        <v>0</v>
      </c>
      <c r="AQ1196">
        <f t="shared" si="724"/>
        <v>0</v>
      </c>
    </row>
    <row r="1197" spans="6:43" x14ac:dyDescent="0.45">
      <c r="F1197">
        <f t="shared" si="689"/>
        <v>0</v>
      </c>
      <c r="G1197">
        <f t="shared" si="690"/>
        <v>0</v>
      </c>
      <c r="H1197">
        <f t="shared" si="691"/>
        <v>0</v>
      </c>
      <c r="I1197">
        <f t="shared" si="692"/>
        <v>0</v>
      </c>
      <c r="J1197">
        <f t="shared" si="693"/>
        <v>0</v>
      </c>
      <c r="K1197">
        <f t="shared" si="694"/>
        <v>0</v>
      </c>
      <c r="L1197">
        <f t="shared" si="695"/>
        <v>0</v>
      </c>
      <c r="M1197">
        <f t="shared" si="696"/>
        <v>0</v>
      </c>
      <c r="N1197">
        <f t="shared" si="697"/>
        <v>0</v>
      </c>
      <c r="O1197">
        <f t="shared" si="698"/>
        <v>0</v>
      </c>
      <c r="P1197">
        <f t="shared" si="699"/>
        <v>0</v>
      </c>
      <c r="Q1197">
        <f t="shared" si="700"/>
        <v>0</v>
      </c>
      <c r="S1197">
        <f t="shared" si="701"/>
        <v>0</v>
      </c>
      <c r="T1197">
        <f t="shared" si="702"/>
        <v>0</v>
      </c>
      <c r="U1197">
        <f t="shared" si="703"/>
        <v>0</v>
      </c>
      <c r="V1197">
        <f t="shared" si="704"/>
        <v>0</v>
      </c>
      <c r="W1197">
        <f t="shared" si="705"/>
        <v>0</v>
      </c>
      <c r="X1197">
        <f t="shared" si="706"/>
        <v>0</v>
      </c>
      <c r="Y1197">
        <f t="shared" si="707"/>
        <v>0</v>
      </c>
      <c r="Z1197">
        <f t="shared" si="708"/>
        <v>0</v>
      </c>
      <c r="AA1197">
        <f t="shared" si="709"/>
        <v>0</v>
      </c>
      <c r="AB1197">
        <f t="shared" si="710"/>
        <v>0</v>
      </c>
      <c r="AC1197">
        <f t="shared" si="711"/>
        <v>0</v>
      </c>
      <c r="AD1197">
        <f t="shared" si="712"/>
        <v>0</v>
      </c>
      <c r="AF1197">
        <f t="shared" si="713"/>
        <v>0</v>
      </c>
      <c r="AG1197">
        <f t="shared" si="714"/>
        <v>0</v>
      </c>
      <c r="AH1197">
        <f t="shared" si="715"/>
        <v>0</v>
      </c>
      <c r="AI1197">
        <f t="shared" si="716"/>
        <v>0</v>
      </c>
      <c r="AJ1197">
        <f t="shared" si="717"/>
        <v>0</v>
      </c>
      <c r="AK1197">
        <f t="shared" si="718"/>
        <v>0</v>
      </c>
      <c r="AL1197">
        <f t="shared" si="719"/>
        <v>0</v>
      </c>
      <c r="AM1197">
        <f t="shared" si="720"/>
        <v>0</v>
      </c>
      <c r="AN1197">
        <f t="shared" si="721"/>
        <v>0</v>
      </c>
      <c r="AO1197">
        <f t="shared" si="722"/>
        <v>0</v>
      </c>
      <c r="AP1197">
        <f t="shared" si="723"/>
        <v>0</v>
      </c>
      <c r="AQ1197">
        <f t="shared" si="724"/>
        <v>0</v>
      </c>
    </row>
    <row r="1198" spans="6:43" x14ac:dyDescent="0.45">
      <c r="F1198">
        <f t="shared" si="689"/>
        <v>0</v>
      </c>
      <c r="G1198">
        <f t="shared" si="690"/>
        <v>0</v>
      </c>
      <c r="H1198">
        <f t="shared" si="691"/>
        <v>0</v>
      </c>
      <c r="I1198">
        <f t="shared" si="692"/>
        <v>0</v>
      </c>
      <c r="J1198">
        <f t="shared" si="693"/>
        <v>0</v>
      </c>
      <c r="K1198">
        <f t="shared" si="694"/>
        <v>0</v>
      </c>
      <c r="L1198">
        <f t="shared" si="695"/>
        <v>0</v>
      </c>
      <c r="M1198">
        <f t="shared" si="696"/>
        <v>0</v>
      </c>
      <c r="N1198">
        <f t="shared" si="697"/>
        <v>0</v>
      </c>
      <c r="O1198">
        <f t="shared" si="698"/>
        <v>0</v>
      </c>
      <c r="P1198">
        <f t="shared" si="699"/>
        <v>0</v>
      </c>
      <c r="Q1198">
        <f t="shared" si="700"/>
        <v>0</v>
      </c>
      <c r="S1198">
        <f t="shared" si="701"/>
        <v>0</v>
      </c>
      <c r="T1198">
        <f t="shared" si="702"/>
        <v>0</v>
      </c>
      <c r="U1198">
        <f t="shared" si="703"/>
        <v>0</v>
      </c>
      <c r="V1198">
        <f t="shared" si="704"/>
        <v>0</v>
      </c>
      <c r="W1198">
        <f t="shared" si="705"/>
        <v>0</v>
      </c>
      <c r="X1198">
        <f t="shared" si="706"/>
        <v>0</v>
      </c>
      <c r="Y1198">
        <f t="shared" si="707"/>
        <v>0</v>
      </c>
      <c r="Z1198">
        <f t="shared" si="708"/>
        <v>0</v>
      </c>
      <c r="AA1198">
        <f t="shared" si="709"/>
        <v>0</v>
      </c>
      <c r="AB1198">
        <f t="shared" si="710"/>
        <v>0</v>
      </c>
      <c r="AC1198">
        <f t="shared" si="711"/>
        <v>0</v>
      </c>
      <c r="AD1198">
        <f t="shared" si="712"/>
        <v>0</v>
      </c>
      <c r="AF1198">
        <f t="shared" si="713"/>
        <v>0</v>
      </c>
      <c r="AG1198">
        <f t="shared" si="714"/>
        <v>0</v>
      </c>
      <c r="AH1198">
        <f t="shared" si="715"/>
        <v>0</v>
      </c>
      <c r="AI1198">
        <f t="shared" si="716"/>
        <v>0</v>
      </c>
      <c r="AJ1198">
        <f t="shared" si="717"/>
        <v>0</v>
      </c>
      <c r="AK1198">
        <f t="shared" si="718"/>
        <v>0</v>
      </c>
      <c r="AL1198">
        <f t="shared" si="719"/>
        <v>0</v>
      </c>
      <c r="AM1198">
        <f t="shared" si="720"/>
        <v>0</v>
      </c>
      <c r="AN1198">
        <f t="shared" si="721"/>
        <v>0</v>
      </c>
      <c r="AO1198">
        <f t="shared" si="722"/>
        <v>0</v>
      </c>
      <c r="AP1198">
        <f t="shared" si="723"/>
        <v>0</v>
      </c>
      <c r="AQ1198">
        <f t="shared" si="724"/>
        <v>0</v>
      </c>
    </row>
    <row r="1199" spans="6:43" x14ac:dyDescent="0.45">
      <c r="F1199">
        <f t="shared" si="689"/>
        <v>0</v>
      </c>
      <c r="G1199">
        <f t="shared" si="690"/>
        <v>0</v>
      </c>
      <c r="H1199">
        <f t="shared" si="691"/>
        <v>0</v>
      </c>
      <c r="I1199">
        <f t="shared" si="692"/>
        <v>0</v>
      </c>
      <c r="J1199">
        <f t="shared" si="693"/>
        <v>0</v>
      </c>
      <c r="K1199">
        <f t="shared" si="694"/>
        <v>0</v>
      </c>
      <c r="L1199">
        <f t="shared" si="695"/>
        <v>0</v>
      </c>
      <c r="M1199">
        <f t="shared" si="696"/>
        <v>0</v>
      </c>
      <c r="N1199">
        <f t="shared" si="697"/>
        <v>0</v>
      </c>
      <c r="O1199">
        <f t="shared" si="698"/>
        <v>0</v>
      </c>
      <c r="P1199">
        <f t="shared" si="699"/>
        <v>0</v>
      </c>
      <c r="Q1199">
        <f t="shared" si="700"/>
        <v>0</v>
      </c>
      <c r="S1199">
        <f t="shared" si="701"/>
        <v>0</v>
      </c>
      <c r="T1199">
        <f t="shared" si="702"/>
        <v>0</v>
      </c>
      <c r="U1199">
        <f t="shared" si="703"/>
        <v>0</v>
      </c>
      <c r="V1199">
        <f t="shared" si="704"/>
        <v>0</v>
      </c>
      <c r="W1199">
        <f t="shared" si="705"/>
        <v>0</v>
      </c>
      <c r="X1199">
        <f t="shared" si="706"/>
        <v>0</v>
      </c>
      <c r="Y1199">
        <f t="shared" si="707"/>
        <v>0</v>
      </c>
      <c r="Z1199">
        <f t="shared" si="708"/>
        <v>0</v>
      </c>
      <c r="AA1199">
        <f t="shared" si="709"/>
        <v>0</v>
      </c>
      <c r="AB1199">
        <f t="shared" si="710"/>
        <v>0</v>
      </c>
      <c r="AC1199">
        <f t="shared" si="711"/>
        <v>0</v>
      </c>
      <c r="AD1199">
        <f t="shared" si="712"/>
        <v>0</v>
      </c>
      <c r="AF1199">
        <f t="shared" si="713"/>
        <v>0</v>
      </c>
      <c r="AG1199">
        <f t="shared" si="714"/>
        <v>0</v>
      </c>
      <c r="AH1199">
        <f t="shared" si="715"/>
        <v>0</v>
      </c>
      <c r="AI1199">
        <f t="shared" si="716"/>
        <v>0</v>
      </c>
      <c r="AJ1199">
        <f t="shared" si="717"/>
        <v>0</v>
      </c>
      <c r="AK1199">
        <f t="shared" si="718"/>
        <v>0</v>
      </c>
      <c r="AL1199">
        <f t="shared" si="719"/>
        <v>0</v>
      </c>
      <c r="AM1199">
        <f t="shared" si="720"/>
        <v>0</v>
      </c>
      <c r="AN1199">
        <f t="shared" si="721"/>
        <v>0</v>
      </c>
      <c r="AO1199">
        <f t="shared" si="722"/>
        <v>0</v>
      </c>
      <c r="AP1199">
        <f t="shared" si="723"/>
        <v>0</v>
      </c>
      <c r="AQ1199">
        <f t="shared" si="724"/>
        <v>0</v>
      </c>
    </row>
    <row r="1200" spans="6:43" x14ac:dyDescent="0.45">
      <c r="F1200">
        <f t="shared" si="689"/>
        <v>0</v>
      </c>
      <c r="G1200">
        <f t="shared" si="690"/>
        <v>0</v>
      </c>
      <c r="H1200">
        <f t="shared" si="691"/>
        <v>0</v>
      </c>
      <c r="I1200">
        <f t="shared" si="692"/>
        <v>0</v>
      </c>
      <c r="J1200">
        <f t="shared" si="693"/>
        <v>0</v>
      </c>
      <c r="K1200">
        <f t="shared" si="694"/>
        <v>0</v>
      </c>
      <c r="L1200">
        <f t="shared" si="695"/>
        <v>0</v>
      </c>
      <c r="M1200">
        <f t="shared" si="696"/>
        <v>0</v>
      </c>
      <c r="N1200">
        <f t="shared" si="697"/>
        <v>0</v>
      </c>
      <c r="O1200">
        <f t="shared" si="698"/>
        <v>0</v>
      </c>
      <c r="P1200">
        <f t="shared" si="699"/>
        <v>0</v>
      </c>
      <c r="Q1200">
        <f t="shared" si="700"/>
        <v>0</v>
      </c>
      <c r="S1200">
        <f t="shared" si="701"/>
        <v>0</v>
      </c>
      <c r="T1200">
        <f t="shared" si="702"/>
        <v>0</v>
      </c>
      <c r="U1200">
        <f t="shared" si="703"/>
        <v>0</v>
      </c>
      <c r="V1200">
        <f t="shared" si="704"/>
        <v>0</v>
      </c>
      <c r="W1200">
        <f t="shared" si="705"/>
        <v>0</v>
      </c>
      <c r="X1200">
        <f t="shared" si="706"/>
        <v>0</v>
      </c>
      <c r="Y1200">
        <f t="shared" si="707"/>
        <v>0</v>
      </c>
      <c r="Z1200">
        <f t="shared" si="708"/>
        <v>0</v>
      </c>
      <c r="AA1200">
        <f t="shared" si="709"/>
        <v>0</v>
      </c>
      <c r="AB1200">
        <f t="shared" si="710"/>
        <v>0</v>
      </c>
      <c r="AC1200">
        <f t="shared" si="711"/>
        <v>0</v>
      </c>
      <c r="AD1200">
        <f t="shared" si="712"/>
        <v>0</v>
      </c>
      <c r="AF1200">
        <f t="shared" si="713"/>
        <v>0</v>
      </c>
      <c r="AG1200">
        <f t="shared" si="714"/>
        <v>0</v>
      </c>
      <c r="AH1200">
        <f t="shared" si="715"/>
        <v>0</v>
      </c>
      <c r="AI1200">
        <f t="shared" si="716"/>
        <v>0</v>
      </c>
      <c r="AJ1200">
        <f t="shared" si="717"/>
        <v>0</v>
      </c>
      <c r="AK1200">
        <f t="shared" si="718"/>
        <v>0</v>
      </c>
      <c r="AL1200">
        <f t="shared" si="719"/>
        <v>0</v>
      </c>
      <c r="AM1200">
        <f t="shared" si="720"/>
        <v>0</v>
      </c>
      <c r="AN1200">
        <f t="shared" si="721"/>
        <v>0</v>
      </c>
      <c r="AO1200">
        <f t="shared" si="722"/>
        <v>0</v>
      </c>
      <c r="AP1200">
        <f t="shared" si="723"/>
        <v>0</v>
      </c>
      <c r="AQ1200">
        <f t="shared" si="724"/>
        <v>0</v>
      </c>
    </row>
    <row r="1201" spans="6:43" x14ac:dyDescent="0.45">
      <c r="F1201">
        <f t="shared" si="689"/>
        <v>0</v>
      </c>
      <c r="G1201">
        <f t="shared" si="690"/>
        <v>0</v>
      </c>
      <c r="H1201">
        <f t="shared" si="691"/>
        <v>0</v>
      </c>
      <c r="I1201">
        <f t="shared" si="692"/>
        <v>0</v>
      </c>
      <c r="J1201">
        <f t="shared" si="693"/>
        <v>0</v>
      </c>
      <c r="K1201">
        <f t="shared" si="694"/>
        <v>0</v>
      </c>
      <c r="L1201">
        <f t="shared" si="695"/>
        <v>0</v>
      </c>
      <c r="M1201">
        <f t="shared" si="696"/>
        <v>0</v>
      </c>
      <c r="N1201">
        <f t="shared" si="697"/>
        <v>0</v>
      </c>
      <c r="O1201">
        <f t="shared" si="698"/>
        <v>0</v>
      </c>
      <c r="P1201">
        <f t="shared" si="699"/>
        <v>0</v>
      </c>
      <c r="Q1201">
        <f t="shared" si="700"/>
        <v>0</v>
      </c>
      <c r="S1201">
        <f t="shared" si="701"/>
        <v>0</v>
      </c>
      <c r="T1201">
        <f t="shared" si="702"/>
        <v>0</v>
      </c>
      <c r="U1201">
        <f t="shared" si="703"/>
        <v>0</v>
      </c>
      <c r="V1201">
        <f t="shared" si="704"/>
        <v>0</v>
      </c>
      <c r="W1201">
        <f t="shared" si="705"/>
        <v>0</v>
      </c>
      <c r="X1201">
        <f t="shared" si="706"/>
        <v>0</v>
      </c>
      <c r="Y1201">
        <f t="shared" si="707"/>
        <v>0</v>
      </c>
      <c r="Z1201">
        <f t="shared" si="708"/>
        <v>0</v>
      </c>
      <c r="AA1201">
        <f t="shared" si="709"/>
        <v>0</v>
      </c>
      <c r="AB1201">
        <f t="shared" si="710"/>
        <v>0</v>
      </c>
      <c r="AC1201">
        <f t="shared" si="711"/>
        <v>0</v>
      </c>
      <c r="AD1201">
        <f t="shared" si="712"/>
        <v>0</v>
      </c>
      <c r="AF1201">
        <f t="shared" si="713"/>
        <v>0</v>
      </c>
      <c r="AG1201">
        <f t="shared" si="714"/>
        <v>0</v>
      </c>
      <c r="AH1201">
        <f t="shared" si="715"/>
        <v>0</v>
      </c>
      <c r="AI1201">
        <f t="shared" si="716"/>
        <v>0</v>
      </c>
      <c r="AJ1201">
        <f t="shared" si="717"/>
        <v>0</v>
      </c>
      <c r="AK1201">
        <f t="shared" si="718"/>
        <v>0</v>
      </c>
      <c r="AL1201">
        <f t="shared" si="719"/>
        <v>0</v>
      </c>
      <c r="AM1201">
        <f t="shared" si="720"/>
        <v>0</v>
      </c>
      <c r="AN1201">
        <f t="shared" si="721"/>
        <v>0</v>
      </c>
      <c r="AO1201">
        <f t="shared" si="722"/>
        <v>0</v>
      </c>
      <c r="AP1201">
        <f t="shared" si="723"/>
        <v>0</v>
      </c>
      <c r="AQ1201">
        <f t="shared" si="724"/>
        <v>0</v>
      </c>
    </row>
    <row r="1202" spans="6:43" x14ac:dyDescent="0.45">
      <c r="F1202">
        <f t="shared" si="689"/>
        <v>0</v>
      </c>
      <c r="G1202">
        <f t="shared" si="690"/>
        <v>0</v>
      </c>
      <c r="H1202">
        <f t="shared" si="691"/>
        <v>0</v>
      </c>
      <c r="I1202">
        <f t="shared" si="692"/>
        <v>0</v>
      </c>
      <c r="J1202">
        <f t="shared" si="693"/>
        <v>0</v>
      </c>
      <c r="K1202">
        <f t="shared" si="694"/>
        <v>0</v>
      </c>
      <c r="L1202">
        <f t="shared" si="695"/>
        <v>0</v>
      </c>
      <c r="M1202">
        <f t="shared" si="696"/>
        <v>0</v>
      </c>
      <c r="N1202">
        <f t="shared" si="697"/>
        <v>0</v>
      </c>
      <c r="O1202">
        <f t="shared" si="698"/>
        <v>0</v>
      </c>
      <c r="P1202">
        <f t="shared" si="699"/>
        <v>0</v>
      </c>
      <c r="Q1202">
        <f t="shared" si="700"/>
        <v>0</v>
      </c>
      <c r="S1202">
        <f t="shared" si="701"/>
        <v>0</v>
      </c>
      <c r="T1202">
        <f t="shared" si="702"/>
        <v>0</v>
      </c>
      <c r="U1202">
        <f t="shared" si="703"/>
        <v>0</v>
      </c>
      <c r="V1202">
        <f t="shared" si="704"/>
        <v>0</v>
      </c>
      <c r="W1202">
        <f t="shared" si="705"/>
        <v>0</v>
      </c>
      <c r="X1202">
        <f t="shared" si="706"/>
        <v>0</v>
      </c>
      <c r="Y1202">
        <f t="shared" si="707"/>
        <v>0</v>
      </c>
      <c r="Z1202">
        <f t="shared" si="708"/>
        <v>0</v>
      </c>
      <c r="AA1202">
        <f t="shared" si="709"/>
        <v>0</v>
      </c>
      <c r="AB1202">
        <f t="shared" si="710"/>
        <v>0</v>
      </c>
      <c r="AC1202">
        <f t="shared" si="711"/>
        <v>0</v>
      </c>
      <c r="AD1202">
        <f t="shared" si="712"/>
        <v>0</v>
      </c>
      <c r="AF1202">
        <f t="shared" si="713"/>
        <v>0</v>
      </c>
      <c r="AG1202">
        <f t="shared" si="714"/>
        <v>0</v>
      </c>
      <c r="AH1202">
        <f t="shared" si="715"/>
        <v>0</v>
      </c>
      <c r="AI1202">
        <f t="shared" si="716"/>
        <v>0</v>
      </c>
      <c r="AJ1202">
        <f t="shared" si="717"/>
        <v>0</v>
      </c>
      <c r="AK1202">
        <f t="shared" si="718"/>
        <v>0</v>
      </c>
      <c r="AL1202">
        <f t="shared" si="719"/>
        <v>0</v>
      </c>
      <c r="AM1202">
        <f t="shared" si="720"/>
        <v>0</v>
      </c>
      <c r="AN1202">
        <f t="shared" si="721"/>
        <v>0</v>
      </c>
      <c r="AO1202">
        <f t="shared" si="722"/>
        <v>0</v>
      </c>
      <c r="AP1202">
        <f t="shared" si="723"/>
        <v>0</v>
      </c>
      <c r="AQ1202">
        <f t="shared" si="724"/>
        <v>0</v>
      </c>
    </row>
    <row r="1203" spans="6:43" x14ac:dyDescent="0.45">
      <c r="F1203">
        <f t="shared" si="689"/>
        <v>0</v>
      </c>
      <c r="G1203">
        <f t="shared" si="690"/>
        <v>0</v>
      </c>
      <c r="H1203">
        <f t="shared" si="691"/>
        <v>0</v>
      </c>
      <c r="I1203">
        <f t="shared" si="692"/>
        <v>0</v>
      </c>
      <c r="J1203">
        <f t="shared" si="693"/>
        <v>0</v>
      </c>
      <c r="K1203">
        <f t="shared" si="694"/>
        <v>0</v>
      </c>
      <c r="L1203">
        <f t="shared" si="695"/>
        <v>0</v>
      </c>
      <c r="M1203">
        <f t="shared" si="696"/>
        <v>0</v>
      </c>
      <c r="N1203">
        <f t="shared" si="697"/>
        <v>0</v>
      </c>
      <c r="O1203">
        <f t="shared" si="698"/>
        <v>0</v>
      </c>
      <c r="P1203">
        <f t="shared" si="699"/>
        <v>0</v>
      </c>
      <c r="Q1203">
        <f t="shared" si="700"/>
        <v>0</v>
      </c>
      <c r="S1203">
        <f t="shared" si="701"/>
        <v>0</v>
      </c>
      <c r="T1203">
        <f t="shared" si="702"/>
        <v>0</v>
      </c>
      <c r="U1203">
        <f t="shared" si="703"/>
        <v>0</v>
      </c>
      <c r="V1203">
        <f t="shared" si="704"/>
        <v>0</v>
      </c>
      <c r="W1203">
        <f t="shared" si="705"/>
        <v>0</v>
      </c>
      <c r="X1203">
        <f t="shared" si="706"/>
        <v>0</v>
      </c>
      <c r="Y1203">
        <f t="shared" si="707"/>
        <v>0</v>
      </c>
      <c r="Z1203">
        <f t="shared" si="708"/>
        <v>0</v>
      </c>
      <c r="AA1203">
        <f t="shared" si="709"/>
        <v>0</v>
      </c>
      <c r="AB1203">
        <f t="shared" si="710"/>
        <v>0</v>
      </c>
      <c r="AC1203">
        <f t="shared" si="711"/>
        <v>0</v>
      </c>
      <c r="AD1203">
        <f t="shared" si="712"/>
        <v>0</v>
      </c>
      <c r="AF1203">
        <f t="shared" si="713"/>
        <v>0</v>
      </c>
      <c r="AG1203">
        <f t="shared" si="714"/>
        <v>0</v>
      </c>
      <c r="AH1203">
        <f t="shared" si="715"/>
        <v>0</v>
      </c>
      <c r="AI1203">
        <f t="shared" si="716"/>
        <v>0</v>
      </c>
      <c r="AJ1203">
        <f t="shared" si="717"/>
        <v>0</v>
      </c>
      <c r="AK1203">
        <f t="shared" si="718"/>
        <v>0</v>
      </c>
      <c r="AL1203">
        <f t="shared" si="719"/>
        <v>0</v>
      </c>
      <c r="AM1203">
        <f t="shared" si="720"/>
        <v>0</v>
      </c>
      <c r="AN1203">
        <f t="shared" si="721"/>
        <v>0</v>
      </c>
      <c r="AO1203">
        <f t="shared" si="722"/>
        <v>0</v>
      </c>
      <c r="AP1203">
        <f t="shared" si="723"/>
        <v>0</v>
      </c>
      <c r="AQ1203">
        <f t="shared" si="724"/>
        <v>0</v>
      </c>
    </row>
    <row r="1204" spans="6:43" x14ac:dyDescent="0.45">
      <c r="F1204">
        <f t="shared" si="689"/>
        <v>0</v>
      </c>
      <c r="G1204">
        <f t="shared" si="690"/>
        <v>0</v>
      </c>
      <c r="H1204">
        <f t="shared" si="691"/>
        <v>0</v>
      </c>
      <c r="I1204">
        <f t="shared" si="692"/>
        <v>0</v>
      </c>
      <c r="J1204">
        <f t="shared" si="693"/>
        <v>0</v>
      </c>
      <c r="K1204">
        <f t="shared" si="694"/>
        <v>0</v>
      </c>
      <c r="L1204">
        <f t="shared" si="695"/>
        <v>0</v>
      </c>
      <c r="M1204">
        <f t="shared" si="696"/>
        <v>0</v>
      </c>
      <c r="N1204">
        <f t="shared" si="697"/>
        <v>0</v>
      </c>
      <c r="O1204">
        <f t="shared" si="698"/>
        <v>0</v>
      </c>
      <c r="P1204">
        <f t="shared" si="699"/>
        <v>0</v>
      </c>
      <c r="Q1204">
        <f t="shared" si="700"/>
        <v>0</v>
      </c>
      <c r="S1204">
        <f t="shared" si="701"/>
        <v>0</v>
      </c>
      <c r="T1204">
        <f t="shared" si="702"/>
        <v>0</v>
      </c>
      <c r="U1204">
        <f t="shared" si="703"/>
        <v>0</v>
      </c>
      <c r="V1204">
        <f t="shared" si="704"/>
        <v>0</v>
      </c>
      <c r="W1204">
        <f t="shared" si="705"/>
        <v>0</v>
      </c>
      <c r="X1204">
        <f t="shared" si="706"/>
        <v>0</v>
      </c>
      <c r="Y1204">
        <f t="shared" si="707"/>
        <v>0</v>
      </c>
      <c r="Z1204">
        <f t="shared" si="708"/>
        <v>0</v>
      </c>
      <c r="AA1204">
        <f t="shared" si="709"/>
        <v>0</v>
      </c>
      <c r="AB1204">
        <f t="shared" si="710"/>
        <v>0</v>
      </c>
      <c r="AC1204">
        <f t="shared" si="711"/>
        <v>0</v>
      </c>
      <c r="AD1204">
        <f t="shared" si="712"/>
        <v>0</v>
      </c>
      <c r="AF1204">
        <f t="shared" si="713"/>
        <v>0</v>
      </c>
      <c r="AG1204">
        <f t="shared" si="714"/>
        <v>0</v>
      </c>
      <c r="AH1204">
        <f t="shared" si="715"/>
        <v>0</v>
      </c>
      <c r="AI1204">
        <f t="shared" si="716"/>
        <v>0</v>
      </c>
      <c r="AJ1204">
        <f t="shared" si="717"/>
        <v>0</v>
      </c>
      <c r="AK1204">
        <f t="shared" si="718"/>
        <v>0</v>
      </c>
      <c r="AL1204">
        <f t="shared" si="719"/>
        <v>0</v>
      </c>
      <c r="AM1204">
        <f t="shared" si="720"/>
        <v>0</v>
      </c>
      <c r="AN1204">
        <f t="shared" si="721"/>
        <v>0</v>
      </c>
      <c r="AO1204">
        <f t="shared" si="722"/>
        <v>0</v>
      </c>
      <c r="AP1204">
        <f t="shared" si="723"/>
        <v>0</v>
      </c>
      <c r="AQ1204">
        <f t="shared" si="724"/>
        <v>0</v>
      </c>
    </row>
    <row r="1205" spans="6:43" x14ac:dyDescent="0.45">
      <c r="F1205">
        <f t="shared" si="689"/>
        <v>0</v>
      </c>
      <c r="G1205">
        <f t="shared" si="690"/>
        <v>0</v>
      </c>
      <c r="H1205">
        <f t="shared" si="691"/>
        <v>0</v>
      </c>
      <c r="I1205">
        <f t="shared" si="692"/>
        <v>0</v>
      </c>
      <c r="J1205">
        <f t="shared" si="693"/>
        <v>0</v>
      </c>
      <c r="K1205">
        <f t="shared" si="694"/>
        <v>0</v>
      </c>
      <c r="L1205">
        <f t="shared" si="695"/>
        <v>0</v>
      </c>
      <c r="M1205">
        <f t="shared" si="696"/>
        <v>0</v>
      </c>
      <c r="N1205">
        <f t="shared" si="697"/>
        <v>0</v>
      </c>
      <c r="O1205">
        <f t="shared" si="698"/>
        <v>0</v>
      </c>
      <c r="P1205">
        <f t="shared" si="699"/>
        <v>0</v>
      </c>
      <c r="Q1205">
        <f t="shared" si="700"/>
        <v>0</v>
      </c>
      <c r="S1205">
        <f t="shared" si="701"/>
        <v>0</v>
      </c>
      <c r="T1205">
        <f t="shared" si="702"/>
        <v>0</v>
      </c>
      <c r="U1205">
        <f t="shared" si="703"/>
        <v>0</v>
      </c>
      <c r="V1205">
        <f t="shared" si="704"/>
        <v>0</v>
      </c>
      <c r="W1205">
        <f t="shared" si="705"/>
        <v>0</v>
      </c>
      <c r="X1205">
        <f t="shared" si="706"/>
        <v>0</v>
      </c>
      <c r="Y1205">
        <f t="shared" si="707"/>
        <v>0</v>
      </c>
      <c r="Z1205">
        <f t="shared" si="708"/>
        <v>0</v>
      </c>
      <c r="AA1205">
        <f t="shared" si="709"/>
        <v>0</v>
      </c>
      <c r="AB1205">
        <f t="shared" si="710"/>
        <v>0</v>
      </c>
      <c r="AC1205">
        <f t="shared" si="711"/>
        <v>0</v>
      </c>
      <c r="AD1205">
        <f t="shared" si="712"/>
        <v>0</v>
      </c>
      <c r="AF1205">
        <f t="shared" si="713"/>
        <v>0</v>
      </c>
      <c r="AG1205">
        <f t="shared" si="714"/>
        <v>0</v>
      </c>
      <c r="AH1205">
        <f t="shared" si="715"/>
        <v>0</v>
      </c>
      <c r="AI1205">
        <f t="shared" si="716"/>
        <v>0</v>
      </c>
      <c r="AJ1205">
        <f t="shared" si="717"/>
        <v>0</v>
      </c>
      <c r="AK1205">
        <f t="shared" si="718"/>
        <v>0</v>
      </c>
      <c r="AL1205">
        <f t="shared" si="719"/>
        <v>0</v>
      </c>
      <c r="AM1205">
        <f t="shared" si="720"/>
        <v>0</v>
      </c>
      <c r="AN1205">
        <f t="shared" si="721"/>
        <v>0</v>
      </c>
      <c r="AO1205">
        <f t="shared" si="722"/>
        <v>0</v>
      </c>
      <c r="AP1205">
        <f t="shared" si="723"/>
        <v>0</v>
      </c>
      <c r="AQ1205">
        <f t="shared" si="724"/>
        <v>0</v>
      </c>
    </row>
    <row r="1206" spans="6:43" x14ac:dyDescent="0.45">
      <c r="F1206">
        <f t="shared" si="689"/>
        <v>0</v>
      </c>
      <c r="G1206">
        <f t="shared" si="690"/>
        <v>0</v>
      </c>
      <c r="H1206">
        <f t="shared" si="691"/>
        <v>0</v>
      </c>
      <c r="I1206">
        <f t="shared" si="692"/>
        <v>0</v>
      </c>
      <c r="J1206">
        <f t="shared" si="693"/>
        <v>0</v>
      </c>
      <c r="K1206">
        <f t="shared" si="694"/>
        <v>0</v>
      </c>
      <c r="L1206">
        <f t="shared" si="695"/>
        <v>0</v>
      </c>
      <c r="M1206">
        <f t="shared" si="696"/>
        <v>0</v>
      </c>
      <c r="N1206">
        <f t="shared" si="697"/>
        <v>0</v>
      </c>
      <c r="O1206">
        <f t="shared" si="698"/>
        <v>0</v>
      </c>
      <c r="P1206">
        <f t="shared" si="699"/>
        <v>0</v>
      </c>
      <c r="Q1206">
        <f t="shared" si="700"/>
        <v>0</v>
      </c>
      <c r="S1206">
        <f t="shared" si="701"/>
        <v>0</v>
      </c>
      <c r="T1206">
        <f t="shared" si="702"/>
        <v>0</v>
      </c>
      <c r="U1206">
        <f t="shared" si="703"/>
        <v>0</v>
      </c>
      <c r="V1206">
        <f t="shared" si="704"/>
        <v>0</v>
      </c>
      <c r="W1206">
        <f t="shared" si="705"/>
        <v>0</v>
      </c>
      <c r="X1206">
        <f t="shared" si="706"/>
        <v>0</v>
      </c>
      <c r="Y1206">
        <f t="shared" si="707"/>
        <v>0</v>
      </c>
      <c r="Z1206">
        <f t="shared" si="708"/>
        <v>0</v>
      </c>
      <c r="AA1206">
        <f t="shared" si="709"/>
        <v>0</v>
      </c>
      <c r="AB1206">
        <f t="shared" si="710"/>
        <v>0</v>
      </c>
      <c r="AC1206">
        <f t="shared" si="711"/>
        <v>0</v>
      </c>
      <c r="AD1206">
        <f t="shared" si="712"/>
        <v>0</v>
      </c>
      <c r="AF1206">
        <f t="shared" si="713"/>
        <v>0</v>
      </c>
      <c r="AG1206">
        <f t="shared" si="714"/>
        <v>0</v>
      </c>
      <c r="AH1206">
        <f t="shared" si="715"/>
        <v>0</v>
      </c>
      <c r="AI1206">
        <f t="shared" si="716"/>
        <v>0</v>
      </c>
      <c r="AJ1206">
        <f t="shared" si="717"/>
        <v>0</v>
      </c>
      <c r="AK1206">
        <f t="shared" si="718"/>
        <v>0</v>
      </c>
      <c r="AL1206">
        <f t="shared" si="719"/>
        <v>0</v>
      </c>
      <c r="AM1206">
        <f t="shared" si="720"/>
        <v>0</v>
      </c>
      <c r="AN1206">
        <f t="shared" si="721"/>
        <v>0</v>
      </c>
      <c r="AO1206">
        <f t="shared" si="722"/>
        <v>0</v>
      </c>
      <c r="AP1206">
        <f t="shared" si="723"/>
        <v>0</v>
      </c>
      <c r="AQ1206">
        <f t="shared" si="724"/>
        <v>0</v>
      </c>
    </row>
    <row r="1207" spans="6:43" x14ac:dyDescent="0.45">
      <c r="F1207">
        <f t="shared" si="689"/>
        <v>0</v>
      </c>
      <c r="G1207">
        <f t="shared" si="690"/>
        <v>0</v>
      </c>
      <c r="H1207">
        <f t="shared" si="691"/>
        <v>0</v>
      </c>
      <c r="I1207">
        <f t="shared" si="692"/>
        <v>0</v>
      </c>
      <c r="J1207">
        <f t="shared" si="693"/>
        <v>0</v>
      </c>
      <c r="K1207">
        <f t="shared" si="694"/>
        <v>0</v>
      </c>
      <c r="L1207">
        <f t="shared" si="695"/>
        <v>0</v>
      </c>
      <c r="M1207">
        <f t="shared" si="696"/>
        <v>0</v>
      </c>
      <c r="N1207">
        <f t="shared" si="697"/>
        <v>0</v>
      </c>
      <c r="O1207">
        <f t="shared" si="698"/>
        <v>0</v>
      </c>
      <c r="P1207">
        <f t="shared" si="699"/>
        <v>0</v>
      </c>
      <c r="Q1207">
        <f t="shared" si="700"/>
        <v>0</v>
      </c>
      <c r="S1207">
        <f t="shared" si="701"/>
        <v>0</v>
      </c>
      <c r="T1207">
        <f t="shared" si="702"/>
        <v>0</v>
      </c>
      <c r="U1207">
        <f t="shared" si="703"/>
        <v>0</v>
      </c>
      <c r="V1207">
        <f t="shared" si="704"/>
        <v>0</v>
      </c>
      <c r="W1207">
        <f t="shared" si="705"/>
        <v>0</v>
      </c>
      <c r="X1207">
        <f t="shared" si="706"/>
        <v>0</v>
      </c>
      <c r="Y1207">
        <f t="shared" si="707"/>
        <v>0</v>
      </c>
      <c r="Z1207">
        <f t="shared" si="708"/>
        <v>0</v>
      </c>
      <c r="AA1207">
        <f t="shared" si="709"/>
        <v>0</v>
      </c>
      <c r="AB1207">
        <f t="shared" si="710"/>
        <v>0</v>
      </c>
      <c r="AC1207">
        <f t="shared" si="711"/>
        <v>0</v>
      </c>
      <c r="AD1207">
        <f t="shared" si="712"/>
        <v>0</v>
      </c>
      <c r="AF1207">
        <f t="shared" si="713"/>
        <v>0</v>
      </c>
      <c r="AG1207">
        <f t="shared" si="714"/>
        <v>0</v>
      </c>
      <c r="AH1207">
        <f t="shared" si="715"/>
        <v>0</v>
      </c>
      <c r="AI1207">
        <f t="shared" si="716"/>
        <v>0</v>
      </c>
      <c r="AJ1207">
        <f t="shared" si="717"/>
        <v>0</v>
      </c>
      <c r="AK1207">
        <f t="shared" si="718"/>
        <v>0</v>
      </c>
      <c r="AL1207">
        <f t="shared" si="719"/>
        <v>0</v>
      </c>
      <c r="AM1207">
        <f t="shared" si="720"/>
        <v>0</v>
      </c>
      <c r="AN1207">
        <f t="shared" si="721"/>
        <v>0</v>
      </c>
      <c r="AO1207">
        <f t="shared" si="722"/>
        <v>0</v>
      </c>
      <c r="AP1207">
        <f t="shared" si="723"/>
        <v>0</v>
      </c>
      <c r="AQ1207">
        <f t="shared" si="724"/>
        <v>0</v>
      </c>
    </row>
    <row r="1208" spans="6:43" x14ac:dyDescent="0.45">
      <c r="F1208">
        <f t="shared" si="689"/>
        <v>0</v>
      </c>
      <c r="G1208">
        <f t="shared" si="690"/>
        <v>0</v>
      </c>
      <c r="H1208">
        <f t="shared" si="691"/>
        <v>0</v>
      </c>
      <c r="I1208">
        <f t="shared" si="692"/>
        <v>0</v>
      </c>
      <c r="J1208">
        <f t="shared" si="693"/>
        <v>0</v>
      </c>
      <c r="K1208">
        <f t="shared" si="694"/>
        <v>0</v>
      </c>
      <c r="L1208">
        <f t="shared" si="695"/>
        <v>0</v>
      </c>
      <c r="M1208">
        <f t="shared" si="696"/>
        <v>0</v>
      </c>
      <c r="N1208">
        <f t="shared" si="697"/>
        <v>0</v>
      </c>
      <c r="O1208">
        <f t="shared" si="698"/>
        <v>0</v>
      </c>
      <c r="P1208">
        <f t="shared" si="699"/>
        <v>0</v>
      </c>
      <c r="Q1208">
        <f t="shared" si="700"/>
        <v>0</v>
      </c>
      <c r="S1208">
        <f t="shared" si="701"/>
        <v>0</v>
      </c>
      <c r="T1208">
        <f t="shared" si="702"/>
        <v>0</v>
      </c>
      <c r="U1208">
        <f t="shared" si="703"/>
        <v>0</v>
      </c>
      <c r="V1208">
        <f t="shared" si="704"/>
        <v>0</v>
      </c>
      <c r="W1208">
        <f t="shared" si="705"/>
        <v>0</v>
      </c>
      <c r="X1208">
        <f t="shared" si="706"/>
        <v>0</v>
      </c>
      <c r="Y1208">
        <f t="shared" si="707"/>
        <v>0</v>
      </c>
      <c r="Z1208">
        <f t="shared" si="708"/>
        <v>0</v>
      </c>
      <c r="AA1208">
        <f t="shared" si="709"/>
        <v>0</v>
      </c>
      <c r="AB1208">
        <f t="shared" si="710"/>
        <v>0</v>
      </c>
      <c r="AC1208">
        <f t="shared" si="711"/>
        <v>0</v>
      </c>
      <c r="AD1208">
        <f t="shared" si="712"/>
        <v>0</v>
      </c>
      <c r="AF1208">
        <f t="shared" si="713"/>
        <v>0</v>
      </c>
      <c r="AG1208">
        <f t="shared" si="714"/>
        <v>0</v>
      </c>
      <c r="AH1208">
        <f t="shared" si="715"/>
        <v>0</v>
      </c>
      <c r="AI1208">
        <f t="shared" si="716"/>
        <v>0</v>
      </c>
      <c r="AJ1208">
        <f t="shared" si="717"/>
        <v>0</v>
      </c>
      <c r="AK1208">
        <f t="shared" si="718"/>
        <v>0</v>
      </c>
      <c r="AL1208">
        <f t="shared" si="719"/>
        <v>0</v>
      </c>
      <c r="AM1208">
        <f t="shared" si="720"/>
        <v>0</v>
      </c>
      <c r="AN1208">
        <f t="shared" si="721"/>
        <v>0</v>
      </c>
      <c r="AO1208">
        <f t="shared" si="722"/>
        <v>0</v>
      </c>
      <c r="AP1208">
        <f t="shared" si="723"/>
        <v>0</v>
      </c>
      <c r="AQ1208">
        <f t="shared" si="724"/>
        <v>0</v>
      </c>
    </row>
    <row r="1209" spans="6:43" x14ac:dyDescent="0.45">
      <c r="F1209">
        <f t="shared" si="689"/>
        <v>0</v>
      </c>
      <c r="G1209">
        <f t="shared" si="690"/>
        <v>0</v>
      </c>
      <c r="H1209">
        <f t="shared" si="691"/>
        <v>0</v>
      </c>
      <c r="I1209">
        <f t="shared" si="692"/>
        <v>0</v>
      </c>
      <c r="J1209">
        <f t="shared" si="693"/>
        <v>0</v>
      </c>
      <c r="K1209">
        <f t="shared" si="694"/>
        <v>0</v>
      </c>
      <c r="L1209">
        <f t="shared" si="695"/>
        <v>0</v>
      </c>
      <c r="M1209">
        <f t="shared" si="696"/>
        <v>0</v>
      </c>
      <c r="N1209">
        <f t="shared" si="697"/>
        <v>0</v>
      </c>
      <c r="O1209">
        <f t="shared" si="698"/>
        <v>0</v>
      </c>
      <c r="P1209">
        <f t="shared" si="699"/>
        <v>0</v>
      </c>
      <c r="Q1209">
        <f t="shared" si="700"/>
        <v>0</v>
      </c>
      <c r="S1209">
        <f t="shared" si="701"/>
        <v>0</v>
      </c>
      <c r="T1209">
        <f t="shared" si="702"/>
        <v>0</v>
      </c>
      <c r="U1209">
        <f t="shared" si="703"/>
        <v>0</v>
      </c>
      <c r="V1209">
        <f t="shared" si="704"/>
        <v>0</v>
      </c>
      <c r="W1209">
        <f t="shared" si="705"/>
        <v>0</v>
      </c>
      <c r="X1209">
        <f t="shared" si="706"/>
        <v>0</v>
      </c>
      <c r="Y1209">
        <f t="shared" si="707"/>
        <v>0</v>
      </c>
      <c r="Z1209">
        <f t="shared" si="708"/>
        <v>0</v>
      </c>
      <c r="AA1209">
        <f t="shared" si="709"/>
        <v>0</v>
      </c>
      <c r="AB1209">
        <f t="shared" si="710"/>
        <v>0</v>
      </c>
      <c r="AC1209">
        <f t="shared" si="711"/>
        <v>0</v>
      </c>
      <c r="AD1209">
        <f t="shared" si="712"/>
        <v>0</v>
      </c>
      <c r="AF1209">
        <f t="shared" si="713"/>
        <v>0</v>
      </c>
      <c r="AG1209">
        <f t="shared" si="714"/>
        <v>0</v>
      </c>
      <c r="AH1209">
        <f t="shared" si="715"/>
        <v>0</v>
      </c>
      <c r="AI1209">
        <f t="shared" si="716"/>
        <v>0</v>
      </c>
      <c r="AJ1209">
        <f t="shared" si="717"/>
        <v>0</v>
      </c>
      <c r="AK1209">
        <f t="shared" si="718"/>
        <v>0</v>
      </c>
      <c r="AL1209">
        <f t="shared" si="719"/>
        <v>0</v>
      </c>
      <c r="AM1209">
        <f t="shared" si="720"/>
        <v>0</v>
      </c>
      <c r="AN1209">
        <f t="shared" si="721"/>
        <v>0</v>
      </c>
      <c r="AO1209">
        <f t="shared" si="722"/>
        <v>0</v>
      </c>
      <c r="AP1209">
        <f t="shared" si="723"/>
        <v>0</v>
      </c>
      <c r="AQ1209">
        <f t="shared" si="724"/>
        <v>0</v>
      </c>
    </row>
    <row r="1210" spans="6:43" x14ac:dyDescent="0.45">
      <c r="F1210">
        <f t="shared" si="689"/>
        <v>0</v>
      </c>
      <c r="G1210">
        <f t="shared" si="690"/>
        <v>0</v>
      </c>
      <c r="H1210">
        <f t="shared" si="691"/>
        <v>0</v>
      </c>
      <c r="I1210">
        <f t="shared" si="692"/>
        <v>0</v>
      </c>
      <c r="J1210">
        <f t="shared" si="693"/>
        <v>0</v>
      </c>
      <c r="K1210">
        <f t="shared" si="694"/>
        <v>0</v>
      </c>
      <c r="L1210">
        <f t="shared" si="695"/>
        <v>0</v>
      </c>
      <c r="M1210">
        <f t="shared" si="696"/>
        <v>0</v>
      </c>
      <c r="N1210">
        <f t="shared" si="697"/>
        <v>0</v>
      </c>
      <c r="O1210">
        <f t="shared" si="698"/>
        <v>0</v>
      </c>
      <c r="P1210">
        <f t="shared" si="699"/>
        <v>0</v>
      </c>
      <c r="Q1210">
        <f t="shared" si="700"/>
        <v>0</v>
      </c>
      <c r="S1210">
        <f t="shared" si="701"/>
        <v>0</v>
      </c>
      <c r="T1210">
        <f t="shared" si="702"/>
        <v>0</v>
      </c>
      <c r="U1210">
        <f t="shared" si="703"/>
        <v>0</v>
      </c>
      <c r="V1210">
        <f t="shared" si="704"/>
        <v>0</v>
      </c>
      <c r="W1210">
        <f t="shared" si="705"/>
        <v>0</v>
      </c>
      <c r="X1210">
        <f t="shared" si="706"/>
        <v>0</v>
      </c>
      <c r="Y1210">
        <f t="shared" si="707"/>
        <v>0</v>
      </c>
      <c r="Z1210">
        <f t="shared" si="708"/>
        <v>0</v>
      </c>
      <c r="AA1210">
        <f t="shared" si="709"/>
        <v>0</v>
      </c>
      <c r="AB1210">
        <f t="shared" si="710"/>
        <v>0</v>
      </c>
      <c r="AC1210">
        <f t="shared" si="711"/>
        <v>0</v>
      </c>
      <c r="AD1210">
        <f t="shared" si="712"/>
        <v>0</v>
      </c>
      <c r="AF1210">
        <f t="shared" si="713"/>
        <v>0</v>
      </c>
      <c r="AG1210">
        <f t="shared" si="714"/>
        <v>0</v>
      </c>
      <c r="AH1210">
        <f t="shared" si="715"/>
        <v>0</v>
      </c>
      <c r="AI1210">
        <f t="shared" si="716"/>
        <v>0</v>
      </c>
      <c r="AJ1210">
        <f t="shared" si="717"/>
        <v>0</v>
      </c>
      <c r="AK1210">
        <f t="shared" si="718"/>
        <v>0</v>
      </c>
      <c r="AL1210">
        <f t="shared" si="719"/>
        <v>0</v>
      </c>
      <c r="AM1210">
        <f t="shared" si="720"/>
        <v>0</v>
      </c>
      <c r="AN1210">
        <f t="shared" si="721"/>
        <v>0</v>
      </c>
      <c r="AO1210">
        <f t="shared" si="722"/>
        <v>0</v>
      </c>
      <c r="AP1210">
        <f t="shared" si="723"/>
        <v>0</v>
      </c>
      <c r="AQ1210">
        <f t="shared" si="724"/>
        <v>0</v>
      </c>
    </row>
    <row r="1211" spans="6:43" x14ac:dyDescent="0.45">
      <c r="F1211">
        <f t="shared" si="689"/>
        <v>0</v>
      </c>
      <c r="G1211">
        <f t="shared" si="690"/>
        <v>0</v>
      </c>
      <c r="H1211">
        <f t="shared" si="691"/>
        <v>0</v>
      </c>
      <c r="I1211">
        <f t="shared" si="692"/>
        <v>0</v>
      </c>
      <c r="J1211">
        <f t="shared" si="693"/>
        <v>0</v>
      </c>
      <c r="K1211">
        <f t="shared" si="694"/>
        <v>0</v>
      </c>
      <c r="L1211">
        <f t="shared" si="695"/>
        <v>0</v>
      </c>
      <c r="M1211">
        <f t="shared" si="696"/>
        <v>0</v>
      </c>
      <c r="N1211">
        <f t="shared" si="697"/>
        <v>0</v>
      </c>
      <c r="O1211">
        <f t="shared" si="698"/>
        <v>0</v>
      </c>
      <c r="P1211">
        <f t="shared" si="699"/>
        <v>0</v>
      </c>
      <c r="Q1211">
        <f t="shared" si="700"/>
        <v>0</v>
      </c>
      <c r="S1211">
        <f t="shared" si="701"/>
        <v>0</v>
      </c>
      <c r="T1211">
        <f t="shared" si="702"/>
        <v>0</v>
      </c>
      <c r="U1211">
        <f t="shared" si="703"/>
        <v>0</v>
      </c>
      <c r="V1211">
        <f t="shared" si="704"/>
        <v>0</v>
      </c>
      <c r="W1211">
        <f t="shared" si="705"/>
        <v>0</v>
      </c>
      <c r="X1211">
        <f t="shared" si="706"/>
        <v>0</v>
      </c>
      <c r="Y1211">
        <f t="shared" si="707"/>
        <v>0</v>
      </c>
      <c r="Z1211">
        <f t="shared" si="708"/>
        <v>0</v>
      </c>
      <c r="AA1211">
        <f t="shared" si="709"/>
        <v>0</v>
      </c>
      <c r="AB1211">
        <f t="shared" si="710"/>
        <v>0</v>
      </c>
      <c r="AC1211">
        <f t="shared" si="711"/>
        <v>0</v>
      </c>
      <c r="AD1211">
        <f t="shared" si="712"/>
        <v>0</v>
      </c>
      <c r="AF1211">
        <f t="shared" si="713"/>
        <v>0</v>
      </c>
      <c r="AG1211">
        <f t="shared" si="714"/>
        <v>0</v>
      </c>
      <c r="AH1211">
        <f t="shared" si="715"/>
        <v>0</v>
      </c>
      <c r="AI1211">
        <f t="shared" si="716"/>
        <v>0</v>
      </c>
      <c r="AJ1211">
        <f t="shared" si="717"/>
        <v>0</v>
      </c>
      <c r="AK1211">
        <f t="shared" si="718"/>
        <v>0</v>
      </c>
      <c r="AL1211">
        <f t="shared" si="719"/>
        <v>0</v>
      </c>
      <c r="AM1211">
        <f t="shared" si="720"/>
        <v>0</v>
      </c>
      <c r="AN1211">
        <f t="shared" si="721"/>
        <v>0</v>
      </c>
      <c r="AO1211">
        <f t="shared" si="722"/>
        <v>0</v>
      </c>
      <c r="AP1211">
        <f t="shared" si="723"/>
        <v>0</v>
      </c>
      <c r="AQ1211">
        <f t="shared" si="724"/>
        <v>0</v>
      </c>
    </row>
    <row r="1212" spans="6:43" x14ac:dyDescent="0.45">
      <c r="F1212">
        <f t="shared" si="689"/>
        <v>0</v>
      </c>
      <c r="G1212">
        <f t="shared" si="690"/>
        <v>0</v>
      </c>
      <c r="H1212">
        <f t="shared" si="691"/>
        <v>0</v>
      </c>
      <c r="I1212">
        <f t="shared" si="692"/>
        <v>0</v>
      </c>
      <c r="J1212">
        <f t="shared" si="693"/>
        <v>0</v>
      </c>
      <c r="K1212">
        <f t="shared" si="694"/>
        <v>0</v>
      </c>
      <c r="L1212">
        <f t="shared" si="695"/>
        <v>0</v>
      </c>
      <c r="M1212">
        <f t="shared" si="696"/>
        <v>0</v>
      </c>
      <c r="N1212">
        <f t="shared" si="697"/>
        <v>0</v>
      </c>
      <c r="O1212">
        <f t="shared" si="698"/>
        <v>0</v>
      </c>
      <c r="P1212">
        <f t="shared" si="699"/>
        <v>0</v>
      </c>
      <c r="Q1212">
        <f t="shared" si="700"/>
        <v>0</v>
      </c>
      <c r="S1212">
        <f t="shared" si="701"/>
        <v>0</v>
      </c>
      <c r="T1212">
        <f t="shared" si="702"/>
        <v>0</v>
      </c>
      <c r="U1212">
        <f t="shared" si="703"/>
        <v>0</v>
      </c>
      <c r="V1212">
        <f t="shared" si="704"/>
        <v>0</v>
      </c>
      <c r="W1212">
        <f t="shared" si="705"/>
        <v>0</v>
      </c>
      <c r="X1212">
        <f t="shared" si="706"/>
        <v>0</v>
      </c>
      <c r="Y1212">
        <f t="shared" si="707"/>
        <v>0</v>
      </c>
      <c r="Z1212">
        <f t="shared" si="708"/>
        <v>0</v>
      </c>
      <c r="AA1212">
        <f t="shared" si="709"/>
        <v>0</v>
      </c>
      <c r="AB1212">
        <f t="shared" si="710"/>
        <v>0</v>
      </c>
      <c r="AC1212">
        <f t="shared" si="711"/>
        <v>0</v>
      </c>
      <c r="AD1212">
        <f t="shared" si="712"/>
        <v>0</v>
      </c>
      <c r="AF1212">
        <f t="shared" si="713"/>
        <v>0</v>
      </c>
      <c r="AG1212">
        <f t="shared" si="714"/>
        <v>0</v>
      </c>
      <c r="AH1212">
        <f t="shared" si="715"/>
        <v>0</v>
      </c>
      <c r="AI1212">
        <f t="shared" si="716"/>
        <v>0</v>
      </c>
      <c r="AJ1212">
        <f t="shared" si="717"/>
        <v>0</v>
      </c>
      <c r="AK1212">
        <f t="shared" si="718"/>
        <v>0</v>
      </c>
      <c r="AL1212">
        <f t="shared" si="719"/>
        <v>0</v>
      </c>
      <c r="AM1212">
        <f t="shared" si="720"/>
        <v>0</v>
      </c>
      <c r="AN1212">
        <f t="shared" si="721"/>
        <v>0</v>
      </c>
      <c r="AO1212">
        <f t="shared" si="722"/>
        <v>0</v>
      </c>
      <c r="AP1212">
        <f t="shared" si="723"/>
        <v>0</v>
      </c>
      <c r="AQ1212">
        <f t="shared" si="724"/>
        <v>0</v>
      </c>
    </row>
    <row r="1213" spans="6:43" x14ac:dyDescent="0.45">
      <c r="F1213">
        <f t="shared" si="689"/>
        <v>0</v>
      </c>
      <c r="G1213">
        <f t="shared" si="690"/>
        <v>0</v>
      </c>
      <c r="H1213">
        <f t="shared" si="691"/>
        <v>0</v>
      </c>
      <c r="I1213">
        <f t="shared" si="692"/>
        <v>0</v>
      </c>
      <c r="J1213">
        <f t="shared" si="693"/>
        <v>0</v>
      </c>
      <c r="K1213">
        <f t="shared" si="694"/>
        <v>0</v>
      </c>
      <c r="L1213">
        <f t="shared" si="695"/>
        <v>0</v>
      </c>
      <c r="M1213">
        <f t="shared" si="696"/>
        <v>0</v>
      </c>
      <c r="N1213">
        <f t="shared" si="697"/>
        <v>0</v>
      </c>
      <c r="O1213">
        <f t="shared" si="698"/>
        <v>0</v>
      </c>
      <c r="P1213">
        <f t="shared" si="699"/>
        <v>0</v>
      </c>
      <c r="Q1213">
        <f t="shared" si="700"/>
        <v>0</v>
      </c>
      <c r="S1213">
        <f t="shared" si="701"/>
        <v>0</v>
      </c>
      <c r="T1213">
        <f t="shared" si="702"/>
        <v>0</v>
      </c>
      <c r="U1213">
        <f t="shared" si="703"/>
        <v>0</v>
      </c>
      <c r="V1213">
        <f t="shared" si="704"/>
        <v>0</v>
      </c>
      <c r="W1213">
        <f t="shared" si="705"/>
        <v>0</v>
      </c>
      <c r="X1213">
        <f t="shared" si="706"/>
        <v>0</v>
      </c>
      <c r="Y1213">
        <f t="shared" si="707"/>
        <v>0</v>
      </c>
      <c r="Z1213">
        <f t="shared" si="708"/>
        <v>0</v>
      </c>
      <c r="AA1213">
        <f t="shared" si="709"/>
        <v>0</v>
      </c>
      <c r="AB1213">
        <f t="shared" si="710"/>
        <v>0</v>
      </c>
      <c r="AC1213">
        <f t="shared" si="711"/>
        <v>0</v>
      </c>
      <c r="AD1213">
        <f t="shared" si="712"/>
        <v>0</v>
      </c>
      <c r="AF1213">
        <f t="shared" si="713"/>
        <v>0</v>
      </c>
      <c r="AG1213">
        <f t="shared" si="714"/>
        <v>0</v>
      </c>
      <c r="AH1213">
        <f t="shared" si="715"/>
        <v>0</v>
      </c>
      <c r="AI1213">
        <f t="shared" si="716"/>
        <v>0</v>
      </c>
      <c r="AJ1213">
        <f t="shared" si="717"/>
        <v>0</v>
      </c>
      <c r="AK1213">
        <f t="shared" si="718"/>
        <v>0</v>
      </c>
      <c r="AL1213">
        <f t="shared" si="719"/>
        <v>0</v>
      </c>
      <c r="AM1213">
        <f t="shared" si="720"/>
        <v>0</v>
      </c>
      <c r="AN1213">
        <f t="shared" si="721"/>
        <v>0</v>
      </c>
      <c r="AO1213">
        <f t="shared" si="722"/>
        <v>0</v>
      </c>
      <c r="AP1213">
        <f t="shared" si="723"/>
        <v>0</v>
      </c>
      <c r="AQ1213">
        <f t="shared" si="724"/>
        <v>0</v>
      </c>
    </row>
    <row r="1214" spans="6:43" x14ac:dyDescent="0.45">
      <c r="F1214">
        <f t="shared" si="689"/>
        <v>0</v>
      </c>
      <c r="G1214">
        <f t="shared" si="690"/>
        <v>0</v>
      </c>
      <c r="H1214">
        <f t="shared" si="691"/>
        <v>0</v>
      </c>
      <c r="I1214">
        <f t="shared" si="692"/>
        <v>0</v>
      </c>
      <c r="J1214">
        <f t="shared" si="693"/>
        <v>0</v>
      </c>
      <c r="K1214">
        <f t="shared" si="694"/>
        <v>0</v>
      </c>
      <c r="L1214">
        <f t="shared" si="695"/>
        <v>0</v>
      </c>
      <c r="M1214">
        <f t="shared" si="696"/>
        <v>0</v>
      </c>
      <c r="N1214">
        <f t="shared" si="697"/>
        <v>0</v>
      </c>
      <c r="O1214">
        <f t="shared" si="698"/>
        <v>0</v>
      </c>
      <c r="P1214">
        <f t="shared" si="699"/>
        <v>0</v>
      </c>
      <c r="Q1214">
        <f t="shared" si="700"/>
        <v>0</v>
      </c>
      <c r="S1214">
        <f t="shared" si="701"/>
        <v>0</v>
      </c>
      <c r="T1214">
        <f t="shared" si="702"/>
        <v>0</v>
      </c>
      <c r="U1214">
        <f t="shared" si="703"/>
        <v>0</v>
      </c>
      <c r="V1214">
        <f t="shared" si="704"/>
        <v>0</v>
      </c>
      <c r="W1214">
        <f t="shared" si="705"/>
        <v>0</v>
      </c>
      <c r="X1214">
        <f t="shared" si="706"/>
        <v>0</v>
      </c>
      <c r="Y1214">
        <f t="shared" si="707"/>
        <v>0</v>
      </c>
      <c r="Z1214">
        <f t="shared" si="708"/>
        <v>0</v>
      </c>
      <c r="AA1214">
        <f t="shared" si="709"/>
        <v>0</v>
      </c>
      <c r="AB1214">
        <f t="shared" si="710"/>
        <v>0</v>
      </c>
      <c r="AC1214">
        <f t="shared" si="711"/>
        <v>0</v>
      </c>
      <c r="AD1214">
        <f t="shared" si="712"/>
        <v>0</v>
      </c>
      <c r="AF1214">
        <f t="shared" si="713"/>
        <v>0</v>
      </c>
      <c r="AG1214">
        <f t="shared" si="714"/>
        <v>0</v>
      </c>
      <c r="AH1214">
        <f t="shared" si="715"/>
        <v>0</v>
      </c>
      <c r="AI1214">
        <f t="shared" si="716"/>
        <v>0</v>
      </c>
      <c r="AJ1214">
        <f t="shared" si="717"/>
        <v>0</v>
      </c>
      <c r="AK1214">
        <f t="shared" si="718"/>
        <v>0</v>
      </c>
      <c r="AL1214">
        <f t="shared" si="719"/>
        <v>0</v>
      </c>
      <c r="AM1214">
        <f t="shared" si="720"/>
        <v>0</v>
      </c>
      <c r="AN1214">
        <f t="shared" si="721"/>
        <v>0</v>
      </c>
      <c r="AO1214">
        <f t="shared" si="722"/>
        <v>0</v>
      </c>
      <c r="AP1214">
        <f t="shared" si="723"/>
        <v>0</v>
      </c>
      <c r="AQ1214">
        <f t="shared" si="724"/>
        <v>0</v>
      </c>
    </row>
    <row r="1215" spans="6:43" x14ac:dyDescent="0.45">
      <c r="F1215">
        <f t="shared" si="689"/>
        <v>0</v>
      </c>
      <c r="G1215">
        <f t="shared" si="690"/>
        <v>0</v>
      </c>
      <c r="H1215">
        <f t="shared" si="691"/>
        <v>0</v>
      </c>
      <c r="I1215">
        <f t="shared" si="692"/>
        <v>0</v>
      </c>
      <c r="J1215">
        <f t="shared" si="693"/>
        <v>0</v>
      </c>
      <c r="K1215">
        <f t="shared" si="694"/>
        <v>0</v>
      </c>
      <c r="L1215">
        <f t="shared" si="695"/>
        <v>0</v>
      </c>
      <c r="M1215">
        <f t="shared" si="696"/>
        <v>0</v>
      </c>
      <c r="N1215">
        <f t="shared" si="697"/>
        <v>0</v>
      </c>
      <c r="O1215">
        <f t="shared" si="698"/>
        <v>0</v>
      </c>
      <c r="P1215">
        <f t="shared" si="699"/>
        <v>0</v>
      </c>
      <c r="Q1215">
        <f t="shared" si="700"/>
        <v>0</v>
      </c>
      <c r="S1215">
        <f t="shared" si="701"/>
        <v>0</v>
      </c>
      <c r="T1215">
        <f t="shared" si="702"/>
        <v>0</v>
      </c>
      <c r="U1215">
        <f t="shared" si="703"/>
        <v>0</v>
      </c>
      <c r="V1215">
        <f t="shared" si="704"/>
        <v>0</v>
      </c>
      <c r="W1215">
        <f t="shared" si="705"/>
        <v>0</v>
      </c>
      <c r="X1215">
        <f t="shared" si="706"/>
        <v>0</v>
      </c>
      <c r="Y1215">
        <f t="shared" si="707"/>
        <v>0</v>
      </c>
      <c r="Z1215">
        <f t="shared" si="708"/>
        <v>0</v>
      </c>
      <c r="AA1215">
        <f t="shared" si="709"/>
        <v>0</v>
      </c>
      <c r="AB1215">
        <f t="shared" si="710"/>
        <v>0</v>
      </c>
      <c r="AC1215">
        <f t="shared" si="711"/>
        <v>0</v>
      </c>
      <c r="AD1215">
        <f t="shared" si="712"/>
        <v>0</v>
      </c>
      <c r="AF1215">
        <f t="shared" si="713"/>
        <v>0</v>
      </c>
      <c r="AG1215">
        <f t="shared" si="714"/>
        <v>0</v>
      </c>
      <c r="AH1215">
        <f t="shared" si="715"/>
        <v>0</v>
      </c>
      <c r="AI1215">
        <f t="shared" si="716"/>
        <v>0</v>
      </c>
      <c r="AJ1215">
        <f t="shared" si="717"/>
        <v>0</v>
      </c>
      <c r="AK1215">
        <f t="shared" si="718"/>
        <v>0</v>
      </c>
      <c r="AL1215">
        <f t="shared" si="719"/>
        <v>0</v>
      </c>
      <c r="AM1215">
        <f t="shared" si="720"/>
        <v>0</v>
      </c>
      <c r="AN1215">
        <f t="shared" si="721"/>
        <v>0</v>
      </c>
      <c r="AO1215">
        <f t="shared" si="722"/>
        <v>0</v>
      </c>
      <c r="AP1215">
        <f t="shared" si="723"/>
        <v>0</v>
      </c>
      <c r="AQ1215">
        <f t="shared" si="724"/>
        <v>0</v>
      </c>
    </row>
    <row r="1216" spans="6:43" x14ac:dyDescent="0.45">
      <c r="F1216">
        <f t="shared" si="689"/>
        <v>0</v>
      </c>
      <c r="G1216">
        <f t="shared" si="690"/>
        <v>0</v>
      </c>
      <c r="H1216">
        <f t="shared" si="691"/>
        <v>0</v>
      </c>
      <c r="I1216">
        <f t="shared" si="692"/>
        <v>0</v>
      </c>
      <c r="J1216">
        <f t="shared" si="693"/>
        <v>0</v>
      </c>
      <c r="K1216">
        <f t="shared" si="694"/>
        <v>0</v>
      </c>
      <c r="L1216">
        <f t="shared" si="695"/>
        <v>0</v>
      </c>
      <c r="M1216">
        <f t="shared" si="696"/>
        <v>0</v>
      </c>
      <c r="N1216">
        <f t="shared" si="697"/>
        <v>0</v>
      </c>
      <c r="O1216">
        <f t="shared" si="698"/>
        <v>0</v>
      </c>
      <c r="P1216">
        <f t="shared" si="699"/>
        <v>0</v>
      </c>
      <c r="Q1216">
        <f t="shared" si="700"/>
        <v>0</v>
      </c>
      <c r="S1216">
        <f t="shared" si="701"/>
        <v>0</v>
      </c>
      <c r="T1216">
        <f t="shared" si="702"/>
        <v>0</v>
      </c>
      <c r="U1216">
        <f t="shared" si="703"/>
        <v>0</v>
      </c>
      <c r="V1216">
        <f t="shared" si="704"/>
        <v>0</v>
      </c>
      <c r="W1216">
        <f t="shared" si="705"/>
        <v>0</v>
      </c>
      <c r="X1216">
        <f t="shared" si="706"/>
        <v>0</v>
      </c>
      <c r="Y1216">
        <f t="shared" si="707"/>
        <v>0</v>
      </c>
      <c r="Z1216">
        <f t="shared" si="708"/>
        <v>0</v>
      </c>
      <c r="AA1216">
        <f t="shared" si="709"/>
        <v>0</v>
      </c>
      <c r="AB1216">
        <f t="shared" si="710"/>
        <v>0</v>
      </c>
      <c r="AC1216">
        <f t="shared" si="711"/>
        <v>0</v>
      </c>
      <c r="AD1216">
        <f t="shared" si="712"/>
        <v>0</v>
      </c>
      <c r="AF1216">
        <f t="shared" si="713"/>
        <v>0</v>
      </c>
      <c r="AG1216">
        <f t="shared" si="714"/>
        <v>0</v>
      </c>
      <c r="AH1216">
        <f t="shared" si="715"/>
        <v>0</v>
      </c>
      <c r="AI1216">
        <f t="shared" si="716"/>
        <v>0</v>
      </c>
      <c r="AJ1216">
        <f t="shared" si="717"/>
        <v>0</v>
      </c>
      <c r="AK1216">
        <f t="shared" si="718"/>
        <v>0</v>
      </c>
      <c r="AL1216">
        <f t="shared" si="719"/>
        <v>0</v>
      </c>
      <c r="AM1216">
        <f t="shared" si="720"/>
        <v>0</v>
      </c>
      <c r="AN1216">
        <f t="shared" si="721"/>
        <v>0</v>
      </c>
      <c r="AO1216">
        <f t="shared" si="722"/>
        <v>0</v>
      </c>
      <c r="AP1216">
        <f t="shared" si="723"/>
        <v>0</v>
      </c>
      <c r="AQ1216">
        <f t="shared" si="724"/>
        <v>0</v>
      </c>
    </row>
    <row r="1217" spans="6:43" x14ac:dyDescent="0.45">
      <c r="F1217">
        <f t="shared" si="689"/>
        <v>0</v>
      </c>
      <c r="G1217">
        <f t="shared" si="690"/>
        <v>0</v>
      </c>
      <c r="H1217">
        <f t="shared" si="691"/>
        <v>0</v>
      </c>
      <c r="I1217">
        <f t="shared" si="692"/>
        <v>0</v>
      </c>
      <c r="J1217">
        <f t="shared" si="693"/>
        <v>0</v>
      </c>
      <c r="K1217">
        <f t="shared" si="694"/>
        <v>0</v>
      </c>
      <c r="L1217">
        <f t="shared" si="695"/>
        <v>0</v>
      </c>
      <c r="M1217">
        <f t="shared" si="696"/>
        <v>0</v>
      </c>
      <c r="N1217">
        <f t="shared" si="697"/>
        <v>0</v>
      </c>
      <c r="O1217">
        <f t="shared" si="698"/>
        <v>0</v>
      </c>
      <c r="P1217">
        <f t="shared" si="699"/>
        <v>0</v>
      </c>
      <c r="Q1217">
        <f t="shared" si="700"/>
        <v>0</v>
      </c>
      <c r="S1217">
        <f t="shared" si="701"/>
        <v>0</v>
      </c>
      <c r="T1217">
        <f t="shared" si="702"/>
        <v>0</v>
      </c>
      <c r="U1217">
        <f t="shared" si="703"/>
        <v>0</v>
      </c>
      <c r="V1217">
        <f t="shared" si="704"/>
        <v>0</v>
      </c>
      <c r="W1217">
        <f t="shared" si="705"/>
        <v>0</v>
      </c>
      <c r="X1217">
        <f t="shared" si="706"/>
        <v>0</v>
      </c>
      <c r="Y1217">
        <f t="shared" si="707"/>
        <v>0</v>
      </c>
      <c r="Z1217">
        <f t="shared" si="708"/>
        <v>0</v>
      </c>
      <c r="AA1217">
        <f t="shared" si="709"/>
        <v>0</v>
      </c>
      <c r="AB1217">
        <f t="shared" si="710"/>
        <v>0</v>
      </c>
      <c r="AC1217">
        <f t="shared" si="711"/>
        <v>0</v>
      </c>
      <c r="AD1217">
        <f t="shared" si="712"/>
        <v>0</v>
      </c>
      <c r="AF1217">
        <f t="shared" si="713"/>
        <v>0</v>
      </c>
      <c r="AG1217">
        <f t="shared" si="714"/>
        <v>0</v>
      </c>
      <c r="AH1217">
        <f t="shared" si="715"/>
        <v>0</v>
      </c>
      <c r="AI1217">
        <f t="shared" si="716"/>
        <v>0</v>
      </c>
      <c r="AJ1217">
        <f t="shared" si="717"/>
        <v>0</v>
      </c>
      <c r="AK1217">
        <f t="shared" si="718"/>
        <v>0</v>
      </c>
      <c r="AL1217">
        <f t="shared" si="719"/>
        <v>0</v>
      </c>
      <c r="AM1217">
        <f t="shared" si="720"/>
        <v>0</v>
      </c>
      <c r="AN1217">
        <f t="shared" si="721"/>
        <v>0</v>
      </c>
      <c r="AO1217">
        <f t="shared" si="722"/>
        <v>0</v>
      </c>
      <c r="AP1217">
        <f t="shared" si="723"/>
        <v>0</v>
      </c>
      <c r="AQ1217">
        <f t="shared" si="724"/>
        <v>0</v>
      </c>
    </row>
    <row r="1218" spans="6:43" x14ac:dyDescent="0.45">
      <c r="F1218">
        <f t="shared" si="689"/>
        <v>0</v>
      </c>
      <c r="G1218">
        <f t="shared" si="690"/>
        <v>0</v>
      </c>
      <c r="H1218">
        <f t="shared" si="691"/>
        <v>0</v>
      </c>
      <c r="I1218">
        <f t="shared" si="692"/>
        <v>0</v>
      </c>
      <c r="J1218">
        <f t="shared" si="693"/>
        <v>0</v>
      </c>
      <c r="K1218">
        <f t="shared" si="694"/>
        <v>0</v>
      </c>
      <c r="L1218">
        <f t="shared" si="695"/>
        <v>0</v>
      </c>
      <c r="M1218">
        <f t="shared" si="696"/>
        <v>0</v>
      </c>
      <c r="N1218">
        <f t="shared" si="697"/>
        <v>0</v>
      </c>
      <c r="O1218">
        <f t="shared" si="698"/>
        <v>0</v>
      </c>
      <c r="P1218">
        <f t="shared" si="699"/>
        <v>0</v>
      </c>
      <c r="Q1218">
        <f t="shared" si="700"/>
        <v>0</v>
      </c>
      <c r="S1218">
        <f t="shared" si="701"/>
        <v>0</v>
      </c>
      <c r="T1218">
        <f t="shared" si="702"/>
        <v>0</v>
      </c>
      <c r="U1218">
        <f t="shared" si="703"/>
        <v>0</v>
      </c>
      <c r="V1218">
        <f t="shared" si="704"/>
        <v>0</v>
      </c>
      <c r="W1218">
        <f t="shared" si="705"/>
        <v>0</v>
      </c>
      <c r="X1218">
        <f t="shared" si="706"/>
        <v>0</v>
      </c>
      <c r="Y1218">
        <f t="shared" si="707"/>
        <v>0</v>
      </c>
      <c r="Z1218">
        <f t="shared" si="708"/>
        <v>0</v>
      </c>
      <c r="AA1218">
        <f t="shared" si="709"/>
        <v>0</v>
      </c>
      <c r="AB1218">
        <f t="shared" si="710"/>
        <v>0</v>
      </c>
      <c r="AC1218">
        <f t="shared" si="711"/>
        <v>0</v>
      </c>
      <c r="AD1218">
        <f t="shared" si="712"/>
        <v>0</v>
      </c>
      <c r="AF1218">
        <f t="shared" si="713"/>
        <v>0</v>
      </c>
      <c r="AG1218">
        <f t="shared" si="714"/>
        <v>0</v>
      </c>
      <c r="AH1218">
        <f t="shared" si="715"/>
        <v>0</v>
      </c>
      <c r="AI1218">
        <f t="shared" si="716"/>
        <v>0</v>
      </c>
      <c r="AJ1218">
        <f t="shared" si="717"/>
        <v>0</v>
      </c>
      <c r="AK1218">
        <f t="shared" si="718"/>
        <v>0</v>
      </c>
      <c r="AL1218">
        <f t="shared" si="719"/>
        <v>0</v>
      </c>
      <c r="AM1218">
        <f t="shared" si="720"/>
        <v>0</v>
      </c>
      <c r="AN1218">
        <f t="shared" si="721"/>
        <v>0</v>
      </c>
      <c r="AO1218">
        <f t="shared" si="722"/>
        <v>0</v>
      </c>
      <c r="AP1218">
        <f t="shared" si="723"/>
        <v>0</v>
      </c>
      <c r="AQ1218">
        <f t="shared" si="724"/>
        <v>0</v>
      </c>
    </row>
    <row r="1219" spans="6:43" x14ac:dyDescent="0.45">
      <c r="F1219">
        <f t="shared" si="689"/>
        <v>0</v>
      </c>
      <c r="G1219">
        <f t="shared" si="690"/>
        <v>0</v>
      </c>
      <c r="H1219">
        <f t="shared" si="691"/>
        <v>0</v>
      </c>
      <c r="I1219">
        <f t="shared" si="692"/>
        <v>0</v>
      </c>
      <c r="J1219">
        <f t="shared" si="693"/>
        <v>0</v>
      </c>
      <c r="K1219">
        <f t="shared" si="694"/>
        <v>0</v>
      </c>
      <c r="L1219">
        <f t="shared" si="695"/>
        <v>0</v>
      </c>
      <c r="M1219">
        <f t="shared" si="696"/>
        <v>0</v>
      </c>
      <c r="N1219">
        <f t="shared" si="697"/>
        <v>0</v>
      </c>
      <c r="O1219">
        <f t="shared" si="698"/>
        <v>0</v>
      </c>
      <c r="P1219">
        <f t="shared" si="699"/>
        <v>0</v>
      </c>
      <c r="Q1219">
        <f t="shared" si="700"/>
        <v>0</v>
      </c>
      <c r="S1219">
        <f t="shared" si="701"/>
        <v>0</v>
      </c>
      <c r="T1219">
        <f t="shared" si="702"/>
        <v>0</v>
      </c>
      <c r="U1219">
        <f t="shared" si="703"/>
        <v>0</v>
      </c>
      <c r="V1219">
        <f t="shared" si="704"/>
        <v>0</v>
      </c>
      <c r="W1219">
        <f t="shared" si="705"/>
        <v>0</v>
      </c>
      <c r="X1219">
        <f t="shared" si="706"/>
        <v>0</v>
      </c>
      <c r="Y1219">
        <f t="shared" si="707"/>
        <v>0</v>
      </c>
      <c r="Z1219">
        <f t="shared" si="708"/>
        <v>0</v>
      </c>
      <c r="AA1219">
        <f t="shared" si="709"/>
        <v>0</v>
      </c>
      <c r="AB1219">
        <f t="shared" si="710"/>
        <v>0</v>
      </c>
      <c r="AC1219">
        <f t="shared" si="711"/>
        <v>0</v>
      </c>
      <c r="AD1219">
        <f t="shared" si="712"/>
        <v>0</v>
      </c>
      <c r="AF1219">
        <f t="shared" si="713"/>
        <v>0</v>
      </c>
      <c r="AG1219">
        <f t="shared" si="714"/>
        <v>0</v>
      </c>
      <c r="AH1219">
        <f t="shared" si="715"/>
        <v>0</v>
      </c>
      <c r="AI1219">
        <f t="shared" si="716"/>
        <v>0</v>
      </c>
      <c r="AJ1219">
        <f t="shared" si="717"/>
        <v>0</v>
      </c>
      <c r="AK1219">
        <f t="shared" si="718"/>
        <v>0</v>
      </c>
      <c r="AL1219">
        <f t="shared" si="719"/>
        <v>0</v>
      </c>
      <c r="AM1219">
        <f t="shared" si="720"/>
        <v>0</v>
      </c>
      <c r="AN1219">
        <f t="shared" si="721"/>
        <v>0</v>
      </c>
      <c r="AO1219">
        <f t="shared" si="722"/>
        <v>0</v>
      </c>
      <c r="AP1219">
        <f t="shared" si="723"/>
        <v>0</v>
      </c>
      <c r="AQ1219">
        <f t="shared" si="724"/>
        <v>0</v>
      </c>
    </row>
    <row r="1220" spans="6:43" x14ac:dyDescent="0.45">
      <c r="F1220">
        <f t="shared" si="689"/>
        <v>0</v>
      </c>
      <c r="G1220">
        <f t="shared" si="690"/>
        <v>0</v>
      </c>
      <c r="H1220">
        <f t="shared" si="691"/>
        <v>0</v>
      </c>
      <c r="I1220">
        <f t="shared" si="692"/>
        <v>0</v>
      </c>
      <c r="J1220">
        <f t="shared" si="693"/>
        <v>0</v>
      </c>
      <c r="K1220">
        <f t="shared" si="694"/>
        <v>0</v>
      </c>
      <c r="L1220">
        <f t="shared" si="695"/>
        <v>0</v>
      </c>
      <c r="M1220">
        <f t="shared" si="696"/>
        <v>0</v>
      </c>
      <c r="N1220">
        <f t="shared" si="697"/>
        <v>0</v>
      </c>
      <c r="O1220">
        <f t="shared" si="698"/>
        <v>0</v>
      </c>
      <c r="P1220">
        <f t="shared" si="699"/>
        <v>0</v>
      </c>
      <c r="Q1220">
        <f t="shared" si="700"/>
        <v>0</v>
      </c>
      <c r="S1220">
        <f t="shared" si="701"/>
        <v>0</v>
      </c>
      <c r="T1220">
        <f t="shared" si="702"/>
        <v>0</v>
      </c>
      <c r="U1220">
        <f t="shared" si="703"/>
        <v>0</v>
      </c>
      <c r="V1220">
        <f t="shared" si="704"/>
        <v>0</v>
      </c>
      <c r="W1220">
        <f t="shared" si="705"/>
        <v>0</v>
      </c>
      <c r="X1220">
        <f t="shared" si="706"/>
        <v>0</v>
      </c>
      <c r="Y1220">
        <f t="shared" si="707"/>
        <v>0</v>
      </c>
      <c r="Z1220">
        <f t="shared" si="708"/>
        <v>0</v>
      </c>
      <c r="AA1220">
        <f t="shared" si="709"/>
        <v>0</v>
      </c>
      <c r="AB1220">
        <f t="shared" si="710"/>
        <v>0</v>
      </c>
      <c r="AC1220">
        <f t="shared" si="711"/>
        <v>0</v>
      </c>
      <c r="AD1220">
        <f t="shared" si="712"/>
        <v>0</v>
      </c>
      <c r="AF1220">
        <f t="shared" si="713"/>
        <v>0</v>
      </c>
      <c r="AG1220">
        <f t="shared" si="714"/>
        <v>0</v>
      </c>
      <c r="AH1220">
        <f t="shared" si="715"/>
        <v>0</v>
      </c>
      <c r="AI1220">
        <f t="shared" si="716"/>
        <v>0</v>
      </c>
      <c r="AJ1220">
        <f t="shared" si="717"/>
        <v>0</v>
      </c>
      <c r="AK1220">
        <f t="shared" si="718"/>
        <v>0</v>
      </c>
      <c r="AL1220">
        <f t="shared" si="719"/>
        <v>0</v>
      </c>
      <c r="AM1220">
        <f t="shared" si="720"/>
        <v>0</v>
      </c>
      <c r="AN1220">
        <f t="shared" si="721"/>
        <v>0</v>
      </c>
      <c r="AO1220">
        <f t="shared" si="722"/>
        <v>0</v>
      </c>
      <c r="AP1220">
        <f t="shared" si="723"/>
        <v>0</v>
      </c>
      <c r="AQ1220">
        <f t="shared" si="724"/>
        <v>0</v>
      </c>
    </row>
    <row r="1221" spans="6:43" x14ac:dyDescent="0.45">
      <c r="F1221">
        <f t="shared" si="689"/>
        <v>0</v>
      </c>
      <c r="G1221">
        <f t="shared" si="690"/>
        <v>0</v>
      </c>
      <c r="H1221">
        <f t="shared" si="691"/>
        <v>0</v>
      </c>
      <c r="I1221">
        <f t="shared" si="692"/>
        <v>0</v>
      </c>
      <c r="J1221">
        <f t="shared" si="693"/>
        <v>0</v>
      </c>
      <c r="K1221">
        <f t="shared" si="694"/>
        <v>0</v>
      </c>
      <c r="L1221">
        <f t="shared" si="695"/>
        <v>0</v>
      </c>
      <c r="M1221">
        <f t="shared" si="696"/>
        <v>0</v>
      </c>
      <c r="N1221">
        <f t="shared" si="697"/>
        <v>0</v>
      </c>
      <c r="O1221">
        <f t="shared" si="698"/>
        <v>0</v>
      </c>
      <c r="P1221">
        <f t="shared" si="699"/>
        <v>0</v>
      </c>
      <c r="Q1221">
        <f t="shared" si="700"/>
        <v>0</v>
      </c>
      <c r="S1221">
        <f t="shared" si="701"/>
        <v>0</v>
      </c>
      <c r="T1221">
        <f t="shared" si="702"/>
        <v>0</v>
      </c>
      <c r="U1221">
        <f t="shared" si="703"/>
        <v>0</v>
      </c>
      <c r="V1221">
        <f t="shared" si="704"/>
        <v>0</v>
      </c>
      <c r="W1221">
        <f t="shared" si="705"/>
        <v>0</v>
      </c>
      <c r="X1221">
        <f t="shared" si="706"/>
        <v>0</v>
      </c>
      <c r="Y1221">
        <f t="shared" si="707"/>
        <v>0</v>
      </c>
      <c r="Z1221">
        <f t="shared" si="708"/>
        <v>0</v>
      </c>
      <c r="AA1221">
        <f t="shared" si="709"/>
        <v>0</v>
      </c>
      <c r="AB1221">
        <f t="shared" si="710"/>
        <v>0</v>
      </c>
      <c r="AC1221">
        <f t="shared" si="711"/>
        <v>0</v>
      </c>
      <c r="AD1221">
        <f t="shared" si="712"/>
        <v>0</v>
      </c>
      <c r="AF1221">
        <f t="shared" si="713"/>
        <v>0</v>
      </c>
      <c r="AG1221">
        <f t="shared" si="714"/>
        <v>0</v>
      </c>
      <c r="AH1221">
        <f t="shared" si="715"/>
        <v>0</v>
      </c>
      <c r="AI1221">
        <f t="shared" si="716"/>
        <v>0</v>
      </c>
      <c r="AJ1221">
        <f t="shared" si="717"/>
        <v>0</v>
      </c>
      <c r="AK1221">
        <f t="shared" si="718"/>
        <v>0</v>
      </c>
      <c r="AL1221">
        <f t="shared" si="719"/>
        <v>0</v>
      </c>
      <c r="AM1221">
        <f t="shared" si="720"/>
        <v>0</v>
      </c>
      <c r="AN1221">
        <f t="shared" si="721"/>
        <v>0</v>
      </c>
      <c r="AO1221">
        <f t="shared" si="722"/>
        <v>0</v>
      </c>
      <c r="AP1221">
        <f t="shared" si="723"/>
        <v>0</v>
      </c>
      <c r="AQ1221">
        <f t="shared" si="724"/>
        <v>0</v>
      </c>
    </row>
    <row r="1222" spans="6:43" x14ac:dyDescent="0.45">
      <c r="F1222">
        <f t="shared" si="689"/>
        <v>0</v>
      </c>
      <c r="G1222">
        <f t="shared" si="690"/>
        <v>0</v>
      </c>
      <c r="H1222">
        <f t="shared" si="691"/>
        <v>0</v>
      </c>
      <c r="I1222">
        <f t="shared" si="692"/>
        <v>0</v>
      </c>
      <c r="J1222">
        <f t="shared" si="693"/>
        <v>0</v>
      </c>
      <c r="K1222">
        <f t="shared" si="694"/>
        <v>0</v>
      </c>
      <c r="L1222">
        <f t="shared" si="695"/>
        <v>0</v>
      </c>
      <c r="M1222">
        <f t="shared" si="696"/>
        <v>0</v>
      </c>
      <c r="N1222">
        <f t="shared" si="697"/>
        <v>0</v>
      </c>
      <c r="O1222">
        <f t="shared" si="698"/>
        <v>0</v>
      </c>
      <c r="P1222">
        <f t="shared" si="699"/>
        <v>0</v>
      </c>
      <c r="Q1222">
        <f t="shared" si="700"/>
        <v>0</v>
      </c>
      <c r="S1222">
        <f t="shared" si="701"/>
        <v>0</v>
      </c>
      <c r="T1222">
        <f t="shared" si="702"/>
        <v>0</v>
      </c>
      <c r="U1222">
        <f t="shared" si="703"/>
        <v>0</v>
      </c>
      <c r="V1222">
        <f t="shared" si="704"/>
        <v>0</v>
      </c>
      <c r="W1222">
        <f t="shared" si="705"/>
        <v>0</v>
      </c>
      <c r="X1222">
        <f t="shared" si="706"/>
        <v>0</v>
      </c>
      <c r="Y1222">
        <f t="shared" si="707"/>
        <v>0</v>
      </c>
      <c r="Z1222">
        <f t="shared" si="708"/>
        <v>0</v>
      </c>
      <c r="AA1222">
        <f t="shared" si="709"/>
        <v>0</v>
      </c>
      <c r="AB1222">
        <f t="shared" si="710"/>
        <v>0</v>
      </c>
      <c r="AC1222">
        <f t="shared" si="711"/>
        <v>0</v>
      </c>
      <c r="AD1222">
        <f t="shared" si="712"/>
        <v>0</v>
      </c>
      <c r="AF1222">
        <f t="shared" si="713"/>
        <v>0</v>
      </c>
      <c r="AG1222">
        <f t="shared" si="714"/>
        <v>0</v>
      </c>
      <c r="AH1222">
        <f t="shared" si="715"/>
        <v>0</v>
      </c>
      <c r="AI1222">
        <f t="shared" si="716"/>
        <v>0</v>
      </c>
      <c r="AJ1222">
        <f t="shared" si="717"/>
        <v>0</v>
      </c>
      <c r="AK1222">
        <f t="shared" si="718"/>
        <v>0</v>
      </c>
      <c r="AL1222">
        <f t="shared" si="719"/>
        <v>0</v>
      </c>
      <c r="AM1222">
        <f t="shared" si="720"/>
        <v>0</v>
      </c>
      <c r="AN1222">
        <f t="shared" si="721"/>
        <v>0</v>
      </c>
      <c r="AO1222">
        <f t="shared" si="722"/>
        <v>0</v>
      </c>
      <c r="AP1222">
        <f t="shared" si="723"/>
        <v>0</v>
      </c>
      <c r="AQ1222">
        <f t="shared" si="724"/>
        <v>0</v>
      </c>
    </row>
    <row r="1223" spans="6:43" x14ac:dyDescent="0.45">
      <c r="F1223">
        <f t="shared" si="689"/>
        <v>0</v>
      </c>
      <c r="G1223">
        <f t="shared" si="690"/>
        <v>0</v>
      </c>
      <c r="H1223">
        <f t="shared" si="691"/>
        <v>0</v>
      </c>
      <c r="I1223">
        <f t="shared" si="692"/>
        <v>0</v>
      </c>
      <c r="J1223">
        <f t="shared" si="693"/>
        <v>0</v>
      </c>
      <c r="K1223">
        <f t="shared" si="694"/>
        <v>0</v>
      </c>
      <c r="L1223">
        <f t="shared" si="695"/>
        <v>0</v>
      </c>
      <c r="M1223">
        <f t="shared" si="696"/>
        <v>0</v>
      </c>
      <c r="N1223">
        <f t="shared" si="697"/>
        <v>0</v>
      </c>
      <c r="O1223">
        <f t="shared" si="698"/>
        <v>0</v>
      </c>
      <c r="P1223">
        <f t="shared" si="699"/>
        <v>0</v>
      </c>
      <c r="Q1223">
        <f t="shared" si="700"/>
        <v>0</v>
      </c>
      <c r="S1223">
        <f t="shared" si="701"/>
        <v>0</v>
      </c>
      <c r="T1223">
        <f t="shared" si="702"/>
        <v>0</v>
      </c>
      <c r="U1223">
        <f t="shared" si="703"/>
        <v>0</v>
      </c>
      <c r="V1223">
        <f t="shared" si="704"/>
        <v>0</v>
      </c>
      <c r="W1223">
        <f t="shared" si="705"/>
        <v>0</v>
      </c>
      <c r="X1223">
        <f t="shared" si="706"/>
        <v>0</v>
      </c>
      <c r="Y1223">
        <f t="shared" si="707"/>
        <v>0</v>
      </c>
      <c r="Z1223">
        <f t="shared" si="708"/>
        <v>0</v>
      </c>
      <c r="AA1223">
        <f t="shared" si="709"/>
        <v>0</v>
      </c>
      <c r="AB1223">
        <f t="shared" si="710"/>
        <v>0</v>
      </c>
      <c r="AC1223">
        <f t="shared" si="711"/>
        <v>0</v>
      </c>
      <c r="AD1223">
        <f t="shared" si="712"/>
        <v>0</v>
      </c>
      <c r="AF1223">
        <f t="shared" si="713"/>
        <v>0</v>
      </c>
      <c r="AG1223">
        <f t="shared" si="714"/>
        <v>0</v>
      </c>
      <c r="AH1223">
        <f t="shared" si="715"/>
        <v>0</v>
      </c>
      <c r="AI1223">
        <f t="shared" si="716"/>
        <v>0</v>
      </c>
      <c r="AJ1223">
        <f t="shared" si="717"/>
        <v>0</v>
      </c>
      <c r="AK1223">
        <f t="shared" si="718"/>
        <v>0</v>
      </c>
      <c r="AL1223">
        <f t="shared" si="719"/>
        <v>0</v>
      </c>
      <c r="AM1223">
        <f t="shared" si="720"/>
        <v>0</v>
      </c>
      <c r="AN1223">
        <f t="shared" si="721"/>
        <v>0</v>
      </c>
      <c r="AO1223">
        <f t="shared" si="722"/>
        <v>0</v>
      </c>
      <c r="AP1223">
        <f t="shared" si="723"/>
        <v>0</v>
      </c>
      <c r="AQ1223">
        <f t="shared" si="724"/>
        <v>0</v>
      </c>
    </row>
    <row r="1224" spans="6:43" x14ac:dyDescent="0.45">
      <c r="F1224">
        <f t="shared" si="689"/>
        <v>0</v>
      </c>
      <c r="G1224">
        <f t="shared" si="690"/>
        <v>0</v>
      </c>
      <c r="H1224">
        <f t="shared" si="691"/>
        <v>0</v>
      </c>
      <c r="I1224">
        <f t="shared" si="692"/>
        <v>0</v>
      </c>
      <c r="J1224">
        <f t="shared" si="693"/>
        <v>0</v>
      </c>
      <c r="K1224">
        <f t="shared" si="694"/>
        <v>0</v>
      </c>
      <c r="L1224">
        <f t="shared" si="695"/>
        <v>0</v>
      </c>
      <c r="M1224">
        <f t="shared" si="696"/>
        <v>0</v>
      </c>
      <c r="N1224">
        <f t="shared" si="697"/>
        <v>0</v>
      </c>
      <c r="O1224">
        <f t="shared" si="698"/>
        <v>0</v>
      </c>
      <c r="P1224">
        <f t="shared" si="699"/>
        <v>0</v>
      </c>
      <c r="Q1224">
        <f t="shared" si="700"/>
        <v>0</v>
      </c>
      <c r="S1224">
        <f t="shared" si="701"/>
        <v>0</v>
      </c>
      <c r="T1224">
        <f t="shared" si="702"/>
        <v>0</v>
      </c>
      <c r="U1224">
        <f t="shared" si="703"/>
        <v>0</v>
      </c>
      <c r="V1224">
        <f t="shared" si="704"/>
        <v>0</v>
      </c>
      <c r="W1224">
        <f t="shared" si="705"/>
        <v>0</v>
      </c>
      <c r="X1224">
        <f t="shared" si="706"/>
        <v>0</v>
      </c>
      <c r="Y1224">
        <f t="shared" si="707"/>
        <v>0</v>
      </c>
      <c r="Z1224">
        <f t="shared" si="708"/>
        <v>0</v>
      </c>
      <c r="AA1224">
        <f t="shared" si="709"/>
        <v>0</v>
      </c>
      <c r="AB1224">
        <f t="shared" si="710"/>
        <v>0</v>
      </c>
      <c r="AC1224">
        <f t="shared" si="711"/>
        <v>0</v>
      </c>
      <c r="AD1224">
        <f t="shared" si="712"/>
        <v>0</v>
      </c>
      <c r="AF1224">
        <f t="shared" si="713"/>
        <v>0</v>
      </c>
      <c r="AG1224">
        <f t="shared" si="714"/>
        <v>0</v>
      </c>
      <c r="AH1224">
        <f t="shared" si="715"/>
        <v>0</v>
      </c>
      <c r="AI1224">
        <f t="shared" si="716"/>
        <v>0</v>
      </c>
      <c r="AJ1224">
        <f t="shared" si="717"/>
        <v>0</v>
      </c>
      <c r="AK1224">
        <f t="shared" si="718"/>
        <v>0</v>
      </c>
      <c r="AL1224">
        <f t="shared" si="719"/>
        <v>0</v>
      </c>
      <c r="AM1224">
        <f t="shared" si="720"/>
        <v>0</v>
      </c>
      <c r="AN1224">
        <f t="shared" si="721"/>
        <v>0</v>
      </c>
      <c r="AO1224">
        <f t="shared" si="722"/>
        <v>0</v>
      </c>
      <c r="AP1224">
        <f t="shared" si="723"/>
        <v>0</v>
      </c>
      <c r="AQ1224">
        <f t="shared" si="724"/>
        <v>0</v>
      </c>
    </row>
    <row r="1225" spans="6:43" x14ac:dyDescent="0.45">
      <c r="F1225">
        <f t="shared" si="689"/>
        <v>0</v>
      </c>
      <c r="G1225">
        <f t="shared" si="690"/>
        <v>0</v>
      </c>
      <c r="H1225">
        <f t="shared" si="691"/>
        <v>0</v>
      </c>
      <c r="I1225">
        <f t="shared" si="692"/>
        <v>0</v>
      </c>
      <c r="J1225">
        <f t="shared" si="693"/>
        <v>0</v>
      </c>
      <c r="K1225">
        <f t="shared" si="694"/>
        <v>0</v>
      </c>
      <c r="L1225">
        <f t="shared" si="695"/>
        <v>0</v>
      </c>
      <c r="M1225">
        <f t="shared" si="696"/>
        <v>0</v>
      </c>
      <c r="N1225">
        <f t="shared" si="697"/>
        <v>0</v>
      </c>
      <c r="O1225">
        <f t="shared" si="698"/>
        <v>0</v>
      </c>
      <c r="P1225">
        <f t="shared" si="699"/>
        <v>0</v>
      </c>
      <c r="Q1225">
        <f t="shared" si="700"/>
        <v>0</v>
      </c>
      <c r="S1225">
        <f t="shared" si="701"/>
        <v>0</v>
      </c>
      <c r="T1225">
        <f t="shared" si="702"/>
        <v>0</v>
      </c>
      <c r="U1225">
        <f t="shared" si="703"/>
        <v>0</v>
      </c>
      <c r="V1225">
        <f t="shared" si="704"/>
        <v>0</v>
      </c>
      <c r="W1225">
        <f t="shared" si="705"/>
        <v>0</v>
      </c>
      <c r="X1225">
        <f t="shared" si="706"/>
        <v>0</v>
      </c>
      <c r="Y1225">
        <f t="shared" si="707"/>
        <v>0</v>
      </c>
      <c r="Z1225">
        <f t="shared" si="708"/>
        <v>0</v>
      </c>
      <c r="AA1225">
        <f t="shared" si="709"/>
        <v>0</v>
      </c>
      <c r="AB1225">
        <f t="shared" si="710"/>
        <v>0</v>
      </c>
      <c r="AC1225">
        <f t="shared" si="711"/>
        <v>0</v>
      </c>
      <c r="AD1225">
        <f t="shared" si="712"/>
        <v>0</v>
      </c>
      <c r="AF1225">
        <f t="shared" si="713"/>
        <v>0</v>
      </c>
      <c r="AG1225">
        <f t="shared" si="714"/>
        <v>0</v>
      </c>
      <c r="AH1225">
        <f t="shared" si="715"/>
        <v>0</v>
      </c>
      <c r="AI1225">
        <f t="shared" si="716"/>
        <v>0</v>
      </c>
      <c r="AJ1225">
        <f t="shared" si="717"/>
        <v>0</v>
      </c>
      <c r="AK1225">
        <f t="shared" si="718"/>
        <v>0</v>
      </c>
      <c r="AL1225">
        <f t="shared" si="719"/>
        <v>0</v>
      </c>
      <c r="AM1225">
        <f t="shared" si="720"/>
        <v>0</v>
      </c>
      <c r="AN1225">
        <f t="shared" si="721"/>
        <v>0</v>
      </c>
      <c r="AO1225">
        <f t="shared" si="722"/>
        <v>0</v>
      </c>
      <c r="AP1225">
        <f t="shared" si="723"/>
        <v>0</v>
      </c>
      <c r="AQ1225">
        <f t="shared" si="724"/>
        <v>0</v>
      </c>
    </row>
    <row r="1226" spans="6:43" x14ac:dyDescent="0.45">
      <c r="F1226">
        <f t="shared" si="689"/>
        <v>0</v>
      </c>
      <c r="G1226">
        <f t="shared" si="690"/>
        <v>0</v>
      </c>
      <c r="H1226">
        <f t="shared" si="691"/>
        <v>0</v>
      </c>
      <c r="I1226">
        <f t="shared" si="692"/>
        <v>0</v>
      </c>
      <c r="J1226">
        <f t="shared" si="693"/>
        <v>0</v>
      </c>
      <c r="K1226">
        <f t="shared" si="694"/>
        <v>0</v>
      </c>
      <c r="L1226">
        <f t="shared" si="695"/>
        <v>0</v>
      </c>
      <c r="M1226">
        <f t="shared" si="696"/>
        <v>0</v>
      </c>
      <c r="N1226">
        <f t="shared" si="697"/>
        <v>0</v>
      </c>
      <c r="O1226">
        <f t="shared" si="698"/>
        <v>0</v>
      </c>
      <c r="P1226">
        <f t="shared" si="699"/>
        <v>0</v>
      </c>
      <c r="Q1226">
        <f t="shared" si="700"/>
        <v>0</v>
      </c>
      <c r="S1226">
        <f t="shared" si="701"/>
        <v>0</v>
      </c>
      <c r="T1226">
        <f t="shared" si="702"/>
        <v>0</v>
      </c>
      <c r="U1226">
        <f t="shared" si="703"/>
        <v>0</v>
      </c>
      <c r="V1226">
        <f t="shared" si="704"/>
        <v>0</v>
      </c>
      <c r="W1226">
        <f t="shared" si="705"/>
        <v>0</v>
      </c>
      <c r="X1226">
        <f t="shared" si="706"/>
        <v>0</v>
      </c>
      <c r="Y1226">
        <f t="shared" si="707"/>
        <v>0</v>
      </c>
      <c r="Z1226">
        <f t="shared" si="708"/>
        <v>0</v>
      </c>
      <c r="AA1226">
        <f t="shared" si="709"/>
        <v>0</v>
      </c>
      <c r="AB1226">
        <f t="shared" si="710"/>
        <v>0</v>
      </c>
      <c r="AC1226">
        <f t="shared" si="711"/>
        <v>0</v>
      </c>
      <c r="AD1226">
        <f t="shared" si="712"/>
        <v>0</v>
      </c>
      <c r="AF1226">
        <f t="shared" si="713"/>
        <v>0</v>
      </c>
      <c r="AG1226">
        <f t="shared" si="714"/>
        <v>0</v>
      </c>
      <c r="AH1226">
        <f t="shared" si="715"/>
        <v>0</v>
      </c>
      <c r="AI1226">
        <f t="shared" si="716"/>
        <v>0</v>
      </c>
      <c r="AJ1226">
        <f t="shared" si="717"/>
        <v>0</v>
      </c>
      <c r="AK1226">
        <f t="shared" si="718"/>
        <v>0</v>
      </c>
      <c r="AL1226">
        <f t="shared" si="719"/>
        <v>0</v>
      </c>
      <c r="AM1226">
        <f t="shared" si="720"/>
        <v>0</v>
      </c>
      <c r="AN1226">
        <f t="shared" si="721"/>
        <v>0</v>
      </c>
      <c r="AO1226">
        <f t="shared" si="722"/>
        <v>0</v>
      </c>
      <c r="AP1226">
        <f t="shared" si="723"/>
        <v>0</v>
      </c>
      <c r="AQ1226">
        <f t="shared" si="724"/>
        <v>0</v>
      </c>
    </row>
    <row r="1227" spans="6:43" x14ac:dyDescent="0.45">
      <c r="F1227">
        <f t="shared" si="689"/>
        <v>0</v>
      </c>
      <c r="G1227">
        <f t="shared" si="690"/>
        <v>0</v>
      </c>
      <c r="H1227">
        <f t="shared" si="691"/>
        <v>0</v>
      </c>
      <c r="I1227">
        <f t="shared" si="692"/>
        <v>0</v>
      </c>
      <c r="J1227">
        <f t="shared" si="693"/>
        <v>0</v>
      </c>
      <c r="K1227">
        <f t="shared" si="694"/>
        <v>0</v>
      </c>
      <c r="L1227">
        <f t="shared" si="695"/>
        <v>0</v>
      </c>
      <c r="M1227">
        <f t="shared" si="696"/>
        <v>0</v>
      </c>
      <c r="N1227">
        <f t="shared" si="697"/>
        <v>0</v>
      </c>
      <c r="O1227">
        <f t="shared" si="698"/>
        <v>0</v>
      </c>
      <c r="P1227">
        <f t="shared" si="699"/>
        <v>0</v>
      </c>
      <c r="Q1227">
        <f t="shared" si="700"/>
        <v>0</v>
      </c>
      <c r="S1227">
        <f t="shared" si="701"/>
        <v>0</v>
      </c>
      <c r="T1227">
        <f t="shared" si="702"/>
        <v>0</v>
      </c>
      <c r="U1227">
        <f t="shared" si="703"/>
        <v>0</v>
      </c>
      <c r="V1227">
        <f t="shared" si="704"/>
        <v>0</v>
      </c>
      <c r="W1227">
        <f t="shared" si="705"/>
        <v>0</v>
      </c>
      <c r="X1227">
        <f t="shared" si="706"/>
        <v>0</v>
      </c>
      <c r="Y1227">
        <f t="shared" si="707"/>
        <v>0</v>
      </c>
      <c r="Z1227">
        <f t="shared" si="708"/>
        <v>0</v>
      </c>
      <c r="AA1227">
        <f t="shared" si="709"/>
        <v>0</v>
      </c>
      <c r="AB1227">
        <f t="shared" si="710"/>
        <v>0</v>
      </c>
      <c r="AC1227">
        <f t="shared" si="711"/>
        <v>0</v>
      </c>
      <c r="AD1227">
        <f t="shared" si="712"/>
        <v>0</v>
      </c>
      <c r="AF1227">
        <f t="shared" si="713"/>
        <v>0</v>
      </c>
      <c r="AG1227">
        <f t="shared" si="714"/>
        <v>0</v>
      </c>
      <c r="AH1227">
        <f t="shared" si="715"/>
        <v>0</v>
      </c>
      <c r="AI1227">
        <f t="shared" si="716"/>
        <v>0</v>
      </c>
      <c r="AJ1227">
        <f t="shared" si="717"/>
        <v>0</v>
      </c>
      <c r="AK1227">
        <f t="shared" si="718"/>
        <v>0</v>
      </c>
      <c r="AL1227">
        <f t="shared" si="719"/>
        <v>0</v>
      </c>
      <c r="AM1227">
        <f t="shared" si="720"/>
        <v>0</v>
      </c>
      <c r="AN1227">
        <f t="shared" si="721"/>
        <v>0</v>
      </c>
      <c r="AO1227">
        <f t="shared" si="722"/>
        <v>0</v>
      </c>
      <c r="AP1227">
        <f t="shared" si="723"/>
        <v>0</v>
      </c>
      <c r="AQ1227">
        <f t="shared" si="724"/>
        <v>0</v>
      </c>
    </row>
    <row r="1228" spans="6:43" x14ac:dyDescent="0.45">
      <c r="F1228">
        <f t="shared" ref="F1228:F1262" si="725">IF(D1228="SPUR-01",E1228,0)</f>
        <v>0</v>
      </c>
      <c r="G1228">
        <f t="shared" ref="G1228:G1262" si="726">IF(D1228="SPUR-02",E1228,0)</f>
        <v>0</v>
      </c>
      <c r="H1228">
        <f t="shared" ref="H1228:H1262" si="727">IF(D1228="SPUR-03",E1228,0)</f>
        <v>0</v>
      </c>
      <c r="I1228">
        <f t="shared" ref="I1228:I1262" si="728">IF(D1228="SPUR-04",E1228,0)</f>
        <v>0</v>
      </c>
      <c r="J1228">
        <f t="shared" ref="J1228:J1262" si="729">IF(D1228="SPUR-05",E1228,0)</f>
        <v>0</v>
      </c>
      <c r="K1228">
        <f t="shared" ref="K1228:K1262" si="730">IF(D1228="SPUR-06",E1228,0)</f>
        <v>0</v>
      </c>
      <c r="L1228">
        <f t="shared" ref="L1228:L1262" si="731">IF(D1228="SPUR-07",E1228,0)</f>
        <v>0</v>
      </c>
      <c r="M1228">
        <f t="shared" ref="M1228:M1262" si="732">IF(D1228="SPUR-08",E1228,0)</f>
        <v>0</v>
      </c>
      <c r="N1228">
        <f t="shared" ref="N1228:N1262" si="733">IF(D1228="SPUR-09",E1228,0)</f>
        <v>0</v>
      </c>
      <c r="O1228">
        <f t="shared" ref="O1228:O1262" si="734">IF(D1228="SPUR-10",E1228,0)</f>
        <v>0</v>
      </c>
      <c r="P1228">
        <f t="shared" ref="P1228:P1262" si="735">IF(D1228="SPUR-SILO",E1228,0)</f>
        <v>0</v>
      </c>
      <c r="Q1228">
        <f t="shared" ref="Q1228:Q1262" si="736">IF(D1228="SPUR-DB",E1228,0)</f>
        <v>0</v>
      </c>
      <c r="S1228">
        <f t="shared" si="701"/>
        <v>0</v>
      </c>
      <c r="T1228">
        <f t="shared" si="702"/>
        <v>0</v>
      </c>
      <c r="U1228">
        <f t="shared" si="703"/>
        <v>0</v>
      </c>
      <c r="V1228">
        <f t="shared" si="704"/>
        <v>0</v>
      </c>
      <c r="W1228">
        <f t="shared" si="705"/>
        <v>0</v>
      </c>
      <c r="X1228">
        <f t="shared" si="706"/>
        <v>0</v>
      </c>
      <c r="Y1228">
        <f t="shared" si="707"/>
        <v>0</v>
      </c>
      <c r="Z1228">
        <f t="shared" si="708"/>
        <v>0</v>
      </c>
      <c r="AA1228">
        <f t="shared" si="709"/>
        <v>0</v>
      </c>
      <c r="AB1228">
        <f t="shared" si="710"/>
        <v>0</v>
      </c>
      <c r="AC1228">
        <f t="shared" si="711"/>
        <v>0</v>
      </c>
      <c r="AD1228">
        <f t="shared" si="712"/>
        <v>0</v>
      </c>
      <c r="AF1228">
        <f t="shared" si="713"/>
        <v>0</v>
      </c>
      <c r="AG1228">
        <f t="shared" si="714"/>
        <v>0</v>
      </c>
      <c r="AH1228">
        <f t="shared" si="715"/>
        <v>0</v>
      </c>
      <c r="AI1228">
        <f t="shared" si="716"/>
        <v>0</v>
      </c>
      <c r="AJ1228">
        <f t="shared" si="717"/>
        <v>0</v>
      </c>
      <c r="AK1228">
        <f t="shared" si="718"/>
        <v>0</v>
      </c>
      <c r="AL1228">
        <f t="shared" si="719"/>
        <v>0</v>
      </c>
      <c r="AM1228">
        <f t="shared" si="720"/>
        <v>0</v>
      </c>
      <c r="AN1228">
        <f t="shared" si="721"/>
        <v>0</v>
      </c>
      <c r="AO1228">
        <f t="shared" si="722"/>
        <v>0</v>
      </c>
      <c r="AP1228">
        <f t="shared" si="723"/>
        <v>0</v>
      </c>
      <c r="AQ1228">
        <f t="shared" si="724"/>
        <v>0</v>
      </c>
    </row>
    <row r="1229" spans="6:43" x14ac:dyDescent="0.45">
      <c r="F1229">
        <f t="shared" si="725"/>
        <v>0</v>
      </c>
      <c r="G1229">
        <f t="shared" si="726"/>
        <v>0</v>
      </c>
      <c r="H1229">
        <f t="shared" si="727"/>
        <v>0</v>
      </c>
      <c r="I1229">
        <f t="shared" si="728"/>
        <v>0</v>
      </c>
      <c r="J1229">
        <f t="shared" si="729"/>
        <v>0</v>
      </c>
      <c r="K1229">
        <f t="shared" si="730"/>
        <v>0</v>
      </c>
      <c r="L1229">
        <f t="shared" si="731"/>
        <v>0</v>
      </c>
      <c r="M1229">
        <f t="shared" si="732"/>
        <v>0</v>
      </c>
      <c r="N1229">
        <f t="shared" si="733"/>
        <v>0</v>
      </c>
      <c r="O1229">
        <f t="shared" si="734"/>
        <v>0</v>
      </c>
      <c r="P1229">
        <f t="shared" si="735"/>
        <v>0</v>
      </c>
      <c r="Q1229">
        <f t="shared" si="736"/>
        <v>0</v>
      </c>
      <c r="S1229">
        <f t="shared" si="701"/>
        <v>0</v>
      </c>
      <c r="T1229">
        <f t="shared" si="702"/>
        <v>0</v>
      </c>
      <c r="U1229">
        <f t="shared" si="703"/>
        <v>0</v>
      </c>
      <c r="V1229">
        <f t="shared" si="704"/>
        <v>0</v>
      </c>
      <c r="W1229">
        <f t="shared" si="705"/>
        <v>0</v>
      </c>
      <c r="X1229">
        <f t="shared" si="706"/>
        <v>0</v>
      </c>
      <c r="Y1229">
        <f t="shared" si="707"/>
        <v>0</v>
      </c>
      <c r="Z1229">
        <f t="shared" si="708"/>
        <v>0</v>
      </c>
      <c r="AA1229">
        <f t="shared" si="709"/>
        <v>0</v>
      </c>
      <c r="AB1229">
        <f t="shared" si="710"/>
        <v>0</v>
      </c>
      <c r="AC1229">
        <f t="shared" si="711"/>
        <v>0</v>
      </c>
      <c r="AD1229">
        <f t="shared" si="712"/>
        <v>0</v>
      </c>
      <c r="AF1229">
        <f t="shared" si="713"/>
        <v>0</v>
      </c>
      <c r="AG1229">
        <f t="shared" si="714"/>
        <v>0</v>
      </c>
      <c r="AH1229">
        <f t="shared" si="715"/>
        <v>0</v>
      </c>
      <c r="AI1229">
        <f t="shared" si="716"/>
        <v>0</v>
      </c>
      <c r="AJ1229">
        <f t="shared" si="717"/>
        <v>0</v>
      </c>
      <c r="AK1229">
        <f t="shared" si="718"/>
        <v>0</v>
      </c>
      <c r="AL1229">
        <f t="shared" si="719"/>
        <v>0</v>
      </c>
      <c r="AM1229">
        <f t="shared" si="720"/>
        <v>0</v>
      </c>
      <c r="AN1229">
        <f t="shared" si="721"/>
        <v>0</v>
      </c>
      <c r="AO1229">
        <f t="shared" si="722"/>
        <v>0</v>
      </c>
      <c r="AP1229">
        <f t="shared" si="723"/>
        <v>0</v>
      </c>
      <c r="AQ1229">
        <f t="shared" si="724"/>
        <v>0</v>
      </c>
    </row>
    <row r="1230" spans="6:43" x14ac:dyDescent="0.45">
      <c r="F1230">
        <f t="shared" si="725"/>
        <v>0</v>
      </c>
      <c r="G1230">
        <f t="shared" si="726"/>
        <v>0</v>
      </c>
      <c r="H1230">
        <f t="shared" si="727"/>
        <v>0</v>
      </c>
      <c r="I1230">
        <f t="shared" si="728"/>
        <v>0</v>
      </c>
      <c r="J1230">
        <f t="shared" si="729"/>
        <v>0</v>
      </c>
      <c r="K1230">
        <f t="shared" si="730"/>
        <v>0</v>
      </c>
      <c r="L1230">
        <f t="shared" si="731"/>
        <v>0</v>
      </c>
      <c r="M1230">
        <f t="shared" si="732"/>
        <v>0</v>
      </c>
      <c r="N1230">
        <f t="shared" si="733"/>
        <v>0</v>
      </c>
      <c r="O1230">
        <f t="shared" si="734"/>
        <v>0</v>
      </c>
      <c r="P1230">
        <f t="shared" si="735"/>
        <v>0</v>
      </c>
      <c r="Q1230">
        <f t="shared" si="736"/>
        <v>0</v>
      </c>
      <c r="S1230">
        <f t="shared" si="701"/>
        <v>0</v>
      </c>
      <c r="T1230">
        <f t="shared" si="702"/>
        <v>0</v>
      </c>
      <c r="U1230">
        <f t="shared" si="703"/>
        <v>0</v>
      </c>
      <c r="V1230">
        <f t="shared" si="704"/>
        <v>0</v>
      </c>
      <c r="W1230">
        <f t="shared" si="705"/>
        <v>0</v>
      </c>
      <c r="X1230">
        <f t="shared" si="706"/>
        <v>0</v>
      </c>
      <c r="Y1230">
        <f t="shared" si="707"/>
        <v>0</v>
      </c>
      <c r="Z1230">
        <f t="shared" si="708"/>
        <v>0</v>
      </c>
      <c r="AA1230">
        <f t="shared" si="709"/>
        <v>0</v>
      </c>
      <c r="AB1230">
        <f t="shared" si="710"/>
        <v>0</v>
      </c>
      <c r="AC1230">
        <f t="shared" si="711"/>
        <v>0</v>
      </c>
      <c r="AD1230">
        <f t="shared" si="712"/>
        <v>0</v>
      </c>
      <c r="AF1230">
        <f t="shared" si="713"/>
        <v>0</v>
      </c>
      <c r="AG1230">
        <f t="shared" si="714"/>
        <v>0</v>
      </c>
      <c r="AH1230">
        <f t="shared" si="715"/>
        <v>0</v>
      </c>
      <c r="AI1230">
        <f t="shared" si="716"/>
        <v>0</v>
      </c>
      <c r="AJ1230">
        <f t="shared" si="717"/>
        <v>0</v>
      </c>
      <c r="AK1230">
        <f t="shared" si="718"/>
        <v>0</v>
      </c>
      <c r="AL1230">
        <f t="shared" si="719"/>
        <v>0</v>
      </c>
      <c r="AM1230">
        <f t="shared" si="720"/>
        <v>0</v>
      </c>
      <c r="AN1230">
        <f t="shared" si="721"/>
        <v>0</v>
      </c>
      <c r="AO1230">
        <f t="shared" si="722"/>
        <v>0</v>
      </c>
      <c r="AP1230">
        <f t="shared" si="723"/>
        <v>0</v>
      </c>
      <c r="AQ1230">
        <f t="shared" si="724"/>
        <v>0</v>
      </c>
    </row>
    <row r="1231" spans="6:43" x14ac:dyDescent="0.45">
      <c r="F1231">
        <f t="shared" si="725"/>
        <v>0</v>
      </c>
      <c r="G1231">
        <f t="shared" si="726"/>
        <v>0</v>
      </c>
      <c r="H1231">
        <f t="shared" si="727"/>
        <v>0</v>
      </c>
      <c r="I1231">
        <f t="shared" si="728"/>
        <v>0</v>
      </c>
      <c r="J1231">
        <f t="shared" si="729"/>
        <v>0</v>
      </c>
      <c r="K1231">
        <f t="shared" si="730"/>
        <v>0</v>
      </c>
      <c r="L1231">
        <f t="shared" si="731"/>
        <v>0</v>
      </c>
      <c r="M1231">
        <f t="shared" si="732"/>
        <v>0</v>
      </c>
      <c r="N1231">
        <f t="shared" si="733"/>
        <v>0</v>
      </c>
      <c r="O1231">
        <f t="shared" si="734"/>
        <v>0</v>
      </c>
      <c r="P1231">
        <f t="shared" si="735"/>
        <v>0</v>
      </c>
      <c r="Q1231">
        <f t="shared" si="736"/>
        <v>0</v>
      </c>
      <c r="S1231">
        <f t="shared" si="701"/>
        <v>0</v>
      </c>
      <c r="T1231">
        <f t="shared" si="702"/>
        <v>0</v>
      </c>
      <c r="U1231">
        <f t="shared" si="703"/>
        <v>0</v>
      </c>
      <c r="V1231">
        <f t="shared" si="704"/>
        <v>0</v>
      </c>
      <c r="W1231">
        <f t="shared" si="705"/>
        <v>0</v>
      </c>
      <c r="X1231">
        <f t="shared" si="706"/>
        <v>0</v>
      </c>
      <c r="Y1231">
        <f t="shared" si="707"/>
        <v>0</v>
      </c>
      <c r="Z1231">
        <f t="shared" si="708"/>
        <v>0</v>
      </c>
      <c r="AA1231">
        <f t="shared" si="709"/>
        <v>0</v>
      </c>
      <c r="AB1231">
        <f t="shared" si="710"/>
        <v>0</v>
      </c>
      <c r="AC1231">
        <f t="shared" si="711"/>
        <v>0</v>
      </c>
      <c r="AD1231">
        <f t="shared" si="712"/>
        <v>0</v>
      </c>
      <c r="AF1231">
        <f t="shared" si="713"/>
        <v>0</v>
      </c>
      <c r="AG1231">
        <f t="shared" si="714"/>
        <v>0</v>
      </c>
      <c r="AH1231">
        <f t="shared" si="715"/>
        <v>0</v>
      </c>
      <c r="AI1231">
        <f t="shared" si="716"/>
        <v>0</v>
      </c>
      <c r="AJ1231">
        <f t="shared" si="717"/>
        <v>0</v>
      </c>
      <c r="AK1231">
        <f t="shared" si="718"/>
        <v>0</v>
      </c>
      <c r="AL1231">
        <f t="shared" si="719"/>
        <v>0</v>
      </c>
      <c r="AM1231">
        <f t="shared" si="720"/>
        <v>0</v>
      </c>
      <c r="AN1231">
        <f t="shared" si="721"/>
        <v>0</v>
      </c>
      <c r="AO1231">
        <f t="shared" si="722"/>
        <v>0</v>
      </c>
      <c r="AP1231">
        <f t="shared" si="723"/>
        <v>0</v>
      </c>
      <c r="AQ1231">
        <f t="shared" si="724"/>
        <v>0</v>
      </c>
    </row>
    <row r="1232" spans="6:43" x14ac:dyDescent="0.45">
      <c r="F1232">
        <f t="shared" si="725"/>
        <v>0</v>
      </c>
      <c r="G1232">
        <f t="shared" si="726"/>
        <v>0</v>
      </c>
      <c r="H1232">
        <f t="shared" si="727"/>
        <v>0</v>
      </c>
      <c r="I1232">
        <f t="shared" si="728"/>
        <v>0</v>
      </c>
      <c r="J1232">
        <f t="shared" si="729"/>
        <v>0</v>
      </c>
      <c r="K1232">
        <f t="shared" si="730"/>
        <v>0</v>
      </c>
      <c r="L1232">
        <f t="shared" si="731"/>
        <v>0</v>
      </c>
      <c r="M1232">
        <f t="shared" si="732"/>
        <v>0</v>
      </c>
      <c r="N1232">
        <f t="shared" si="733"/>
        <v>0</v>
      </c>
      <c r="O1232">
        <f t="shared" si="734"/>
        <v>0</v>
      </c>
      <c r="P1232">
        <f t="shared" si="735"/>
        <v>0</v>
      </c>
      <c r="Q1232">
        <f t="shared" si="736"/>
        <v>0</v>
      </c>
      <c r="S1232">
        <f t="shared" si="701"/>
        <v>0</v>
      </c>
      <c r="T1232">
        <f t="shared" si="702"/>
        <v>0</v>
      </c>
      <c r="U1232">
        <f t="shared" si="703"/>
        <v>0</v>
      </c>
      <c r="V1232">
        <f t="shared" si="704"/>
        <v>0</v>
      </c>
      <c r="W1232">
        <f t="shared" si="705"/>
        <v>0</v>
      </c>
      <c r="X1232">
        <f t="shared" si="706"/>
        <v>0</v>
      </c>
      <c r="Y1232">
        <f t="shared" si="707"/>
        <v>0</v>
      </c>
      <c r="Z1232">
        <f t="shared" si="708"/>
        <v>0</v>
      </c>
      <c r="AA1232">
        <f t="shared" si="709"/>
        <v>0</v>
      </c>
      <c r="AB1232">
        <f t="shared" si="710"/>
        <v>0</v>
      </c>
      <c r="AC1232">
        <f t="shared" si="711"/>
        <v>0</v>
      </c>
      <c r="AD1232">
        <f t="shared" si="712"/>
        <v>0</v>
      </c>
      <c r="AF1232">
        <f t="shared" si="713"/>
        <v>0</v>
      </c>
      <c r="AG1232">
        <f t="shared" si="714"/>
        <v>0</v>
      </c>
      <c r="AH1232">
        <f t="shared" si="715"/>
        <v>0</v>
      </c>
      <c r="AI1232">
        <f t="shared" si="716"/>
        <v>0</v>
      </c>
      <c r="AJ1232">
        <f t="shared" si="717"/>
        <v>0</v>
      </c>
      <c r="AK1232">
        <f t="shared" si="718"/>
        <v>0</v>
      </c>
      <c r="AL1232">
        <f t="shared" si="719"/>
        <v>0</v>
      </c>
      <c r="AM1232">
        <f t="shared" si="720"/>
        <v>0</v>
      </c>
      <c r="AN1232">
        <f t="shared" si="721"/>
        <v>0</v>
      </c>
      <c r="AO1232">
        <f t="shared" si="722"/>
        <v>0</v>
      </c>
      <c r="AP1232">
        <f t="shared" si="723"/>
        <v>0</v>
      </c>
      <c r="AQ1232">
        <f t="shared" si="724"/>
        <v>0</v>
      </c>
    </row>
    <row r="1233" spans="6:43" x14ac:dyDescent="0.45">
      <c r="F1233">
        <f t="shared" si="725"/>
        <v>0</v>
      </c>
      <c r="G1233">
        <f t="shared" si="726"/>
        <v>0</v>
      </c>
      <c r="H1233">
        <f t="shared" si="727"/>
        <v>0</v>
      </c>
      <c r="I1233">
        <f t="shared" si="728"/>
        <v>0</v>
      </c>
      <c r="J1233">
        <f t="shared" si="729"/>
        <v>0</v>
      </c>
      <c r="K1233">
        <f t="shared" si="730"/>
        <v>0</v>
      </c>
      <c r="L1233">
        <f t="shared" si="731"/>
        <v>0</v>
      </c>
      <c r="M1233">
        <f t="shared" si="732"/>
        <v>0</v>
      </c>
      <c r="N1233">
        <f t="shared" si="733"/>
        <v>0</v>
      </c>
      <c r="O1233">
        <f t="shared" si="734"/>
        <v>0</v>
      </c>
      <c r="P1233">
        <f t="shared" si="735"/>
        <v>0</v>
      </c>
      <c r="Q1233">
        <f t="shared" si="736"/>
        <v>0</v>
      </c>
      <c r="S1233">
        <f t="shared" si="701"/>
        <v>0</v>
      </c>
      <c r="T1233">
        <f t="shared" si="702"/>
        <v>0</v>
      </c>
      <c r="U1233">
        <f t="shared" si="703"/>
        <v>0</v>
      </c>
      <c r="V1233">
        <f t="shared" si="704"/>
        <v>0</v>
      </c>
      <c r="W1233">
        <f t="shared" si="705"/>
        <v>0</v>
      </c>
      <c r="X1233">
        <f t="shared" si="706"/>
        <v>0</v>
      </c>
      <c r="Y1233">
        <f t="shared" si="707"/>
        <v>0</v>
      </c>
      <c r="Z1233">
        <f t="shared" si="708"/>
        <v>0</v>
      </c>
      <c r="AA1233">
        <f t="shared" si="709"/>
        <v>0</v>
      </c>
      <c r="AB1233">
        <f t="shared" si="710"/>
        <v>0</v>
      </c>
      <c r="AC1233">
        <f t="shared" si="711"/>
        <v>0</v>
      </c>
      <c r="AD1233">
        <f t="shared" si="712"/>
        <v>0</v>
      </c>
      <c r="AF1233">
        <f t="shared" si="713"/>
        <v>0</v>
      </c>
      <c r="AG1233">
        <f t="shared" si="714"/>
        <v>0</v>
      </c>
      <c r="AH1233">
        <f t="shared" si="715"/>
        <v>0</v>
      </c>
      <c r="AI1233">
        <f t="shared" si="716"/>
        <v>0</v>
      </c>
      <c r="AJ1233">
        <f t="shared" si="717"/>
        <v>0</v>
      </c>
      <c r="AK1233">
        <f t="shared" si="718"/>
        <v>0</v>
      </c>
      <c r="AL1233">
        <f t="shared" si="719"/>
        <v>0</v>
      </c>
      <c r="AM1233">
        <f t="shared" si="720"/>
        <v>0</v>
      </c>
      <c r="AN1233">
        <f t="shared" si="721"/>
        <v>0</v>
      </c>
      <c r="AO1233">
        <f t="shared" si="722"/>
        <v>0</v>
      </c>
      <c r="AP1233">
        <f t="shared" si="723"/>
        <v>0</v>
      </c>
      <c r="AQ1233">
        <f t="shared" si="724"/>
        <v>0</v>
      </c>
    </row>
    <row r="1234" spans="6:43" x14ac:dyDescent="0.45">
      <c r="F1234">
        <f t="shared" si="725"/>
        <v>0</v>
      </c>
      <c r="G1234">
        <f t="shared" si="726"/>
        <v>0</v>
      </c>
      <c r="H1234">
        <f t="shared" si="727"/>
        <v>0</v>
      </c>
      <c r="I1234">
        <f t="shared" si="728"/>
        <v>0</v>
      </c>
      <c r="J1234">
        <f t="shared" si="729"/>
        <v>0</v>
      </c>
      <c r="K1234">
        <f t="shared" si="730"/>
        <v>0</v>
      </c>
      <c r="L1234">
        <f t="shared" si="731"/>
        <v>0</v>
      </c>
      <c r="M1234">
        <f t="shared" si="732"/>
        <v>0</v>
      </c>
      <c r="N1234">
        <f t="shared" si="733"/>
        <v>0</v>
      </c>
      <c r="O1234">
        <f t="shared" si="734"/>
        <v>0</v>
      </c>
      <c r="P1234">
        <f t="shared" si="735"/>
        <v>0</v>
      </c>
      <c r="Q1234">
        <f t="shared" si="736"/>
        <v>0</v>
      </c>
      <c r="S1234">
        <f t="shared" si="701"/>
        <v>0</v>
      </c>
      <c r="T1234">
        <f t="shared" si="702"/>
        <v>0</v>
      </c>
      <c r="U1234">
        <f t="shared" si="703"/>
        <v>0</v>
      </c>
      <c r="V1234">
        <f t="shared" si="704"/>
        <v>0</v>
      </c>
      <c r="W1234">
        <f t="shared" si="705"/>
        <v>0</v>
      </c>
      <c r="X1234">
        <f t="shared" si="706"/>
        <v>0</v>
      </c>
      <c r="Y1234">
        <f t="shared" si="707"/>
        <v>0</v>
      </c>
      <c r="Z1234">
        <f t="shared" si="708"/>
        <v>0</v>
      </c>
      <c r="AA1234">
        <f t="shared" si="709"/>
        <v>0</v>
      </c>
      <c r="AB1234">
        <f t="shared" si="710"/>
        <v>0</v>
      </c>
      <c r="AC1234">
        <f t="shared" si="711"/>
        <v>0</v>
      </c>
      <c r="AD1234">
        <f t="shared" si="712"/>
        <v>0</v>
      </c>
      <c r="AF1234">
        <f t="shared" si="713"/>
        <v>0</v>
      </c>
      <c r="AG1234">
        <f t="shared" si="714"/>
        <v>0</v>
      </c>
      <c r="AH1234">
        <f t="shared" si="715"/>
        <v>0</v>
      </c>
      <c r="AI1234">
        <f t="shared" si="716"/>
        <v>0</v>
      </c>
      <c r="AJ1234">
        <f t="shared" si="717"/>
        <v>0</v>
      </c>
      <c r="AK1234">
        <f t="shared" si="718"/>
        <v>0</v>
      </c>
      <c r="AL1234">
        <f t="shared" si="719"/>
        <v>0</v>
      </c>
      <c r="AM1234">
        <f t="shared" si="720"/>
        <v>0</v>
      </c>
      <c r="AN1234">
        <f t="shared" si="721"/>
        <v>0</v>
      </c>
      <c r="AO1234">
        <f t="shared" si="722"/>
        <v>0</v>
      </c>
      <c r="AP1234">
        <f t="shared" si="723"/>
        <v>0</v>
      </c>
      <c r="AQ1234">
        <f t="shared" si="724"/>
        <v>0</v>
      </c>
    </row>
    <row r="1235" spans="6:43" x14ac:dyDescent="0.45">
      <c r="F1235">
        <f t="shared" si="725"/>
        <v>0</v>
      </c>
      <c r="G1235">
        <f t="shared" si="726"/>
        <v>0</v>
      </c>
      <c r="H1235">
        <f t="shared" si="727"/>
        <v>0</v>
      </c>
      <c r="I1235">
        <f t="shared" si="728"/>
        <v>0</v>
      </c>
      <c r="J1235">
        <f t="shared" si="729"/>
        <v>0</v>
      </c>
      <c r="K1235">
        <f t="shared" si="730"/>
        <v>0</v>
      </c>
      <c r="L1235">
        <f t="shared" si="731"/>
        <v>0</v>
      </c>
      <c r="M1235">
        <f t="shared" si="732"/>
        <v>0</v>
      </c>
      <c r="N1235">
        <f t="shared" si="733"/>
        <v>0</v>
      </c>
      <c r="O1235">
        <f t="shared" si="734"/>
        <v>0</v>
      </c>
      <c r="P1235">
        <f t="shared" si="735"/>
        <v>0</v>
      </c>
      <c r="Q1235">
        <f t="shared" si="736"/>
        <v>0</v>
      </c>
      <c r="S1235">
        <f t="shared" si="701"/>
        <v>0</v>
      </c>
      <c r="T1235">
        <f t="shared" si="702"/>
        <v>0</v>
      </c>
      <c r="U1235">
        <f t="shared" si="703"/>
        <v>0</v>
      </c>
      <c r="V1235">
        <f t="shared" si="704"/>
        <v>0</v>
      </c>
      <c r="W1235">
        <f t="shared" si="705"/>
        <v>0</v>
      </c>
      <c r="X1235">
        <f t="shared" si="706"/>
        <v>0</v>
      </c>
      <c r="Y1235">
        <f t="shared" si="707"/>
        <v>0</v>
      </c>
      <c r="Z1235">
        <f t="shared" si="708"/>
        <v>0</v>
      </c>
      <c r="AA1235">
        <f t="shared" si="709"/>
        <v>0</v>
      </c>
      <c r="AB1235">
        <f t="shared" si="710"/>
        <v>0</v>
      </c>
      <c r="AC1235">
        <f t="shared" si="711"/>
        <v>0</v>
      </c>
      <c r="AD1235">
        <f t="shared" si="712"/>
        <v>0</v>
      </c>
      <c r="AF1235">
        <f t="shared" si="713"/>
        <v>0</v>
      </c>
      <c r="AG1235">
        <f t="shared" si="714"/>
        <v>0</v>
      </c>
      <c r="AH1235">
        <f t="shared" si="715"/>
        <v>0</v>
      </c>
      <c r="AI1235">
        <f t="shared" si="716"/>
        <v>0</v>
      </c>
      <c r="AJ1235">
        <f t="shared" si="717"/>
        <v>0</v>
      </c>
      <c r="AK1235">
        <f t="shared" si="718"/>
        <v>0</v>
      </c>
      <c r="AL1235">
        <f t="shared" si="719"/>
        <v>0</v>
      </c>
      <c r="AM1235">
        <f t="shared" si="720"/>
        <v>0</v>
      </c>
      <c r="AN1235">
        <f t="shared" si="721"/>
        <v>0</v>
      </c>
      <c r="AO1235">
        <f t="shared" si="722"/>
        <v>0</v>
      </c>
      <c r="AP1235">
        <f t="shared" si="723"/>
        <v>0</v>
      </c>
      <c r="AQ1235">
        <f t="shared" si="724"/>
        <v>0</v>
      </c>
    </row>
    <row r="1236" spans="6:43" x14ac:dyDescent="0.45">
      <c r="F1236">
        <f t="shared" si="725"/>
        <v>0</v>
      </c>
      <c r="G1236">
        <f t="shared" si="726"/>
        <v>0</v>
      </c>
      <c r="H1236">
        <f t="shared" si="727"/>
        <v>0</v>
      </c>
      <c r="I1236">
        <f t="shared" si="728"/>
        <v>0</v>
      </c>
      <c r="J1236">
        <f t="shared" si="729"/>
        <v>0</v>
      </c>
      <c r="K1236">
        <f t="shared" si="730"/>
        <v>0</v>
      </c>
      <c r="L1236">
        <f t="shared" si="731"/>
        <v>0</v>
      </c>
      <c r="M1236">
        <f t="shared" si="732"/>
        <v>0</v>
      </c>
      <c r="N1236">
        <f t="shared" si="733"/>
        <v>0</v>
      </c>
      <c r="O1236">
        <f t="shared" si="734"/>
        <v>0</v>
      </c>
      <c r="P1236">
        <f t="shared" si="735"/>
        <v>0</v>
      </c>
      <c r="Q1236">
        <f t="shared" si="736"/>
        <v>0</v>
      </c>
      <c r="S1236">
        <f t="shared" si="701"/>
        <v>0</v>
      </c>
      <c r="T1236">
        <f t="shared" si="702"/>
        <v>0</v>
      </c>
      <c r="U1236">
        <f t="shared" si="703"/>
        <v>0</v>
      </c>
      <c r="V1236">
        <f t="shared" si="704"/>
        <v>0</v>
      </c>
      <c r="W1236">
        <f t="shared" si="705"/>
        <v>0</v>
      </c>
      <c r="X1236">
        <f t="shared" si="706"/>
        <v>0</v>
      </c>
      <c r="Y1236">
        <f t="shared" si="707"/>
        <v>0</v>
      </c>
      <c r="Z1236">
        <f t="shared" si="708"/>
        <v>0</v>
      </c>
      <c r="AA1236">
        <f t="shared" si="709"/>
        <v>0</v>
      </c>
      <c r="AB1236">
        <f t="shared" si="710"/>
        <v>0</v>
      </c>
      <c r="AC1236">
        <f t="shared" si="711"/>
        <v>0</v>
      </c>
      <c r="AD1236">
        <f t="shared" si="712"/>
        <v>0</v>
      </c>
      <c r="AF1236">
        <f t="shared" si="713"/>
        <v>0</v>
      </c>
      <c r="AG1236">
        <f t="shared" si="714"/>
        <v>0</v>
      </c>
      <c r="AH1236">
        <f t="shared" si="715"/>
        <v>0</v>
      </c>
      <c r="AI1236">
        <f t="shared" si="716"/>
        <v>0</v>
      </c>
      <c r="AJ1236">
        <f t="shared" si="717"/>
        <v>0</v>
      </c>
      <c r="AK1236">
        <f t="shared" si="718"/>
        <v>0</v>
      </c>
      <c r="AL1236">
        <f t="shared" si="719"/>
        <v>0</v>
      </c>
      <c r="AM1236">
        <f t="shared" si="720"/>
        <v>0</v>
      </c>
      <c r="AN1236">
        <f t="shared" si="721"/>
        <v>0</v>
      </c>
      <c r="AO1236">
        <f t="shared" si="722"/>
        <v>0</v>
      </c>
      <c r="AP1236">
        <f t="shared" si="723"/>
        <v>0</v>
      </c>
      <c r="AQ1236">
        <f t="shared" si="724"/>
        <v>0</v>
      </c>
    </row>
    <row r="1237" spans="6:43" x14ac:dyDescent="0.45">
      <c r="F1237">
        <f t="shared" si="725"/>
        <v>0</v>
      </c>
      <c r="G1237">
        <f t="shared" si="726"/>
        <v>0</v>
      </c>
      <c r="H1237">
        <f t="shared" si="727"/>
        <v>0</v>
      </c>
      <c r="I1237">
        <f t="shared" si="728"/>
        <v>0</v>
      </c>
      <c r="J1237">
        <f t="shared" si="729"/>
        <v>0</v>
      </c>
      <c r="K1237">
        <f t="shared" si="730"/>
        <v>0</v>
      </c>
      <c r="L1237">
        <f t="shared" si="731"/>
        <v>0</v>
      </c>
      <c r="M1237">
        <f t="shared" si="732"/>
        <v>0</v>
      </c>
      <c r="N1237">
        <f t="shared" si="733"/>
        <v>0</v>
      </c>
      <c r="O1237">
        <f t="shared" si="734"/>
        <v>0</v>
      </c>
      <c r="P1237">
        <f t="shared" si="735"/>
        <v>0</v>
      </c>
      <c r="Q1237">
        <f t="shared" si="736"/>
        <v>0</v>
      </c>
      <c r="S1237">
        <f t="shared" si="701"/>
        <v>0</v>
      </c>
      <c r="T1237">
        <f t="shared" si="702"/>
        <v>0</v>
      </c>
      <c r="U1237">
        <f t="shared" si="703"/>
        <v>0</v>
      </c>
      <c r="V1237">
        <f t="shared" si="704"/>
        <v>0</v>
      </c>
      <c r="W1237">
        <f t="shared" si="705"/>
        <v>0</v>
      </c>
      <c r="X1237">
        <f t="shared" si="706"/>
        <v>0</v>
      </c>
      <c r="Y1237">
        <f t="shared" si="707"/>
        <v>0</v>
      </c>
      <c r="Z1237">
        <f t="shared" si="708"/>
        <v>0</v>
      </c>
      <c r="AA1237">
        <f t="shared" si="709"/>
        <v>0</v>
      </c>
      <c r="AB1237">
        <f t="shared" si="710"/>
        <v>0</v>
      </c>
      <c r="AC1237">
        <f t="shared" si="711"/>
        <v>0</v>
      </c>
      <c r="AD1237">
        <f t="shared" si="712"/>
        <v>0</v>
      </c>
      <c r="AF1237">
        <f t="shared" si="713"/>
        <v>0</v>
      </c>
      <c r="AG1237">
        <f t="shared" si="714"/>
        <v>0</v>
      </c>
      <c r="AH1237">
        <f t="shared" si="715"/>
        <v>0</v>
      </c>
      <c r="AI1237">
        <f t="shared" si="716"/>
        <v>0</v>
      </c>
      <c r="AJ1237">
        <f t="shared" si="717"/>
        <v>0</v>
      </c>
      <c r="AK1237">
        <f t="shared" si="718"/>
        <v>0</v>
      </c>
      <c r="AL1237">
        <f t="shared" si="719"/>
        <v>0</v>
      </c>
      <c r="AM1237">
        <f t="shared" si="720"/>
        <v>0</v>
      </c>
      <c r="AN1237">
        <f t="shared" si="721"/>
        <v>0</v>
      </c>
      <c r="AO1237">
        <f t="shared" si="722"/>
        <v>0</v>
      </c>
      <c r="AP1237">
        <f t="shared" si="723"/>
        <v>0</v>
      </c>
      <c r="AQ1237">
        <f t="shared" si="724"/>
        <v>0</v>
      </c>
    </row>
    <row r="1238" spans="6:43" x14ac:dyDescent="0.45">
      <c r="F1238">
        <f t="shared" si="725"/>
        <v>0</v>
      </c>
      <c r="G1238">
        <f t="shared" si="726"/>
        <v>0</v>
      </c>
      <c r="H1238">
        <f t="shared" si="727"/>
        <v>0</v>
      </c>
      <c r="I1238">
        <f t="shared" si="728"/>
        <v>0</v>
      </c>
      <c r="J1238">
        <f t="shared" si="729"/>
        <v>0</v>
      </c>
      <c r="K1238">
        <f t="shared" si="730"/>
        <v>0</v>
      </c>
      <c r="L1238">
        <f t="shared" si="731"/>
        <v>0</v>
      </c>
      <c r="M1238">
        <f t="shared" si="732"/>
        <v>0</v>
      </c>
      <c r="N1238">
        <f t="shared" si="733"/>
        <v>0</v>
      </c>
      <c r="O1238">
        <f t="shared" si="734"/>
        <v>0</v>
      </c>
      <c r="P1238">
        <f t="shared" si="735"/>
        <v>0</v>
      </c>
      <c r="Q1238">
        <f t="shared" si="736"/>
        <v>0</v>
      </c>
      <c r="S1238">
        <f t="shared" si="701"/>
        <v>0</v>
      </c>
      <c r="T1238">
        <f t="shared" si="702"/>
        <v>0</v>
      </c>
      <c r="U1238">
        <f t="shared" si="703"/>
        <v>0</v>
      </c>
      <c r="V1238">
        <f t="shared" si="704"/>
        <v>0</v>
      </c>
      <c r="W1238">
        <f t="shared" si="705"/>
        <v>0</v>
      </c>
      <c r="X1238">
        <f t="shared" si="706"/>
        <v>0</v>
      </c>
      <c r="Y1238">
        <f t="shared" si="707"/>
        <v>0</v>
      </c>
      <c r="Z1238">
        <f t="shared" si="708"/>
        <v>0</v>
      </c>
      <c r="AA1238">
        <f t="shared" si="709"/>
        <v>0</v>
      </c>
      <c r="AB1238">
        <f t="shared" si="710"/>
        <v>0</v>
      </c>
      <c r="AC1238">
        <f t="shared" si="711"/>
        <v>0</v>
      </c>
      <c r="AD1238">
        <f t="shared" si="712"/>
        <v>0</v>
      </c>
      <c r="AF1238">
        <f t="shared" si="713"/>
        <v>0</v>
      </c>
      <c r="AG1238">
        <f t="shared" si="714"/>
        <v>0</v>
      </c>
      <c r="AH1238">
        <f t="shared" si="715"/>
        <v>0</v>
      </c>
      <c r="AI1238">
        <f t="shared" si="716"/>
        <v>0</v>
      </c>
      <c r="AJ1238">
        <f t="shared" si="717"/>
        <v>0</v>
      </c>
      <c r="AK1238">
        <f t="shared" si="718"/>
        <v>0</v>
      </c>
      <c r="AL1238">
        <f t="shared" si="719"/>
        <v>0</v>
      </c>
      <c r="AM1238">
        <f t="shared" si="720"/>
        <v>0</v>
      </c>
      <c r="AN1238">
        <f t="shared" si="721"/>
        <v>0</v>
      </c>
      <c r="AO1238">
        <f t="shared" si="722"/>
        <v>0</v>
      </c>
      <c r="AP1238">
        <f t="shared" si="723"/>
        <v>0</v>
      </c>
      <c r="AQ1238">
        <f t="shared" si="724"/>
        <v>0</v>
      </c>
    </row>
    <row r="1239" spans="6:43" x14ac:dyDescent="0.45">
      <c r="F1239">
        <f t="shared" si="725"/>
        <v>0</v>
      </c>
      <c r="G1239">
        <f t="shared" si="726"/>
        <v>0</v>
      </c>
      <c r="H1239">
        <f t="shared" si="727"/>
        <v>0</v>
      </c>
      <c r="I1239">
        <f t="shared" si="728"/>
        <v>0</v>
      </c>
      <c r="J1239">
        <f t="shared" si="729"/>
        <v>0</v>
      </c>
      <c r="K1239">
        <f t="shared" si="730"/>
        <v>0</v>
      </c>
      <c r="L1239">
        <f t="shared" si="731"/>
        <v>0</v>
      </c>
      <c r="M1239">
        <f t="shared" si="732"/>
        <v>0</v>
      </c>
      <c r="N1239">
        <f t="shared" si="733"/>
        <v>0</v>
      </c>
      <c r="O1239">
        <f t="shared" si="734"/>
        <v>0</v>
      </c>
      <c r="P1239">
        <f t="shared" si="735"/>
        <v>0</v>
      </c>
      <c r="Q1239">
        <f t="shared" si="736"/>
        <v>0</v>
      </c>
      <c r="S1239">
        <f t="shared" si="701"/>
        <v>0</v>
      </c>
      <c r="T1239">
        <f t="shared" si="702"/>
        <v>0</v>
      </c>
      <c r="U1239">
        <f t="shared" si="703"/>
        <v>0</v>
      </c>
      <c r="V1239">
        <f t="shared" si="704"/>
        <v>0</v>
      </c>
      <c r="W1239">
        <f t="shared" si="705"/>
        <v>0</v>
      </c>
      <c r="X1239">
        <f t="shared" si="706"/>
        <v>0</v>
      </c>
      <c r="Y1239">
        <f t="shared" si="707"/>
        <v>0</v>
      </c>
      <c r="Z1239">
        <f t="shared" si="708"/>
        <v>0</v>
      </c>
      <c r="AA1239">
        <f t="shared" si="709"/>
        <v>0</v>
      </c>
      <c r="AB1239">
        <f t="shared" si="710"/>
        <v>0</v>
      </c>
      <c r="AC1239">
        <f t="shared" si="711"/>
        <v>0</v>
      </c>
      <c r="AD1239">
        <f t="shared" si="712"/>
        <v>0</v>
      </c>
      <c r="AF1239">
        <f t="shared" si="713"/>
        <v>0</v>
      </c>
      <c r="AG1239">
        <f t="shared" si="714"/>
        <v>0</v>
      </c>
      <c r="AH1239">
        <f t="shared" si="715"/>
        <v>0</v>
      </c>
      <c r="AI1239">
        <f t="shared" si="716"/>
        <v>0</v>
      </c>
      <c r="AJ1239">
        <f t="shared" si="717"/>
        <v>0</v>
      </c>
      <c r="AK1239">
        <f t="shared" si="718"/>
        <v>0</v>
      </c>
      <c r="AL1239">
        <f t="shared" si="719"/>
        <v>0</v>
      </c>
      <c r="AM1239">
        <f t="shared" si="720"/>
        <v>0</v>
      </c>
      <c r="AN1239">
        <f t="shared" si="721"/>
        <v>0</v>
      </c>
      <c r="AO1239">
        <f t="shared" si="722"/>
        <v>0</v>
      </c>
      <c r="AP1239">
        <f t="shared" si="723"/>
        <v>0</v>
      </c>
      <c r="AQ1239">
        <f t="shared" si="724"/>
        <v>0</v>
      </c>
    </row>
    <row r="1240" spans="6:43" x14ac:dyDescent="0.45">
      <c r="F1240">
        <f t="shared" si="725"/>
        <v>0</v>
      </c>
      <c r="G1240">
        <f t="shared" si="726"/>
        <v>0</v>
      </c>
      <c r="H1240">
        <f t="shared" si="727"/>
        <v>0</v>
      </c>
      <c r="I1240">
        <f t="shared" si="728"/>
        <v>0</v>
      </c>
      <c r="J1240">
        <f t="shared" si="729"/>
        <v>0</v>
      </c>
      <c r="K1240">
        <f t="shared" si="730"/>
        <v>0</v>
      </c>
      <c r="L1240">
        <f t="shared" si="731"/>
        <v>0</v>
      </c>
      <c r="M1240">
        <f t="shared" si="732"/>
        <v>0</v>
      </c>
      <c r="N1240">
        <f t="shared" si="733"/>
        <v>0</v>
      </c>
      <c r="O1240">
        <f t="shared" si="734"/>
        <v>0</v>
      </c>
      <c r="P1240">
        <f t="shared" si="735"/>
        <v>0</v>
      </c>
      <c r="Q1240">
        <f t="shared" si="736"/>
        <v>0</v>
      </c>
      <c r="S1240">
        <f t="shared" si="701"/>
        <v>0</v>
      </c>
      <c r="T1240">
        <f t="shared" si="702"/>
        <v>0</v>
      </c>
      <c r="U1240">
        <f t="shared" si="703"/>
        <v>0</v>
      </c>
      <c r="V1240">
        <f t="shared" si="704"/>
        <v>0</v>
      </c>
      <c r="W1240">
        <f t="shared" si="705"/>
        <v>0</v>
      </c>
      <c r="X1240">
        <f t="shared" si="706"/>
        <v>0</v>
      </c>
      <c r="Y1240">
        <f t="shared" si="707"/>
        <v>0</v>
      </c>
      <c r="Z1240">
        <f t="shared" si="708"/>
        <v>0</v>
      </c>
      <c r="AA1240">
        <f t="shared" si="709"/>
        <v>0</v>
      </c>
      <c r="AB1240">
        <f t="shared" si="710"/>
        <v>0</v>
      </c>
      <c r="AC1240">
        <f t="shared" si="711"/>
        <v>0</v>
      </c>
      <c r="AD1240">
        <f t="shared" si="712"/>
        <v>0</v>
      </c>
      <c r="AF1240">
        <f t="shared" si="713"/>
        <v>0</v>
      </c>
      <c r="AG1240">
        <f t="shared" si="714"/>
        <v>0</v>
      </c>
      <c r="AH1240">
        <f t="shared" si="715"/>
        <v>0</v>
      </c>
      <c r="AI1240">
        <f t="shared" si="716"/>
        <v>0</v>
      </c>
      <c r="AJ1240">
        <f t="shared" si="717"/>
        <v>0</v>
      </c>
      <c r="AK1240">
        <f t="shared" si="718"/>
        <v>0</v>
      </c>
      <c r="AL1240">
        <f t="shared" si="719"/>
        <v>0</v>
      </c>
      <c r="AM1240">
        <f t="shared" si="720"/>
        <v>0</v>
      </c>
      <c r="AN1240">
        <f t="shared" si="721"/>
        <v>0</v>
      </c>
      <c r="AO1240">
        <f t="shared" si="722"/>
        <v>0</v>
      </c>
      <c r="AP1240">
        <f t="shared" si="723"/>
        <v>0</v>
      </c>
      <c r="AQ1240">
        <f t="shared" si="724"/>
        <v>0</v>
      </c>
    </row>
    <row r="1241" spans="6:43" x14ac:dyDescent="0.45">
      <c r="F1241">
        <f t="shared" si="725"/>
        <v>0</v>
      </c>
      <c r="G1241">
        <f t="shared" si="726"/>
        <v>0</v>
      </c>
      <c r="H1241">
        <f t="shared" si="727"/>
        <v>0</v>
      </c>
      <c r="I1241">
        <f t="shared" si="728"/>
        <v>0</v>
      </c>
      <c r="J1241">
        <f t="shared" si="729"/>
        <v>0</v>
      </c>
      <c r="K1241">
        <f t="shared" si="730"/>
        <v>0</v>
      </c>
      <c r="L1241">
        <f t="shared" si="731"/>
        <v>0</v>
      </c>
      <c r="M1241">
        <f t="shared" si="732"/>
        <v>0</v>
      </c>
      <c r="N1241">
        <f t="shared" si="733"/>
        <v>0</v>
      </c>
      <c r="O1241">
        <f t="shared" si="734"/>
        <v>0</v>
      </c>
      <c r="P1241">
        <f t="shared" si="735"/>
        <v>0</v>
      </c>
      <c r="Q1241">
        <f t="shared" si="736"/>
        <v>0</v>
      </c>
      <c r="S1241">
        <f t="shared" si="701"/>
        <v>0</v>
      </c>
      <c r="T1241">
        <f t="shared" si="702"/>
        <v>0</v>
      </c>
      <c r="U1241">
        <f t="shared" si="703"/>
        <v>0</v>
      </c>
      <c r="V1241">
        <f t="shared" si="704"/>
        <v>0</v>
      </c>
      <c r="W1241">
        <f t="shared" si="705"/>
        <v>0</v>
      </c>
      <c r="X1241">
        <f t="shared" si="706"/>
        <v>0</v>
      </c>
      <c r="Y1241">
        <f t="shared" si="707"/>
        <v>0</v>
      </c>
      <c r="Z1241">
        <f t="shared" si="708"/>
        <v>0</v>
      </c>
      <c r="AA1241">
        <f t="shared" si="709"/>
        <v>0</v>
      </c>
      <c r="AB1241">
        <f t="shared" si="710"/>
        <v>0</v>
      </c>
      <c r="AC1241">
        <f t="shared" si="711"/>
        <v>0</v>
      </c>
      <c r="AD1241">
        <f t="shared" si="712"/>
        <v>0</v>
      </c>
      <c r="AF1241">
        <f t="shared" si="713"/>
        <v>0</v>
      </c>
      <c r="AG1241">
        <f t="shared" si="714"/>
        <v>0</v>
      </c>
      <c r="AH1241">
        <f t="shared" si="715"/>
        <v>0</v>
      </c>
      <c r="AI1241">
        <f t="shared" si="716"/>
        <v>0</v>
      </c>
      <c r="AJ1241">
        <f t="shared" si="717"/>
        <v>0</v>
      </c>
      <c r="AK1241">
        <f t="shared" si="718"/>
        <v>0</v>
      </c>
      <c r="AL1241">
        <f t="shared" si="719"/>
        <v>0</v>
      </c>
      <c r="AM1241">
        <f t="shared" si="720"/>
        <v>0</v>
      </c>
      <c r="AN1241">
        <f t="shared" si="721"/>
        <v>0</v>
      </c>
      <c r="AO1241">
        <f t="shared" si="722"/>
        <v>0</v>
      </c>
      <c r="AP1241">
        <f t="shared" si="723"/>
        <v>0</v>
      </c>
      <c r="AQ1241">
        <f t="shared" si="724"/>
        <v>0</v>
      </c>
    </row>
    <row r="1242" spans="6:43" x14ac:dyDescent="0.45">
      <c r="F1242">
        <f t="shared" si="725"/>
        <v>0</v>
      </c>
      <c r="G1242">
        <f t="shared" si="726"/>
        <v>0</v>
      </c>
      <c r="H1242">
        <f t="shared" si="727"/>
        <v>0</v>
      </c>
      <c r="I1242">
        <f t="shared" si="728"/>
        <v>0</v>
      </c>
      <c r="J1242">
        <f t="shared" si="729"/>
        <v>0</v>
      </c>
      <c r="K1242">
        <f t="shared" si="730"/>
        <v>0</v>
      </c>
      <c r="L1242">
        <f t="shared" si="731"/>
        <v>0</v>
      </c>
      <c r="M1242">
        <f t="shared" si="732"/>
        <v>0</v>
      </c>
      <c r="N1242">
        <f t="shared" si="733"/>
        <v>0</v>
      </c>
      <c r="O1242">
        <f t="shared" si="734"/>
        <v>0</v>
      </c>
      <c r="P1242">
        <f t="shared" si="735"/>
        <v>0</v>
      </c>
      <c r="Q1242">
        <f t="shared" si="736"/>
        <v>0</v>
      </c>
      <c r="S1242">
        <f t="shared" si="701"/>
        <v>0</v>
      </c>
      <c r="T1242">
        <f t="shared" si="702"/>
        <v>0</v>
      </c>
      <c r="U1242">
        <f t="shared" si="703"/>
        <v>0</v>
      </c>
      <c r="V1242">
        <f t="shared" si="704"/>
        <v>0</v>
      </c>
      <c r="W1242">
        <f t="shared" si="705"/>
        <v>0</v>
      </c>
      <c r="X1242">
        <f t="shared" si="706"/>
        <v>0</v>
      </c>
      <c r="Y1242">
        <f t="shared" si="707"/>
        <v>0</v>
      </c>
      <c r="Z1242">
        <f t="shared" si="708"/>
        <v>0</v>
      </c>
      <c r="AA1242">
        <f t="shared" si="709"/>
        <v>0</v>
      </c>
      <c r="AB1242">
        <f t="shared" si="710"/>
        <v>0</v>
      </c>
      <c r="AC1242">
        <f t="shared" si="711"/>
        <v>0</v>
      </c>
      <c r="AD1242">
        <f t="shared" si="712"/>
        <v>0</v>
      </c>
      <c r="AF1242">
        <f t="shared" si="713"/>
        <v>0</v>
      </c>
      <c r="AG1242">
        <f t="shared" si="714"/>
        <v>0</v>
      </c>
      <c r="AH1242">
        <f t="shared" si="715"/>
        <v>0</v>
      </c>
      <c r="AI1242">
        <f t="shared" si="716"/>
        <v>0</v>
      </c>
      <c r="AJ1242">
        <f t="shared" si="717"/>
        <v>0</v>
      </c>
      <c r="AK1242">
        <f t="shared" si="718"/>
        <v>0</v>
      </c>
      <c r="AL1242">
        <f t="shared" si="719"/>
        <v>0</v>
      </c>
      <c r="AM1242">
        <f t="shared" si="720"/>
        <v>0</v>
      </c>
      <c r="AN1242">
        <f t="shared" si="721"/>
        <v>0</v>
      </c>
      <c r="AO1242">
        <f t="shared" si="722"/>
        <v>0</v>
      </c>
      <c r="AP1242">
        <f t="shared" si="723"/>
        <v>0</v>
      </c>
      <c r="AQ1242">
        <f t="shared" si="724"/>
        <v>0</v>
      </c>
    </row>
    <row r="1243" spans="6:43" x14ac:dyDescent="0.45">
      <c r="F1243">
        <f t="shared" si="725"/>
        <v>0</v>
      </c>
      <c r="G1243">
        <f t="shared" si="726"/>
        <v>0</v>
      </c>
      <c r="H1243">
        <f t="shared" si="727"/>
        <v>0</v>
      </c>
      <c r="I1243">
        <f t="shared" si="728"/>
        <v>0</v>
      </c>
      <c r="J1243">
        <f t="shared" si="729"/>
        <v>0</v>
      </c>
      <c r="K1243">
        <f t="shared" si="730"/>
        <v>0</v>
      </c>
      <c r="L1243">
        <f t="shared" si="731"/>
        <v>0</v>
      </c>
      <c r="M1243">
        <f t="shared" si="732"/>
        <v>0</v>
      </c>
      <c r="N1243">
        <f t="shared" si="733"/>
        <v>0</v>
      </c>
      <c r="O1243">
        <f t="shared" si="734"/>
        <v>0</v>
      </c>
      <c r="P1243">
        <f t="shared" si="735"/>
        <v>0</v>
      </c>
      <c r="Q1243">
        <f t="shared" si="736"/>
        <v>0</v>
      </c>
      <c r="S1243">
        <f t="shared" si="701"/>
        <v>0</v>
      </c>
      <c r="T1243">
        <f t="shared" si="702"/>
        <v>0</v>
      </c>
      <c r="U1243">
        <f t="shared" si="703"/>
        <v>0</v>
      </c>
      <c r="V1243">
        <f t="shared" si="704"/>
        <v>0</v>
      </c>
      <c r="W1243">
        <f t="shared" si="705"/>
        <v>0</v>
      </c>
      <c r="X1243">
        <f t="shared" si="706"/>
        <v>0</v>
      </c>
      <c r="Y1243">
        <f t="shared" si="707"/>
        <v>0</v>
      </c>
      <c r="Z1243">
        <f t="shared" si="708"/>
        <v>0</v>
      </c>
      <c r="AA1243">
        <f t="shared" si="709"/>
        <v>0</v>
      </c>
      <c r="AB1243">
        <f t="shared" si="710"/>
        <v>0</v>
      </c>
      <c r="AC1243">
        <f t="shared" si="711"/>
        <v>0</v>
      </c>
      <c r="AD1243">
        <f t="shared" si="712"/>
        <v>0</v>
      </c>
      <c r="AF1243">
        <f t="shared" si="713"/>
        <v>0</v>
      </c>
      <c r="AG1243">
        <f t="shared" si="714"/>
        <v>0</v>
      </c>
      <c r="AH1243">
        <f t="shared" si="715"/>
        <v>0</v>
      </c>
      <c r="AI1243">
        <f t="shared" si="716"/>
        <v>0</v>
      </c>
      <c r="AJ1243">
        <f t="shared" si="717"/>
        <v>0</v>
      </c>
      <c r="AK1243">
        <f t="shared" si="718"/>
        <v>0</v>
      </c>
      <c r="AL1243">
        <f t="shared" si="719"/>
        <v>0</v>
      </c>
      <c r="AM1243">
        <f t="shared" si="720"/>
        <v>0</v>
      </c>
      <c r="AN1243">
        <f t="shared" si="721"/>
        <v>0</v>
      </c>
      <c r="AO1243">
        <f t="shared" si="722"/>
        <v>0</v>
      </c>
      <c r="AP1243">
        <f t="shared" si="723"/>
        <v>0</v>
      </c>
      <c r="AQ1243">
        <f t="shared" si="724"/>
        <v>0</v>
      </c>
    </row>
    <row r="1244" spans="6:43" x14ac:dyDescent="0.45">
      <c r="F1244">
        <f t="shared" si="725"/>
        <v>0</v>
      </c>
      <c r="G1244">
        <f t="shared" si="726"/>
        <v>0</v>
      </c>
      <c r="H1244">
        <f t="shared" si="727"/>
        <v>0</v>
      </c>
      <c r="I1244">
        <f t="shared" si="728"/>
        <v>0</v>
      </c>
      <c r="J1244">
        <f t="shared" si="729"/>
        <v>0</v>
      </c>
      <c r="K1244">
        <f t="shared" si="730"/>
        <v>0</v>
      </c>
      <c r="L1244">
        <f t="shared" si="731"/>
        <v>0</v>
      </c>
      <c r="M1244">
        <f t="shared" si="732"/>
        <v>0</v>
      </c>
      <c r="N1244">
        <f t="shared" si="733"/>
        <v>0</v>
      </c>
      <c r="O1244">
        <f t="shared" si="734"/>
        <v>0</v>
      </c>
      <c r="P1244">
        <f t="shared" si="735"/>
        <v>0</v>
      </c>
      <c r="Q1244">
        <f t="shared" si="736"/>
        <v>0</v>
      </c>
      <c r="S1244">
        <f t="shared" si="701"/>
        <v>0</v>
      </c>
      <c r="T1244">
        <f t="shared" si="702"/>
        <v>0</v>
      </c>
      <c r="U1244">
        <f t="shared" si="703"/>
        <v>0</v>
      </c>
      <c r="V1244">
        <f t="shared" si="704"/>
        <v>0</v>
      </c>
      <c r="W1244">
        <f t="shared" si="705"/>
        <v>0</v>
      </c>
      <c r="X1244">
        <f t="shared" si="706"/>
        <v>0</v>
      </c>
      <c r="Y1244">
        <f t="shared" si="707"/>
        <v>0</v>
      </c>
      <c r="Z1244">
        <f t="shared" si="708"/>
        <v>0</v>
      </c>
      <c r="AA1244">
        <f t="shared" si="709"/>
        <v>0</v>
      </c>
      <c r="AB1244">
        <f t="shared" si="710"/>
        <v>0</v>
      </c>
      <c r="AC1244">
        <f t="shared" si="711"/>
        <v>0</v>
      </c>
      <c r="AD1244">
        <f t="shared" si="712"/>
        <v>0</v>
      </c>
      <c r="AF1244">
        <f t="shared" si="713"/>
        <v>0</v>
      </c>
      <c r="AG1244">
        <f t="shared" si="714"/>
        <v>0</v>
      </c>
      <c r="AH1244">
        <f t="shared" si="715"/>
        <v>0</v>
      </c>
      <c r="AI1244">
        <f t="shared" si="716"/>
        <v>0</v>
      </c>
      <c r="AJ1244">
        <f t="shared" si="717"/>
        <v>0</v>
      </c>
      <c r="AK1244">
        <f t="shared" si="718"/>
        <v>0</v>
      </c>
      <c r="AL1244">
        <f t="shared" si="719"/>
        <v>0</v>
      </c>
      <c r="AM1244">
        <f t="shared" si="720"/>
        <v>0</v>
      </c>
      <c r="AN1244">
        <f t="shared" si="721"/>
        <v>0</v>
      </c>
      <c r="AO1244">
        <f t="shared" si="722"/>
        <v>0</v>
      </c>
      <c r="AP1244">
        <f t="shared" si="723"/>
        <v>0</v>
      </c>
      <c r="AQ1244">
        <f t="shared" si="724"/>
        <v>0</v>
      </c>
    </row>
    <row r="1245" spans="6:43" x14ac:dyDescent="0.45">
      <c r="F1245">
        <f t="shared" si="725"/>
        <v>0</v>
      </c>
      <c r="G1245">
        <f t="shared" si="726"/>
        <v>0</v>
      </c>
      <c r="H1245">
        <f t="shared" si="727"/>
        <v>0</v>
      </c>
      <c r="I1245">
        <f t="shared" si="728"/>
        <v>0</v>
      </c>
      <c r="J1245">
        <f t="shared" si="729"/>
        <v>0</v>
      </c>
      <c r="K1245">
        <f t="shared" si="730"/>
        <v>0</v>
      </c>
      <c r="L1245">
        <f t="shared" si="731"/>
        <v>0</v>
      </c>
      <c r="M1245">
        <f t="shared" si="732"/>
        <v>0</v>
      </c>
      <c r="N1245">
        <f t="shared" si="733"/>
        <v>0</v>
      </c>
      <c r="O1245">
        <f t="shared" si="734"/>
        <v>0</v>
      </c>
      <c r="P1245">
        <f t="shared" si="735"/>
        <v>0</v>
      </c>
      <c r="Q1245">
        <f t="shared" si="736"/>
        <v>0</v>
      </c>
      <c r="S1245">
        <f t="shared" si="701"/>
        <v>0</v>
      </c>
      <c r="T1245">
        <f t="shared" si="702"/>
        <v>0</v>
      </c>
      <c r="U1245">
        <f t="shared" si="703"/>
        <v>0</v>
      </c>
      <c r="V1245">
        <f t="shared" si="704"/>
        <v>0</v>
      </c>
      <c r="W1245">
        <f t="shared" si="705"/>
        <v>0</v>
      </c>
      <c r="X1245">
        <f t="shared" si="706"/>
        <v>0</v>
      </c>
      <c r="Y1245">
        <f t="shared" si="707"/>
        <v>0</v>
      </c>
      <c r="Z1245">
        <f t="shared" si="708"/>
        <v>0</v>
      </c>
      <c r="AA1245">
        <f t="shared" si="709"/>
        <v>0</v>
      </c>
      <c r="AB1245">
        <f t="shared" si="710"/>
        <v>0</v>
      </c>
      <c r="AC1245">
        <f t="shared" si="711"/>
        <v>0</v>
      </c>
      <c r="AD1245">
        <f t="shared" si="712"/>
        <v>0</v>
      </c>
      <c r="AF1245">
        <f t="shared" si="713"/>
        <v>0</v>
      </c>
      <c r="AG1245">
        <f t="shared" si="714"/>
        <v>0</v>
      </c>
      <c r="AH1245">
        <f t="shared" si="715"/>
        <v>0</v>
      </c>
      <c r="AI1245">
        <f t="shared" si="716"/>
        <v>0</v>
      </c>
      <c r="AJ1245">
        <f t="shared" si="717"/>
        <v>0</v>
      </c>
      <c r="AK1245">
        <f t="shared" si="718"/>
        <v>0</v>
      </c>
      <c r="AL1245">
        <f t="shared" si="719"/>
        <v>0</v>
      </c>
      <c r="AM1245">
        <f t="shared" si="720"/>
        <v>0</v>
      </c>
      <c r="AN1245">
        <f t="shared" si="721"/>
        <v>0</v>
      </c>
      <c r="AO1245">
        <f t="shared" si="722"/>
        <v>0</v>
      </c>
      <c r="AP1245">
        <f t="shared" si="723"/>
        <v>0</v>
      </c>
      <c r="AQ1245">
        <f t="shared" si="724"/>
        <v>0</v>
      </c>
    </row>
    <row r="1246" spans="6:43" x14ac:dyDescent="0.45">
      <c r="F1246">
        <f t="shared" si="725"/>
        <v>0</v>
      </c>
      <c r="G1246">
        <f t="shared" si="726"/>
        <v>0</v>
      </c>
      <c r="H1246">
        <f t="shared" si="727"/>
        <v>0</v>
      </c>
      <c r="I1246">
        <f t="shared" si="728"/>
        <v>0</v>
      </c>
      <c r="J1246">
        <f t="shared" si="729"/>
        <v>0</v>
      </c>
      <c r="K1246">
        <f t="shared" si="730"/>
        <v>0</v>
      </c>
      <c r="L1246">
        <f t="shared" si="731"/>
        <v>0</v>
      </c>
      <c r="M1246">
        <f t="shared" si="732"/>
        <v>0</v>
      </c>
      <c r="N1246">
        <f t="shared" si="733"/>
        <v>0</v>
      </c>
      <c r="O1246">
        <f t="shared" si="734"/>
        <v>0</v>
      </c>
      <c r="P1246">
        <f t="shared" si="735"/>
        <v>0</v>
      </c>
      <c r="Q1246">
        <f t="shared" si="736"/>
        <v>0</v>
      </c>
      <c r="S1246">
        <f t="shared" si="701"/>
        <v>0</v>
      </c>
      <c r="T1246">
        <f t="shared" si="702"/>
        <v>0</v>
      </c>
      <c r="U1246">
        <f t="shared" si="703"/>
        <v>0</v>
      </c>
      <c r="V1246">
        <f t="shared" si="704"/>
        <v>0</v>
      </c>
      <c r="W1246">
        <f t="shared" si="705"/>
        <v>0</v>
      </c>
      <c r="X1246">
        <f t="shared" si="706"/>
        <v>0</v>
      </c>
      <c r="Y1246">
        <f t="shared" si="707"/>
        <v>0</v>
      </c>
      <c r="Z1246">
        <f t="shared" si="708"/>
        <v>0</v>
      </c>
      <c r="AA1246">
        <f t="shared" si="709"/>
        <v>0</v>
      </c>
      <c r="AB1246">
        <f t="shared" si="710"/>
        <v>0</v>
      </c>
      <c r="AC1246">
        <f t="shared" si="711"/>
        <v>0</v>
      </c>
      <c r="AD1246">
        <f t="shared" si="712"/>
        <v>0</v>
      </c>
      <c r="AF1246">
        <f t="shared" si="713"/>
        <v>0</v>
      </c>
      <c r="AG1246">
        <f t="shared" si="714"/>
        <v>0</v>
      </c>
      <c r="AH1246">
        <f t="shared" si="715"/>
        <v>0</v>
      </c>
      <c r="AI1246">
        <f t="shared" si="716"/>
        <v>0</v>
      </c>
      <c r="AJ1246">
        <f t="shared" si="717"/>
        <v>0</v>
      </c>
      <c r="AK1246">
        <f t="shared" si="718"/>
        <v>0</v>
      </c>
      <c r="AL1246">
        <f t="shared" si="719"/>
        <v>0</v>
      </c>
      <c r="AM1246">
        <f t="shared" si="720"/>
        <v>0</v>
      </c>
      <c r="AN1246">
        <f t="shared" si="721"/>
        <v>0</v>
      </c>
      <c r="AO1246">
        <f t="shared" si="722"/>
        <v>0</v>
      </c>
      <c r="AP1246">
        <f t="shared" si="723"/>
        <v>0</v>
      </c>
      <c r="AQ1246">
        <f t="shared" si="724"/>
        <v>0</v>
      </c>
    </row>
    <row r="1247" spans="6:43" x14ac:dyDescent="0.45">
      <c r="F1247">
        <f t="shared" si="725"/>
        <v>0</v>
      </c>
      <c r="G1247">
        <f t="shared" si="726"/>
        <v>0</v>
      </c>
      <c r="H1247">
        <f t="shared" si="727"/>
        <v>0</v>
      </c>
      <c r="I1247">
        <f t="shared" si="728"/>
        <v>0</v>
      </c>
      <c r="J1247">
        <f t="shared" si="729"/>
        <v>0</v>
      </c>
      <c r="K1247">
        <f t="shared" si="730"/>
        <v>0</v>
      </c>
      <c r="L1247">
        <f t="shared" si="731"/>
        <v>0</v>
      </c>
      <c r="M1247">
        <f t="shared" si="732"/>
        <v>0</v>
      </c>
      <c r="N1247">
        <f t="shared" si="733"/>
        <v>0</v>
      </c>
      <c r="O1247">
        <f t="shared" si="734"/>
        <v>0</v>
      </c>
      <c r="P1247">
        <f t="shared" si="735"/>
        <v>0</v>
      </c>
      <c r="Q1247">
        <f t="shared" si="736"/>
        <v>0</v>
      </c>
      <c r="S1247">
        <f t="shared" si="701"/>
        <v>0</v>
      </c>
      <c r="T1247">
        <f t="shared" si="702"/>
        <v>0</v>
      </c>
      <c r="U1247">
        <f t="shared" si="703"/>
        <v>0</v>
      </c>
      <c r="V1247">
        <f t="shared" si="704"/>
        <v>0</v>
      </c>
      <c r="W1247">
        <f t="shared" si="705"/>
        <v>0</v>
      </c>
      <c r="X1247">
        <f t="shared" si="706"/>
        <v>0</v>
      </c>
      <c r="Y1247">
        <f t="shared" si="707"/>
        <v>0</v>
      </c>
      <c r="Z1247">
        <f t="shared" si="708"/>
        <v>0</v>
      </c>
      <c r="AA1247">
        <f t="shared" si="709"/>
        <v>0</v>
      </c>
      <c r="AB1247">
        <f t="shared" si="710"/>
        <v>0</v>
      </c>
      <c r="AC1247">
        <f t="shared" si="711"/>
        <v>0</v>
      </c>
      <c r="AD1247">
        <f t="shared" si="712"/>
        <v>0</v>
      </c>
      <c r="AF1247">
        <f t="shared" si="713"/>
        <v>0</v>
      </c>
      <c r="AG1247">
        <f t="shared" si="714"/>
        <v>0</v>
      </c>
      <c r="AH1247">
        <f t="shared" si="715"/>
        <v>0</v>
      </c>
      <c r="AI1247">
        <f t="shared" si="716"/>
        <v>0</v>
      </c>
      <c r="AJ1247">
        <f t="shared" si="717"/>
        <v>0</v>
      </c>
      <c r="AK1247">
        <f t="shared" si="718"/>
        <v>0</v>
      </c>
      <c r="AL1247">
        <f t="shared" si="719"/>
        <v>0</v>
      </c>
      <c r="AM1247">
        <f t="shared" si="720"/>
        <v>0</v>
      </c>
      <c r="AN1247">
        <f t="shared" si="721"/>
        <v>0</v>
      </c>
      <c r="AO1247">
        <f t="shared" si="722"/>
        <v>0</v>
      </c>
      <c r="AP1247">
        <f t="shared" si="723"/>
        <v>0</v>
      </c>
      <c r="AQ1247">
        <f t="shared" si="724"/>
        <v>0</v>
      </c>
    </row>
    <row r="1248" spans="6:43" x14ac:dyDescent="0.45">
      <c r="F1248">
        <f t="shared" si="725"/>
        <v>0</v>
      </c>
      <c r="G1248">
        <f t="shared" si="726"/>
        <v>0</v>
      </c>
      <c r="H1248">
        <f t="shared" si="727"/>
        <v>0</v>
      </c>
      <c r="I1248">
        <f t="shared" si="728"/>
        <v>0</v>
      </c>
      <c r="J1248">
        <f t="shared" si="729"/>
        <v>0</v>
      </c>
      <c r="K1248">
        <f t="shared" si="730"/>
        <v>0</v>
      </c>
      <c r="L1248">
        <f t="shared" si="731"/>
        <v>0</v>
      </c>
      <c r="M1248">
        <f t="shared" si="732"/>
        <v>0</v>
      </c>
      <c r="N1248">
        <f t="shared" si="733"/>
        <v>0</v>
      </c>
      <c r="O1248">
        <f t="shared" si="734"/>
        <v>0</v>
      </c>
      <c r="P1248">
        <f t="shared" si="735"/>
        <v>0</v>
      </c>
      <c r="Q1248">
        <f t="shared" si="736"/>
        <v>0</v>
      </c>
      <c r="S1248">
        <f t="shared" si="701"/>
        <v>0</v>
      </c>
      <c r="T1248">
        <f t="shared" si="702"/>
        <v>0</v>
      </c>
      <c r="U1248">
        <f t="shared" si="703"/>
        <v>0</v>
      </c>
      <c r="V1248">
        <f t="shared" si="704"/>
        <v>0</v>
      </c>
      <c r="W1248">
        <f t="shared" si="705"/>
        <v>0</v>
      </c>
      <c r="X1248">
        <f t="shared" si="706"/>
        <v>0</v>
      </c>
      <c r="Y1248">
        <f t="shared" si="707"/>
        <v>0</v>
      </c>
      <c r="Z1248">
        <f t="shared" si="708"/>
        <v>0</v>
      </c>
      <c r="AA1248">
        <f t="shared" si="709"/>
        <v>0</v>
      </c>
      <c r="AB1248">
        <f t="shared" si="710"/>
        <v>0</v>
      </c>
      <c r="AC1248">
        <f t="shared" si="711"/>
        <v>0</v>
      </c>
      <c r="AD1248">
        <f t="shared" si="712"/>
        <v>0</v>
      </c>
      <c r="AF1248">
        <f t="shared" si="713"/>
        <v>0</v>
      </c>
      <c r="AG1248">
        <f t="shared" si="714"/>
        <v>0</v>
      </c>
      <c r="AH1248">
        <f t="shared" si="715"/>
        <v>0</v>
      </c>
      <c r="AI1248">
        <f t="shared" si="716"/>
        <v>0</v>
      </c>
      <c r="AJ1248">
        <f t="shared" si="717"/>
        <v>0</v>
      </c>
      <c r="AK1248">
        <f t="shared" si="718"/>
        <v>0</v>
      </c>
      <c r="AL1248">
        <f t="shared" si="719"/>
        <v>0</v>
      </c>
      <c r="AM1248">
        <f t="shared" si="720"/>
        <v>0</v>
      </c>
      <c r="AN1248">
        <f t="shared" si="721"/>
        <v>0</v>
      </c>
      <c r="AO1248">
        <f t="shared" si="722"/>
        <v>0</v>
      </c>
      <c r="AP1248">
        <f t="shared" si="723"/>
        <v>0</v>
      </c>
      <c r="AQ1248">
        <f t="shared" si="724"/>
        <v>0</v>
      </c>
    </row>
    <row r="1249" spans="6:43" x14ac:dyDescent="0.45">
      <c r="F1249">
        <f t="shared" si="725"/>
        <v>0</v>
      </c>
      <c r="G1249">
        <f t="shared" si="726"/>
        <v>0</v>
      </c>
      <c r="H1249">
        <f t="shared" si="727"/>
        <v>0</v>
      </c>
      <c r="I1249">
        <f t="shared" si="728"/>
        <v>0</v>
      </c>
      <c r="J1249">
        <f t="shared" si="729"/>
        <v>0</v>
      </c>
      <c r="K1249">
        <f t="shared" si="730"/>
        <v>0</v>
      </c>
      <c r="L1249">
        <f t="shared" si="731"/>
        <v>0</v>
      </c>
      <c r="M1249">
        <f t="shared" si="732"/>
        <v>0</v>
      </c>
      <c r="N1249">
        <f t="shared" si="733"/>
        <v>0</v>
      </c>
      <c r="O1249">
        <f t="shared" si="734"/>
        <v>0</v>
      </c>
      <c r="P1249">
        <f t="shared" si="735"/>
        <v>0</v>
      </c>
      <c r="Q1249">
        <f t="shared" si="736"/>
        <v>0</v>
      </c>
      <c r="S1249">
        <f t="shared" si="701"/>
        <v>0</v>
      </c>
      <c r="T1249">
        <f t="shared" si="702"/>
        <v>0</v>
      </c>
      <c r="U1249">
        <f t="shared" si="703"/>
        <v>0</v>
      </c>
      <c r="V1249">
        <f t="shared" si="704"/>
        <v>0</v>
      </c>
      <c r="W1249">
        <f t="shared" si="705"/>
        <v>0</v>
      </c>
      <c r="X1249">
        <f t="shared" si="706"/>
        <v>0</v>
      </c>
      <c r="Y1249">
        <f t="shared" si="707"/>
        <v>0</v>
      </c>
      <c r="Z1249">
        <f t="shared" si="708"/>
        <v>0</v>
      </c>
      <c r="AA1249">
        <f t="shared" si="709"/>
        <v>0</v>
      </c>
      <c r="AB1249">
        <f t="shared" si="710"/>
        <v>0</v>
      </c>
      <c r="AC1249">
        <f t="shared" si="711"/>
        <v>0</v>
      </c>
      <c r="AD1249">
        <f t="shared" si="712"/>
        <v>0</v>
      </c>
      <c r="AF1249">
        <f t="shared" si="713"/>
        <v>0</v>
      </c>
      <c r="AG1249">
        <f t="shared" si="714"/>
        <v>0</v>
      </c>
      <c r="AH1249">
        <f t="shared" si="715"/>
        <v>0</v>
      </c>
      <c r="AI1249">
        <f t="shared" si="716"/>
        <v>0</v>
      </c>
      <c r="AJ1249">
        <f t="shared" si="717"/>
        <v>0</v>
      </c>
      <c r="AK1249">
        <f t="shared" si="718"/>
        <v>0</v>
      </c>
      <c r="AL1249">
        <f t="shared" si="719"/>
        <v>0</v>
      </c>
      <c r="AM1249">
        <f t="shared" si="720"/>
        <v>0</v>
      </c>
      <c r="AN1249">
        <f t="shared" si="721"/>
        <v>0</v>
      </c>
      <c r="AO1249">
        <f t="shared" si="722"/>
        <v>0</v>
      </c>
      <c r="AP1249">
        <f t="shared" si="723"/>
        <v>0</v>
      </c>
      <c r="AQ1249">
        <f t="shared" si="724"/>
        <v>0</v>
      </c>
    </row>
    <row r="1250" spans="6:43" x14ac:dyDescent="0.45">
      <c r="F1250">
        <f t="shared" si="725"/>
        <v>0</v>
      </c>
      <c r="G1250">
        <f t="shared" si="726"/>
        <v>0</v>
      </c>
      <c r="H1250">
        <f t="shared" si="727"/>
        <v>0</v>
      </c>
      <c r="I1250">
        <f t="shared" si="728"/>
        <v>0</v>
      </c>
      <c r="J1250">
        <f t="shared" si="729"/>
        <v>0</v>
      </c>
      <c r="K1250">
        <f t="shared" si="730"/>
        <v>0</v>
      </c>
      <c r="L1250">
        <f t="shared" si="731"/>
        <v>0</v>
      </c>
      <c r="M1250">
        <f t="shared" si="732"/>
        <v>0</v>
      </c>
      <c r="N1250">
        <f t="shared" si="733"/>
        <v>0</v>
      </c>
      <c r="O1250">
        <f t="shared" si="734"/>
        <v>0</v>
      </c>
      <c r="P1250">
        <f t="shared" si="735"/>
        <v>0</v>
      </c>
      <c r="Q1250">
        <f t="shared" si="736"/>
        <v>0</v>
      </c>
      <c r="S1250">
        <f t="shared" si="701"/>
        <v>0</v>
      </c>
      <c r="T1250">
        <f t="shared" si="702"/>
        <v>0</v>
      </c>
      <c r="U1250">
        <f t="shared" si="703"/>
        <v>0</v>
      </c>
      <c r="V1250">
        <f t="shared" si="704"/>
        <v>0</v>
      </c>
      <c r="W1250">
        <f t="shared" si="705"/>
        <v>0</v>
      </c>
      <c r="X1250">
        <f t="shared" si="706"/>
        <v>0</v>
      </c>
      <c r="Y1250">
        <f t="shared" si="707"/>
        <v>0</v>
      </c>
      <c r="Z1250">
        <f t="shared" si="708"/>
        <v>0</v>
      </c>
      <c r="AA1250">
        <f t="shared" si="709"/>
        <v>0</v>
      </c>
      <c r="AB1250">
        <f t="shared" si="710"/>
        <v>0</v>
      </c>
      <c r="AC1250">
        <f t="shared" si="711"/>
        <v>0</v>
      </c>
      <c r="AD1250">
        <f t="shared" si="712"/>
        <v>0</v>
      </c>
      <c r="AF1250">
        <f t="shared" si="713"/>
        <v>0</v>
      </c>
      <c r="AG1250">
        <f t="shared" si="714"/>
        <v>0</v>
      </c>
      <c r="AH1250">
        <f t="shared" si="715"/>
        <v>0</v>
      </c>
      <c r="AI1250">
        <f t="shared" si="716"/>
        <v>0</v>
      </c>
      <c r="AJ1250">
        <f t="shared" si="717"/>
        <v>0</v>
      </c>
      <c r="AK1250">
        <f t="shared" si="718"/>
        <v>0</v>
      </c>
      <c r="AL1250">
        <f t="shared" si="719"/>
        <v>0</v>
      </c>
      <c r="AM1250">
        <f t="shared" si="720"/>
        <v>0</v>
      </c>
      <c r="AN1250">
        <f t="shared" si="721"/>
        <v>0</v>
      </c>
      <c r="AO1250">
        <f t="shared" si="722"/>
        <v>0</v>
      </c>
      <c r="AP1250">
        <f t="shared" si="723"/>
        <v>0</v>
      </c>
      <c r="AQ1250">
        <f t="shared" si="724"/>
        <v>0</v>
      </c>
    </row>
    <row r="1251" spans="6:43" x14ac:dyDescent="0.45">
      <c r="F1251">
        <f t="shared" si="725"/>
        <v>0</v>
      </c>
      <c r="G1251">
        <f t="shared" si="726"/>
        <v>0</v>
      </c>
      <c r="H1251">
        <f t="shared" si="727"/>
        <v>0</v>
      </c>
      <c r="I1251">
        <f t="shared" si="728"/>
        <v>0</v>
      </c>
      <c r="J1251">
        <f t="shared" si="729"/>
        <v>0</v>
      </c>
      <c r="K1251">
        <f t="shared" si="730"/>
        <v>0</v>
      </c>
      <c r="L1251">
        <f t="shared" si="731"/>
        <v>0</v>
      </c>
      <c r="M1251">
        <f t="shared" si="732"/>
        <v>0</v>
      </c>
      <c r="N1251">
        <f t="shared" si="733"/>
        <v>0</v>
      </c>
      <c r="O1251">
        <f t="shared" si="734"/>
        <v>0</v>
      </c>
      <c r="P1251">
        <f t="shared" si="735"/>
        <v>0</v>
      </c>
      <c r="Q1251">
        <f t="shared" si="736"/>
        <v>0</v>
      </c>
      <c r="S1251">
        <f t="shared" si="701"/>
        <v>0</v>
      </c>
      <c r="T1251">
        <f t="shared" si="702"/>
        <v>0</v>
      </c>
      <c r="U1251">
        <f t="shared" si="703"/>
        <v>0</v>
      </c>
      <c r="V1251">
        <f t="shared" si="704"/>
        <v>0</v>
      </c>
      <c r="W1251">
        <f t="shared" si="705"/>
        <v>0</v>
      </c>
      <c r="X1251">
        <f t="shared" si="706"/>
        <v>0</v>
      </c>
      <c r="Y1251">
        <f t="shared" si="707"/>
        <v>0</v>
      </c>
      <c r="Z1251">
        <f t="shared" si="708"/>
        <v>0</v>
      </c>
      <c r="AA1251">
        <f t="shared" si="709"/>
        <v>0</v>
      </c>
      <c r="AB1251">
        <f t="shared" si="710"/>
        <v>0</v>
      </c>
      <c r="AC1251">
        <f t="shared" si="711"/>
        <v>0</v>
      </c>
      <c r="AD1251">
        <f t="shared" si="712"/>
        <v>0</v>
      </c>
      <c r="AF1251">
        <f t="shared" si="713"/>
        <v>0</v>
      </c>
      <c r="AG1251">
        <f t="shared" si="714"/>
        <v>0</v>
      </c>
      <c r="AH1251">
        <f t="shared" si="715"/>
        <v>0</v>
      </c>
      <c r="AI1251">
        <f t="shared" si="716"/>
        <v>0</v>
      </c>
      <c r="AJ1251">
        <f t="shared" si="717"/>
        <v>0</v>
      </c>
      <c r="AK1251">
        <f t="shared" si="718"/>
        <v>0</v>
      </c>
      <c r="AL1251">
        <f t="shared" si="719"/>
        <v>0</v>
      </c>
      <c r="AM1251">
        <f t="shared" si="720"/>
        <v>0</v>
      </c>
      <c r="AN1251">
        <f t="shared" si="721"/>
        <v>0</v>
      </c>
      <c r="AO1251">
        <f t="shared" si="722"/>
        <v>0</v>
      </c>
      <c r="AP1251">
        <f t="shared" si="723"/>
        <v>0</v>
      </c>
      <c r="AQ1251">
        <f t="shared" si="724"/>
        <v>0</v>
      </c>
    </row>
    <row r="1252" spans="6:43" x14ac:dyDescent="0.45">
      <c r="F1252">
        <f t="shared" si="725"/>
        <v>0</v>
      </c>
      <c r="G1252">
        <f t="shared" si="726"/>
        <v>0</v>
      </c>
      <c r="H1252">
        <f t="shared" si="727"/>
        <v>0</v>
      </c>
      <c r="I1252">
        <f t="shared" si="728"/>
        <v>0</v>
      </c>
      <c r="J1252">
        <f t="shared" si="729"/>
        <v>0</v>
      </c>
      <c r="K1252">
        <f t="shared" si="730"/>
        <v>0</v>
      </c>
      <c r="L1252">
        <f t="shared" si="731"/>
        <v>0</v>
      </c>
      <c r="M1252">
        <f t="shared" si="732"/>
        <v>0</v>
      </c>
      <c r="N1252">
        <f t="shared" si="733"/>
        <v>0</v>
      </c>
      <c r="O1252">
        <f t="shared" si="734"/>
        <v>0</v>
      </c>
      <c r="P1252">
        <f t="shared" si="735"/>
        <v>0</v>
      </c>
      <c r="Q1252">
        <f t="shared" si="736"/>
        <v>0</v>
      </c>
      <c r="S1252">
        <f t="shared" si="701"/>
        <v>0</v>
      </c>
      <c r="T1252">
        <f t="shared" si="702"/>
        <v>0</v>
      </c>
      <c r="U1252">
        <f t="shared" si="703"/>
        <v>0</v>
      </c>
      <c r="V1252">
        <f t="shared" si="704"/>
        <v>0</v>
      </c>
      <c r="W1252">
        <f t="shared" si="705"/>
        <v>0</v>
      </c>
      <c r="X1252">
        <f t="shared" si="706"/>
        <v>0</v>
      </c>
      <c r="Y1252">
        <f t="shared" si="707"/>
        <v>0</v>
      </c>
      <c r="Z1252">
        <f t="shared" si="708"/>
        <v>0</v>
      </c>
      <c r="AA1252">
        <f t="shared" si="709"/>
        <v>0</v>
      </c>
      <c r="AB1252">
        <f t="shared" si="710"/>
        <v>0</v>
      </c>
      <c r="AC1252">
        <f t="shared" si="711"/>
        <v>0</v>
      </c>
      <c r="AD1252">
        <f t="shared" si="712"/>
        <v>0</v>
      </c>
      <c r="AF1252">
        <f t="shared" si="713"/>
        <v>0</v>
      </c>
      <c r="AG1252">
        <f t="shared" si="714"/>
        <v>0</v>
      </c>
      <c r="AH1252">
        <f t="shared" si="715"/>
        <v>0</v>
      </c>
      <c r="AI1252">
        <f t="shared" si="716"/>
        <v>0</v>
      </c>
      <c r="AJ1252">
        <f t="shared" si="717"/>
        <v>0</v>
      </c>
      <c r="AK1252">
        <f t="shared" si="718"/>
        <v>0</v>
      </c>
      <c r="AL1252">
        <f t="shared" si="719"/>
        <v>0</v>
      </c>
      <c r="AM1252">
        <f t="shared" si="720"/>
        <v>0</v>
      </c>
      <c r="AN1252">
        <f t="shared" si="721"/>
        <v>0</v>
      </c>
      <c r="AO1252">
        <f t="shared" si="722"/>
        <v>0</v>
      </c>
      <c r="AP1252">
        <f t="shared" si="723"/>
        <v>0</v>
      </c>
      <c r="AQ1252">
        <f t="shared" si="724"/>
        <v>0</v>
      </c>
    </row>
    <row r="1253" spans="6:43" x14ac:dyDescent="0.45">
      <c r="F1253">
        <f t="shared" si="725"/>
        <v>0</v>
      </c>
      <c r="G1253">
        <f t="shared" si="726"/>
        <v>0</v>
      </c>
      <c r="H1253">
        <f t="shared" si="727"/>
        <v>0</v>
      </c>
      <c r="I1253">
        <f t="shared" si="728"/>
        <v>0</v>
      </c>
      <c r="J1253">
        <f t="shared" si="729"/>
        <v>0</v>
      </c>
      <c r="K1253">
        <f t="shared" si="730"/>
        <v>0</v>
      </c>
      <c r="L1253">
        <f t="shared" si="731"/>
        <v>0</v>
      </c>
      <c r="M1253">
        <f t="shared" si="732"/>
        <v>0</v>
      </c>
      <c r="N1253">
        <f t="shared" si="733"/>
        <v>0</v>
      </c>
      <c r="O1253">
        <f t="shared" si="734"/>
        <v>0</v>
      </c>
      <c r="P1253">
        <f t="shared" si="735"/>
        <v>0</v>
      </c>
      <c r="Q1253">
        <f t="shared" si="736"/>
        <v>0</v>
      </c>
      <c r="S1253">
        <f t="shared" si="701"/>
        <v>0</v>
      </c>
      <c r="T1253">
        <f t="shared" si="702"/>
        <v>0</v>
      </c>
      <c r="U1253">
        <f t="shared" si="703"/>
        <v>0</v>
      </c>
      <c r="V1253">
        <f t="shared" si="704"/>
        <v>0</v>
      </c>
      <c r="W1253">
        <f t="shared" si="705"/>
        <v>0</v>
      </c>
      <c r="X1253">
        <f t="shared" si="706"/>
        <v>0</v>
      </c>
      <c r="Y1253">
        <f t="shared" si="707"/>
        <v>0</v>
      </c>
      <c r="Z1253">
        <f t="shared" si="708"/>
        <v>0</v>
      </c>
      <c r="AA1253">
        <f t="shared" si="709"/>
        <v>0</v>
      </c>
      <c r="AB1253">
        <f t="shared" si="710"/>
        <v>0</v>
      </c>
      <c r="AC1253">
        <f t="shared" si="711"/>
        <v>0</v>
      </c>
      <c r="AD1253">
        <f t="shared" si="712"/>
        <v>0</v>
      </c>
      <c r="AF1253">
        <f t="shared" si="713"/>
        <v>0</v>
      </c>
      <c r="AG1253">
        <f t="shared" si="714"/>
        <v>0</v>
      </c>
      <c r="AH1253">
        <f t="shared" si="715"/>
        <v>0</v>
      </c>
      <c r="AI1253">
        <f t="shared" si="716"/>
        <v>0</v>
      </c>
      <c r="AJ1253">
        <f t="shared" si="717"/>
        <v>0</v>
      </c>
      <c r="AK1253">
        <f t="shared" si="718"/>
        <v>0</v>
      </c>
      <c r="AL1253">
        <f t="shared" si="719"/>
        <v>0</v>
      </c>
      <c r="AM1253">
        <f t="shared" si="720"/>
        <v>0</v>
      </c>
      <c r="AN1253">
        <f t="shared" si="721"/>
        <v>0</v>
      </c>
      <c r="AO1253">
        <f t="shared" si="722"/>
        <v>0</v>
      </c>
      <c r="AP1253">
        <f t="shared" si="723"/>
        <v>0</v>
      </c>
      <c r="AQ1253">
        <f t="shared" si="724"/>
        <v>0</v>
      </c>
    </row>
    <row r="1254" spans="6:43" x14ac:dyDescent="0.45">
      <c r="F1254">
        <f t="shared" si="725"/>
        <v>0</v>
      </c>
      <c r="G1254">
        <f t="shared" si="726"/>
        <v>0</v>
      </c>
      <c r="H1254">
        <f t="shared" si="727"/>
        <v>0</v>
      </c>
      <c r="I1254">
        <f t="shared" si="728"/>
        <v>0</v>
      </c>
      <c r="J1254">
        <f t="shared" si="729"/>
        <v>0</v>
      </c>
      <c r="K1254">
        <f t="shared" si="730"/>
        <v>0</v>
      </c>
      <c r="L1254">
        <f t="shared" si="731"/>
        <v>0</v>
      </c>
      <c r="M1254">
        <f t="shared" si="732"/>
        <v>0</v>
      </c>
      <c r="N1254">
        <f t="shared" si="733"/>
        <v>0</v>
      </c>
      <c r="O1254">
        <f t="shared" si="734"/>
        <v>0</v>
      </c>
      <c r="P1254">
        <f t="shared" si="735"/>
        <v>0</v>
      </c>
      <c r="Q1254">
        <f t="shared" si="736"/>
        <v>0</v>
      </c>
      <c r="S1254">
        <f t="shared" si="701"/>
        <v>0</v>
      </c>
      <c r="T1254">
        <f t="shared" si="702"/>
        <v>0</v>
      </c>
      <c r="U1254">
        <f t="shared" si="703"/>
        <v>0</v>
      </c>
      <c r="V1254">
        <f t="shared" si="704"/>
        <v>0</v>
      </c>
      <c r="W1254">
        <f t="shared" si="705"/>
        <v>0</v>
      </c>
      <c r="X1254">
        <f t="shared" si="706"/>
        <v>0</v>
      </c>
      <c r="Y1254">
        <f t="shared" si="707"/>
        <v>0</v>
      </c>
      <c r="Z1254">
        <f t="shared" si="708"/>
        <v>0</v>
      </c>
      <c r="AA1254">
        <f t="shared" si="709"/>
        <v>0</v>
      </c>
      <c r="AB1254">
        <f t="shared" si="710"/>
        <v>0</v>
      </c>
      <c r="AC1254">
        <f t="shared" si="711"/>
        <v>0</v>
      </c>
      <c r="AD1254">
        <f t="shared" si="712"/>
        <v>0</v>
      </c>
      <c r="AF1254">
        <f t="shared" si="713"/>
        <v>0</v>
      </c>
      <c r="AG1254">
        <f t="shared" si="714"/>
        <v>0</v>
      </c>
      <c r="AH1254">
        <f t="shared" si="715"/>
        <v>0</v>
      </c>
      <c r="AI1254">
        <f t="shared" si="716"/>
        <v>0</v>
      </c>
      <c r="AJ1254">
        <f t="shared" si="717"/>
        <v>0</v>
      </c>
      <c r="AK1254">
        <f t="shared" si="718"/>
        <v>0</v>
      </c>
      <c r="AL1254">
        <f t="shared" si="719"/>
        <v>0</v>
      </c>
      <c r="AM1254">
        <f t="shared" si="720"/>
        <v>0</v>
      </c>
      <c r="AN1254">
        <f t="shared" si="721"/>
        <v>0</v>
      </c>
      <c r="AO1254">
        <f t="shared" si="722"/>
        <v>0</v>
      </c>
      <c r="AP1254">
        <f t="shared" si="723"/>
        <v>0</v>
      </c>
      <c r="AQ1254">
        <f t="shared" si="724"/>
        <v>0</v>
      </c>
    </row>
    <row r="1255" spans="6:43" x14ac:dyDescent="0.45">
      <c r="F1255">
        <f t="shared" si="725"/>
        <v>0</v>
      </c>
      <c r="G1255">
        <f t="shared" si="726"/>
        <v>0</v>
      </c>
      <c r="H1255">
        <f t="shared" si="727"/>
        <v>0</v>
      </c>
      <c r="I1255">
        <f t="shared" si="728"/>
        <v>0</v>
      </c>
      <c r="J1255">
        <f t="shared" si="729"/>
        <v>0</v>
      </c>
      <c r="K1255">
        <f t="shared" si="730"/>
        <v>0</v>
      </c>
      <c r="L1255">
        <f t="shared" si="731"/>
        <v>0</v>
      </c>
      <c r="M1255">
        <f t="shared" si="732"/>
        <v>0</v>
      </c>
      <c r="N1255">
        <f t="shared" si="733"/>
        <v>0</v>
      </c>
      <c r="O1255">
        <f t="shared" si="734"/>
        <v>0</v>
      </c>
      <c r="P1255">
        <f t="shared" si="735"/>
        <v>0</v>
      </c>
      <c r="Q1255">
        <f t="shared" si="736"/>
        <v>0</v>
      </c>
      <c r="S1255">
        <f t="shared" si="701"/>
        <v>0</v>
      </c>
      <c r="T1255">
        <f t="shared" si="702"/>
        <v>0</v>
      </c>
      <c r="U1255">
        <f t="shared" si="703"/>
        <v>0</v>
      </c>
      <c r="V1255">
        <f t="shared" si="704"/>
        <v>0</v>
      </c>
      <c r="W1255">
        <f t="shared" si="705"/>
        <v>0</v>
      </c>
      <c r="X1255">
        <f t="shared" si="706"/>
        <v>0</v>
      </c>
      <c r="Y1255">
        <f t="shared" si="707"/>
        <v>0</v>
      </c>
      <c r="Z1255">
        <f t="shared" si="708"/>
        <v>0</v>
      </c>
      <c r="AA1255">
        <f t="shared" si="709"/>
        <v>0</v>
      </c>
      <c r="AB1255">
        <f t="shared" si="710"/>
        <v>0</v>
      </c>
      <c r="AC1255">
        <f t="shared" si="711"/>
        <v>0</v>
      </c>
      <c r="AD1255">
        <f t="shared" si="712"/>
        <v>0</v>
      </c>
      <c r="AF1255">
        <f t="shared" si="713"/>
        <v>0</v>
      </c>
      <c r="AG1255">
        <f t="shared" si="714"/>
        <v>0</v>
      </c>
      <c r="AH1255">
        <f t="shared" si="715"/>
        <v>0</v>
      </c>
      <c r="AI1255">
        <f t="shared" si="716"/>
        <v>0</v>
      </c>
      <c r="AJ1255">
        <f t="shared" si="717"/>
        <v>0</v>
      </c>
      <c r="AK1255">
        <f t="shared" si="718"/>
        <v>0</v>
      </c>
      <c r="AL1255">
        <f t="shared" si="719"/>
        <v>0</v>
      </c>
      <c r="AM1255">
        <f t="shared" si="720"/>
        <v>0</v>
      </c>
      <c r="AN1255">
        <f t="shared" si="721"/>
        <v>0</v>
      </c>
      <c r="AO1255">
        <f t="shared" si="722"/>
        <v>0</v>
      </c>
      <c r="AP1255">
        <f t="shared" si="723"/>
        <v>0</v>
      </c>
      <c r="AQ1255">
        <f t="shared" si="724"/>
        <v>0</v>
      </c>
    </row>
    <row r="1256" spans="6:43" x14ac:dyDescent="0.45">
      <c r="F1256">
        <f t="shared" si="725"/>
        <v>0</v>
      </c>
      <c r="G1256">
        <f t="shared" si="726"/>
        <v>0</v>
      </c>
      <c r="H1256">
        <f t="shared" si="727"/>
        <v>0</v>
      </c>
      <c r="I1256">
        <f t="shared" si="728"/>
        <v>0</v>
      </c>
      <c r="J1256">
        <f t="shared" si="729"/>
        <v>0</v>
      </c>
      <c r="K1256">
        <f t="shared" si="730"/>
        <v>0</v>
      </c>
      <c r="L1256">
        <f t="shared" si="731"/>
        <v>0</v>
      </c>
      <c r="M1256">
        <f t="shared" si="732"/>
        <v>0</v>
      </c>
      <c r="N1256">
        <f t="shared" si="733"/>
        <v>0</v>
      </c>
      <c r="O1256">
        <f t="shared" si="734"/>
        <v>0</v>
      </c>
      <c r="P1256">
        <f t="shared" si="735"/>
        <v>0</v>
      </c>
      <c r="Q1256">
        <f t="shared" si="736"/>
        <v>0</v>
      </c>
      <c r="S1256">
        <f t="shared" si="701"/>
        <v>0</v>
      </c>
      <c r="T1256">
        <f t="shared" si="702"/>
        <v>0</v>
      </c>
      <c r="U1256">
        <f t="shared" si="703"/>
        <v>0</v>
      </c>
      <c r="V1256">
        <f t="shared" si="704"/>
        <v>0</v>
      </c>
      <c r="W1256">
        <f t="shared" si="705"/>
        <v>0</v>
      </c>
      <c r="X1256">
        <f t="shared" si="706"/>
        <v>0</v>
      </c>
      <c r="Y1256">
        <f t="shared" si="707"/>
        <v>0</v>
      </c>
      <c r="Z1256">
        <f t="shared" si="708"/>
        <v>0</v>
      </c>
      <c r="AA1256">
        <f t="shared" si="709"/>
        <v>0</v>
      </c>
      <c r="AB1256">
        <f t="shared" si="710"/>
        <v>0</v>
      </c>
      <c r="AC1256">
        <f t="shared" si="711"/>
        <v>0</v>
      </c>
      <c r="AD1256">
        <f t="shared" si="712"/>
        <v>0</v>
      </c>
      <c r="AF1256">
        <f t="shared" si="713"/>
        <v>0</v>
      </c>
      <c r="AG1256">
        <f t="shared" si="714"/>
        <v>0</v>
      </c>
      <c r="AH1256">
        <f t="shared" si="715"/>
        <v>0</v>
      </c>
      <c r="AI1256">
        <f t="shared" si="716"/>
        <v>0</v>
      </c>
      <c r="AJ1256">
        <f t="shared" si="717"/>
        <v>0</v>
      </c>
      <c r="AK1256">
        <f t="shared" si="718"/>
        <v>0</v>
      </c>
      <c r="AL1256">
        <f t="shared" si="719"/>
        <v>0</v>
      </c>
      <c r="AM1256">
        <f t="shared" si="720"/>
        <v>0</v>
      </c>
      <c r="AN1256">
        <f t="shared" si="721"/>
        <v>0</v>
      </c>
      <c r="AO1256">
        <f t="shared" si="722"/>
        <v>0</v>
      </c>
      <c r="AP1256">
        <f t="shared" si="723"/>
        <v>0</v>
      </c>
      <c r="AQ1256">
        <f t="shared" si="724"/>
        <v>0</v>
      </c>
    </row>
    <row r="1257" spans="6:43" x14ac:dyDescent="0.45">
      <c r="F1257">
        <f t="shared" si="725"/>
        <v>0</v>
      </c>
      <c r="G1257">
        <f t="shared" si="726"/>
        <v>0</v>
      </c>
      <c r="H1257">
        <f t="shared" si="727"/>
        <v>0</v>
      </c>
      <c r="I1257">
        <f t="shared" si="728"/>
        <v>0</v>
      </c>
      <c r="J1257">
        <f t="shared" si="729"/>
        <v>0</v>
      </c>
      <c r="K1257">
        <f t="shared" si="730"/>
        <v>0</v>
      </c>
      <c r="L1257">
        <f t="shared" si="731"/>
        <v>0</v>
      </c>
      <c r="M1257">
        <f t="shared" si="732"/>
        <v>0</v>
      </c>
      <c r="N1257">
        <f t="shared" si="733"/>
        <v>0</v>
      </c>
      <c r="O1257">
        <f t="shared" si="734"/>
        <v>0</v>
      </c>
      <c r="P1257">
        <f t="shared" si="735"/>
        <v>0</v>
      </c>
      <c r="Q1257">
        <f t="shared" si="736"/>
        <v>0</v>
      </c>
      <c r="S1257">
        <f t="shared" si="701"/>
        <v>0</v>
      </c>
      <c r="T1257">
        <f t="shared" si="702"/>
        <v>0</v>
      </c>
      <c r="U1257">
        <f t="shared" si="703"/>
        <v>0</v>
      </c>
      <c r="V1257">
        <f t="shared" si="704"/>
        <v>0</v>
      </c>
      <c r="W1257">
        <f t="shared" si="705"/>
        <v>0</v>
      </c>
      <c r="X1257">
        <f t="shared" si="706"/>
        <v>0</v>
      </c>
      <c r="Y1257">
        <f t="shared" si="707"/>
        <v>0</v>
      </c>
      <c r="Z1257">
        <f t="shared" si="708"/>
        <v>0</v>
      </c>
      <c r="AA1257">
        <f t="shared" si="709"/>
        <v>0</v>
      </c>
      <c r="AB1257">
        <f t="shared" si="710"/>
        <v>0</v>
      </c>
      <c r="AC1257">
        <f t="shared" si="711"/>
        <v>0</v>
      </c>
      <c r="AD1257">
        <f t="shared" si="712"/>
        <v>0</v>
      </c>
      <c r="AF1257">
        <f t="shared" si="713"/>
        <v>0</v>
      </c>
      <c r="AG1257">
        <f t="shared" si="714"/>
        <v>0</v>
      </c>
      <c r="AH1257">
        <f t="shared" si="715"/>
        <v>0</v>
      </c>
      <c r="AI1257">
        <f t="shared" si="716"/>
        <v>0</v>
      </c>
      <c r="AJ1257">
        <f t="shared" si="717"/>
        <v>0</v>
      </c>
      <c r="AK1257">
        <f t="shared" si="718"/>
        <v>0</v>
      </c>
      <c r="AL1257">
        <f t="shared" si="719"/>
        <v>0</v>
      </c>
      <c r="AM1257">
        <f t="shared" si="720"/>
        <v>0</v>
      </c>
      <c r="AN1257">
        <f t="shared" si="721"/>
        <v>0</v>
      </c>
      <c r="AO1257">
        <f t="shared" si="722"/>
        <v>0</v>
      </c>
      <c r="AP1257">
        <f t="shared" si="723"/>
        <v>0</v>
      </c>
      <c r="AQ1257">
        <f t="shared" si="724"/>
        <v>0</v>
      </c>
    </row>
    <row r="1258" spans="6:43" x14ac:dyDescent="0.45">
      <c r="F1258">
        <f t="shared" si="725"/>
        <v>0</v>
      </c>
      <c r="G1258">
        <f t="shared" si="726"/>
        <v>0</v>
      </c>
      <c r="H1258">
        <f t="shared" si="727"/>
        <v>0</v>
      </c>
      <c r="I1258">
        <f t="shared" si="728"/>
        <v>0</v>
      </c>
      <c r="J1258">
        <f t="shared" si="729"/>
        <v>0</v>
      </c>
      <c r="K1258">
        <f t="shared" si="730"/>
        <v>0</v>
      </c>
      <c r="L1258">
        <f t="shared" si="731"/>
        <v>0</v>
      </c>
      <c r="M1258">
        <f t="shared" si="732"/>
        <v>0</v>
      </c>
      <c r="N1258">
        <f t="shared" si="733"/>
        <v>0</v>
      </c>
      <c r="O1258">
        <f t="shared" si="734"/>
        <v>0</v>
      </c>
      <c r="P1258">
        <f t="shared" si="735"/>
        <v>0</v>
      </c>
      <c r="Q1258">
        <f t="shared" si="736"/>
        <v>0</v>
      </c>
      <c r="S1258">
        <f t="shared" si="701"/>
        <v>0</v>
      </c>
      <c r="T1258">
        <f t="shared" si="702"/>
        <v>0</v>
      </c>
      <c r="U1258">
        <f t="shared" si="703"/>
        <v>0</v>
      </c>
      <c r="V1258">
        <f t="shared" si="704"/>
        <v>0</v>
      </c>
      <c r="W1258">
        <f t="shared" si="705"/>
        <v>0</v>
      </c>
      <c r="X1258">
        <f t="shared" si="706"/>
        <v>0</v>
      </c>
      <c r="Y1258">
        <f t="shared" si="707"/>
        <v>0</v>
      </c>
      <c r="Z1258">
        <f t="shared" si="708"/>
        <v>0</v>
      </c>
      <c r="AA1258">
        <f t="shared" si="709"/>
        <v>0</v>
      </c>
      <c r="AB1258">
        <f t="shared" si="710"/>
        <v>0</v>
      </c>
      <c r="AC1258">
        <f t="shared" si="711"/>
        <v>0</v>
      </c>
      <c r="AD1258">
        <f t="shared" si="712"/>
        <v>0</v>
      </c>
      <c r="AF1258">
        <f t="shared" si="713"/>
        <v>0</v>
      </c>
      <c r="AG1258">
        <f t="shared" si="714"/>
        <v>0</v>
      </c>
      <c r="AH1258">
        <f t="shared" si="715"/>
        <v>0</v>
      </c>
      <c r="AI1258">
        <f t="shared" si="716"/>
        <v>0</v>
      </c>
      <c r="AJ1258">
        <f t="shared" si="717"/>
        <v>0</v>
      </c>
      <c r="AK1258">
        <f t="shared" si="718"/>
        <v>0</v>
      </c>
      <c r="AL1258">
        <f t="shared" si="719"/>
        <v>0</v>
      </c>
      <c r="AM1258">
        <f t="shared" si="720"/>
        <v>0</v>
      </c>
      <c r="AN1258">
        <f t="shared" si="721"/>
        <v>0</v>
      </c>
      <c r="AO1258">
        <f t="shared" si="722"/>
        <v>0</v>
      </c>
      <c r="AP1258">
        <f t="shared" si="723"/>
        <v>0</v>
      </c>
      <c r="AQ1258">
        <f t="shared" si="724"/>
        <v>0</v>
      </c>
    </row>
    <row r="1259" spans="6:43" x14ac:dyDescent="0.45">
      <c r="F1259">
        <f t="shared" si="725"/>
        <v>0</v>
      </c>
      <c r="G1259">
        <f t="shared" si="726"/>
        <v>0</v>
      </c>
      <c r="H1259">
        <f t="shared" si="727"/>
        <v>0</v>
      </c>
      <c r="I1259">
        <f t="shared" si="728"/>
        <v>0</v>
      </c>
      <c r="J1259">
        <f t="shared" si="729"/>
        <v>0</v>
      </c>
      <c r="K1259">
        <f t="shared" si="730"/>
        <v>0</v>
      </c>
      <c r="L1259">
        <f t="shared" si="731"/>
        <v>0</v>
      </c>
      <c r="M1259">
        <f t="shared" si="732"/>
        <v>0</v>
      </c>
      <c r="N1259">
        <f t="shared" si="733"/>
        <v>0</v>
      </c>
      <c r="O1259">
        <f t="shared" si="734"/>
        <v>0</v>
      </c>
      <c r="P1259">
        <f t="shared" si="735"/>
        <v>0</v>
      </c>
      <c r="Q1259">
        <f t="shared" si="736"/>
        <v>0</v>
      </c>
      <c r="S1259">
        <f t="shared" ref="S1259:S1263" si="737">IF(F1259&gt;0,1,0)+S1260</f>
        <v>0</v>
      </c>
      <c r="T1259">
        <f t="shared" ref="T1259:T1263" si="738">IF(G1259&gt;0,1,0)+T1260</f>
        <v>0</v>
      </c>
      <c r="U1259">
        <f t="shared" ref="U1259:U1263" si="739">IF(H1259&gt;0,1,0)+U1260</f>
        <v>0</v>
      </c>
      <c r="V1259">
        <f t="shared" ref="V1259:V1263" si="740">IF(I1259&gt;0,1,0)+V1260</f>
        <v>0</v>
      </c>
      <c r="W1259">
        <f t="shared" ref="W1259:W1263" si="741">IF(J1259&gt;0,1,0)+W1260</f>
        <v>0</v>
      </c>
      <c r="X1259">
        <f t="shared" ref="X1259:X1263" si="742">IF(K1259&gt;0,1,0)+X1260</f>
        <v>0</v>
      </c>
      <c r="Y1259">
        <f t="shared" ref="Y1259:Y1263" si="743">IF(L1259&gt;0,1,0)+Y1260</f>
        <v>0</v>
      </c>
      <c r="Z1259">
        <f t="shared" ref="Z1259:Z1263" si="744">IF(M1259&gt;0,1,0)+Z1260</f>
        <v>0</v>
      </c>
      <c r="AA1259">
        <f t="shared" ref="AA1259:AA1263" si="745">IF(N1259&gt;0,1,0)+AA1260</f>
        <v>0</v>
      </c>
      <c r="AB1259">
        <f t="shared" ref="AB1259:AB1263" si="746">IF(O1259&gt;0,1,0)+AB1260</f>
        <v>0</v>
      </c>
      <c r="AC1259">
        <f t="shared" ref="AC1259:AC1263" si="747">IF(P1259&gt;0,1,0)+AC1260</f>
        <v>0</v>
      </c>
      <c r="AD1259">
        <f t="shared" ref="AD1259:AD1263" si="748">IF(Q1259&gt;0,1,0)+AD1260</f>
        <v>0</v>
      </c>
      <c r="AF1259">
        <f t="shared" ref="AF1259:AF1263" si="749">IF(S1259&lt;=$AT$1,F1259,0)</f>
        <v>0</v>
      </c>
      <c r="AG1259">
        <f t="shared" ref="AG1259:AG1263" si="750">IF(T1259&lt;=$AT$1,G1259,0)</f>
        <v>0</v>
      </c>
      <c r="AH1259">
        <f t="shared" ref="AH1259:AH1263" si="751">IF(U1259&lt;=$AT$1,H1259,0)</f>
        <v>0</v>
      </c>
      <c r="AI1259">
        <f t="shared" ref="AI1259:AI1263" si="752">IF(V1259&lt;=$AT$1,I1259,0)</f>
        <v>0</v>
      </c>
      <c r="AJ1259">
        <f t="shared" ref="AJ1259:AJ1263" si="753">IF(W1259&lt;=$AT$1,J1259,0)</f>
        <v>0</v>
      </c>
      <c r="AK1259">
        <f t="shared" ref="AK1259:AK1263" si="754">IF(X1259&lt;=$AT$1,K1259,0)</f>
        <v>0</v>
      </c>
      <c r="AL1259">
        <f t="shared" ref="AL1259:AL1263" si="755">IF(Y1259&lt;=$AT$1,L1259,0)</f>
        <v>0</v>
      </c>
      <c r="AM1259">
        <f t="shared" ref="AM1259:AM1263" si="756">IF(Z1259&lt;=$AT$1,M1259,0)</f>
        <v>0</v>
      </c>
      <c r="AN1259">
        <f t="shared" ref="AN1259:AN1263" si="757">IF(AA1259&lt;=$AT$1,N1259,0)</f>
        <v>0</v>
      </c>
      <c r="AO1259">
        <f t="shared" ref="AO1259:AO1263" si="758">IF(AB1259&lt;=$AT$1,O1259,0)</f>
        <v>0</v>
      </c>
      <c r="AP1259">
        <f t="shared" ref="AP1259:AP1263" si="759">IF(AC1259&lt;=$AT$1,P1259,0)</f>
        <v>0</v>
      </c>
      <c r="AQ1259">
        <f t="shared" ref="AQ1259:AQ1263" si="760">IF(AD1259&lt;=$AT$1,Q1259,0)</f>
        <v>0</v>
      </c>
    </row>
    <row r="1260" spans="6:43" x14ac:dyDescent="0.45">
      <c r="F1260">
        <f t="shared" si="725"/>
        <v>0</v>
      </c>
      <c r="G1260">
        <f t="shared" si="726"/>
        <v>0</v>
      </c>
      <c r="H1260">
        <f t="shared" si="727"/>
        <v>0</v>
      </c>
      <c r="I1260">
        <f t="shared" si="728"/>
        <v>0</v>
      </c>
      <c r="J1260">
        <f t="shared" si="729"/>
        <v>0</v>
      </c>
      <c r="K1260">
        <f t="shared" si="730"/>
        <v>0</v>
      </c>
      <c r="L1260">
        <f t="shared" si="731"/>
        <v>0</v>
      </c>
      <c r="M1260">
        <f t="shared" si="732"/>
        <v>0</v>
      </c>
      <c r="N1260">
        <f t="shared" si="733"/>
        <v>0</v>
      </c>
      <c r="O1260">
        <f t="shared" si="734"/>
        <v>0</v>
      </c>
      <c r="P1260">
        <f t="shared" si="735"/>
        <v>0</v>
      </c>
      <c r="Q1260">
        <f t="shared" si="736"/>
        <v>0</v>
      </c>
      <c r="S1260">
        <f t="shared" si="737"/>
        <v>0</v>
      </c>
      <c r="T1260">
        <f t="shared" si="738"/>
        <v>0</v>
      </c>
      <c r="U1260">
        <f t="shared" si="739"/>
        <v>0</v>
      </c>
      <c r="V1260">
        <f t="shared" si="740"/>
        <v>0</v>
      </c>
      <c r="W1260">
        <f t="shared" si="741"/>
        <v>0</v>
      </c>
      <c r="X1260">
        <f t="shared" si="742"/>
        <v>0</v>
      </c>
      <c r="Y1260">
        <f t="shared" si="743"/>
        <v>0</v>
      </c>
      <c r="Z1260">
        <f t="shared" si="744"/>
        <v>0</v>
      </c>
      <c r="AA1260">
        <f t="shared" si="745"/>
        <v>0</v>
      </c>
      <c r="AB1260">
        <f t="shared" si="746"/>
        <v>0</v>
      </c>
      <c r="AC1260">
        <f t="shared" si="747"/>
        <v>0</v>
      </c>
      <c r="AD1260">
        <f t="shared" si="748"/>
        <v>0</v>
      </c>
      <c r="AF1260">
        <f t="shared" si="749"/>
        <v>0</v>
      </c>
      <c r="AG1260">
        <f t="shared" si="750"/>
        <v>0</v>
      </c>
      <c r="AH1260">
        <f t="shared" si="751"/>
        <v>0</v>
      </c>
      <c r="AI1260">
        <f t="shared" si="752"/>
        <v>0</v>
      </c>
      <c r="AJ1260">
        <f t="shared" si="753"/>
        <v>0</v>
      </c>
      <c r="AK1260">
        <f t="shared" si="754"/>
        <v>0</v>
      </c>
      <c r="AL1260">
        <f t="shared" si="755"/>
        <v>0</v>
      </c>
      <c r="AM1260">
        <f t="shared" si="756"/>
        <v>0</v>
      </c>
      <c r="AN1260">
        <f t="shared" si="757"/>
        <v>0</v>
      </c>
      <c r="AO1260">
        <f t="shared" si="758"/>
        <v>0</v>
      </c>
      <c r="AP1260">
        <f t="shared" si="759"/>
        <v>0</v>
      </c>
      <c r="AQ1260">
        <f t="shared" si="760"/>
        <v>0</v>
      </c>
    </row>
    <row r="1261" spans="6:43" x14ac:dyDescent="0.45">
      <c r="F1261">
        <f t="shared" si="725"/>
        <v>0</v>
      </c>
      <c r="G1261">
        <f t="shared" si="726"/>
        <v>0</v>
      </c>
      <c r="H1261">
        <f t="shared" si="727"/>
        <v>0</v>
      </c>
      <c r="I1261">
        <f t="shared" si="728"/>
        <v>0</v>
      </c>
      <c r="J1261">
        <f t="shared" si="729"/>
        <v>0</v>
      </c>
      <c r="K1261">
        <f t="shared" si="730"/>
        <v>0</v>
      </c>
      <c r="L1261">
        <f t="shared" si="731"/>
        <v>0</v>
      </c>
      <c r="M1261">
        <f t="shared" si="732"/>
        <v>0</v>
      </c>
      <c r="N1261">
        <f t="shared" si="733"/>
        <v>0</v>
      </c>
      <c r="O1261">
        <f t="shared" si="734"/>
        <v>0</v>
      </c>
      <c r="P1261">
        <f t="shared" si="735"/>
        <v>0</v>
      </c>
      <c r="Q1261">
        <f t="shared" si="736"/>
        <v>0</v>
      </c>
      <c r="S1261">
        <f t="shared" si="737"/>
        <v>0</v>
      </c>
      <c r="T1261">
        <f t="shared" si="738"/>
        <v>0</v>
      </c>
      <c r="U1261">
        <f t="shared" si="739"/>
        <v>0</v>
      </c>
      <c r="V1261">
        <f t="shared" si="740"/>
        <v>0</v>
      </c>
      <c r="W1261">
        <f t="shared" si="741"/>
        <v>0</v>
      </c>
      <c r="X1261">
        <f t="shared" si="742"/>
        <v>0</v>
      </c>
      <c r="Y1261">
        <f t="shared" si="743"/>
        <v>0</v>
      </c>
      <c r="Z1261">
        <f t="shared" si="744"/>
        <v>0</v>
      </c>
      <c r="AA1261">
        <f t="shared" si="745"/>
        <v>0</v>
      </c>
      <c r="AB1261">
        <f t="shared" si="746"/>
        <v>0</v>
      </c>
      <c r="AC1261">
        <f t="shared" si="747"/>
        <v>0</v>
      </c>
      <c r="AD1261">
        <f t="shared" si="748"/>
        <v>0</v>
      </c>
      <c r="AF1261">
        <f t="shared" si="749"/>
        <v>0</v>
      </c>
      <c r="AG1261">
        <f t="shared" si="750"/>
        <v>0</v>
      </c>
      <c r="AH1261">
        <f t="shared" si="751"/>
        <v>0</v>
      </c>
      <c r="AI1261">
        <f t="shared" si="752"/>
        <v>0</v>
      </c>
      <c r="AJ1261">
        <f t="shared" si="753"/>
        <v>0</v>
      </c>
      <c r="AK1261">
        <f t="shared" si="754"/>
        <v>0</v>
      </c>
      <c r="AL1261">
        <f t="shared" si="755"/>
        <v>0</v>
      </c>
      <c r="AM1261">
        <f t="shared" si="756"/>
        <v>0</v>
      </c>
      <c r="AN1261">
        <f t="shared" si="757"/>
        <v>0</v>
      </c>
      <c r="AO1261">
        <f t="shared" si="758"/>
        <v>0</v>
      </c>
      <c r="AP1261">
        <f t="shared" si="759"/>
        <v>0</v>
      </c>
      <c r="AQ1261">
        <f t="shared" si="760"/>
        <v>0</v>
      </c>
    </row>
    <row r="1262" spans="6:43" x14ac:dyDescent="0.45">
      <c r="F1262">
        <f t="shared" si="725"/>
        <v>0</v>
      </c>
      <c r="G1262">
        <f t="shared" si="726"/>
        <v>0</v>
      </c>
      <c r="H1262">
        <f t="shared" si="727"/>
        <v>0</v>
      </c>
      <c r="I1262">
        <f t="shared" si="728"/>
        <v>0</v>
      </c>
      <c r="J1262">
        <f t="shared" si="729"/>
        <v>0</v>
      </c>
      <c r="K1262">
        <f t="shared" si="730"/>
        <v>0</v>
      </c>
      <c r="L1262">
        <f t="shared" si="731"/>
        <v>0</v>
      </c>
      <c r="M1262">
        <f t="shared" si="732"/>
        <v>0</v>
      </c>
      <c r="N1262">
        <f t="shared" si="733"/>
        <v>0</v>
      </c>
      <c r="O1262">
        <f t="shared" si="734"/>
        <v>0</v>
      </c>
      <c r="P1262">
        <f t="shared" si="735"/>
        <v>0</v>
      </c>
      <c r="Q1262">
        <f t="shared" si="736"/>
        <v>0</v>
      </c>
      <c r="S1262">
        <f t="shared" si="737"/>
        <v>0</v>
      </c>
      <c r="T1262">
        <f t="shared" si="738"/>
        <v>0</v>
      </c>
      <c r="U1262">
        <f t="shared" si="739"/>
        <v>0</v>
      </c>
      <c r="V1262">
        <f t="shared" si="740"/>
        <v>0</v>
      </c>
      <c r="W1262">
        <f t="shared" si="741"/>
        <v>0</v>
      </c>
      <c r="X1262">
        <f t="shared" si="742"/>
        <v>0</v>
      </c>
      <c r="Y1262">
        <f t="shared" si="743"/>
        <v>0</v>
      </c>
      <c r="Z1262">
        <f t="shared" si="744"/>
        <v>0</v>
      </c>
      <c r="AA1262">
        <f t="shared" si="745"/>
        <v>0</v>
      </c>
      <c r="AB1262">
        <f t="shared" si="746"/>
        <v>0</v>
      </c>
      <c r="AC1262">
        <f t="shared" si="747"/>
        <v>0</v>
      </c>
      <c r="AD1262">
        <f t="shared" si="748"/>
        <v>0</v>
      </c>
      <c r="AF1262">
        <f t="shared" si="749"/>
        <v>0</v>
      </c>
      <c r="AG1262">
        <f t="shared" si="750"/>
        <v>0</v>
      </c>
      <c r="AH1262">
        <f t="shared" si="751"/>
        <v>0</v>
      </c>
      <c r="AI1262">
        <f t="shared" si="752"/>
        <v>0</v>
      </c>
      <c r="AJ1262">
        <f t="shared" si="753"/>
        <v>0</v>
      </c>
      <c r="AK1262">
        <f t="shared" si="754"/>
        <v>0</v>
      </c>
      <c r="AL1262">
        <f t="shared" si="755"/>
        <v>0</v>
      </c>
      <c r="AM1262">
        <f t="shared" si="756"/>
        <v>0</v>
      </c>
      <c r="AN1262">
        <f t="shared" si="757"/>
        <v>0</v>
      </c>
      <c r="AO1262">
        <f t="shared" si="758"/>
        <v>0</v>
      </c>
      <c r="AP1262">
        <f t="shared" si="759"/>
        <v>0</v>
      </c>
      <c r="AQ1262">
        <f t="shared" si="760"/>
        <v>0</v>
      </c>
    </row>
    <row r="1263" spans="6:43" x14ac:dyDescent="0.45">
      <c r="S1263">
        <f t="shared" si="737"/>
        <v>0</v>
      </c>
      <c r="T1263">
        <f t="shared" si="738"/>
        <v>0</v>
      </c>
      <c r="U1263">
        <f t="shared" si="739"/>
        <v>0</v>
      </c>
      <c r="V1263">
        <f t="shared" si="740"/>
        <v>0</v>
      </c>
      <c r="W1263">
        <f t="shared" si="741"/>
        <v>0</v>
      </c>
      <c r="X1263">
        <f t="shared" si="742"/>
        <v>0</v>
      </c>
      <c r="Y1263">
        <f t="shared" si="743"/>
        <v>0</v>
      </c>
      <c r="Z1263">
        <f t="shared" si="744"/>
        <v>0</v>
      </c>
      <c r="AA1263">
        <f t="shared" si="745"/>
        <v>0</v>
      </c>
      <c r="AB1263">
        <f t="shared" si="746"/>
        <v>0</v>
      </c>
      <c r="AC1263">
        <f t="shared" si="747"/>
        <v>0</v>
      </c>
      <c r="AD1263">
        <f t="shared" si="748"/>
        <v>0</v>
      </c>
      <c r="AF1263">
        <f t="shared" si="749"/>
        <v>0</v>
      </c>
      <c r="AG1263">
        <f t="shared" si="750"/>
        <v>0</v>
      </c>
      <c r="AH1263">
        <f t="shared" si="751"/>
        <v>0</v>
      </c>
      <c r="AI1263">
        <f t="shared" si="752"/>
        <v>0</v>
      </c>
      <c r="AJ1263">
        <f t="shared" si="753"/>
        <v>0</v>
      </c>
      <c r="AK1263">
        <f t="shared" si="754"/>
        <v>0</v>
      </c>
      <c r="AL1263">
        <f t="shared" si="755"/>
        <v>0</v>
      </c>
      <c r="AM1263">
        <f t="shared" si="756"/>
        <v>0</v>
      </c>
      <c r="AN1263">
        <f t="shared" si="757"/>
        <v>0</v>
      </c>
      <c r="AO1263">
        <f t="shared" si="758"/>
        <v>0</v>
      </c>
      <c r="AP1263">
        <f t="shared" si="759"/>
        <v>0</v>
      </c>
      <c r="AQ1263">
        <f t="shared" si="760"/>
        <v>0</v>
      </c>
    </row>
  </sheetData>
  <autoFilter ref="A1:BC1" xr:uid="{00000000-0001-0000-0100-000000000000}"/>
  <conditionalFormatting sqref="E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Q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B34"/>
  <sheetViews>
    <sheetView topLeftCell="K1" zoomScale="70" zoomScaleNormal="70" workbookViewId="0">
      <selection activeCell="O34" sqref="O34"/>
    </sheetView>
  </sheetViews>
  <sheetFormatPr defaultRowHeight="14.5" x14ac:dyDescent="0.35"/>
  <cols>
    <col min="4" max="4" width="28.36328125" customWidth="1"/>
    <col min="5" max="5" width="14.453125" customWidth="1"/>
    <col min="6" max="6" width="16.7265625" customWidth="1"/>
    <col min="7" max="9" width="13.7265625" customWidth="1"/>
    <col min="10" max="10" width="11.453125" customWidth="1"/>
    <col min="11" max="11" width="19.81640625" bestFit="1" customWidth="1"/>
    <col min="12" max="13" width="20" bestFit="1" customWidth="1"/>
    <col min="14" max="14" width="20.36328125" style="7" customWidth="1"/>
    <col min="15" max="15" width="18.08984375" customWidth="1"/>
    <col min="16" max="16" width="17.7265625" customWidth="1"/>
    <col min="17" max="17" width="18.6328125" bestFit="1" customWidth="1"/>
    <col min="18" max="18" width="20.6328125" bestFit="1" customWidth="1"/>
    <col min="19" max="19" width="39.1796875" bestFit="1" customWidth="1"/>
    <col min="20" max="20" width="15.08984375" customWidth="1"/>
    <col min="21" max="21" width="12.26953125" customWidth="1"/>
    <col min="26" max="26" width="27.81640625" customWidth="1"/>
    <col min="27" max="27" width="18.81640625" customWidth="1"/>
    <col min="28" max="28" width="8.7265625" customWidth="1"/>
  </cols>
  <sheetData>
    <row r="2" spans="1:28" x14ac:dyDescent="0.35">
      <c r="S2" s="7" t="s">
        <v>229</v>
      </c>
      <c r="T2" s="7"/>
      <c r="U2" s="7" t="s">
        <v>513</v>
      </c>
      <c r="V2" s="7" t="s">
        <v>514</v>
      </c>
      <c r="W2" s="7" t="s">
        <v>515</v>
      </c>
      <c r="X2" s="7" t="s">
        <v>516</v>
      </c>
    </row>
    <row r="3" spans="1:28" x14ac:dyDescent="0.35">
      <c r="S3" s="7">
        <v>8</v>
      </c>
      <c r="T3" s="7"/>
      <c r="U3" s="4">
        <v>3000</v>
      </c>
      <c r="V3" s="7">
        <v>3300</v>
      </c>
      <c r="W3" s="7">
        <f>V3*1.07</f>
        <v>3531</v>
      </c>
      <c r="X3" s="7">
        <f>V3*0.93</f>
        <v>3069</v>
      </c>
    </row>
    <row r="4" spans="1:28" x14ac:dyDescent="0.35">
      <c r="U4" s="7"/>
      <c r="V4" s="7"/>
    </row>
    <row r="5" spans="1:28" s="7" customFormat="1" ht="29" x14ac:dyDescent="0.35">
      <c r="A5" s="82"/>
      <c r="B5" s="82"/>
      <c r="C5" s="82"/>
      <c r="D5" s="82"/>
      <c r="E5" s="13"/>
      <c r="F5" s="83" t="s">
        <v>541</v>
      </c>
      <c r="G5" s="83" t="s">
        <v>542</v>
      </c>
      <c r="H5" s="83" t="s">
        <v>543</v>
      </c>
      <c r="I5" s="83"/>
      <c r="J5" s="83" t="s">
        <v>517</v>
      </c>
      <c r="K5" s="84" t="s">
        <v>518</v>
      </c>
      <c r="L5" s="84" t="s">
        <v>519</v>
      </c>
      <c r="M5" s="84" t="s">
        <v>520</v>
      </c>
      <c r="N5" s="84" t="s">
        <v>521</v>
      </c>
      <c r="O5" s="84" t="s">
        <v>522</v>
      </c>
      <c r="P5" s="84" t="s">
        <v>523</v>
      </c>
      <c r="Q5" s="84" t="s">
        <v>544</v>
      </c>
      <c r="R5" s="84" t="s">
        <v>524</v>
      </c>
      <c r="S5" s="84" t="s">
        <v>545</v>
      </c>
      <c r="T5" s="84" t="s">
        <v>546</v>
      </c>
      <c r="Z5" s="7" t="s">
        <v>525</v>
      </c>
      <c r="AA5" s="7" t="s">
        <v>6</v>
      </c>
    </row>
    <row r="6" spans="1:28" x14ac:dyDescent="0.35">
      <c r="E6" s="85" t="s">
        <v>547</v>
      </c>
      <c r="F6" s="5">
        <f>IF('summery '!D$23&gt;1000,'summery '!D$23,'summery '!D$25+'summery '!D$23)</f>
        <v>10140</v>
      </c>
      <c r="G6" s="5">
        <f>IF('summery '!D$23&gt;1000,'summery '!D$22,'summery '!D$21)</f>
        <v>3409.9233727810652</v>
      </c>
      <c r="H6" s="5">
        <f>'summery '!D$24</f>
        <v>3147.879407806191</v>
      </c>
      <c r="I6" s="5">
        <f>H6-G6</f>
        <v>-262.04396497487414</v>
      </c>
      <c r="J6" s="5">
        <f ca="1">'summery '!D27</f>
        <v>98.166666666666671</v>
      </c>
      <c r="K6" s="5">
        <f>IF(F6&gt;3700*0.2,$U$3*0.8+G6*0.2,0)</f>
        <v>3081.9846745562131</v>
      </c>
      <c r="L6" s="5">
        <f t="shared" ref="L6:L22" si="0">IF(G6&gt;3700*0.15,$U$3*0.85+G6*0.15,0)</f>
        <v>3061.4885059171597</v>
      </c>
      <c r="M6" s="5">
        <f>IF(K6&gt;3700*0.1,$U$3*0.9+G6*0.1,0)</f>
        <v>3040.9923372781068</v>
      </c>
      <c r="N6" s="88">
        <f>IF(AND(K6&gt;$X$3,K6&lt;$W$3),K6,0)</f>
        <v>3081.9846745562131</v>
      </c>
      <c r="O6" s="88">
        <f>IF(AND(L6&gt;$X$3,L6&lt;$W$3),L6,0)</f>
        <v>0</v>
      </c>
      <c r="P6" s="88">
        <f>IF(AND(M6&gt;$X$3,M6&lt;$W$3),M6,0)</f>
        <v>0</v>
      </c>
      <c r="Q6" s="88">
        <f>IF((N6+O6+P6)&gt;0,1,0)</f>
        <v>1</v>
      </c>
      <c r="R6" s="88">
        <f ca="1">IF(AND(Q6=1,(J6-AVERAGE(J6:J22))&gt;0),1,0)</f>
        <v>1</v>
      </c>
      <c r="S6" s="86">
        <f>IF((H6-G6)&gt;100,1,0)</f>
        <v>0</v>
      </c>
      <c r="T6" s="86">
        <f ca="1">IF(Q6=1,(R6+S6+Q6),0)</f>
        <v>2</v>
      </c>
      <c r="Z6" s="7" t="str">
        <f>'summery '!B28</f>
        <v>&gt;3500</v>
      </c>
      <c r="AA6" s="4">
        <f>'summery '!C28</f>
        <v>89439</v>
      </c>
      <c r="AB6" s="43">
        <f>AA6/$AA$9*100</f>
        <v>29.315131352529537</v>
      </c>
    </row>
    <row r="7" spans="1:28" x14ac:dyDescent="0.35">
      <c r="E7" s="85" t="s">
        <v>548</v>
      </c>
      <c r="F7" s="5">
        <f>IF('summery '!E$23&gt;1000,'summery '!E$23,'summery '!E$25+'summery '!E$23)</f>
        <v>21723</v>
      </c>
      <c r="G7" s="5">
        <f>IF('summery '!E$23&gt;1000,'summery '!E$22,'summery '!E$21)</f>
        <v>3042.5865736510441</v>
      </c>
      <c r="H7" s="5">
        <f>'summery '!E$24</f>
        <v>2772.6331592689294</v>
      </c>
      <c r="I7" s="5">
        <f t="shared" ref="I7:I22" si="1">H7-G7</f>
        <v>-269.95341438211472</v>
      </c>
      <c r="J7" s="5">
        <f ca="1">'summery '!E$27</f>
        <v>99.1</v>
      </c>
      <c r="K7" s="5">
        <f t="shared" ref="K7:K22" si="2">IF(F7&gt;3700*0.2,$U$3*0.8+G7*0.2,0)</f>
        <v>3008.5173147302089</v>
      </c>
      <c r="L7" s="5">
        <f t="shared" si="0"/>
        <v>3006.3879860476568</v>
      </c>
      <c r="M7" s="5">
        <f t="shared" ref="M7:M22" si="3">IF(K7&gt;3700*0.1,$U$3*0.9+G7*0.1,0)</f>
        <v>3004.2586573651042</v>
      </c>
      <c r="N7" s="88">
        <f t="shared" ref="N7:N22" si="4">IF(AND(K7&gt;$X$3,K7&lt;$W$3),K7,0)</f>
        <v>0</v>
      </c>
      <c r="O7" s="88">
        <f t="shared" ref="O7:O22" si="5">IF(AND(L7&gt;$X$3,L7&lt;$W$3),L7,0)</f>
        <v>0</v>
      </c>
      <c r="P7" s="88">
        <f t="shared" ref="P7:P22" si="6">IF(AND(M7&gt;$X$3,M7&lt;$W$3),M7,0)</f>
        <v>0</v>
      </c>
      <c r="Q7" s="88">
        <f t="shared" ref="Q7:Q22" si="7">IF((N7+O7+P7)&gt;0,1,0)</f>
        <v>0</v>
      </c>
      <c r="R7" s="88">
        <f t="shared" ref="R7:R22" ca="1" si="8">IF(AND(Q7=1,(J7-AVERAGE(J7:J23))&gt;0),1,0)</f>
        <v>0</v>
      </c>
      <c r="S7" s="86">
        <f t="shared" ref="S7:S22" si="9">IF((H7-G7)&gt;100,1,0)</f>
        <v>0</v>
      </c>
      <c r="T7" s="86">
        <f t="shared" ref="T7:T22" si="10">IF(Q7=1,(R7+S7+Q7),0)</f>
        <v>0</v>
      </c>
      <c r="Z7" s="7" t="str">
        <f>'summery '!B29</f>
        <v>3100-3500</v>
      </c>
      <c r="AA7" s="4">
        <f>'summery '!C29</f>
        <v>134412</v>
      </c>
      <c r="AB7" s="43">
        <f t="shared" ref="AB7:AB8" si="11">AA7/$AA$9*100</f>
        <v>44.055785902751602</v>
      </c>
    </row>
    <row r="8" spans="1:28" x14ac:dyDescent="0.35">
      <c r="E8" s="85" t="s">
        <v>549</v>
      </c>
      <c r="F8" s="5">
        <f>IF('summery '!F$23&gt;1000,'summery '!F$23,'summery '!F$25+'summery '!F$23)</f>
        <v>10680</v>
      </c>
      <c r="G8" s="5">
        <f>IF('summery '!F$23&gt;1000,'summery '!F$22,'summery '!F$21)</f>
        <v>3501.7590668307639</v>
      </c>
      <c r="H8" s="5">
        <f>'summery '!F$24</f>
        <v>3552.1038911287737</v>
      </c>
      <c r="I8" s="5">
        <f t="shared" si="1"/>
        <v>50.344824298009826</v>
      </c>
      <c r="J8" s="5">
        <f ca="1">'summery '!F$27</f>
        <v>98.333333333333329</v>
      </c>
      <c r="K8" s="5">
        <f t="shared" si="2"/>
        <v>3100.3518133661528</v>
      </c>
      <c r="L8" s="5">
        <f t="shared" si="0"/>
        <v>3075.2638600246146</v>
      </c>
      <c r="M8" s="5">
        <f t="shared" si="3"/>
        <v>3050.1759066830764</v>
      </c>
      <c r="N8" s="88">
        <f t="shared" si="4"/>
        <v>3100.3518133661528</v>
      </c>
      <c r="O8" s="88">
        <f t="shared" si="5"/>
        <v>3075.2638600246146</v>
      </c>
      <c r="P8" s="88">
        <f t="shared" si="6"/>
        <v>0</v>
      </c>
      <c r="Q8" s="88">
        <f t="shared" si="7"/>
        <v>1</v>
      </c>
      <c r="R8" s="88">
        <f t="shared" ca="1" si="8"/>
        <v>1</v>
      </c>
      <c r="S8" s="86">
        <f t="shared" si="9"/>
        <v>0</v>
      </c>
      <c r="T8" s="86">
        <f t="shared" ca="1" si="10"/>
        <v>2</v>
      </c>
      <c r="Z8" s="7" t="str">
        <f>'summery '!B30</f>
        <v>&lt;3100</v>
      </c>
      <c r="AA8" s="4">
        <f>'summery '!C30</f>
        <v>81244</v>
      </c>
      <c r="AB8" s="43">
        <f t="shared" si="11"/>
        <v>26.629082744718858</v>
      </c>
    </row>
    <row r="9" spans="1:28" x14ac:dyDescent="0.35">
      <c r="E9" s="85" t="s">
        <v>550</v>
      </c>
      <c r="F9" s="5">
        <f>IF('summery '!G$23&gt;1000,'summery '!G$23,'summery '!G$25+'summery '!G$23)</f>
        <v>14369</v>
      </c>
      <c r="G9" s="5">
        <f>IF('summery '!G$23&gt;1000,'summery '!G$22,'summery '!G$21)</f>
        <v>3528.6695591165139</v>
      </c>
      <c r="H9" s="5">
        <f>'summery '!G$24</f>
        <v>3382.884209109186</v>
      </c>
      <c r="I9" s="5">
        <f t="shared" si="1"/>
        <v>-145.78535000732791</v>
      </c>
      <c r="J9" s="5">
        <f ca="1">'summery '!G$27</f>
        <v>94</v>
      </c>
      <c r="K9" s="5">
        <f t="shared" si="2"/>
        <v>3105.7339118233031</v>
      </c>
      <c r="L9" s="5">
        <f t="shared" si="0"/>
        <v>3079.3004338674773</v>
      </c>
      <c r="M9" s="5">
        <f t="shared" si="3"/>
        <v>3052.8669559116515</v>
      </c>
      <c r="N9" s="88">
        <f t="shared" si="4"/>
        <v>3105.7339118233031</v>
      </c>
      <c r="O9" s="88">
        <f t="shared" si="5"/>
        <v>3079.3004338674773</v>
      </c>
      <c r="P9" s="88">
        <f t="shared" si="6"/>
        <v>0</v>
      </c>
      <c r="Q9" s="88">
        <f t="shared" si="7"/>
        <v>1</v>
      </c>
      <c r="R9" s="88">
        <f t="shared" ca="1" si="8"/>
        <v>1</v>
      </c>
      <c r="S9" s="86">
        <f t="shared" si="9"/>
        <v>0</v>
      </c>
      <c r="T9" s="86">
        <f t="shared" ca="1" si="10"/>
        <v>2</v>
      </c>
      <c r="Z9" s="7"/>
      <c r="AA9" s="7">
        <f>SUM(AA6:AA8)</f>
        <v>305095</v>
      </c>
      <c r="AB9" s="7"/>
    </row>
    <row r="10" spans="1:28" x14ac:dyDescent="0.35">
      <c r="E10" s="85" t="s">
        <v>551</v>
      </c>
      <c r="F10" s="5">
        <f>IF('summery '!H$23&gt;1000,'summery '!H$23,'summery '!H$25+'summery '!H$23)</f>
        <v>7950</v>
      </c>
      <c r="G10" s="5">
        <f>IF('summery '!H$23&gt;1000,'summery '!H$22,'summery '!H$21)</f>
        <v>2654.566540880503</v>
      </c>
      <c r="H10" s="5">
        <f>'summery '!H$24</f>
        <v>2654.566540880503</v>
      </c>
      <c r="I10" s="5">
        <f t="shared" si="1"/>
        <v>0</v>
      </c>
      <c r="J10" s="5">
        <f ca="1">'summery '!H$27</f>
        <v>65.5</v>
      </c>
      <c r="K10" s="5">
        <f t="shared" si="2"/>
        <v>2930.9133081761006</v>
      </c>
      <c r="L10" s="5">
        <f t="shared" si="0"/>
        <v>2948.1849811320753</v>
      </c>
      <c r="M10" s="5">
        <f t="shared" si="3"/>
        <v>2965.4566540880505</v>
      </c>
      <c r="N10" s="88">
        <f t="shared" si="4"/>
        <v>0</v>
      </c>
      <c r="O10" s="88">
        <f t="shared" si="5"/>
        <v>0</v>
      </c>
      <c r="P10" s="88">
        <f t="shared" si="6"/>
        <v>0</v>
      </c>
      <c r="Q10" s="88">
        <f t="shared" si="7"/>
        <v>0</v>
      </c>
      <c r="R10" s="88">
        <f t="shared" ca="1" si="8"/>
        <v>0</v>
      </c>
      <c r="S10" s="86">
        <f t="shared" si="9"/>
        <v>0</v>
      </c>
      <c r="T10" s="86">
        <f t="shared" si="10"/>
        <v>0</v>
      </c>
      <c r="Z10" s="7"/>
      <c r="AA10" s="7"/>
      <c r="AB10" s="7"/>
    </row>
    <row r="11" spans="1:28" x14ac:dyDescent="0.35">
      <c r="E11" s="85" t="s">
        <v>552</v>
      </c>
      <c r="F11" s="5">
        <f>IF('summery '!I$23&gt;1000,'summery '!I$23,'summery '!I$25+'summery '!I$23)</f>
        <v>8405</v>
      </c>
      <c r="G11" s="5">
        <f>IF('summery '!I$23&gt;1000,'summery '!I$22,'summery '!I$21)</f>
        <v>3317.6893515764427</v>
      </c>
      <c r="H11" s="5">
        <f>'summery '!I$24</f>
        <v>3317.6893515764427</v>
      </c>
      <c r="I11" s="5">
        <f t="shared" si="1"/>
        <v>0</v>
      </c>
      <c r="J11" s="5">
        <f ca="1">'summery '!I$27</f>
        <v>64.5</v>
      </c>
      <c r="K11" s="5">
        <f t="shared" si="2"/>
        <v>3063.5378703152887</v>
      </c>
      <c r="L11" s="5">
        <f t="shared" si="0"/>
        <v>3047.6534027364664</v>
      </c>
      <c r="M11" s="5">
        <f t="shared" si="3"/>
        <v>3031.7689351576441</v>
      </c>
      <c r="N11" s="88">
        <f t="shared" si="4"/>
        <v>0</v>
      </c>
      <c r="O11" s="88">
        <f t="shared" si="5"/>
        <v>0</v>
      </c>
      <c r="P11" s="88">
        <f t="shared" si="6"/>
        <v>0</v>
      </c>
      <c r="Q11" s="88">
        <f t="shared" si="7"/>
        <v>0</v>
      </c>
      <c r="R11" s="88">
        <f t="shared" ca="1" si="8"/>
        <v>0</v>
      </c>
      <c r="S11" s="86">
        <f t="shared" si="9"/>
        <v>0</v>
      </c>
      <c r="T11" s="86">
        <f t="shared" si="10"/>
        <v>0</v>
      </c>
    </row>
    <row r="12" spans="1:28" x14ac:dyDescent="0.35">
      <c r="E12" s="85" t="s">
        <v>553</v>
      </c>
      <c r="F12" s="5">
        <f>IF('summery '!J$23&gt;1000,'summery '!J$23,'summery '!J$25+'summery '!J$23)</f>
        <v>8800</v>
      </c>
      <c r="G12" s="5">
        <f>IF('summery '!J$23&gt;1000,'summery '!J$22,'summery '!J$21)</f>
        <v>3323.8238636363635</v>
      </c>
      <c r="H12" s="5">
        <f>'summery '!J$24</f>
        <v>3128.8261327588662</v>
      </c>
      <c r="I12" s="5">
        <f t="shared" si="1"/>
        <v>-194.99773087749736</v>
      </c>
      <c r="J12" s="5">
        <f ca="1">'summery '!J$27</f>
        <v>95.75</v>
      </c>
      <c r="K12" s="5">
        <f t="shared" si="2"/>
        <v>3064.7647727272729</v>
      </c>
      <c r="L12" s="5">
        <f t="shared" si="0"/>
        <v>3048.5735795454543</v>
      </c>
      <c r="M12" s="5">
        <f t="shared" si="3"/>
        <v>3032.3823863636362</v>
      </c>
      <c r="N12" s="88">
        <f t="shared" si="4"/>
        <v>0</v>
      </c>
      <c r="O12" s="88">
        <f t="shared" si="5"/>
        <v>0</v>
      </c>
      <c r="P12" s="88">
        <f t="shared" si="6"/>
        <v>0</v>
      </c>
      <c r="Q12" s="88">
        <f t="shared" si="7"/>
        <v>0</v>
      </c>
      <c r="R12" s="88">
        <f t="shared" ca="1" si="8"/>
        <v>0</v>
      </c>
      <c r="S12" s="86">
        <f t="shared" si="9"/>
        <v>0</v>
      </c>
      <c r="T12" s="86">
        <f t="shared" si="10"/>
        <v>0</v>
      </c>
      <c r="Z12" s="7" t="s">
        <v>525</v>
      </c>
      <c r="AA12" s="7" t="s">
        <v>6</v>
      </c>
      <c r="AB12" s="7"/>
    </row>
    <row r="13" spans="1:28" x14ac:dyDescent="0.35">
      <c r="E13" s="85" t="s">
        <v>554</v>
      </c>
      <c r="F13" s="5">
        <f>IF('summery '!K$23&gt;1000,'summery '!K$23,'summery '!K$25+'summery '!K$23)</f>
        <v>7506</v>
      </c>
      <c r="G13" s="5">
        <f>IF('summery '!K$23&gt;1000,'summery '!K$22,'summery '!K$21)</f>
        <v>3637</v>
      </c>
      <c r="H13" s="5">
        <f>'summery '!K$24</f>
        <v>3637</v>
      </c>
      <c r="I13" s="5">
        <f t="shared" si="1"/>
        <v>0</v>
      </c>
      <c r="J13" s="5">
        <f ca="1">'summery '!K$27</f>
        <v>63.5</v>
      </c>
      <c r="K13" s="5">
        <f t="shared" si="2"/>
        <v>3127.4</v>
      </c>
      <c r="L13" s="5">
        <f t="shared" si="0"/>
        <v>3095.55</v>
      </c>
      <c r="M13" s="5">
        <f t="shared" si="3"/>
        <v>3063.7</v>
      </c>
      <c r="N13" s="88">
        <f t="shared" si="4"/>
        <v>3127.4</v>
      </c>
      <c r="O13" s="88">
        <f t="shared" si="5"/>
        <v>3095.55</v>
      </c>
      <c r="P13" s="88">
        <f t="shared" si="6"/>
        <v>0</v>
      </c>
      <c r="Q13" s="88">
        <f t="shared" si="7"/>
        <v>1</v>
      </c>
      <c r="R13" s="88">
        <f t="shared" ca="1" si="8"/>
        <v>0</v>
      </c>
      <c r="S13" s="86">
        <f t="shared" si="9"/>
        <v>0</v>
      </c>
      <c r="T13" s="86">
        <f t="shared" ca="1" si="10"/>
        <v>1</v>
      </c>
      <c r="Z13" s="7" t="s">
        <v>528</v>
      </c>
      <c r="AA13" s="4">
        <v>13424.18</v>
      </c>
      <c r="AB13" s="43">
        <f>AA13/(SUM($AA$13:$AA$15))*100</f>
        <v>10.999999999999998</v>
      </c>
    </row>
    <row r="14" spans="1:28" x14ac:dyDescent="0.35">
      <c r="E14" s="85" t="s">
        <v>555</v>
      </c>
      <c r="F14" s="5">
        <f>IF('summery '!L$23&gt;1000,'summery '!L$23,'summery '!L$25+'summery '!L$23)</f>
        <v>10277</v>
      </c>
      <c r="G14" s="5">
        <f>IF('summery '!L$23&gt;1000,'summery '!L$22,'summery '!L$21)</f>
        <v>3090.8702928870293</v>
      </c>
      <c r="H14" s="5">
        <f>'summery '!L$24</f>
        <v>3090.8702928870293</v>
      </c>
      <c r="I14" s="5">
        <f t="shared" si="1"/>
        <v>0</v>
      </c>
      <c r="J14" s="5">
        <f ca="1">'summery '!L$27</f>
        <v>115.33333333333333</v>
      </c>
      <c r="K14" s="5">
        <f t="shared" si="2"/>
        <v>3018.174058577406</v>
      </c>
      <c r="L14" s="5">
        <f t="shared" si="0"/>
        <v>3013.6305439330545</v>
      </c>
      <c r="M14" s="5">
        <f t="shared" si="3"/>
        <v>3009.087029288703</v>
      </c>
      <c r="N14" s="88">
        <f t="shared" si="4"/>
        <v>0</v>
      </c>
      <c r="O14" s="88">
        <f t="shared" si="5"/>
        <v>0</v>
      </c>
      <c r="P14" s="88">
        <f t="shared" si="6"/>
        <v>0</v>
      </c>
      <c r="Q14" s="88">
        <f t="shared" si="7"/>
        <v>0</v>
      </c>
      <c r="R14" s="88">
        <f t="shared" ca="1" si="8"/>
        <v>0</v>
      </c>
      <c r="S14" s="86">
        <f t="shared" si="9"/>
        <v>0</v>
      </c>
      <c r="T14" s="86">
        <f t="shared" si="10"/>
        <v>0</v>
      </c>
      <c r="Z14" s="7" t="s">
        <v>527</v>
      </c>
      <c r="AA14" s="4">
        <v>40272.54</v>
      </c>
      <c r="AB14" s="43">
        <f t="shared" ref="AB14:AB15" si="12">AA14/(SUM($AA$13:$AA$15))*100</f>
        <v>32.999999999999993</v>
      </c>
    </row>
    <row r="15" spans="1:28" x14ac:dyDescent="0.35">
      <c r="E15" s="85" t="s">
        <v>556</v>
      </c>
      <c r="F15" s="5">
        <f>IF('summery '!M$23&gt;1000,'summery '!M$23,'summery '!M$25+'summery '!M$23)</f>
        <v>3032</v>
      </c>
      <c r="G15" s="5">
        <f>IF('summery '!M$23&gt;1000,'summery '!M$22,'summery '!M$21)</f>
        <v>3173</v>
      </c>
      <c r="H15" s="5">
        <f>'summery '!M$24</f>
        <v>3022.4934094413788</v>
      </c>
      <c r="I15" s="5">
        <f t="shared" si="1"/>
        <v>-150.50659055862116</v>
      </c>
      <c r="J15" s="5">
        <f ca="1">'summery '!M$27</f>
        <v>134.80000000000001</v>
      </c>
      <c r="K15" s="5">
        <f t="shared" si="2"/>
        <v>3034.6</v>
      </c>
      <c r="L15" s="5">
        <f t="shared" si="0"/>
        <v>3025.95</v>
      </c>
      <c r="M15" s="5">
        <f t="shared" si="3"/>
        <v>3017.3</v>
      </c>
      <c r="N15" s="88">
        <f t="shared" si="4"/>
        <v>0</v>
      </c>
      <c r="O15" s="88">
        <f t="shared" si="5"/>
        <v>0</v>
      </c>
      <c r="P15" s="88">
        <f t="shared" si="6"/>
        <v>0</v>
      </c>
      <c r="Q15" s="88">
        <f t="shared" si="7"/>
        <v>0</v>
      </c>
      <c r="R15" s="88">
        <f t="shared" ca="1" si="8"/>
        <v>0</v>
      </c>
      <c r="S15" s="86">
        <f t="shared" si="9"/>
        <v>0</v>
      </c>
      <c r="T15" s="86">
        <f t="shared" si="10"/>
        <v>0</v>
      </c>
      <c r="Z15" s="7" t="s">
        <v>526</v>
      </c>
      <c r="AA15" s="4">
        <v>68341.280000000013</v>
      </c>
      <c r="AB15" s="43">
        <f t="shared" si="12"/>
        <v>56.000000000000007</v>
      </c>
    </row>
    <row r="16" spans="1:28" x14ac:dyDescent="0.35">
      <c r="E16" s="85" t="s">
        <v>557</v>
      </c>
      <c r="F16" s="5">
        <f>IF('summery '!N$23&gt;1000,'summery '!N$23,'summery '!N$25+'summery '!N$23)</f>
        <v>3348</v>
      </c>
      <c r="G16" s="5">
        <f>IF('summery '!N$23&gt;1000,'summery '!N$22,'summery '!N$21)</f>
        <v>3153</v>
      </c>
      <c r="H16" s="5">
        <f>'summery '!N$24</f>
        <v>3082.9437357907786</v>
      </c>
      <c r="I16" s="5">
        <f t="shared" si="1"/>
        <v>-70.056264209221354</v>
      </c>
      <c r="J16" s="5">
        <f ca="1">'summery '!N$27</f>
        <v>68</v>
      </c>
      <c r="K16" s="5">
        <f t="shared" si="2"/>
        <v>3030.6</v>
      </c>
      <c r="L16" s="5">
        <f t="shared" si="0"/>
        <v>3022.95</v>
      </c>
      <c r="M16" s="5">
        <f t="shared" si="3"/>
        <v>3015.3</v>
      </c>
      <c r="N16" s="88">
        <f t="shared" si="4"/>
        <v>0</v>
      </c>
      <c r="O16" s="88">
        <f t="shared" si="5"/>
        <v>0</v>
      </c>
      <c r="P16" s="88">
        <f t="shared" si="6"/>
        <v>0</v>
      </c>
      <c r="Q16" s="88">
        <f t="shared" si="7"/>
        <v>0</v>
      </c>
      <c r="R16" s="88">
        <f t="shared" ca="1" si="8"/>
        <v>0</v>
      </c>
      <c r="S16" s="86">
        <f t="shared" si="9"/>
        <v>0</v>
      </c>
      <c r="T16" s="86">
        <f t="shared" si="10"/>
        <v>0</v>
      </c>
      <c r="Z16" s="7"/>
      <c r="AA16" s="7"/>
      <c r="AB16" s="43"/>
    </row>
    <row r="17" spans="4:28" x14ac:dyDescent="0.35">
      <c r="E17" s="85" t="s">
        <v>558</v>
      </c>
      <c r="F17" s="5">
        <f>IF('summery '!O$23&gt;1000,'summery '!O$23,'summery '!O$25+'summery '!O$23)</f>
        <v>10173</v>
      </c>
      <c r="G17" s="5">
        <f>IF('summery '!O$23&gt;1000,'summery '!O$22,'summery '!O$21)</f>
        <v>3301.350191041699</v>
      </c>
      <c r="H17" s="5">
        <f>'summery '!O$24</f>
        <v>3203.6368384513617</v>
      </c>
      <c r="I17" s="5">
        <f t="shared" si="1"/>
        <v>-97.713352590337308</v>
      </c>
      <c r="J17" s="5">
        <f ca="1">'summery '!O$27</f>
        <v>70.666666666666671</v>
      </c>
      <c r="K17" s="5">
        <f t="shared" si="2"/>
        <v>3060.2700382083399</v>
      </c>
      <c r="L17" s="5">
        <f t="shared" si="0"/>
        <v>3045.2025286562548</v>
      </c>
      <c r="M17" s="5">
        <f t="shared" si="3"/>
        <v>3030.1350191041702</v>
      </c>
      <c r="N17" s="88">
        <f t="shared" si="4"/>
        <v>0</v>
      </c>
      <c r="O17" s="88">
        <f t="shared" si="5"/>
        <v>0</v>
      </c>
      <c r="P17" s="88">
        <f t="shared" si="6"/>
        <v>0</v>
      </c>
      <c r="Q17" s="88">
        <f t="shared" si="7"/>
        <v>0</v>
      </c>
      <c r="R17" s="88">
        <f t="shared" ca="1" si="8"/>
        <v>0</v>
      </c>
      <c r="S17" s="86">
        <f t="shared" si="9"/>
        <v>0</v>
      </c>
      <c r="T17" s="86">
        <f t="shared" si="10"/>
        <v>0</v>
      </c>
      <c r="Z17" s="7"/>
      <c r="AA17" s="7"/>
      <c r="AB17" s="43"/>
    </row>
    <row r="18" spans="4:28" x14ac:dyDescent="0.35">
      <c r="E18" s="85" t="s">
        <v>559</v>
      </c>
      <c r="F18" s="5">
        <f>IF('summery '!P$23&gt;1000,'summery '!P$23,'summery '!P$25+'summery '!P$23)</f>
        <v>12261</v>
      </c>
      <c r="G18" s="5">
        <f>IF('summery '!P$23&gt;1000,'summery '!P$22,'summery '!P$21)</f>
        <v>3079.3617975695292</v>
      </c>
      <c r="H18" s="5">
        <f>'summery '!P$24</f>
        <v>3234.7770541625964</v>
      </c>
      <c r="I18" s="5">
        <f t="shared" si="1"/>
        <v>155.41525659306717</v>
      </c>
      <c r="J18" s="5">
        <f ca="1">'summery '!P$27</f>
        <v>86.5</v>
      </c>
      <c r="K18" s="5">
        <f t="shared" si="2"/>
        <v>3015.8723595139058</v>
      </c>
      <c r="L18" s="5">
        <f t="shared" si="0"/>
        <v>3011.9042696354295</v>
      </c>
      <c r="M18" s="5">
        <f t="shared" si="3"/>
        <v>3007.9361797569527</v>
      </c>
      <c r="N18" s="88">
        <f t="shared" si="4"/>
        <v>0</v>
      </c>
      <c r="O18" s="88">
        <f t="shared" si="5"/>
        <v>0</v>
      </c>
      <c r="P18" s="88">
        <f t="shared" si="6"/>
        <v>0</v>
      </c>
      <c r="Q18" s="88">
        <f t="shared" si="7"/>
        <v>0</v>
      </c>
      <c r="R18" s="88">
        <f t="shared" ca="1" si="8"/>
        <v>0</v>
      </c>
      <c r="S18" s="86">
        <f t="shared" si="9"/>
        <v>1</v>
      </c>
      <c r="T18" s="86">
        <f t="shared" si="10"/>
        <v>0</v>
      </c>
      <c r="Z18" s="7"/>
      <c r="AA18" s="7"/>
      <c r="AB18" s="7"/>
    </row>
    <row r="19" spans="4:28" x14ac:dyDescent="0.35">
      <c r="E19" s="85" t="s">
        <v>560</v>
      </c>
      <c r="F19" s="5">
        <f>IF('summery '!Q$23&gt;1000,'summery '!Q$23,'summery '!Q$25+'summery '!Q$23)</f>
        <v>9297</v>
      </c>
      <c r="G19" s="5">
        <f>IF('summery '!Q$23&gt;1000,'summery '!Q$22,'summery '!Q$21)</f>
        <v>3544.9722069735863</v>
      </c>
      <c r="H19" s="5">
        <f>'summery '!Q$24</f>
        <v>3321.6321467098164</v>
      </c>
      <c r="I19" s="5">
        <f t="shared" si="1"/>
        <v>-223.34006026376983</v>
      </c>
      <c r="J19" s="5">
        <f ca="1">'summery '!Q$27</f>
        <v>103.6</v>
      </c>
      <c r="K19" s="5">
        <f t="shared" si="2"/>
        <v>3108.9944413947173</v>
      </c>
      <c r="L19" s="5">
        <f t="shared" si="0"/>
        <v>3081.7458310460379</v>
      </c>
      <c r="M19" s="5">
        <f t="shared" si="3"/>
        <v>3054.4972206973589</v>
      </c>
      <c r="N19" s="88">
        <f t="shared" si="4"/>
        <v>3108.9944413947173</v>
      </c>
      <c r="O19" s="88">
        <f t="shared" si="5"/>
        <v>3081.7458310460379</v>
      </c>
      <c r="P19" s="88">
        <f t="shared" si="6"/>
        <v>0</v>
      </c>
      <c r="Q19" s="88">
        <f t="shared" si="7"/>
        <v>1</v>
      </c>
      <c r="R19" s="88">
        <f t="shared" ca="1" si="8"/>
        <v>1</v>
      </c>
      <c r="S19" s="86">
        <f t="shared" si="9"/>
        <v>0</v>
      </c>
      <c r="T19" s="86">
        <f t="shared" ca="1" si="10"/>
        <v>2</v>
      </c>
    </row>
    <row r="20" spans="4:28" x14ac:dyDescent="0.35">
      <c r="E20" s="85" t="s">
        <v>561</v>
      </c>
      <c r="F20" s="5">
        <f>IF('summery '!R$23&gt;1000,'summery '!R$23,'summery '!R$25+'summery '!R$23)</f>
        <v>5202</v>
      </c>
      <c r="G20" s="5">
        <f>IF('summery '!R$23&gt;1000,'summery '!R$22,'summery '!R$21)</f>
        <v>3337.5720876585929</v>
      </c>
      <c r="H20" s="5">
        <f>'summery '!R$24</f>
        <v>3565.9082691374283</v>
      </c>
      <c r="I20" s="5">
        <f t="shared" si="1"/>
        <v>228.33618147883544</v>
      </c>
      <c r="J20" s="5">
        <f ca="1">'summery '!R$27</f>
        <v>100.57142857142857</v>
      </c>
      <c r="K20" s="5">
        <f t="shared" si="2"/>
        <v>3067.5144175317187</v>
      </c>
      <c r="L20" s="5">
        <f t="shared" si="0"/>
        <v>3050.6358131487887</v>
      </c>
      <c r="M20" s="5">
        <f t="shared" si="3"/>
        <v>3033.7572087658591</v>
      </c>
      <c r="N20" s="88">
        <f t="shared" si="4"/>
        <v>0</v>
      </c>
      <c r="O20" s="88">
        <f t="shared" si="5"/>
        <v>0</v>
      </c>
      <c r="P20" s="88">
        <f t="shared" si="6"/>
        <v>0</v>
      </c>
      <c r="Q20" s="88">
        <f t="shared" si="7"/>
        <v>0</v>
      </c>
      <c r="R20" s="88">
        <f t="shared" ca="1" si="8"/>
        <v>0</v>
      </c>
      <c r="S20" s="86">
        <f t="shared" si="9"/>
        <v>1</v>
      </c>
      <c r="T20" s="86">
        <f t="shared" si="10"/>
        <v>0</v>
      </c>
    </row>
    <row r="21" spans="4:28" x14ac:dyDescent="0.35">
      <c r="E21" s="85" t="s">
        <v>562</v>
      </c>
      <c r="F21" s="5">
        <f>IF('summery '!S$23&gt;1000,'summery '!S$23,'summery '!S$25+'summery '!S$23)</f>
        <v>2237</v>
      </c>
      <c r="G21" s="5">
        <f>IF('summery '!S$23&gt;1000,'summery '!S$22,'summery '!S$21)</f>
        <v>3248</v>
      </c>
      <c r="H21" s="5">
        <f>'summery '!S$24</f>
        <v>3371.1751397199209</v>
      </c>
      <c r="I21" s="5">
        <f t="shared" si="1"/>
        <v>123.17513971992094</v>
      </c>
      <c r="J21" s="5">
        <f ca="1">'summery '!S$27</f>
        <v>95.6</v>
      </c>
      <c r="K21" s="5">
        <f t="shared" si="2"/>
        <v>3049.6</v>
      </c>
      <c r="L21" s="5">
        <f t="shared" si="0"/>
        <v>3037.2</v>
      </c>
      <c r="M21" s="5">
        <f t="shared" si="3"/>
        <v>3024.8</v>
      </c>
      <c r="N21" s="88">
        <f t="shared" si="4"/>
        <v>0</v>
      </c>
      <c r="O21" s="88">
        <f t="shared" si="5"/>
        <v>0</v>
      </c>
      <c r="P21" s="88">
        <f t="shared" si="6"/>
        <v>0</v>
      </c>
      <c r="Q21" s="88">
        <f t="shared" si="7"/>
        <v>0</v>
      </c>
      <c r="R21" s="88">
        <f t="shared" ca="1" si="8"/>
        <v>0</v>
      </c>
      <c r="S21" s="86">
        <f t="shared" si="9"/>
        <v>1</v>
      </c>
      <c r="T21" s="86">
        <f t="shared" si="10"/>
        <v>0</v>
      </c>
    </row>
    <row r="22" spans="4:28" x14ac:dyDescent="0.35">
      <c r="E22" s="85" t="s">
        <v>539</v>
      </c>
      <c r="F22" s="5">
        <f>IF('summery '!T$23&gt;1000,'summery '!T$23,'summery '!T$25+'summery '!T$23)</f>
        <v>4000</v>
      </c>
      <c r="G22" s="5">
        <f>IF('summery '!T$23&gt;1000,'summery '!T$22,'summery '!T$21)</f>
        <v>3200</v>
      </c>
      <c r="H22" s="5">
        <f>'summery '!T$24</f>
        <v>3200</v>
      </c>
      <c r="I22" s="5">
        <f t="shared" si="1"/>
        <v>0</v>
      </c>
      <c r="J22" s="5">
        <f>'summery '!T$27</f>
        <v>0</v>
      </c>
      <c r="K22" s="5">
        <f t="shared" si="2"/>
        <v>3040</v>
      </c>
      <c r="L22" s="5">
        <f t="shared" si="0"/>
        <v>3030</v>
      </c>
      <c r="M22" s="5">
        <f t="shared" si="3"/>
        <v>3020</v>
      </c>
      <c r="N22" s="88">
        <f t="shared" si="4"/>
        <v>0</v>
      </c>
      <c r="O22" s="88">
        <f t="shared" si="5"/>
        <v>0</v>
      </c>
      <c r="P22" s="88">
        <f t="shared" si="6"/>
        <v>0</v>
      </c>
      <c r="Q22" s="88">
        <f t="shared" si="7"/>
        <v>0</v>
      </c>
      <c r="R22" s="88">
        <f t="shared" si="8"/>
        <v>0</v>
      </c>
      <c r="S22" s="86">
        <f t="shared" si="9"/>
        <v>0</v>
      </c>
      <c r="T22" s="86">
        <f t="shared" si="10"/>
        <v>0</v>
      </c>
    </row>
    <row r="23" spans="4:28" x14ac:dyDescent="0.35">
      <c r="E23" s="91"/>
      <c r="F23" s="91"/>
      <c r="G23" s="91"/>
      <c r="H23" s="91"/>
      <c r="I23" s="91"/>
      <c r="J23" s="91"/>
      <c r="K23" s="91"/>
      <c r="L23" s="91"/>
      <c r="M23" s="91"/>
      <c r="N23" s="7">
        <f>COUNTIF((N6:N22),"&gt;0")</f>
        <v>5</v>
      </c>
      <c r="O23" s="7">
        <f t="shared" ref="O23:P23" si="13">COUNTIF((O6:O22),"&gt;0")</f>
        <v>4</v>
      </c>
      <c r="P23" s="7">
        <f t="shared" si="13"/>
        <v>0</v>
      </c>
      <c r="Q23" s="7"/>
      <c r="R23" s="7"/>
      <c r="S23" s="7"/>
      <c r="T23" s="7"/>
    </row>
    <row r="24" spans="4:28" x14ac:dyDescent="0.35">
      <c r="E24" s="92" t="s">
        <v>529</v>
      </c>
      <c r="F24" s="92"/>
      <c r="G24" s="92"/>
      <c r="H24" s="92"/>
      <c r="I24" s="92"/>
      <c r="J24" s="92"/>
      <c r="K24" s="92"/>
      <c r="L24" s="92"/>
      <c r="M24" s="92"/>
      <c r="N24" s="93">
        <f>SUM(N23:P23)</f>
        <v>9</v>
      </c>
      <c r="O24" s="93"/>
      <c r="P24" s="93"/>
      <c r="Q24" s="7"/>
      <c r="R24" s="7"/>
      <c r="S24" s="7"/>
      <c r="T24" s="7"/>
    </row>
    <row r="25" spans="4:28" x14ac:dyDescent="0.35">
      <c r="D25" s="8" t="s">
        <v>530</v>
      </c>
      <c r="E25" s="94" t="s">
        <v>531</v>
      </c>
      <c r="F25" s="94"/>
      <c r="G25" s="94"/>
      <c r="H25" s="94"/>
      <c r="I25" s="94"/>
      <c r="J25" s="94"/>
      <c r="K25" s="94"/>
      <c r="L25" s="94"/>
      <c r="M25" s="94"/>
      <c r="N25" s="93">
        <f>IF(AND(U3&lt;W3,U3&gt;X3,AB6&lt;10),1,0)</f>
        <v>0</v>
      </c>
      <c r="O25" s="93"/>
      <c r="P25" s="93"/>
      <c r="Q25" s="7"/>
      <c r="R25" s="7"/>
      <c r="S25" s="7"/>
      <c r="T25" s="7"/>
    </row>
    <row r="26" spans="4:28" x14ac:dyDescent="0.35">
      <c r="D26" s="8" t="s">
        <v>530</v>
      </c>
      <c r="E26" s="94" t="s">
        <v>532</v>
      </c>
      <c r="F26" s="94"/>
      <c r="G26" s="94"/>
      <c r="H26" s="94"/>
      <c r="I26" s="94"/>
      <c r="J26" s="94"/>
      <c r="K26" s="94"/>
      <c r="L26" s="94"/>
      <c r="M26" s="94"/>
      <c r="N26" s="93">
        <f>IF(AND(U3&gt;3500,U3&lt;4000,AB8&gt;70),1,0)</f>
        <v>0</v>
      </c>
      <c r="O26" s="93"/>
      <c r="P26" s="93"/>
      <c r="Q26" s="7"/>
      <c r="R26" s="7"/>
      <c r="S26" s="7"/>
      <c r="T26" s="7"/>
    </row>
    <row r="27" spans="4:28" x14ac:dyDescent="0.35">
      <c r="D27" s="8" t="s">
        <v>530</v>
      </c>
      <c r="E27" s="94" t="s">
        <v>533</v>
      </c>
      <c r="F27" s="94"/>
      <c r="G27" s="94"/>
      <c r="H27" s="94"/>
      <c r="I27" s="94"/>
      <c r="J27" s="94"/>
      <c r="K27" s="94"/>
      <c r="L27" s="94"/>
      <c r="M27" s="94"/>
      <c r="N27" s="93">
        <f>IF(AND(U3&lt;3000,U3&gt;2300,AB6&gt;80),1,0)</f>
        <v>0</v>
      </c>
      <c r="O27" s="93"/>
      <c r="P27" s="93"/>
      <c r="Q27" s="7"/>
      <c r="R27" s="7"/>
      <c r="S27" s="7"/>
      <c r="T27" s="7"/>
    </row>
    <row r="28" spans="4:28" x14ac:dyDescent="0.35">
      <c r="D28" s="8" t="s">
        <v>534</v>
      </c>
      <c r="E28" s="94" t="s">
        <v>535</v>
      </c>
      <c r="F28" s="94"/>
      <c r="G28" s="94"/>
      <c r="H28" s="94"/>
      <c r="I28" s="94"/>
      <c r="J28" s="94"/>
      <c r="K28" s="94"/>
      <c r="L28" s="94"/>
      <c r="M28" s="94"/>
      <c r="N28" s="93">
        <f>IF( AND(U3&gt;X3,U3&lt;W3,AB6&gt;10,N24&gt;0),1,0)</f>
        <v>0</v>
      </c>
      <c r="O28" s="93"/>
      <c r="P28" s="93"/>
      <c r="Q28" s="7"/>
      <c r="R28" s="7"/>
      <c r="S28" s="7"/>
      <c r="T28" s="7"/>
    </row>
    <row r="29" spans="4:28" x14ac:dyDescent="0.35">
      <c r="D29" s="8" t="s">
        <v>534</v>
      </c>
      <c r="E29" s="94" t="s">
        <v>536</v>
      </c>
      <c r="F29" s="94"/>
      <c r="G29" s="94"/>
      <c r="H29" s="94"/>
      <c r="I29" s="94"/>
      <c r="J29" s="94"/>
      <c r="K29" s="94"/>
      <c r="L29" s="94"/>
      <c r="M29" s="94"/>
      <c r="N29" s="93">
        <f>IF(AND(OR(U3&gt;W3,U3&lt;X3),N24&gt;0),1,0)</f>
        <v>1</v>
      </c>
      <c r="O29" s="93"/>
      <c r="P29" s="93"/>
      <c r="Q29" s="7"/>
      <c r="R29" s="7"/>
      <c r="S29" s="7"/>
      <c r="T29" s="7"/>
    </row>
    <row r="30" spans="4:28" x14ac:dyDescent="0.35">
      <c r="D30" s="8" t="s">
        <v>537</v>
      </c>
      <c r="E30" s="94" t="s">
        <v>538</v>
      </c>
      <c r="F30" s="94"/>
      <c r="G30" s="94"/>
      <c r="H30" s="94"/>
      <c r="I30" s="94"/>
      <c r="J30" s="94"/>
      <c r="K30" s="94"/>
      <c r="L30" s="94"/>
      <c r="M30" s="94"/>
      <c r="N30" s="93">
        <f>IF(SUM(N25:P29)=0,1,0)</f>
        <v>0</v>
      </c>
      <c r="O30" s="93"/>
      <c r="P30" s="93"/>
      <c r="Q30" s="7"/>
      <c r="R30" s="7"/>
      <c r="S30" s="7"/>
      <c r="T30" s="7"/>
    </row>
    <row r="31" spans="4:28" x14ac:dyDescent="0.35">
      <c r="E31" s="93"/>
      <c r="F31" s="93"/>
      <c r="G31" s="93"/>
      <c r="H31" s="93"/>
      <c r="I31" s="93"/>
      <c r="J31" s="93"/>
      <c r="K31" s="93"/>
      <c r="L31" s="93"/>
      <c r="M31" s="93"/>
    </row>
    <row r="32" spans="4:28" x14ac:dyDescent="0.35">
      <c r="E32" s="93"/>
      <c r="F32" s="93"/>
      <c r="G32" s="93"/>
      <c r="H32" s="93"/>
      <c r="I32" s="93"/>
      <c r="J32" s="93"/>
      <c r="K32" s="93"/>
      <c r="L32" s="93"/>
      <c r="M32" s="93"/>
    </row>
    <row r="33" spans="5:13" x14ac:dyDescent="0.35">
      <c r="E33" s="93"/>
      <c r="F33" s="93"/>
      <c r="G33" s="93"/>
      <c r="H33" s="93"/>
      <c r="I33" s="93"/>
      <c r="J33" s="93"/>
      <c r="K33" s="93"/>
      <c r="L33" s="93"/>
      <c r="M33" s="93"/>
    </row>
    <row r="34" spans="5:13" x14ac:dyDescent="0.35">
      <c r="E34" s="93"/>
      <c r="F34" s="93"/>
      <c r="G34" s="93"/>
      <c r="H34" s="93"/>
      <c r="I34" s="93"/>
      <c r="J34" s="93"/>
      <c r="K34" s="93"/>
      <c r="L34" s="93"/>
      <c r="M34" s="93"/>
    </row>
  </sheetData>
  <mergeCells count="19">
    <mergeCell ref="E29:M29"/>
    <mergeCell ref="N29:P29"/>
    <mergeCell ref="E34:M34"/>
    <mergeCell ref="E30:M30"/>
    <mergeCell ref="N30:P30"/>
    <mergeCell ref="E31:M31"/>
    <mergeCell ref="E32:M32"/>
    <mergeCell ref="E33:M33"/>
    <mergeCell ref="E26:M26"/>
    <mergeCell ref="N26:P26"/>
    <mergeCell ref="E27:M27"/>
    <mergeCell ref="N27:P27"/>
    <mergeCell ref="E28:M28"/>
    <mergeCell ref="N28:P28"/>
    <mergeCell ref="E23:M23"/>
    <mergeCell ref="E24:M24"/>
    <mergeCell ref="N24:P24"/>
    <mergeCell ref="E25:M25"/>
    <mergeCell ref="N25:P25"/>
  </mergeCells>
  <conditionalFormatting sqref="N6:S22">
    <cfRule type="cellIs" dxfId="485" priority="4" operator="greaterThan">
      <formula>0</formula>
    </cfRule>
  </conditionalFormatting>
  <conditionalFormatting sqref="T6:T22">
    <cfRule type="cellIs" dxfId="484" priority="1" operator="equal">
      <formula>3</formula>
    </cfRule>
    <cfRule type="cellIs" dxfId="483" priority="2" operator="equal">
      <formula>2</formula>
    </cfRule>
    <cfRule type="cellIs" dxfId="482" priority="3" operator="equal">
      <formula>1</formula>
    </cfRule>
  </conditionalFormatting>
  <conditionalFormatting sqref="T23:T29">
    <cfRule type="cellIs" dxfId="481" priority="5" operator="greaterThan">
      <formula>0</formula>
    </cfRule>
  </conditionalFormatting>
  <dataValidations count="2">
    <dataValidation type="list" allowBlank="1" showInputMessage="1" showErrorMessage="1" sqref="E32" xr:uid="{00000000-0002-0000-0200-000000000000}">
      <formula1>$E$8:$N$8</formula1>
    </dataValidation>
    <dataValidation type="list" allowBlank="1" showInputMessage="1" showErrorMessage="1" sqref="E33" xr:uid="{00000000-0002-0000-0200-000001000000}">
      <formula1>$E$14:$N$14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F34"/>
  <sheetViews>
    <sheetView zoomScale="85" zoomScaleNormal="85" workbookViewId="0"/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7.1796875" customWidth="1"/>
    <col min="9" max="9" width="18" customWidth="1"/>
    <col min="10" max="10" width="23.7265625" customWidth="1"/>
    <col min="11" max="11" width="29" customWidth="1"/>
    <col min="12" max="12" width="16" customWidth="1"/>
    <col min="13" max="14" width="11.453125" customWidth="1"/>
    <col min="15" max="15" width="12.81640625" customWidth="1"/>
    <col min="16" max="16" width="14.81640625" customWidth="1"/>
    <col min="17" max="17" width="18.54296875" customWidth="1"/>
    <col min="18" max="18" width="19.81640625" customWidth="1"/>
    <col min="19" max="19" width="17" customWidth="1"/>
    <col min="20" max="33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540</v>
      </c>
      <c r="R5" s="1" t="s">
        <v>527</v>
      </c>
      <c r="S5" s="1" t="s">
        <v>526</v>
      </c>
    </row>
    <row r="6" spans="1:32" x14ac:dyDescent="0.35">
      <c r="A6" s="11">
        <v>45579</v>
      </c>
      <c r="B6" s="10">
        <v>27</v>
      </c>
      <c r="C6" s="10">
        <v>2</v>
      </c>
      <c r="D6" s="1">
        <v>1</v>
      </c>
      <c r="E6" s="1" t="s">
        <v>18</v>
      </c>
      <c r="F6" s="10">
        <v>3385</v>
      </c>
      <c r="G6" s="10">
        <v>3304</v>
      </c>
      <c r="H6" s="1" t="s">
        <v>46</v>
      </c>
      <c r="I6" s="3"/>
      <c r="J6" s="1"/>
      <c r="K6" s="31">
        <f>F6-J6</f>
        <v>3385</v>
      </c>
      <c r="L6" s="1">
        <f t="shared" ref="L6:L11" ca="1" si="0">IF(F6=0,0,(TODAY()-A6))</f>
        <v>109</v>
      </c>
      <c r="M6" s="8">
        <f>IF(E6="T",G6,0)</f>
        <v>0</v>
      </c>
      <c r="N6" s="8">
        <f>IF(E6="T",K6,0)</f>
        <v>0</v>
      </c>
      <c r="O6" s="8">
        <f>IF(E6="B",G6,0)</f>
        <v>3304</v>
      </c>
      <c r="P6" s="8">
        <f>IF(E6="B",K6,0)</f>
        <v>3385</v>
      </c>
      <c r="Q6" s="8">
        <f>IF(G6&gt;3500,K6,0)</f>
        <v>0</v>
      </c>
      <c r="R6" s="8">
        <f>IF(AND(G6&gt;=3100,G6&lt;=3500),K6,0)</f>
        <v>3385</v>
      </c>
      <c r="S6" s="8">
        <f>IF(G6&lt;3100,K6,0)</f>
        <v>0</v>
      </c>
      <c r="U6">
        <f>IF(C6=1,1,0)</f>
        <v>0</v>
      </c>
      <c r="V6">
        <f>IF(C6=2,1,0)</f>
        <v>1</v>
      </c>
      <c r="W6">
        <f>IF(C6=3,1,0)</f>
        <v>0</v>
      </c>
      <c r="X6">
        <f>IF(C6=4,1,0)</f>
        <v>0</v>
      </c>
      <c r="Y6">
        <f>IF(C6=5,1,0)</f>
        <v>0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x14ac:dyDescent="0.35">
      <c r="A7" s="3">
        <v>45580</v>
      </c>
      <c r="B7" s="1">
        <v>29</v>
      </c>
      <c r="C7" s="10">
        <v>2</v>
      </c>
      <c r="D7" s="1">
        <v>1</v>
      </c>
      <c r="E7" s="1" t="s">
        <v>18</v>
      </c>
      <c r="F7" s="1">
        <v>3092</v>
      </c>
      <c r="G7" s="10">
        <v>3244</v>
      </c>
      <c r="H7" s="1" t="s">
        <v>46</v>
      </c>
      <c r="I7" s="3"/>
      <c r="J7" s="1"/>
      <c r="K7" s="31">
        <f t="shared" ref="K7:K22" si="1">F7-J7</f>
        <v>3092</v>
      </c>
      <c r="L7" s="1">
        <f t="shared" ca="1" si="0"/>
        <v>108</v>
      </c>
      <c r="M7" s="8">
        <f t="shared" ref="M7:M22" si="2">IF(E7="T",G7,0)</f>
        <v>0</v>
      </c>
      <c r="N7" s="8">
        <f t="shared" ref="N7:N22" si="3">IF(E7="T",K7,0)</f>
        <v>0</v>
      </c>
      <c r="O7" s="8">
        <f t="shared" ref="O7:O22" si="4">IF(E7="B",G7,0)</f>
        <v>3244</v>
      </c>
      <c r="P7" s="8">
        <f t="shared" ref="P7:P22" si="5">IF(E7="B",K7,0)</f>
        <v>3092</v>
      </c>
      <c r="Q7" s="8">
        <f t="shared" ref="Q7:Q22" si="6">IF(G7&gt;3500,K7,0)</f>
        <v>0</v>
      </c>
      <c r="R7" s="8">
        <f t="shared" ref="R7:R22" si="7">IF(AND(G7&gt;=3100,G7&lt;=3500),K7,0)</f>
        <v>3092</v>
      </c>
      <c r="S7" s="8">
        <f t="shared" ref="S7:S22" si="8">IF(G7&lt;3100,K7,0)</f>
        <v>0</v>
      </c>
      <c r="U7">
        <f t="shared" ref="U7:U22" si="9">IF(C7=1,1,0)</f>
        <v>0</v>
      </c>
      <c r="V7">
        <f t="shared" ref="V7:V22" si="10">IF(C7=2,1,0)</f>
        <v>1</v>
      </c>
      <c r="W7">
        <f t="shared" ref="W7:W22" si="11">IF(C7=3,1,0)</f>
        <v>0</v>
      </c>
      <c r="X7">
        <f t="shared" ref="X7:X22" si="12">IF(C7=4,1,0)</f>
        <v>0</v>
      </c>
      <c r="Y7">
        <f t="shared" ref="Y7:Y22" si="13">IF(C7=5,1,0)</f>
        <v>0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0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0</v>
      </c>
      <c r="AF7">
        <f t="shared" ref="AF7:AF22" si="20">IF(C7="CB",1,0)</f>
        <v>0</v>
      </c>
    </row>
    <row r="8" spans="1:32" ht="15.5" x14ac:dyDescent="0.35">
      <c r="A8" s="3">
        <v>45590</v>
      </c>
      <c r="B8" s="1">
        <v>58</v>
      </c>
      <c r="C8" s="1" t="s">
        <v>70</v>
      </c>
      <c r="D8" s="1">
        <v>2</v>
      </c>
      <c r="E8" s="1" t="s">
        <v>18</v>
      </c>
      <c r="F8" s="1">
        <v>4668</v>
      </c>
      <c r="G8" s="19">
        <v>2971</v>
      </c>
      <c r="H8" s="1" t="s">
        <v>46</v>
      </c>
      <c r="I8" s="3"/>
      <c r="J8" s="1"/>
      <c r="K8" s="31">
        <f t="shared" si="1"/>
        <v>4668</v>
      </c>
      <c r="L8" s="1">
        <f t="shared" ca="1" si="0"/>
        <v>98</v>
      </c>
      <c r="M8" s="8">
        <f t="shared" si="2"/>
        <v>0</v>
      </c>
      <c r="N8" s="8">
        <f t="shared" si="3"/>
        <v>0</v>
      </c>
      <c r="O8" s="8">
        <f t="shared" si="4"/>
        <v>2971</v>
      </c>
      <c r="P8" s="8">
        <f t="shared" si="5"/>
        <v>4668</v>
      </c>
      <c r="Q8" s="8">
        <f t="shared" si="6"/>
        <v>0</v>
      </c>
      <c r="R8" s="8">
        <f t="shared" si="7"/>
        <v>0</v>
      </c>
      <c r="S8" s="8">
        <f t="shared" si="8"/>
        <v>4668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1</v>
      </c>
      <c r="AF8">
        <f t="shared" si="20"/>
        <v>0</v>
      </c>
    </row>
    <row r="9" spans="1:32" ht="15.5" x14ac:dyDescent="0.35">
      <c r="A9" s="3">
        <v>45591</v>
      </c>
      <c r="B9" s="1">
        <v>65</v>
      </c>
      <c r="C9" s="1" t="s">
        <v>70</v>
      </c>
      <c r="D9" s="1">
        <v>2</v>
      </c>
      <c r="E9" s="1" t="s">
        <v>19</v>
      </c>
      <c r="F9" s="1">
        <v>3555</v>
      </c>
      <c r="G9" s="19">
        <v>3585</v>
      </c>
      <c r="H9" s="1" t="s">
        <v>46</v>
      </c>
      <c r="I9" s="14"/>
      <c r="J9" s="1"/>
      <c r="K9" s="31">
        <f t="shared" si="1"/>
        <v>3555</v>
      </c>
      <c r="L9" s="1">
        <f t="shared" ca="1" si="0"/>
        <v>97</v>
      </c>
      <c r="M9" s="8">
        <f t="shared" si="2"/>
        <v>3585</v>
      </c>
      <c r="N9" s="8">
        <f t="shared" si="3"/>
        <v>3555</v>
      </c>
      <c r="O9" s="8">
        <f t="shared" si="4"/>
        <v>0</v>
      </c>
      <c r="P9" s="8">
        <f t="shared" si="5"/>
        <v>0</v>
      </c>
      <c r="Q9" s="8">
        <f t="shared" si="6"/>
        <v>3555</v>
      </c>
      <c r="R9" s="8">
        <f t="shared" si="7"/>
        <v>0</v>
      </c>
      <c r="S9" s="8">
        <f t="shared" si="8"/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1</v>
      </c>
      <c r="AF9">
        <f t="shared" si="20"/>
        <v>0</v>
      </c>
    </row>
    <row r="10" spans="1:32" ht="15.5" x14ac:dyDescent="0.35">
      <c r="A10" s="3">
        <v>45591</v>
      </c>
      <c r="B10" s="1">
        <v>68</v>
      </c>
      <c r="C10" s="1" t="s">
        <v>70</v>
      </c>
      <c r="D10" s="1">
        <v>2</v>
      </c>
      <c r="E10" s="1" t="s">
        <v>19</v>
      </c>
      <c r="F10" s="1">
        <v>3246</v>
      </c>
      <c r="G10" s="19">
        <v>3753</v>
      </c>
      <c r="H10" s="1" t="s">
        <v>46</v>
      </c>
      <c r="I10" s="3"/>
      <c r="J10" s="1"/>
      <c r="K10" s="31">
        <f t="shared" si="1"/>
        <v>3246</v>
      </c>
      <c r="L10" s="1">
        <f t="shared" ca="1" si="0"/>
        <v>97</v>
      </c>
      <c r="M10" s="8">
        <f t="shared" si="2"/>
        <v>3753</v>
      </c>
      <c r="N10" s="8">
        <f t="shared" si="3"/>
        <v>3246</v>
      </c>
      <c r="O10" s="8">
        <f t="shared" si="4"/>
        <v>0</v>
      </c>
      <c r="P10" s="8">
        <f t="shared" si="5"/>
        <v>0</v>
      </c>
      <c r="Q10" s="8">
        <f t="shared" si="6"/>
        <v>3246</v>
      </c>
      <c r="R10" s="8">
        <f t="shared" si="7"/>
        <v>0</v>
      </c>
      <c r="S10" s="8">
        <f t="shared" si="8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1</v>
      </c>
      <c r="AF10">
        <f t="shared" si="20"/>
        <v>0</v>
      </c>
    </row>
    <row r="11" spans="1:32" x14ac:dyDescent="0.35">
      <c r="A11" s="3">
        <v>45608</v>
      </c>
      <c r="B11" s="1">
        <v>19</v>
      </c>
      <c r="C11" s="10">
        <v>2</v>
      </c>
      <c r="D11" s="1">
        <v>1</v>
      </c>
      <c r="E11" s="1" t="s">
        <v>19</v>
      </c>
      <c r="F11" s="1">
        <v>3339</v>
      </c>
      <c r="G11" s="5">
        <v>2890</v>
      </c>
      <c r="H11" s="1" t="s">
        <v>46</v>
      </c>
      <c r="I11" s="3"/>
      <c r="J11" s="1"/>
      <c r="K11" s="31">
        <f t="shared" si="1"/>
        <v>3339</v>
      </c>
      <c r="L11" s="1">
        <f t="shared" ca="1" si="0"/>
        <v>80</v>
      </c>
      <c r="M11" s="8">
        <f t="shared" si="2"/>
        <v>2890</v>
      </c>
      <c r="N11" s="8">
        <f t="shared" si="3"/>
        <v>3339</v>
      </c>
      <c r="O11" s="8">
        <f t="shared" si="4"/>
        <v>0</v>
      </c>
      <c r="P11" s="8">
        <f t="shared" si="5"/>
        <v>0</v>
      </c>
      <c r="Q11" s="8">
        <f t="shared" si="6"/>
        <v>0</v>
      </c>
      <c r="R11" s="8">
        <f t="shared" si="7"/>
        <v>0</v>
      </c>
      <c r="S11" s="8">
        <f t="shared" si="8"/>
        <v>3339</v>
      </c>
      <c r="U11">
        <f t="shared" si="9"/>
        <v>0</v>
      </c>
      <c r="V11">
        <f t="shared" si="10"/>
        <v>1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5"/>
      <c r="I12" s="3"/>
      <c r="J12" s="1"/>
      <c r="K12" s="31">
        <f t="shared" ref="K12:K16" si="21">F12-J12</f>
        <v>0</v>
      </c>
      <c r="L12" s="1">
        <f t="shared" ref="L12:L16" ca="1" si="22">IF(F12=0,0,(TODAY()-A12))</f>
        <v>0</v>
      </c>
      <c r="M12" s="8">
        <f t="shared" ref="M12:M16" si="23">IF(E12="T",G12,0)</f>
        <v>0</v>
      </c>
      <c r="N12" s="8">
        <f t="shared" ref="N12:N16" si="24">IF(E12="T",K12,0)</f>
        <v>0</v>
      </c>
      <c r="O12" s="8">
        <f t="shared" ref="O12:O16" si="25">IF(E12="B",G12,0)</f>
        <v>0</v>
      </c>
      <c r="P12" s="8">
        <f t="shared" ref="P12:P16" si="26">IF(E12="B",K12,0)</f>
        <v>0</v>
      </c>
      <c r="Q12" s="8">
        <f t="shared" si="6"/>
        <v>0</v>
      </c>
      <c r="R12" s="8">
        <f t="shared" si="7"/>
        <v>0</v>
      </c>
      <c r="S12" s="8">
        <f t="shared" si="8"/>
        <v>0</v>
      </c>
      <c r="U12">
        <f t="shared" ref="U12:U16" si="27">IF(C12=1,1,0)</f>
        <v>0</v>
      </c>
      <c r="V12">
        <f t="shared" ref="V12:V16" si="28">IF(C12=2,1,0)</f>
        <v>0</v>
      </c>
      <c r="W12">
        <f t="shared" ref="W12:W16" si="29">IF(C12=3,1,0)</f>
        <v>0</v>
      </c>
      <c r="X12">
        <f t="shared" ref="X12:X16" si="30">IF(C12=4,1,0)</f>
        <v>0</v>
      </c>
      <c r="Y12">
        <f t="shared" ref="Y12:Y16" si="31">IF(C12=5,1,0)</f>
        <v>0</v>
      </c>
      <c r="Z12">
        <f t="shared" ref="Z12:Z16" si="32">IF(C12=6,1,0)</f>
        <v>0</v>
      </c>
      <c r="AA12">
        <f t="shared" ref="AA12:AA16" si="33">IF(C12=7,1,0)</f>
        <v>0</v>
      </c>
      <c r="AB12">
        <f t="shared" ref="AB12:AB16" si="34">IF(C12=8,1,0)</f>
        <v>0</v>
      </c>
      <c r="AC12">
        <f t="shared" ref="AC12:AC16" si="35">IF(C12=9,1,0)</f>
        <v>0</v>
      </c>
      <c r="AD12">
        <f t="shared" ref="AD12:AD16" si="36">IF(C12=10,1,0)</f>
        <v>0</v>
      </c>
      <c r="AE12">
        <f t="shared" ref="AE12:AE16" si="37">IF(C12="SILO",1,0)</f>
        <v>0</v>
      </c>
      <c r="AF12">
        <f t="shared" ref="AF12:AF16" si="38">IF(C12="CB",1,0)</f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5"/>
      <c r="I13" s="3"/>
      <c r="J13" s="1"/>
      <c r="K13" s="31">
        <f t="shared" si="21"/>
        <v>0</v>
      </c>
      <c r="L13" s="1">
        <f t="shared" ca="1" si="22"/>
        <v>0</v>
      </c>
      <c r="M13" s="8">
        <f t="shared" si="23"/>
        <v>0</v>
      </c>
      <c r="N13" s="8">
        <f t="shared" si="24"/>
        <v>0</v>
      </c>
      <c r="O13" s="8">
        <f t="shared" si="25"/>
        <v>0</v>
      </c>
      <c r="P13" s="8">
        <f t="shared" si="26"/>
        <v>0</v>
      </c>
      <c r="Q13" s="8">
        <f t="shared" si="6"/>
        <v>0</v>
      </c>
      <c r="R13" s="8">
        <f t="shared" si="7"/>
        <v>0</v>
      </c>
      <c r="S13" s="8">
        <f t="shared" si="8"/>
        <v>0</v>
      </c>
      <c r="U13">
        <f t="shared" si="27"/>
        <v>0</v>
      </c>
      <c r="V13">
        <f t="shared" si="28"/>
        <v>0</v>
      </c>
      <c r="W13">
        <f t="shared" si="29"/>
        <v>0</v>
      </c>
      <c r="X13">
        <f t="shared" si="30"/>
        <v>0</v>
      </c>
      <c r="Y13">
        <f t="shared" si="31"/>
        <v>0</v>
      </c>
      <c r="Z13">
        <f t="shared" si="32"/>
        <v>0</v>
      </c>
      <c r="AA13">
        <f t="shared" si="33"/>
        <v>0</v>
      </c>
      <c r="AB13">
        <f t="shared" si="34"/>
        <v>0</v>
      </c>
      <c r="AC13">
        <f t="shared" si="35"/>
        <v>0</v>
      </c>
      <c r="AD13">
        <f t="shared" si="36"/>
        <v>0</v>
      </c>
      <c r="AE13">
        <f t="shared" si="37"/>
        <v>0</v>
      </c>
      <c r="AF13">
        <f t="shared" si="38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3"/>
      <c r="J14" s="1"/>
      <c r="K14" s="31">
        <f t="shared" si="21"/>
        <v>0</v>
      </c>
      <c r="L14" s="1">
        <f t="shared" ca="1" si="22"/>
        <v>0</v>
      </c>
      <c r="M14" s="8">
        <f t="shared" si="23"/>
        <v>0</v>
      </c>
      <c r="N14" s="8">
        <f t="shared" si="24"/>
        <v>0</v>
      </c>
      <c r="O14" s="8">
        <f t="shared" si="25"/>
        <v>0</v>
      </c>
      <c r="P14" s="8">
        <f t="shared" si="26"/>
        <v>0</v>
      </c>
      <c r="Q14" s="8">
        <f t="shared" si="6"/>
        <v>0</v>
      </c>
      <c r="R14" s="8">
        <f t="shared" si="7"/>
        <v>0</v>
      </c>
      <c r="S14" s="8">
        <f t="shared" si="8"/>
        <v>0</v>
      </c>
      <c r="U14">
        <f t="shared" si="27"/>
        <v>0</v>
      </c>
      <c r="V14">
        <f t="shared" si="28"/>
        <v>0</v>
      </c>
      <c r="W14">
        <f t="shared" si="29"/>
        <v>0</v>
      </c>
      <c r="X14">
        <f t="shared" si="30"/>
        <v>0</v>
      </c>
      <c r="Y14">
        <f t="shared" si="31"/>
        <v>0</v>
      </c>
      <c r="Z14">
        <f t="shared" si="32"/>
        <v>0</v>
      </c>
      <c r="AA14">
        <f t="shared" si="33"/>
        <v>0</v>
      </c>
      <c r="AB14">
        <f t="shared" si="34"/>
        <v>0</v>
      </c>
      <c r="AC14">
        <f t="shared" si="35"/>
        <v>0</v>
      </c>
      <c r="AD14">
        <f t="shared" si="36"/>
        <v>0</v>
      </c>
      <c r="AE14">
        <f t="shared" si="37"/>
        <v>0</v>
      </c>
      <c r="AF14">
        <f t="shared" si="38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3"/>
      <c r="J15" s="1"/>
      <c r="K15" s="31">
        <f t="shared" si="21"/>
        <v>0</v>
      </c>
      <c r="L15" s="1">
        <f t="shared" ca="1" si="22"/>
        <v>0</v>
      </c>
      <c r="M15" s="8">
        <f t="shared" si="23"/>
        <v>0</v>
      </c>
      <c r="N15" s="8">
        <f t="shared" si="24"/>
        <v>0</v>
      </c>
      <c r="O15" s="8">
        <f t="shared" si="25"/>
        <v>0</v>
      </c>
      <c r="P15" s="8">
        <f t="shared" si="26"/>
        <v>0</v>
      </c>
      <c r="Q15" s="8">
        <f t="shared" si="6"/>
        <v>0</v>
      </c>
      <c r="R15" s="8">
        <f t="shared" si="7"/>
        <v>0</v>
      </c>
      <c r="S15" s="8">
        <f t="shared" si="8"/>
        <v>0</v>
      </c>
      <c r="U15">
        <f t="shared" si="27"/>
        <v>0</v>
      </c>
      <c r="V15">
        <f t="shared" si="28"/>
        <v>0</v>
      </c>
      <c r="W15">
        <f t="shared" si="29"/>
        <v>0</v>
      </c>
      <c r="X15">
        <f t="shared" si="30"/>
        <v>0</v>
      </c>
      <c r="Y15">
        <f t="shared" si="31"/>
        <v>0</v>
      </c>
      <c r="Z15">
        <f t="shared" si="32"/>
        <v>0</v>
      </c>
      <c r="AA15">
        <f t="shared" si="33"/>
        <v>0</v>
      </c>
      <c r="AB15">
        <f t="shared" si="34"/>
        <v>0</v>
      </c>
      <c r="AC15">
        <f t="shared" si="35"/>
        <v>0</v>
      </c>
      <c r="AD15">
        <f t="shared" si="36"/>
        <v>0</v>
      </c>
      <c r="AE15">
        <f t="shared" si="37"/>
        <v>0</v>
      </c>
      <c r="AF15">
        <f t="shared" si="38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3"/>
      <c r="J16" s="1"/>
      <c r="K16" s="31">
        <f t="shared" si="21"/>
        <v>0</v>
      </c>
      <c r="L16" s="1">
        <f t="shared" ca="1" si="22"/>
        <v>0</v>
      </c>
      <c r="M16" s="8">
        <f t="shared" si="23"/>
        <v>0</v>
      </c>
      <c r="N16" s="8">
        <f t="shared" si="24"/>
        <v>0</v>
      </c>
      <c r="O16" s="8">
        <f t="shared" si="25"/>
        <v>0</v>
      </c>
      <c r="P16" s="8">
        <f t="shared" si="26"/>
        <v>0</v>
      </c>
      <c r="Q16" s="8">
        <f t="shared" si="6"/>
        <v>0</v>
      </c>
      <c r="R16" s="8">
        <f t="shared" si="7"/>
        <v>0</v>
      </c>
      <c r="S16" s="8">
        <f t="shared" si="8"/>
        <v>0</v>
      </c>
      <c r="U16">
        <f t="shared" si="27"/>
        <v>0</v>
      </c>
      <c r="V16">
        <f t="shared" si="28"/>
        <v>0</v>
      </c>
      <c r="W16">
        <f t="shared" si="29"/>
        <v>0</v>
      </c>
      <c r="X16">
        <f t="shared" si="30"/>
        <v>0</v>
      </c>
      <c r="Y16">
        <f t="shared" si="31"/>
        <v>0</v>
      </c>
      <c r="Z16">
        <f t="shared" si="32"/>
        <v>0</v>
      </c>
      <c r="AA16">
        <f t="shared" si="33"/>
        <v>0</v>
      </c>
      <c r="AB16">
        <f t="shared" si="34"/>
        <v>0</v>
      </c>
      <c r="AC16">
        <f t="shared" si="35"/>
        <v>0</v>
      </c>
      <c r="AD16">
        <f t="shared" si="36"/>
        <v>0</v>
      </c>
      <c r="AE16">
        <f t="shared" si="37"/>
        <v>0</v>
      </c>
      <c r="AF16">
        <f t="shared" si="38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31">
        <f t="shared" si="1"/>
        <v>0</v>
      </c>
      <c r="L17" s="1">
        <f ca="1">IF(F17=0,0,(TODAY()-A17))</f>
        <v>0</v>
      </c>
      <c r="M17" s="8">
        <f t="shared" si="2"/>
        <v>0</v>
      </c>
      <c r="N17" s="8">
        <f t="shared" si="3"/>
        <v>0</v>
      </c>
      <c r="O17" s="8">
        <f t="shared" si="4"/>
        <v>0</v>
      </c>
      <c r="P17" s="8">
        <f t="shared" si="5"/>
        <v>0</v>
      </c>
      <c r="Q17" s="8">
        <f t="shared" si="6"/>
        <v>0</v>
      </c>
      <c r="R17" s="8">
        <f t="shared" si="7"/>
        <v>0</v>
      </c>
      <c r="S17" s="8">
        <f t="shared" si="8"/>
        <v>0</v>
      </c>
      <c r="U17">
        <f t="shared" si="9"/>
        <v>0</v>
      </c>
      <c r="V17">
        <f t="shared" si="10"/>
        <v>0</v>
      </c>
      <c r="W17">
        <f t="shared" si="11"/>
        <v>0</v>
      </c>
      <c r="X17">
        <f t="shared" si="12"/>
        <v>0</v>
      </c>
      <c r="Y17">
        <f t="shared" si="13"/>
        <v>0</v>
      </c>
      <c r="Z17">
        <f t="shared" si="14"/>
        <v>0</v>
      </c>
      <c r="AA17">
        <f t="shared" si="15"/>
        <v>0</v>
      </c>
      <c r="AB17">
        <f t="shared" si="16"/>
        <v>0</v>
      </c>
      <c r="AC17">
        <f t="shared" si="17"/>
        <v>0</v>
      </c>
      <c r="AD17">
        <f t="shared" si="18"/>
        <v>0</v>
      </c>
      <c r="AE17">
        <f t="shared" si="19"/>
        <v>0</v>
      </c>
      <c r="AF17">
        <f t="shared" si="20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31">
        <f t="shared" si="1"/>
        <v>0</v>
      </c>
      <c r="L18" s="1">
        <f t="shared" ref="L18:L22" ca="1" si="39">IF(F18=0,0,(TODAY()-A18))</f>
        <v>0</v>
      </c>
      <c r="M18" s="8">
        <f t="shared" si="2"/>
        <v>0</v>
      </c>
      <c r="N18" s="8">
        <f t="shared" si="3"/>
        <v>0</v>
      </c>
      <c r="O18" s="8">
        <f t="shared" si="4"/>
        <v>0</v>
      </c>
      <c r="P18" s="8">
        <f t="shared" si="5"/>
        <v>0</v>
      </c>
      <c r="Q18" s="8">
        <f t="shared" si="6"/>
        <v>0</v>
      </c>
      <c r="R18" s="8">
        <f t="shared" si="7"/>
        <v>0</v>
      </c>
      <c r="S18" s="8">
        <f t="shared" si="8"/>
        <v>0</v>
      </c>
      <c r="U18">
        <f t="shared" si="9"/>
        <v>0</v>
      </c>
      <c r="V18">
        <f t="shared" si="10"/>
        <v>0</v>
      </c>
      <c r="W18">
        <f t="shared" si="11"/>
        <v>0</v>
      </c>
      <c r="X18">
        <f t="shared" si="12"/>
        <v>0</v>
      </c>
      <c r="Y18">
        <f t="shared" si="13"/>
        <v>0</v>
      </c>
      <c r="Z18">
        <f t="shared" si="14"/>
        <v>0</v>
      </c>
      <c r="AA18">
        <f t="shared" si="15"/>
        <v>0</v>
      </c>
      <c r="AB18">
        <f t="shared" si="16"/>
        <v>0</v>
      </c>
      <c r="AC18">
        <f t="shared" si="17"/>
        <v>0</v>
      </c>
      <c r="AD18">
        <f t="shared" si="18"/>
        <v>0</v>
      </c>
      <c r="AE18">
        <f t="shared" si="19"/>
        <v>0</v>
      </c>
      <c r="AF18">
        <f t="shared" si="20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31">
        <f t="shared" si="1"/>
        <v>0</v>
      </c>
      <c r="L19" s="1">
        <f t="shared" ca="1" si="39"/>
        <v>0</v>
      </c>
      <c r="M19" s="8">
        <f t="shared" si="2"/>
        <v>0</v>
      </c>
      <c r="N19" s="8">
        <f t="shared" si="3"/>
        <v>0</v>
      </c>
      <c r="O19" s="8">
        <f t="shared" si="4"/>
        <v>0</v>
      </c>
      <c r="P19" s="8">
        <f t="shared" si="5"/>
        <v>0</v>
      </c>
      <c r="Q19" s="8">
        <f t="shared" si="6"/>
        <v>0</v>
      </c>
      <c r="R19" s="8">
        <f t="shared" si="7"/>
        <v>0</v>
      </c>
      <c r="S19" s="8">
        <f t="shared" si="8"/>
        <v>0</v>
      </c>
      <c r="U19">
        <f t="shared" si="9"/>
        <v>0</v>
      </c>
      <c r="V19">
        <f t="shared" si="10"/>
        <v>0</v>
      </c>
      <c r="W19">
        <f t="shared" si="11"/>
        <v>0</v>
      </c>
      <c r="X19">
        <f t="shared" si="12"/>
        <v>0</v>
      </c>
      <c r="Y19">
        <f t="shared" si="13"/>
        <v>0</v>
      </c>
      <c r="Z19">
        <f t="shared" si="14"/>
        <v>0</v>
      </c>
      <c r="AA19">
        <f t="shared" si="15"/>
        <v>0</v>
      </c>
      <c r="AB19">
        <f t="shared" si="16"/>
        <v>0</v>
      </c>
      <c r="AC19">
        <f t="shared" si="17"/>
        <v>0</v>
      </c>
      <c r="AD19">
        <f t="shared" si="18"/>
        <v>0</v>
      </c>
      <c r="AE19">
        <f t="shared" si="19"/>
        <v>0</v>
      </c>
      <c r="AF19">
        <f t="shared" si="20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31">
        <f t="shared" si="1"/>
        <v>0</v>
      </c>
      <c r="L20" s="1">
        <f t="shared" ca="1" si="39"/>
        <v>0</v>
      </c>
      <c r="M20" s="8">
        <f t="shared" si="2"/>
        <v>0</v>
      </c>
      <c r="N20" s="8">
        <f t="shared" si="3"/>
        <v>0</v>
      </c>
      <c r="O20" s="8">
        <f t="shared" si="4"/>
        <v>0</v>
      </c>
      <c r="P20" s="8">
        <f t="shared" si="5"/>
        <v>0</v>
      </c>
      <c r="Q20" s="8">
        <f t="shared" si="6"/>
        <v>0</v>
      </c>
      <c r="R20" s="8">
        <f t="shared" si="7"/>
        <v>0</v>
      </c>
      <c r="S20" s="8">
        <f t="shared" si="8"/>
        <v>0</v>
      </c>
      <c r="U20">
        <f t="shared" si="9"/>
        <v>0</v>
      </c>
      <c r="V20">
        <f t="shared" si="10"/>
        <v>0</v>
      </c>
      <c r="W20">
        <f t="shared" si="11"/>
        <v>0</v>
      </c>
      <c r="X20">
        <f t="shared" si="12"/>
        <v>0</v>
      </c>
      <c r="Y20">
        <f t="shared" si="13"/>
        <v>0</v>
      </c>
      <c r="Z20">
        <f t="shared" si="14"/>
        <v>0</v>
      </c>
      <c r="AA20">
        <f t="shared" si="15"/>
        <v>0</v>
      </c>
      <c r="AB20">
        <f t="shared" si="16"/>
        <v>0</v>
      </c>
      <c r="AC20">
        <f t="shared" si="17"/>
        <v>0</v>
      </c>
      <c r="AD20">
        <f t="shared" si="18"/>
        <v>0</v>
      </c>
      <c r="AE20">
        <f t="shared" si="19"/>
        <v>0</v>
      </c>
      <c r="AF20">
        <f t="shared" si="20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31">
        <f t="shared" si="1"/>
        <v>0</v>
      </c>
      <c r="L21" s="1">
        <f t="shared" ca="1" si="39"/>
        <v>0</v>
      </c>
      <c r="M21" s="8">
        <f t="shared" si="2"/>
        <v>0</v>
      </c>
      <c r="N21" s="8">
        <f t="shared" si="3"/>
        <v>0</v>
      </c>
      <c r="O21" s="8">
        <f t="shared" si="4"/>
        <v>0</v>
      </c>
      <c r="P21" s="8">
        <f t="shared" si="5"/>
        <v>0</v>
      </c>
      <c r="Q21" s="8">
        <f t="shared" si="6"/>
        <v>0</v>
      </c>
      <c r="R21" s="8">
        <f t="shared" si="7"/>
        <v>0</v>
      </c>
      <c r="S21" s="8">
        <f t="shared" si="8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f t="shared" si="12"/>
        <v>0</v>
      </c>
      <c r="Y21">
        <f t="shared" si="13"/>
        <v>0</v>
      </c>
      <c r="Z21">
        <f t="shared" si="14"/>
        <v>0</v>
      </c>
      <c r="AA21">
        <f t="shared" si="15"/>
        <v>0</v>
      </c>
      <c r="AB21">
        <f t="shared" si="16"/>
        <v>0</v>
      </c>
      <c r="AC21">
        <f t="shared" si="17"/>
        <v>0</v>
      </c>
      <c r="AD21">
        <f t="shared" si="18"/>
        <v>0</v>
      </c>
      <c r="AE21">
        <f t="shared" si="19"/>
        <v>0</v>
      </c>
      <c r="AF21">
        <f t="shared" si="20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31">
        <f t="shared" si="1"/>
        <v>0</v>
      </c>
      <c r="L22" s="1">
        <f t="shared" ca="1" si="39"/>
        <v>0</v>
      </c>
      <c r="M22" s="8">
        <f t="shared" si="2"/>
        <v>0</v>
      </c>
      <c r="N22" s="8">
        <f t="shared" si="3"/>
        <v>0</v>
      </c>
      <c r="O22" s="8">
        <f t="shared" si="4"/>
        <v>0</v>
      </c>
      <c r="P22" s="8">
        <f t="shared" si="5"/>
        <v>0</v>
      </c>
      <c r="Q22" s="8">
        <f t="shared" si="6"/>
        <v>0</v>
      </c>
      <c r="R22" s="8">
        <f t="shared" si="7"/>
        <v>0</v>
      </c>
      <c r="S22" s="8">
        <f t="shared" si="8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21285</v>
      </c>
      <c r="G23" s="4"/>
      <c r="H23" s="4"/>
      <c r="I23" s="7"/>
      <c r="J23" s="8" t="s">
        <v>20</v>
      </c>
      <c r="K23" s="1">
        <f>SUM(K6:K22)</f>
        <v>21285</v>
      </c>
      <c r="L23" s="26">
        <f>IF(U$23&gt;=1,1,0)</f>
        <v>0</v>
      </c>
      <c r="N23" s="41">
        <f>SUM(N6:N22)</f>
        <v>10140</v>
      </c>
      <c r="U23">
        <f>SUM(U6:U22)</f>
        <v>0</v>
      </c>
      <c r="V23">
        <f t="shared" ref="V23:AF23" si="40">SUM(V6:V22)</f>
        <v>3</v>
      </c>
      <c r="W23">
        <f t="shared" si="40"/>
        <v>0</v>
      </c>
      <c r="X23">
        <f t="shared" si="40"/>
        <v>0</v>
      </c>
      <c r="Y23">
        <f t="shared" si="40"/>
        <v>0</v>
      </c>
      <c r="Z23">
        <f t="shared" si="40"/>
        <v>0</v>
      </c>
      <c r="AA23">
        <f t="shared" si="40"/>
        <v>0</v>
      </c>
      <c r="AB23">
        <f t="shared" si="40"/>
        <v>0</v>
      </c>
      <c r="AC23">
        <f t="shared" si="40"/>
        <v>0</v>
      </c>
      <c r="AD23">
        <f t="shared" si="40"/>
        <v>0</v>
      </c>
      <c r="AE23">
        <f t="shared" si="40"/>
        <v>3</v>
      </c>
      <c r="AF23">
        <f t="shared" si="40"/>
        <v>0</v>
      </c>
    </row>
    <row r="24" spans="1:32" x14ac:dyDescent="0.35">
      <c r="J24" s="8" t="s">
        <v>21</v>
      </c>
      <c r="K24" s="5">
        <f>SUMPRODUCT(K6:K22,G6:G22)/SUM(K6:K22)</f>
        <v>3272.7150105708247</v>
      </c>
      <c r="L24" s="26">
        <f>IF(V$23&gt;=1,1,0)</f>
        <v>1</v>
      </c>
    </row>
    <row r="25" spans="1:32" x14ac:dyDescent="0.35">
      <c r="J25" s="8" t="s">
        <v>11</v>
      </c>
      <c r="K25" s="5">
        <f>SUMPRODUCT(M6:M22,N6:N22)/SUM(N6:N22)</f>
        <v>3409.9233727810652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10140</v>
      </c>
      <c r="L26" s="26">
        <f>IF(X$23&gt;=1,1,0)</f>
        <v>0</v>
      </c>
    </row>
    <row r="27" spans="1:32" x14ac:dyDescent="0.35">
      <c r="J27" s="8" t="s">
        <v>22</v>
      </c>
      <c r="K27" s="5">
        <f>SUMPRODUCT(O6:O22,P6:P22)/SUM(P6:P22)</f>
        <v>3147.879407806191</v>
      </c>
      <c r="L27" s="26">
        <f>IF(Y$23&gt;=1,1,0)</f>
        <v>0</v>
      </c>
    </row>
    <row r="28" spans="1:32" x14ac:dyDescent="0.35">
      <c r="J28" s="8" t="s">
        <v>23</v>
      </c>
      <c r="K28" s="5">
        <f>SUM(P6:P22)</f>
        <v>11145</v>
      </c>
      <c r="L28" s="26">
        <f>IF(Z$23&gt;=1,1,0)</f>
        <v>0</v>
      </c>
    </row>
    <row r="29" spans="1:32" x14ac:dyDescent="0.35">
      <c r="J29" s="8" t="s">
        <v>24</v>
      </c>
      <c r="K29" s="1">
        <f ca="1">MAX(L6:L22)</f>
        <v>109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98.166666666666671</v>
      </c>
      <c r="L30" s="26">
        <f>IF(AB$23&gt;=1,1,0)</f>
        <v>0</v>
      </c>
    </row>
    <row r="31" spans="1:32" x14ac:dyDescent="0.35">
      <c r="J31" s="8" t="s">
        <v>528</v>
      </c>
      <c r="K31" s="1">
        <f>SUM(Q6:Q22)</f>
        <v>6801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6477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8007</v>
      </c>
      <c r="L33" s="26">
        <f>IF(AE$23&gt;=1,1,0)</f>
        <v>1</v>
      </c>
    </row>
    <row r="34" spans="10:12" x14ac:dyDescent="0.35">
      <c r="L34" s="26">
        <f>IF(AF$23&gt;=1,1,0)</f>
        <v>0</v>
      </c>
    </row>
  </sheetData>
  <conditionalFormatting sqref="G6:H23">
    <cfRule type="cellIs" dxfId="480" priority="1" operator="between">
      <formula>2500</formula>
      <formula>2000</formula>
    </cfRule>
    <cfRule type="cellIs" dxfId="479" priority="2" operator="between">
      <formula>2500</formula>
      <formula>3000</formula>
    </cfRule>
    <cfRule type="cellIs" dxfId="478" priority="3" operator="between">
      <formula>3000</formula>
      <formula>3200</formula>
    </cfRule>
    <cfRule type="cellIs" dxfId="477" priority="4" operator="greaterThan">
      <formula>3600</formula>
    </cfRule>
    <cfRule type="cellIs" dxfId="476" priority="5" operator="between">
      <formula>3200</formula>
      <formula>3600</formula>
    </cfRule>
  </conditionalFormatting>
  <conditionalFormatting sqref="K25">
    <cfRule type="cellIs" dxfId="475" priority="211" operator="lessThan">
      <formula>2500</formula>
    </cfRule>
    <cfRule type="cellIs" dxfId="474" priority="212" operator="between">
      <formula>2500</formula>
      <formula>3000</formula>
    </cfRule>
    <cfRule type="cellIs" dxfId="473" priority="213" operator="between">
      <formula>3000</formula>
      <formula>3200</formula>
    </cfRule>
    <cfRule type="cellIs" dxfId="472" priority="214" operator="greaterThan">
      <formula>3600</formula>
    </cfRule>
    <cfRule type="cellIs" dxfId="471" priority="215" operator="between">
      <formula>3200</formula>
      <formula>3600</formula>
    </cfRule>
  </conditionalFormatting>
  <conditionalFormatting sqref="K27">
    <cfRule type="cellIs" dxfId="470" priority="206" operator="lessThan">
      <formula>2500</formula>
    </cfRule>
    <cfRule type="cellIs" dxfId="469" priority="207" operator="between">
      <formula>2500</formula>
      <formula>3000</formula>
    </cfRule>
    <cfRule type="cellIs" dxfId="468" priority="208" operator="between">
      <formula>3000</formula>
      <formula>3200</formula>
    </cfRule>
    <cfRule type="cellIs" dxfId="467" priority="209" operator="greaterThan">
      <formula>3600</formula>
    </cfRule>
    <cfRule type="cellIs" dxfId="466" priority="210" operator="between">
      <formula>3200</formula>
      <formula>3600</formula>
    </cfRule>
  </conditionalFormatting>
  <conditionalFormatting sqref="L6:L34">
    <cfRule type="cellIs" dxfId="465" priority="221" operator="greaterThan">
      <formula>10</formula>
    </cfRule>
  </conditionalFormatting>
  <hyperlinks>
    <hyperlink ref="A3" location="'summery '!A1" display="summery " xr:uid="{00000000-0004-0000-0300-000000000000}"/>
  </hyperlink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F34"/>
  <sheetViews>
    <sheetView zoomScale="52" zoomScaleNormal="52" workbookViewId="0">
      <selection activeCell="J31" sqref="J31:J33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6" customWidth="1"/>
    <col min="9" max="9" width="18" style="24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6" width="9.1796875" customWidth="1"/>
    <col min="17" max="17" width="18.54296875" customWidth="1"/>
    <col min="18" max="18" width="19.81640625" customWidth="1"/>
    <col min="19" max="19" width="17" customWidth="1"/>
    <col min="20" max="32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48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1" t="s">
        <v>540</v>
      </c>
      <c r="R5" s="1" t="s">
        <v>527</v>
      </c>
      <c r="S5" s="1" t="s">
        <v>526</v>
      </c>
    </row>
    <row r="6" spans="1:32" x14ac:dyDescent="0.35">
      <c r="A6" s="14">
        <v>45547</v>
      </c>
      <c r="B6" s="13">
        <v>29</v>
      </c>
      <c r="C6" s="1">
        <v>10</v>
      </c>
      <c r="D6" s="1">
        <v>1</v>
      </c>
      <c r="E6" s="1" t="s">
        <v>18</v>
      </c>
      <c r="F6" s="13">
        <v>3910</v>
      </c>
      <c r="G6" s="1">
        <v>2357</v>
      </c>
      <c r="H6" s="1" t="s">
        <v>46</v>
      </c>
      <c r="I6" s="47"/>
      <c r="J6" s="1"/>
      <c r="K6" s="1">
        <f>F6-J6</f>
        <v>3910</v>
      </c>
      <c r="L6" s="1">
        <f t="shared" ref="L6:L11" ca="1" si="0">IF(F6=0,0,(TODAY()-A6))</f>
        <v>141</v>
      </c>
      <c r="M6">
        <f>IF(E6="T",G6,0)</f>
        <v>0</v>
      </c>
      <c r="N6">
        <f>IF(E6="T",K6,0)</f>
        <v>0</v>
      </c>
      <c r="O6">
        <f>IF(E6="B",G6,0)</f>
        <v>2357</v>
      </c>
      <c r="P6">
        <f>IF(E6="B",K6,0)</f>
        <v>3910</v>
      </c>
      <c r="Q6" s="8">
        <f>IF(G6&gt;3500,K6,0)</f>
        <v>0</v>
      </c>
      <c r="R6" s="8">
        <f>IF(AND(G6&gt;=3100,G6&lt;=3500),K6,0)</f>
        <v>0</v>
      </c>
      <c r="S6" s="8">
        <f>IF(G6&lt;3100,K6,0)</f>
        <v>3910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0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1</v>
      </c>
      <c r="AE6">
        <f>IF(C6="SILO",1,0)</f>
        <v>0</v>
      </c>
      <c r="AF6">
        <f>IF(C6="CB",1,0)</f>
        <v>0</v>
      </c>
    </row>
    <row r="7" spans="1:32" x14ac:dyDescent="0.35">
      <c r="A7" s="14">
        <v>45567</v>
      </c>
      <c r="B7" s="13">
        <v>2</v>
      </c>
      <c r="C7" s="13">
        <v>1</v>
      </c>
      <c r="D7" s="1">
        <v>2</v>
      </c>
      <c r="E7" s="1" t="s">
        <v>18</v>
      </c>
      <c r="F7" s="13">
        <v>3750</v>
      </c>
      <c r="G7" s="12">
        <v>3206</v>
      </c>
      <c r="H7" s="1" t="s">
        <v>46</v>
      </c>
      <c r="I7" s="47"/>
      <c r="J7" s="1"/>
      <c r="K7" s="1">
        <f t="shared" ref="K7:K22" si="1">F7-J7</f>
        <v>3750</v>
      </c>
      <c r="L7" s="1">
        <f t="shared" ca="1" si="0"/>
        <v>121</v>
      </c>
      <c r="M7">
        <f t="shared" ref="M7:M22" si="2">IF(E7="T",G7,0)</f>
        <v>0</v>
      </c>
      <c r="N7">
        <f t="shared" ref="N7:N23" si="3">IF(E7="T",K7,0)</f>
        <v>0</v>
      </c>
      <c r="O7">
        <f t="shared" ref="O7:O22" si="4">IF(E7="B",G7,0)</f>
        <v>3206</v>
      </c>
      <c r="P7">
        <f t="shared" ref="P7:P23" si="5">IF(E7="B",K7,0)</f>
        <v>3750</v>
      </c>
      <c r="Q7" s="8">
        <f t="shared" ref="Q7:Q22" si="6">IF(G7&gt;3500,K7,0)</f>
        <v>0</v>
      </c>
      <c r="R7" s="8">
        <f t="shared" ref="R7:R22" si="7">IF(AND(G7&gt;=3100,G7&lt;=3500),K7,0)</f>
        <v>3750</v>
      </c>
      <c r="S7" s="8">
        <f t="shared" ref="S7:S22" si="8">IF(G7&lt;3100,K7,0)</f>
        <v>0</v>
      </c>
      <c r="U7">
        <f t="shared" ref="U7:U22" si="9">IF(C7=1,1,0)</f>
        <v>1</v>
      </c>
      <c r="V7">
        <f t="shared" ref="V7:V22" si="10">IF(C7=2,1,0)</f>
        <v>0</v>
      </c>
      <c r="W7">
        <f t="shared" ref="W7:W22" si="11">IF(C7=3,1,0)</f>
        <v>0</v>
      </c>
      <c r="X7">
        <f t="shared" ref="X7:X22" si="12">IF(C7=4,1,0)</f>
        <v>0</v>
      </c>
      <c r="Y7">
        <f t="shared" ref="Y7:Y22" si="13">IF(C7=5,1,0)</f>
        <v>0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0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0</v>
      </c>
      <c r="AF7">
        <f t="shared" ref="AF7:AF22" si="20">IF(C7="CB",1,0)</f>
        <v>0</v>
      </c>
    </row>
    <row r="8" spans="1:32" x14ac:dyDescent="0.35">
      <c r="A8" s="14">
        <v>45575</v>
      </c>
      <c r="B8" s="13">
        <v>21</v>
      </c>
      <c r="C8" s="13">
        <v>1</v>
      </c>
      <c r="D8" s="1">
        <v>2</v>
      </c>
      <c r="E8" s="1" t="s">
        <v>19</v>
      </c>
      <c r="F8" s="13">
        <v>3264</v>
      </c>
      <c r="G8" s="12">
        <v>3034</v>
      </c>
      <c r="H8" s="1" t="s">
        <v>46</v>
      </c>
      <c r="I8" s="47"/>
      <c r="J8" s="1"/>
      <c r="K8" s="1">
        <f t="shared" si="1"/>
        <v>3264</v>
      </c>
      <c r="L8" s="1">
        <f t="shared" ca="1" si="0"/>
        <v>113</v>
      </c>
      <c r="M8">
        <f t="shared" si="2"/>
        <v>3034</v>
      </c>
      <c r="N8">
        <f t="shared" si="3"/>
        <v>3264</v>
      </c>
      <c r="O8">
        <f t="shared" si="4"/>
        <v>0</v>
      </c>
      <c r="P8">
        <f t="shared" si="5"/>
        <v>0</v>
      </c>
      <c r="Q8" s="8">
        <f t="shared" si="6"/>
        <v>0</v>
      </c>
      <c r="R8" s="8">
        <f t="shared" si="7"/>
        <v>0</v>
      </c>
      <c r="S8" s="8">
        <f t="shared" si="8"/>
        <v>3264</v>
      </c>
      <c r="U8">
        <f t="shared" si="9"/>
        <v>1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x14ac:dyDescent="0.35">
      <c r="A9" s="14">
        <v>45580</v>
      </c>
      <c r="B9" s="13">
        <v>31</v>
      </c>
      <c r="C9" s="13">
        <v>1</v>
      </c>
      <c r="D9" s="1">
        <v>2</v>
      </c>
      <c r="E9" s="1" t="s">
        <v>19</v>
      </c>
      <c r="F9" s="13">
        <v>3568</v>
      </c>
      <c r="G9" s="12">
        <v>3034</v>
      </c>
      <c r="H9" s="1" t="s">
        <v>46</v>
      </c>
      <c r="I9" s="14"/>
      <c r="J9" s="1"/>
      <c r="K9" s="1">
        <f t="shared" si="1"/>
        <v>3568</v>
      </c>
      <c r="L9" s="1">
        <f t="shared" ca="1" si="0"/>
        <v>108</v>
      </c>
      <c r="M9">
        <f t="shared" si="2"/>
        <v>3034</v>
      </c>
      <c r="N9">
        <f t="shared" si="3"/>
        <v>3568</v>
      </c>
      <c r="O9">
        <f t="shared" si="4"/>
        <v>0</v>
      </c>
      <c r="P9">
        <f t="shared" si="5"/>
        <v>0</v>
      </c>
      <c r="Q9" s="8">
        <f t="shared" si="6"/>
        <v>0</v>
      </c>
      <c r="R9" s="8">
        <f t="shared" si="7"/>
        <v>0</v>
      </c>
      <c r="S9" s="8">
        <f t="shared" si="8"/>
        <v>3568</v>
      </c>
      <c r="U9">
        <f t="shared" si="9"/>
        <v>1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0</v>
      </c>
      <c r="AF9">
        <f t="shared" si="20"/>
        <v>0</v>
      </c>
    </row>
    <row r="10" spans="1:32" x14ac:dyDescent="0.35">
      <c r="A10" s="3">
        <v>45598</v>
      </c>
      <c r="B10" s="1">
        <v>85</v>
      </c>
      <c r="C10" s="1">
        <v>5</v>
      </c>
      <c r="D10" s="1">
        <v>2</v>
      </c>
      <c r="E10" s="1" t="s">
        <v>19</v>
      </c>
      <c r="F10" s="1">
        <v>2595</v>
      </c>
      <c r="G10" s="5">
        <v>2960</v>
      </c>
      <c r="H10" s="1" t="s">
        <v>46</v>
      </c>
      <c r="I10" s="48"/>
      <c r="J10" s="1"/>
      <c r="K10" s="1">
        <f t="shared" si="1"/>
        <v>2595</v>
      </c>
      <c r="L10" s="1">
        <f t="shared" ca="1" si="0"/>
        <v>90</v>
      </c>
      <c r="M10">
        <f t="shared" si="2"/>
        <v>2960</v>
      </c>
      <c r="N10">
        <f t="shared" si="3"/>
        <v>2595</v>
      </c>
      <c r="O10">
        <f t="shared" si="4"/>
        <v>0</v>
      </c>
      <c r="P10">
        <f t="shared" si="5"/>
        <v>0</v>
      </c>
      <c r="Q10" s="8">
        <f t="shared" si="6"/>
        <v>0</v>
      </c>
      <c r="R10" s="8">
        <f t="shared" si="7"/>
        <v>0</v>
      </c>
      <c r="S10" s="8">
        <f t="shared" si="8"/>
        <v>2595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1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x14ac:dyDescent="0.35">
      <c r="A11" s="3">
        <v>45599</v>
      </c>
      <c r="B11" s="1">
        <v>88</v>
      </c>
      <c r="C11" s="1">
        <v>5</v>
      </c>
      <c r="D11" s="1">
        <v>2</v>
      </c>
      <c r="E11" s="1" t="s">
        <v>19</v>
      </c>
      <c r="F11" s="1">
        <v>3143</v>
      </c>
      <c r="G11" s="5">
        <v>3396</v>
      </c>
      <c r="H11" s="1" t="s">
        <v>46</v>
      </c>
      <c r="I11" s="47"/>
      <c r="J11" s="1"/>
      <c r="K11" s="1">
        <f t="shared" si="1"/>
        <v>3143</v>
      </c>
      <c r="L11" s="1">
        <f t="shared" ca="1" si="0"/>
        <v>89</v>
      </c>
      <c r="M11">
        <f t="shared" si="2"/>
        <v>3396</v>
      </c>
      <c r="N11">
        <f t="shared" si="3"/>
        <v>3143</v>
      </c>
      <c r="O11">
        <f t="shared" si="4"/>
        <v>0</v>
      </c>
      <c r="P11">
        <f t="shared" si="5"/>
        <v>0</v>
      </c>
      <c r="Q11" s="8">
        <f t="shared" si="6"/>
        <v>0</v>
      </c>
      <c r="R11" s="8">
        <f t="shared" si="7"/>
        <v>3143</v>
      </c>
      <c r="S11" s="8">
        <f t="shared" si="8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1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ht="15.5" x14ac:dyDescent="0.35">
      <c r="A12" s="3">
        <v>45601</v>
      </c>
      <c r="B12" s="1">
        <v>4</v>
      </c>
      <c r="C12" s="1">
        <v>5</v>
      </c>
      <c r="D12" s="1">
        <v>2</v>
      </c>
      <c r="E12" s="1" t="s">
        <v>19</v>
      </c>
      <c r="F12" s="1">
        <v>1270</v>
      </c>
      <c r="G12" s="19">
        <v>3155.4853761894697</v>
      </c>
      <c r="H12" s="1" t="s">
        <v>46</v>
      </c>
      <c r="I12" s="48"/>
      <c r="J12" s="1"/>
      <c r="K12" s="1">
        <f t="shared" si="1"/>
        <v>1270</v>
      </c>
      <c r="L12" s="1">
        <f ca="1">IF(F12=0,0,(TODAY()-A12))</f>
        <v>87</v>
      </c>
      <c r="M12">
        <f t="shared" si="2"/>
        <v>3155.4853761894697</v>
      </c>
      <c r="N12">
        <f t="shared" si="3"/>
        <v>1270</v>
      </c>
      <c r="O12">
        <f t="shared" si="4"/>
        <v>0</v>
      </c>
      <c r="P12">
        <f t="shared" si="5"/>
        <v>0</v>
      </c>
      <c r="Q12" s="8">
        <f t="shared" si="6"/>
        <v>0</v>
      </c>
      <c r="R12" s="8">
        <f t="shared" si="7"/>
        <v>1270</v>
      </c>
      <c r="S12" s="8">
        <f t="shared" si="8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1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>
        <v>45601</v>
      </c>
      <c r="B13" s="1">
        <v>3</v>
      </c>
      <c r="C13" s="1">
        <v>10</v>
      </c>
      <c r="D13" s="1">
        <v>1</v>
      </c>
      <c r="E13" s="1" t="s">
        <v>19</v>
      </c>
      <c r="F13" s="1">
        <v>3850</v>
      </c>
      <c r="G13" s="70">
        <v>2780.8307486637796</v>
      </c>
      <c r="H13" s="1" t="s">
        <v>46</v>
      </c>
      <c r="I13" s="48"/>
      <c r="J13" s="1"/>
      <c r="K13" s="1">
        <f t="shared" si="1"/>
        <v>3850</v>
      </c>
      <c r="L13" s="1">
        <f t="shared" ref="L13:L22" ca="1" si="21">IF(F13=0,0,(TODAY()-A13))</f>
        <v>87</v>
      </c>
      <c r="M13">
        <f t="shared" si="2"/>
        <v>2780.8307486637796</v>
      </c>
      <c r="N13">
        <f t="shared" si="3"/>
        <v>3850</v>
      </c>
      <c r="O13">
        <f t="shared" si="4"/>
        <v>0</v>
      </c>
      <c r="P13">
        <f t="shared" si="5"/>
        <v>0</v>
      </c>
      <c r="Q13" s="8">
        <f t="shared" si="6"/>
        <v>0</v>
      </c>
      <c r="R13" s="8">
        <f t="shared" si="7"/>
        <v>0</v>
      </c>
      <c r="S13" s="8">
        <f t="shared" si="8"/>
        <v>3850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1</v>
      </c>
      <c r="AE13">
        <f t="shared" si="19"/>
        <v>0</v>
      </c>
      <c r="AF13">
        <f t="shared" si="20"/>
        <v>0</v>
      </c>
    </row>
    <row r="14" spans="1:32" ht="15.5" x14ac:dyDescent="0.35">
      <c r="A14" s="3">
        <v>45610</v>
      </c>
      <c r="B14" s="1">
        <v>29</v>
      </c>
      <c r="C14" s="13">
        <v>9</v>
      </c>
      <c r="D14" s="1">
        <v>1</v>
      </c>
      <c r="E14" s="1" t="s">
        <v>19</v>
      </c>
      <c r="F14" s="1">
        <v>1500</v>
      </c>
      <c r="G14" s="19">
        <v>3008.4189175615916</v>
      </c>
      <c r="H14" s="1" t="s">
        <v>46</v>
      </c>
      <c r="I14" s="48"/>
      <c r="J14" s="1"/>
      <c r="K14" s="1">
        <f t="shared" si="1"/>
        <v>1500</v>
      </c>
      <c r="L14" s="1">
        <f t="shared" ca="1" si="21"/>
        <v>78</v>
      </c>
      <c r="M14">
        <f t="shared" si="2"/>
        <v>3008.4189175615916</v>
      </c>
      <c r="N14">
        <f t="shared" si="3"/>
        <v>1500</v>
      </c>
      <c r="O14">
        <f t="shared" si="4"/>
        <v>0</v>
      </c>
      <c r="P14">
        <f t="shared" si="5"/>
        <v>0</v>
      </c>
      <c r="Q14" s="8">
        <f t="shared" si="6"/>
        <v>0</v>
      </c>
      <c r="R14" s="8">
        <f t="shared" si="7"/>
        <v>0</v>
      </c>
      <c r="S14" s="8">
        <f t="shared" si="8"/>
        <v>1500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1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ht="15.5" x14ac:dyDescent="0.35">
      <c r="A15" s="3">
        <v>45611</v>
      </c>
      <c r="B15" s="1">
        <v>31</v>
      </c>
      <c r="C15" s="13">
        <v>9</v>
      </c>
      <c r="D15" s="1">
        <v>1</v>
      </c>
      <c r="E15" s="1" t="s">
        <v>19</v>
      </c>
      <c r="F15" s="1">
        <v>2533</v>
      </c>
      <c r="G15" s="19">
        <v>3073.3118645728646</v>
      </c>
      <c r="H15" s="1" t="s">
        <v>46</v>
      </c>
      <c r="I15" s="47"/>
      <c r="J15" s="1"/>
      <c r="K15" s="1">
        <f t="shared" ref="K15:K19" si="22">F15-J15</f>
        <v>2533</v>
      </c>
      <c r="L15" s="1">
        <f t="shared" ca="1" si="21"/>
        <v>77</v>
      </c>
      <c r="M15">
        <f t="shared" ref="M15:M19" si="23">IF(E15="T",G15,0)</f>
        <v>3073.3118645728646</v>
      </c>
      <c r="N15">
        <f t="shared" ref="N15:N19" si="24">IF(E15="T",K15,0)</f>
        <v>2533</v>
      </c>
      <c r="O15">
        <f t="shared" ref="O15:O19" si="25">IF(E15="B",G15,0)</f>
        <v>0</v>
      </c>
      <c r="P15">
        <f t="shared" ref="P15:P19" si="26">IF(E15="B",K15,0)</f>
        <v>0</v>
      </c>
      <c r="Q15" s="8">
        <f t="shared" si="6"/>
        <v>0</v>
      </c>
      <c r="R15" s="8">
        <f t="shared" si="7"/>
        <v>0</v>
      </c>
      <c r="S15" s="8">
        <f t="shared" si="8"/>
        <v>2533</v>
      </c>
      <c r="U15">
        <f t="shared" ref="U15:U19" si="27">IF(C15=1,1,0)</f>
        <v>0</v>
      </c>
      <c r="V15">
        <f t="shared" ref="V15:V19" si="28">IF(C15=2,1,0)</f>
        <v>0</v>
      </c>
      <c r="W15">
        <f t="shared" ref="W15:W19" si="29">IF(C15=3,1,0)</f>
        <v>0</v>
      </c>
      <c r="X15">
        <f t="shared" ref="X15:X19" si="30">IF(C15=4,1,0)</f>
        <v>0</v>
      </c>
      <c r="Y15">
        <f t="shared" ref="Y15:Y19" si="31">IF(C15=5,1,0)</f>
        <v>0</v>
      </c>
      <c r="Z15">
        <f t="shared" ref="Z15:Z19" si="32">IF(C15=6,1,0)</f>
        <v>0</v>
      </c>
      <c r="AA15">
        <f t="shared" ref="AA15:AA19" si="33">IF(C15=7,1,0)</f>
        <v>0</v>
      </c>
      <c r="AB15">
        <f t="shared" ref="AB15:AB19" si="34">IF(C15=8,1,0)</f>
        <v>0</v>
      </c>
      <c r="AC15">
        <f t="shared" ref="AC15:AC19" si="35">IF(C15=9,1,0)</f>
        <v>1</v>
      </c>
      <c r="AD15">
        <f t="shared" ref="AD15:AD19" si="36">IF(C15=10,1,0)</f>
        <v>0</v>
      </c>
      <c r="AE15">
        <f t="shared" ref="AE15:AE19" si="37">IF(C15="SILO",1,0)</f>
        <v>0</v>
      </c>
      <c r="AF15">
        <f t="shared" ref="AF15:AF19" si="38">IF(C15="CB",1,0)</f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48"/>
      <c r="J16" s="1"/>
      <c r="K16" s="1">
        <f t="shared" si="22"/>
        <v>0</v>
      </c>
      <c r="L16" s="1">
        <f ca="1">IF(F16=0,0,(TODAY()-A16))</f>
        <v>0</v>
      </c>
      <c r="M16">
        <f t="shared" si="23"/>
        <v>0</v>
      </c>
      <c r="N16">
        <f t="shared" si="24"/>
        <v>0</v>
      </c>
      <c r="O16">
        <f t="shared" si="25"/>
        <v>0</v>
      </c>
      <c r="P16">
        <f t="shared" si="26"/>
        <v>0</v>
      </c>
      <c r="Q16" s="8">
        <f t="shared" si="6"/>
        <v>0</v>
      </c>
      <c r="R16" s="8">
        <f t="shared" si="7"/>
        <v>0</v>
      </c>
      <c r="S16" s="8">
        <f t="shared" si="8"/>
        <v>0</v>
      </c>
      <c r="U16">
        <f t="shared" si="27"/>
        <v>0</v>
      </c>
      <c r="V16">
        <f t="shared" si="28"/>
        <v>0</v>
      </c>
      <c r="W16">
        <f t="shared" si="29"/>
        <v>0</v>
      </c>
      <c r="X16">
        <f t="shared" si="30"/>
        <v>0</v>
      </c>
      <c r="Y16">
        <f t="shared" si="31"/>
        <v>0</v>
      </c>
      <c r="Z16">
        <f t="shared" si="32"/>
        <v>0</v>
      </c>
      <c r="AA16">
        <f t="shared" si="33"/>
        <v>0</v>
      </c>
      <c r="AB16">
        <f t="shared" si="34"/>
        <v>0</v>
      </c>
      <c r="AC16">
        <f t="shared" si="35"/>
        <v>0</v>
      </c>
      <c r="AD16">
        <f t="shared" si="36"/>
        <v>0</v>
      </c>
      <c r="AE16">
        <f t="shared" si="37"/>
        <v>0</v>
      </c>
      <c r="AF16">
        <f t="shared" si="38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48"/>
      <c r="J17" s="1"/>
      <c r="K17" s="1">
        <f t="shared" si="22"/>
        <v>0</v>
      </c>
      <c r="L17" s="1">
        <f t="shared" ref="L17:L19" ca="1" si="39">IF(F17=0,0,(TODAY()-A17))</f>
        <v>0</v>
      </c>
      <c r="M17">
        <f t="shared" si="23"/>
        <v>0</v>
      </c>
      <c r="N17">
        <f t="shared" si="24"/>
        <v>0</v>
      </c>
      <c r="O17">
        <f t="shared" si="25"/>
        <v>0</v>
      </c>
      <c r="P17">
        <f t="shared" si="26"/>
        <v>0</v>
      </c>
      <c r="Q17" s="8">
        <f t="shared" si="6"/>
        <v>0</v>
      </c>
      <c r="R17" s="8">
        <f t="shared" si="7"/>
        <v>0</v>
      </c>
      <c r="S17" s="8">
        <f t="shared" si="8"/>
        <v>0</v>
      </c>
      <c r="U17">
        <f t="shared" si="27"/>
        <v>0</v>
      </c>
      <c r="V17">
        <f t="shared" si="28"/>
        <v>0</v>
      </c>
      <c r="W17">
        <f t="shared" si="29"/>
        <v>0</v>
      </c>
      <c r="X17">
        <f t="shared" si="30"/>
        <v>0</v>
      </c>
      <c r="Y17">
        <f t="shared" si="31"/>
        <v>0</v>
      </c>
      <c r="Z17">
        <f t="shared" si="32"/>
        <v>0</v>
      </c>
      <c r="AA17">
        <f t="shared" si="33"/>
        <v>0</v>
      </c>
      <c r="AB17">
        <f t="shared" si="34"/>
        <v>0</v>
      </c>
      <c r="AC17">
        <f t="shared" si="35"/>
        <v>0</v>
      </c>
      <c r="AD17">
        <f t="shared" si="36"/>
        <v>0</v>
      </c>
      <c r="AE17">
        <f t="shared" si="37"/>
        <v>0</v>
      </c>
      <c r="AF17">
        <f t="shared" si="38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48"/>
      <c r="J18" s="1"/>
      <c r="K18" s="1">
        <f t="shared" ref="K18" si="40">F18-J18</f>
        <v>0</v>
      </c>
      <c r="L18" s="1">
        <f t="shared" ref="L18" ca="1" si="41">IF(F18=0,0,(TODAY()-A18))</f>
        <v>0</v>
      </c>
      <c r="M18">
        <f t="shared" ref="M18" si="42">IF(E18="T",G18,0)</f>
        <v>0</v>
      </c>
      <c r="N18">
        <f t="shared" ref="N18" si="43">IF(E18="T",K18,0)</f>
        <v>0</v>
      </c>
      <c r="O18">
        <f t="shared" ref="O18" si="44">IF(E18="B",G18,0)</f>
        <v>0</v>
      </c>
      <c r="P18">
        <f t="shared" ref="P18" si="45">IF(E18="B",K18,0)</f>
        <v>0</v>
      </c>
      <c r="Q18" s="8">
        <f t="shared" si="6"/>
        <v>0</v>
      </c>
      <c r="R18" s="8">
        <f t="shared" si="7"/>
        <v>0</v>
      </c>
      <c r="S18" s="8">
        <f t="shared" si="8"/>
        <v>0</v>
      </c>
      <c r="U18">
        <f t="shared" ref="U18" si="46">IF(C18=1,1,0)</f>
        <v>0</v>
      </c>
      <c r="V18">
        <f t="shared" ref="V18" si="47">IF(C18=2,1,0)</f>
        <v>0</v>
      </c>
      <c r="W18">
        <f t="shared" ref="W18" si="48">IF(C18=3,1,0)</f>
        <v>0</v>
      </c>
      <c r="X18">
        <f t="shared" ref="X18" si="49">IF(C18=4,1,0)</f>
        <v>0</v>
      </c>
      <c r="Y18">
        <f t="shared" ref="Y18" si="50">IF(C18=5,1,0)</f>
        <v>0</v>
      </c>
      <c r="Z18">
        <f t="shared" ref="Z18" si="51">IF(C18=6,1,0)</f>
        <v>0</v>
      </c>
      <c r="AA18">
        <f t="shared" ref="AA18" si="52">IF(C18=7,1,0)</f>
        <v>0</v>
      </c>
      <c r="AB18">
        <f t="shared" ref="AB18" si="53">IF(C18=8,1,0)</f>
        <v>0</v>
      </c>
      <c r="AC18">
        <f t="shared" ref="AC18" si="54">IF(C18=9,1,0)</f>
        <v>0</v>
      </c>
      <c r="AD18">
        <f t="shared" ref="AD18" si="55">IF(C18=10,1,0)</f>
        <v>0</v>
      </c>
      <c r="AE18">
        <f t="shared" ref="AE18" si="56">IF(C18="SILO",1,0)</f>
        <v>0</v>
      </c>
      <c r="AF18">
        <f t="shared" ref="AF18" si="57">IF(C18="CB",1,0)</f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48"/>
      <c r="J19" s="1"/>
      <c r="K19" s="1">
        <f t="shared" si="22"/>
        <v>0</v>
      </c>
      <c r="L19" s="1">
        <f t="shared" ca="1" si="39"/>
        <v>0</v>
      </c>
      <c r="M19">
        <f t="shared" si="23"/>
        <v>0</v>
      </c>
      <c r="N19">
        <f t="shared" si="24"/>
        <v>0</v>
      </c>
      <c r="O19">
        <f t="shared" si="25"/>
        <v>0</v>
      </c>
      <c r="P19">
        <f t="shared" si="26"/>
        <v>0</v>
      </c>
      <c r="Q19" s="8">
        <f t="shared" si="6"/>
        <v>0</v>
      </c>
      <c r="R19" s="8">
        <f t="shared" si="7"/>
        <v>0</v>
      </c>
      <c r="S19" s="8">
        <f t="shared" si="8"/>
        <v>0</v>
      </c>
      <c r="U19">
        <f t="shared" si="27"/>
        <v>0</v>
      </c>
      <c r="V19">
        <f t="shared" si="28"/>
        <v>0</v>
      </c>
      <c r="W19">
        <f t="shared" si="29"/>
        <v>0</v>
      </c>
      <c r="X19">
        <f t="shared" si="30"/>
        <v>0</v>
      </c>
      <c r="Y19">
        <f t="shared" si="31"/>
        <v>0</v>
      </c>
      <c r="Z19">
        <f t="shared" si="32"/>
        <v>0</v>
      </c>
      <c r="AA19">
        <f t="shared" si="33"/>
        <v>0</v>
      </c>
      <c r="AB19">
        <f t="shared" si="34"/>
        <v>0</v>
      </c>
      <c r="AC19">
        <f t="shared" si="35"/>
        <v>0</v>
      </c>
      <c r="AD19">
        <f t="shared" si="36"/>
        <v>0</v>
      </c>
      <c r="AE19">
        <f t="shared" si="37"/>
        <v>0</v>
      </c>
      <c r="AF19">
        <f t="shared" si="38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48"/>
      <c r="J20" s="1"/>
      <c r="K20" s="1">
        <f t="shared" si="1"/>
        <v>0</v>
      </c>
      <c r="L20" s="1">
        <f t="shared" ca="1" si="21"/>
        <v>0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0</v>
      </c>
      <c r="Q20" s="8">
        <f t="shared" si="6"/>
        <v>0</v>
      </c>
      <c r="R20" s="8">
        <f t="shared" si="7"/>
        <v>0</v>
      </c>
      <c r="S20" s="8">
        <f t="shared" si="8"/>
        <v>0</v>
      </c>
      <c r="U20">
        <f t="shared" si="9"/>
        <v>0</v>
      </c>
      <c r="V20">
        <f t="shared" si="10"/>
        <v>0</v>
      </c>
      <c r="W20">
        <f t="shared" si="11"/>
        <v>0</v>
      </c>
      <c r="X20">
        <f t="shared" si="12"/>
        <v>0</v>
      </c>
      <c r="Y20">
        <f t="shared" si="13"/>
        <v>0</v>
      </c>
      <c r="Z20">
        <f t="shared" si="14"/>
        <v>0</v>
      </c>
      <c r="AA20">
        <f t="shared" si="15"/>
        <v>0</v>
      </c>
      <c r="AB20">
        <f t="shared" si="16"/>
        <v>0</v>
      </c>
      <c r="AC20">
        <f t="shared" si="17"/>
        <v>0</v>
      </c>
      <c r="AD20">
        <f t="shared" si="18"/>
        <v>0</v>
      </c>
      <c r="AE20">
        <f t="shared" si="19"/>
        <v>0</v>
      </c>
      <c r="AF20">
        <f t="shared" si="20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48"/>
      <c r="J21" s="1"/>
      <c r="K21" s="1">
        <f t="shared" si="1"/>
        <v>0</v>
      </c>
      <c r="L21" s="1">
        <f t="shared" ca="1" si="21"/>
        <v>0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0</v>
      </c>
      <c r="Q21" s="8">
        <f t="shared" si="6"/>
        <v>0</v>
      </c>
      <c r="R21" s="8">
        <f t="shared" si="7"/>
        <v>0</v>
      </c>
      <c r="S21" s="8">
        <f t="shared" si="8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f t="shared" si="12"/>
        <v>0</v>
      </c>
      <c r="Y21">
        <f t="shared" si="13"/>
        <v>0</v>
      </c>
      <c r="Z21">
        <f t="shared" si="14"/>
        <v>0</v>
      </c>
      <c r="AA21">
        <f t="shared" si="15"/>
        <v>0</v>
      </c>
      <c r="AB21">
        <f t="shared" si="16"/>
        <v>0</v>
      </c>
      <c r="AC21">
        <f t="shared" si="17"/>
        <v>0</v>
      </c>
      <c r="AD21">
        <f t="shared" si="18"/>
        <v>0</v>
      </c>
      <c r="AE21">
        <f t="shared" si="19"/>
        <v>0</v>
      </c>
      <c r="AF21">
        <f t="shared" si="20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48"/>
      <c r="J22" s="1"/>
      <c r="K22" s="1">
        <f t="shared" si="1"/>
        <v>0</v>
      </c>
      <c r="L22" s="1">
        <f t="shared" ca="1" si="21"/>
        <v>0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0</v>
      </c>
      <c r="Q22" s="8">
        <f t="shared" si="6"/>
        <v>0</v>
      </c>
      <c r="R22" s="8">
        <f t="shared" si="7"/>
        <v>0</v>
      </c>
      <c r="S22" s="8">
        <f t="shared" si="8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29383</v>
      </c>
      <c r="G23" s="4"/>
      <c r="H23" s="4"/>
      <c r="J23" s="8" t="s">
        <v>20</v>
      </c>
      <c r="K23" s="1">
        <f>SUM(K6:K22)</f>
        <v>29383</v>
      </c>
      <c r="L23" s="26">
        <f>IF(U$23&gt;=1,1,0)</f>
        <v>1</v>
      </c>
      <c r="N23">
        <f t="shared" si="3"/>
        <v>0</v>
      </c>
      <c r="P23">
        <f t="shared" si="5"/>
        <v>0</v>
      </c>
      <c r="U23">
        <f>SUM(U6:U22)</f>
        <v>3</v>
      </c>
      <c r="V23">
        <f t="shared" ref="V23:AF23" si="58">SUM(V6:V22)</f>
        <v>0</v>
      </c>
      <c r="W23">
        <f t="shared" si="58"/>
        <v>0</v>
      </c>
      <c r="X23">
        <f t="shared" si="58"/>
        <v>0</v>
      </c>
      <c r="Y23">
        <f t="shared" si="58"/>
        <v>3</v>
      </c>
      <c r="Z23">
        <f t="shared" si="58"/>
        <v>0</v>
      </c>
      <c r="AA23">
        <f t="shared" si="58"/>
        <v>0</v>
      </c>
      <c r="AB23">
        <f t="shared" si="58"/>
        <v>0</v>
      </c>
      <c r="AC23">
        <f t="shared" si="58"/>
        <v>2</v>
      </c>
      <c r="AD23">
        <f t="shared" si="58"/>
        <v>2</v>
      </c>
      <c r="AE23">
        <f t="shared" si="58"/>
        <v>0</v>
      </c>
      <c r="AF23">
        <f t="shared" si="58"/>
        <v>0</v>
      </c>
    </row>
    <row r="24" spans="1:32" x14ac:dyDescent="0.35">
      <c r="J24" s="8" t="s">
        <v>21</v>
      </c>
      <c r="K24" s="5">
        <f>SUMPRODUCT(K6:K22,G6:G22)/SUM(K6:K22)</f>
        <v>2972.2110791757691</v>
      </c>
      <c r="L24" s="26">
        <f>IF(V$23&gt;=1,1,0)</f>
        <v>0</v>
      </c>
    </row>
    <row r="25" spans="1:32" x14ac:dyDescent="0.35">
      <c r="J25" s="8" t="s">
        <v>11</v>
      </c>
      <c r="K25" s="5">
        <f>SUMPRODUCT(M6:M22,N6:N22)/SUM(N6:N22)</f>
        <v>3042.5865736510441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21723</v>
      </c>
      <c r="L26" s="26">
        <f>IF(X$23&gt;=1,1,0)</f>
        <v>0</v>
      </c>
    </row>
    <row r="27" spans="1:32" x14ac:dyDescent="0.35">
      <c r="J27" s="8" t="s">
        <v>22</v>
      </c>
      <c r="K27" s="5">
        <f>SUMPRODUCT(O6:O22,P6:P22)/SUM(P6:P22)</f>
        <v>2772.6331592689294</v>
      </c>
      <c r="L27" s="26">
        <f>IF(Y$23&gt;=1,1,0)</f>
        <v>1</v>
      </c>
    </row>
    <row r="28" spans="1:32" x14ac:dyDescent="0.35">
      <c r="J28" s="8" t="s">
        <v>23</v>
      </c>
      <c r="K28" s="5">
        <f>SUM(P6:P22)</f>
        <v>7660</v>
      </c>
      <c r="L28" s="26">
        <f>IF(Z$23&gt;=1,1,0)</f>
        <v>0</v>
      </c>
    </row>
    <row r="29" spans="1:32" x14ac:dyDescent="0.35">
      <c r="J29" s="8" t="s">
        <v>24</v>
      </c>
      <c r="K29" s="1">
        <f ca="1">MAX(L6:L22)</f>
        <v>141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99.1</v>
      </c>
      <c r="L30" s="26">
        <f>IF(AB$23&gt;=1,1,0)</f>
        <v>0</v>
      </c>
    </row>
    <row r="31" spans="1:32" x14ac:dyDescent="0.35">
      <c r="J31" s="8" t="s">
        <v>528</v>
      </c>
      <c r="K31" s="1">
        <f>SUM(Q6:Q22)</f>
        <v>0</v>
      </c>
      <c r="L31" s="26">
        <f>IF(AC$23&gt;=1,1,0)</f>
        <v>1</v>
      </c>
    </row>
    <row r="32" spans="1:32" x14ac:dyDescent="0.35">
      <c r="J32" s="8" t="s">
        <v>527</v>
      </c>
      <c r="K32" s="1">
        <f>SUM(R6:R22)</f>
        <v>8163</v>
      </c>
      <c r="L32" s="26">
        <f>IF(AD$23&gt;=1,1,0)</f>
        <v>1</v>
      </c>
    </row>
    <row r="33" spans="10:12" x14ac:dyDescent="0.35">
      <c r="J33" s="8" t="s">
        <v>526</v>
      </c>
      <c r="K33" s="1">
        <f>SUM(S6:S22)</f>
        <v>21220</v>
      </c>
      <c r="L33" s="26">
        <f>IF(AE$23&gt;=1,1,0)</f>
        <v>0</v>
      </c>
    </row>
    <row r="34" spans="10:12" x14ac:dyDescent="0.35">
      <c r="L34" s="26">
        <f>IF(AF$23&gt;=1,1,0)</f>
        <v>0</v>
      </c>
    </row>
  </sheetData>
  <conditionalFormatting sqref="G6">
    <cfRule type="cellIs" dxfId="464" priority="96" operator="between">
      <formula>2500</formula>
      <formula>2000</formula>
    </cfRule>
    <cfRule type="cellIs" dxfId="463" priority="97" operator="between">
      <formula>2500</formula>
      <formula>3000</formula>
    </cfRule>
    <cfRule type="cellIs" dxfId="462" priority="98" operator="between">
      <formula>3000</formula>
      <formula>3200</formula>
    </cfRule>
    <cfRule type="cellIs" dxfId="461" priority="100" operator="between">
      <formula>3200</formula>
      <formula>3600</formula>
    </cfRule>
  </conditionalFormatting>
  <conditionalFormatting sqref="G6:G13">
    <cfRule type="cellIs" dxfId="460" priority="34" operator="greaterThan">
      <formula>3600</formula>
    </cfRule>
  </conditionalFormatting>
  <conditionalFormatting sqref="G6:H13">
    <cfRule type="cellIs" dxfId="459" priority="16" operator="between">
      <formula>2500</formula>
      <formula>2000</formula>
    </cfRule>
    <cfRule type="cellIs" dxfId="458" priority="17" operator="between">
      <formula>2500</formula>
      <formula>3000</formula>
    </cfRule>
    <cfRule type="cellIs" dxfId="457" priority="18" operator="between">
      <formula>3000</formula>
      <formula>3200</formula>
    </cfRule>
    <cfRule type="cellIs" dxfId="456" priority="20" operator="between">
      <formula>3200</formula>
      <formula>3600</formula>
    </cfRule>
  </conditionalFormatting>
  <conditionalFormatting sqref="G16:H23">
    <cfRule type="cellIs" dxfId="455" priority="101" operator="between">
      <formula>2500</formula>
      <formula>2000</formula>
    </cfRule>
    <cfRule type="cellIs" dxfId="454" priority="102" operator="between">
      <formula>2500</formula>
      <formula>3000</formula>
    </cfRule>
    <cfRule type="cellIs" dxfId="453" priority="103" operator="between">
      <formula>3000</formula>
      <formula>3200</formula>
    </cfRule>
    <cfRule type="cellIs" dxfId="452" priority="104" operator="greaterThan">
      <formula>3600</formula>
    </cfRule>
    <cfRule type="cellIs" dxfId="451" priority="105" operator="between">
      <formula>3200</formula>
      <formula>3600</formula>
    </cfRule>
  </conditionalFormatting>
  <conditionalFormatting sqref="H6:H15">
    <cfRule type="cellIs" dxfId="450" priority="4" operator="greaterThan">
      <formula>3600</formula>
    </cfRule>
  </conditionalFormatting>
  <conditionalFormatting sqref="H14:H15">
    <cfRule type="cellIs" dxfId="449" priority="1" operator="between">
      <formula>2500</formula>
      <formula>2000</formula>
    </cfRule>
    <cfRule type="cellIs" dxfId="448" priority="2" operator="between">
      <formula>2500</formula>
      <formula>3000</formula>
    </cfRule>
    <cfRule type="cellIs" dxfId="447" priority="3" operator="between">
      <formula>3000</formula>
      <formula>3200</formula>
    </cfRule>
    <cfRule type="cellIs" dxfId="446" priority="5" operator="between">
      <formula>3200</formula>
      <formula>3600</formula>
    </cfRule>
  </conditionalFormatting>
  <conditionalFormatting sqref="K25">
    <cfRule type="cellIs" dxfId="445" priority="125" operator="lessThan">
      <formula>2500</formula>
    </cfRule>
    <cfRule type="cellIs" dxfId="444" priority="126" operator="between">
      <formula>2500</formula>
      <formula>3000</formula>
    </cfRule>
    <cfRule type="cellIs" dxfId="443" priority="127" operator="between">
      <formula>3000</formula>
      <formula>3200</formula>
    </cfRule>
    <cfRule type="cellIs" dxfId="442" priority="128" operator="greaterThan">
      <formula>3600</formula>
    </cfRule>
    <cfRule type="cellIs" dxfId="441" priority="129" operator="between">
      <formula>3200</formula>
      <formula>3600</formula>
    </cfRule>
  </conditionalFormatting>
  <conditionalFormatting sqref="K27">
    <cfRule type="cellIs" dxfId="440" priority="120" operator="lessThan">
      <formula>2500</formula>
    </cfRule>
    <cfRule type="cellIs" dxfId="439" priority="121" operator="between">
      <formula>2500</formula>
      <formula>3000</formula>
    </cfRule>
    <cfRule type="cellIs" dxfId="438" priority="122" operator="between">
      <formula>3000</formula>
      <formula>3200</formula>
    </cfRule>
    <cfRule type="cellIs" dxfId="437" priority="123" operator="greaterThan">
      <formula>3600</formula>
    </cfRule>
    <cfRule type="cellIs" dxfId="436" priority="124" operator="between">
      <formula>3200</formula>
      <formula>3600</formula>
    </cfRule>
  </conditionalFormatting>
  <conditionalFormatting sqref="L6:L34">
    <cfRule type="cellIs" dxfId="435" priority="106" operator="greaterThan">
      <formula>10</formula>
    </cfRule>
  </conditionalFormatting>
  <hyperlinks>
    <hyperlink ref="A3" location="'summery '!A1" display="summery " xr:uid="{00000000-0004-0000-0400-000000000000}"/>
  </hyperlink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F34"/>
  <sheetViews>
    <sheetView zoomScale="54" zoomScaleNormal="54" workbookViewId="0"/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5.54296875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6" width="9.1796875" customWidth="1"/>
    <col min="17" max="17" width="18.54296875" customWidth="1"/>
    <col min="18" max="18" width="19.81640625" customWidth="1"/>
    <col min="19" max="19" width="17" customWidth="1"/>
    <col min="20" max="37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1" t="s">
        <v>540</v>
      </c>
      <c r="R5" s="1" t="s">
        <v>527</v>
      </c>
      <c r="S5" s="1" t="s">
        <v>526</v>
      </c>
    </row>
    <row r="6" spans="1:32" ht="15.5" x14ac:dyDescent="0.35">
      <c r="A6" s="3">
        <v>45583</v>
      </c>
      <c r="B6" s="1">
        <v>35</v>
      </c>
      <c r="C6" s="1" t="s">
        <v>70</v>
      </c>
      <c r="D6" s="1">
        <v>1</v>
      </c>
      <c r="E6" s="1" t="s">
        <v>18</v>
      </c>
      <c r="F6" s="1">
        <v>2800</v>
      </c>
      <c r="G6" s="19">
        <v>3523</v>
      </c>
      <c r="H6" s="1" t="s">
        <v>46</v>
      </c>
      <c r="I6" s="3"/>
      <c r="J6" s="1"/>
      <c r="K6" s="1">
        <f>F6-J6</f>
        <v>2800</v>
      </c>
      <c r="L6" s="1">
        <f t="shared" ref="L6:L11" ca="1" si="0">IF(F6=0,0,(TODAY()-A6))</f>
        <v>105</v>
      </c>
      <c r="M6">
        <f>IF(E6="T",G6,0)</f>
        <v>0</v>
      </c>
      <c r="N6">
        <f>IF(E6="T",K6,0)</f>
        <v>0</v>
      </c>
      <c r="O6">
        <f>IF(E6="B",G6,0)</f>
        <v>3523</v>
      </c>
      <c r="P6">
        <f>IF(E6="B",K6,0)</f>
        <v>2800</v>
      </c>
      <c r="Q6" s="8">
        <f>IF(G6&gt;3500,K6,0)</f>
        <v>2800</v>
      </c>
      <c r="R6" s="8">
        <f>IF(AND(G6&gt;=3100,G6&lt;=3500),K6,0)</f>
        <v>0</v>
      </c>
      <c r="S6" s="8">
        <f>IF(G6&lt;3100,K6,0)</f>
        <v>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0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1</v>
      </c>
      <c r="AF6">
        <f>IF(C6="CB",1,0)</f>
        <v>0</v>
      </c>
    </row>
    <row r="7" spans="1:32" ht="15.5" x14ac:dyDescent="0.35">
      <c r="A7" s="3">
        <v>45588</v>
      </c>
      <c r="B7" s="1">
        <v>52</v>
      </c>
      <c r="C7" s="1" t="s">
        <v>70</v>
      </c>
      <c r="D7" s="1">
        <v>1</v>
      </c>
      <c r="E7" s="1" t="s">
        <v>18</v>
      </c>
      <c r="F7" s="1">
        <v>3716</v>
      </c>
      <c r="G7" s="19">
        <v>3574.0336261020148</v>
      </c>
      <c r="H7" s="1" t="s">
        <v>46</v>
      </c>
      <c r="I7" s="3"/>
      <c r="J7" s="1"/>
      <c r="K7" s="1">
        <f t="shared" ref="K7:K22" si="1">F7-J7</f>
        <v>3716</v>
      </c>
      <c r="L7" s="1">
        <f t="shared" ca="1" si="0"/>
        <v>100</v>
      </c>
      <c r="M7">
        <f t="shared" ref="M7:M22" si="2">IF(E7="T",G7,0)</f>
        <v>0</v>
      </c>
      <c r="N7">
        <f t="shared" ref="N7:N23" si="3">IF(E7="T",K7,0)</f>
        <v>0</v>
      </c>
      <c r="O7">
        <f t="shared" ref="O7:O22" si="4">IF(E7="B",G7,0)</f>
        <v>3574.0336261020148</v>
      </c>
      <c r="P7">
        <f t="shared" ref="P7:P23" si="5">IF(E7="B",K7,0)</f>
        <v>3716</v>
      </c>
      <c r="Q7" s="8">
        <f t="shared" ref="Q7:Q22" si="6">IF(G7&gt;3500,K7,0)</f>
        <v>3716</v>
      </c>
      <c r="R7" s="8">
        <f t="shared" ref="R7:R22" si="7">IF(AND(G7&gt;=3100,G7&lt;=3500),K7,0)</f>
        <v>0</v>
      </c>
      <c r="S7" s="8">
        <f t="shared" ref="S7:S22" si="8">IF(G7&lt;3100,K7,0)</f>
        <v>0</v>
      </c>
      <c r="U7">
        <f t="shared" ref="U7:U22" si="9">IF(C7=1,1,0)</f>
        <v>0</v>
      </c>
      <c r="V7">
        <f t="shared" ref="V7:V22" si="10">IF(C7=2,1,0)</f>
        <v>0</v>
      </c>
      <c r="W7">
        <f t="shared" ref="W7:W22" si="11">IF(C7=3,1,0)</f>
        <v>0</v>
      </c>
      <c r="X7">
        <f t="shared" ref="X7:X22" si="12">IF(C7=4,1,0)</f>
        <v>0</v>
      </c>
      <c r="Y7">
        <f t="shared" ref="Y7:Y22" si="13">IF(C7=5,1,0)</f>
        <v>0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0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1</v>
      </c>
      <c r="AF7">
        <f t="shared" ref="AF7:AF22" si="20">IF(C7="CB",1,0)</f>
        <v>0</v>
      </c>
    </row>
    <row r="8" spans="1:32" ht="15.5" x14ac:dyDescent="0.35">
      <c r="A8" s="3">
        <v>45589</v>
      </c>
      <c r="B8" s="1">
        <v>57</v>
      </c>
      <c r="C8" s="1" t="s">
        <v>70</v>
      </c>
      <c r="D8" s="1">
        <v>1</v>
      </c>
      <c r="E8" s="1" t="s">
        <v>19</v>
      </c>
      <c r="F8" s="1">
        <v>4308</v>
      </c>
      <c r="G8" s="19">
        <v>3653</v>
      </c>
      <c r="H8" s="1" t="s">
        <v>46</v>
      </c>
      <c r="I8" s="3"/>
      <c r="J8" s="1"/>
      <c r="K8" s="1">
        <f t="shared" si="1"/>
        <v>4308</v>
      </c>
      <c r="L8" s="1">
        <f t="shared" ca="1" si="0"/>
        <v>99</v>
      </c>
      <c r="M8">
        <f t="shared" si="2"/>
        <v>3653</v>
      </c>
      <c r="N8">
        <f t="shared" si="3"/>
        <v>4308</v>
      </c>
      <c r="O8">
        <f t="shared" si="4"/>
        <v>0</v>
      </c>
      <c r="P8">
        <f t="shared" si="5"/>
        <v>0</v>
      </c>
      <c r="Q8" s="8">
        <f t="shared" si="6"/>
        <v>4308</v>
      </c>
      <c r="R8" s="8">
        <f t="shared" si="7"/>
        <v>0</v>
      </c>
      <c r="S8" s="8">
        <f t="shared" si="8"/>
        <v>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1</v>
      </c>
      <c r="AF8">
        <f t="shared" si="20"/>
        <v>0</v>
      </c>
    </row>
    <row r="9" spans="1:32" ht="15.5" x14ac:dyDescent="0.35">
      <c r="A9" s="3">
        <v>45590</v>
      </c>
      <c r="B9" s="1">
        <v>62</v>
      </c>
      <c r="C9" s="1" t="s">
        <v>70</v>
      </c>
      <c r="D9" s="1">
        <v>1</v>
      </c>
      <c r="E9" s="1" t="s">
        <v>19</v>
      </c>
      <c r="F9" s="1">
        <v>2500</v>
      </c>
      <c r="G9" s="19">
        <v>3274.9979466583259</v>
      </c>
      <c r="H9" s="1" t="s">
        <v>46</v>
      </c>
      <c r="I9" s="3"/>
      <c r="J9" s="1"/>
      <c r="K9" s="1">
        <f t="shared" si="1"/>
        <v>2500</v>
      </c>
      <c r="L9" s="1">
        <f t="shared" ca="1" si="0"/>
        <v>98</v>
      </c>
      <c r="M9">
        <f t="shared" si="2"/>
        <v>3274.9979466583259</v>
      </c>
      <c r="N9">
        <f t="shared" si="3"/>
        <v>2500</v>
      </c>
      <c r="O9">
        <f t="shared" si="4"/>
        <v>0</v>
      </c>
      <c r="P9">
        <f t="shared" si="5"/>
        <v>0</v>
      </c>
      <c r="Q9" s="8">
        <f t="shared" si="6"/>
        <v>0</v>
      </c>
      <c r="R9" s="8">
        <f t="shared" si="7"/>
        <v>2500</v>
      </c>
      <c r="S9" s="8">
        <f t="shared" si="8"/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1</v>
      </c>
      <c r="AF9">
        <f t="shared" si="20"/>
        <v>0</v>
      </c>
    </row>
    <row r="10" spans="1:32" ht="15.5" x14ac:dyDescent="0.35">
      <c r="A10" s="3">
        <v>45590</v>
      </c>
      <c r="B10" s="1">
        <v>63</v>
      </c>
      <c r="C10" s="1" t="s">
        <v>70</v>
      </c>
      <c r="D10" s="1">
        <v>1</v>
      </c>
      <c r="E10" s="1" t="s">
        <v>19</v>
      </c>
      <c r="F10" s="1">
        <v>2700</v>
      </c>
      <c r="G10" s="19">
        <v>3585.3348026321291</v>
      </c>
      <c r="H10" s="1" t="s">
        <v>46</v>
      </c>
      <c r="I10" s="1"/>
      <c r="J10" s="1"/>
      <c r="K10" s="1">
        <f t="shared" si="1"/>
        <v>2700</v>
      </c>
      <c r="L10" s="1">
        <f t="shared" ca="1" si="0"/>
        <v>98</v>
      </c>
      <c r="M10">
        <f t="shared" si="2"/>
        <v>3585.3348026321291</v>
      </c>
      <c r="N10">
        <f t="shared" si="3"/>
        <v>2700</v>
      </c>
      <c r="O10">
        <f t="shared" si="4"/>
        <v>0</v>
      </c>
      <c r="P10">
        <f t="shared" si="5"/>
        <v>0</v>
      </c>
      <c r="Q10" s="8">
        <f t="shared" si="6"/>
        <v>2700</v>
      </c>
      <c r="R10" s="8">
        <f t="shared" si="7"/>
        <v>0</v>
      </c>
      <c r="S10" s="8">
        <f t="shared" si="8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1</v>
      </c>
      <c r="AF10">
        <f t="shared" si="20"/>
        <v>0</v>
      </c>
    </row>
    <row r="11" spans="1:32" x14ac:dyDescent="0.35">
      <c r="A11" s="3">
        <v>45598</v>
      </c>
      <c r="B11" s="1">
        <v>86</v>
      </c>
      <c r="C11" s="1" t="s">
        <v>70</v>
      </c>
      <c r="D11" s="1">
        <v>1</v>
      </c>
      <c r="E11" s="1" t="s">
        <v>19</v>
      </c>
      <c r="F11" s="1">
        <v>1172</v>
      </c>
      <c r="G11" s="4">
        <v>3237</v>
      </c>
      <c r="H11" s="1" t="s">
        <v>46</v>
      </c>
      <c r="I11" s="3"/>
      <c r="J11" s="1"/>
      <c r="K11" s="1">
        <f t="shared" si="1"/>
        <v>1172</v>
      </c>
      <c r="L11" s="1">
        <f t="shared" ca="1" si="0"/>
        <v>90</v>
      </c>
      <c r="M11">
        <f t="shared" si="2"/>
        <v>3237</v>
      </c>
      <c r="N11">
        <f t="shared" si="3"/>
        <v>1172</v>
      </c>
      <c r="O11">
        <f t="shared" si="4"/>
        <v>0</v>
      </c>
      <c r="P11">
        <f t="shared" si="5"/>
        <v>0</v>
      </c>
      <c r="Q11" s="8">
        <f t="shared" si="6"/>
        <v>0</v>
      </c>
      <c r="R11" s="8">
        <f t="shared" si="7"/>
        <v>1172</v>
      </c>
      <c r="S11" s="8">
        <f t="shared" si="8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1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5"/>
      <c r="I12" s="1"/>
      <c r="J12" s="1"/>
      <c r="K12" s="1">
        <f t="shared" si="1"/>
        <v>0</v>
      </c>
      <c r="L12" s="1">
        <f ca="1">IF(F12=0,0,(TODAY()-A12))</f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0</v>
      </c>
      <c r="Q12" s="8">
        <f t="shared" si="6"/>
        <v>0</v>
      </c>
      <c r="R12" s="8">
        <f t="shared" si="7"/>
        <v>0</v>
      </c>
      <c r="S12" s="8">
        <f t="shared" si="8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5"/>
      <c r="I13" s="1"/>
      <c r="J13" s="1"/>
      <c r="K13" s="1">
        <f t="shared" si="1"/>
        <v>0</v>
      </c>
      <c r="L13" s="1">
        <f t="shared" ref="L13:L22" ca="1" si="21">IF(F13=0,0,(TODAY()-A13))</f>
        <v>0</v>
      </c>
      <c r="M13">
        <f t="shared" si="2"/>
        <v>0</v>
      </c>
      <c r="N13">
        <f t="shared" si="3"/>
        <v>0</v>
      </c>
      <c r="O13">
        <f t="shared" si="4"/>
        <v>0</v>
      </c>
      <c r="P13">
        <f t="shared" si="5"/>
        <v>0</v>
      </c>
      <c r="Q13" s="8">
        <f t="shared" si="6"/>
        <v>0</v>
      </c>
      <c r="R13" s="8">
        <f t="shared" si="7"/>
        <v>0</v>
      </c>
      <c r="S13" s="8">
        <f t="shared" si="8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1"/>
        <v>0</v>
      </c>
      <c r="L14" s="1">
        <f t="shared" ca="1" si="21"/>
        <v>0</v>
      </c>
      <c r="M14">
        <f t="shared" si="2"/>
        <v>0</v>
      </c>
      <c r="N14">
        <f t="shared" si="3"/>
        <v>0</v>
      </c>
      <c r="O14">
        <f t="shared" si="4"/>
        <v>0</v>
      </c>
      <c r="P14">
        <f t="shared" si="5"/>
        <v>0</v>
      </c>
      <c r="Q14" s="8">
        <f t="shared" si="6"/>
        <v>0</v>
      </c>
      <c r="R14" s="8">
        <f t="shared" si="7"/>
        <v>0</v>
      </c>
      <c r="S14" s="8">
        <f t="shared" si="8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/>
      <c r="B15" s="1"/>
      <c r="C15" s="1"/>
      <c r="D15" s="1"/>
      <c r="E15" s="1"/>
      <c r="F15" s="1"/>
      <c r="G15" s="4"/>
      <c r="H15" s="4"/>
      <c r="I15" s="1"/>
      <c r="J15" s="1"/>
      <c r="K15" s="1">
        <f t="shared" ref="K15:K19" si="22">F15-J15</f>
        <v>0</v>
      </c>
      <c r="L15" s="1">
        <f t="shared" ca="1" si="21"/>
        <v>0</v>
      </c>
      <c r="M15">
        <f t="shared" ref="M15:M19" si="23">IF(E15="T",G15,0)</f>
        <v>0</v>
      </c>
      <c r="N15">
        <f t="shared" ref="N15:N19" si="24">IF(E15="T",K15,0)</f>
        <v>0</v>
      </c>
      <c r="O15">
        <f t="shared" ref="O15:O19" si="25">IF(E15="B",G15,0)</f>
        <v>0</v>
      </c>
      <c r="P15">
        <f t="shared" ref="P15:P19" si="26">IF(E15="B",K15,0)</f>
        <v>0</v>
      </c>
      <c r="Q15" s="8">
        <f t="shared" si="6"/>
        <v>0</v>
      </c>
      <c r="R15" s="8">
        <f t="shared" si="7"/>
        <v>0</v>
      </c>
      <c r="S15" s="8">
        <f t="shared" si="8"/>
        <v>0</v>
      </c>
      <c r="U15">
        <f t="shared" ref="U15:U19" si="27">IF(C15=1,1,0)</f>
        <v>0</v>
      </c>
      <c r="V15">
        <f t="shared" ref="V15:V19" si="28">IF(C15=2,1,0)</f>
        <v>0</v>
      </c>
      <c r="W15">
        <f t="shared" ref="W15:W19" si="29">IF(C15=3,1,0)</f>
        <v>0</v>
      </c>
      <c r="X15">
        <f t="shared" ref="X15:X19" si="30">IF(C15=4,1,0)</f>
        <v>0</v>
      </c>
      <c r="Y15">
        <f t="shared" ref="Y15:Y19" si="31">IF(C15=5,1,0)</f>
        <v>0</v>
      </c>
      <c r="Z15">
        <f t="shared" ref="Z15:Z19" si="32">IF(C15=6,1,0)</f>
        <v>0</v>
      </c>
      <c r="AA15">
        <f t="shared" ref="AA15:AA19" si="33">IF(C15=7,1,0)</f>
        <v>0</v>
      </c>
      <c r="AB15">
        <f t="shared" ref="AB15:AB19" si="34">IF(C15=8,1,0)</f>
        <v>0</v>
      </c>
      <c r="AC15">
        <f t="shared" ref="AC15:AC19" si="35">IF(C15=9,1,0)</f>
        <v>0</v>
      </c>
      <c r="AD15">
        <f t="shared" ref="AD15:AD19" si="36">IF(C15=10,1,0)</f>
        <v>0</v>
      </c>
      <c r="AE15">
        <f t="shared" ref="AE15:AE19" si="37">IF(C15="SILO",1,0)</f>
        <v>0</v>
      </c>
      <c r="AF15">
        <f t="shared" ref="AF15:AF19" si="38">IF(C15="CB",1,0)</f>
        <v>0</v>
      </c>
    </row>
    <row r="16" spans="1:32" x14ac:dyDescent="0.35">
      <c r="A16" s="3"/>
      <c r="B16" s="1"/>
      <c r="C16" s="1"/>
      <c r="D16" s="1"/>
      <c r="E16" s="1"/>
      <c r="F16" s="1"/>
      <c r="G16" s="4"/>
      <c r="H16" s="4"/>
      <c r="I16" s="3"/>
      <c r="J16" s="1"/>
      <c r="K16" s="1">
        <f t="shared" si="22"/>
        <v>0</v>
      </c>
      <c r="L16" s="1">
        <f t="shared" ca="1" si="21"/>
        <v>0</v>
      </c>
      <c r="M16">
        <f t="shared" si="23"/>
        <v>0</v>
      </c>
      <c r="N16">
        <f t="shared" si="24"/>
        <v>0</v>
      </c>
      <c r="O16">
        <f t="shared" si="25"/>
        <v>0</v>
      </c>
      <c r="P16">
        <f t="shared" si="26"/>
        <v>0</v>
      </c>
      <c r="Q16" s="8">
        <f t="shared" si="6"/>
        <v>0</v>
      </c>
      <c r="R16" s="8">
        <f t="shared" si="7"/>
        <v>0</v>
      </c>
      <c r="S16" s="8">
        <f t="shared" si="8"/>
        <v>0</v>
      </c>
      <c r="U16">
        <f t="shared" si="27"/>
        <v>0</v>
      </c>
      <c r="V16">
        <f t="shared" si="28"/>
        <v>0</v>
      </c>
      <c r="W16">
        <f t="shared" si="29"/>
        <v>0</v>
      </c>
      <c r="X16">
        <f t="shared" si="30"/>
        <v>0</v>
      </c>
      <c r="Y16">
        <f t="shared" si="31"/>
        <v>0</v>
      </c>
      <c r="Z16">
        <f t="shared" si="32"/>
        <v>0</v>
      </c>
      <c r="AA16">
        <f t="shared" si="33"/>
        <v>0</v>
      </c>
      <c r="AB16">
        <f t="shared" si="34"/>
        <v>0</v>
      </c>
      <c r="AC16">
        <f t="shared" si="35"/>
        <v>0</v>
      </c>
      <c r="AD16">
        <f t="shared" si="36"/>
        <v>0</v>
      </c>
      <c r="AE16">
        <f t="shared" si="37"/>
        <v>0</v>
      </c>
      <c r="AF16">
        <f t="shared" si="38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si="22"/>
        <v>0</v>
      </c>
      <c r="L17" s="1">
        <f ca="1">IF(F17=0,0,(TODAY()-A17))</f>
        <v>0</v>
      </c>
      <c r="M17">
        <f t="shared" si="23"/>
        <v>0</v>
      </c>
      <c r="N17">
        <f t="shared" si="24"/>
        <v>0</v>
      </c>
      <c r="O17">
        <f t="shared" si="25"/>
        <v>0</v>
      </c>
      <c r="P17">
        <f t="shared" si="26"/>
        <v>0</v>
      </c>
      <c r="Q17" s="8">
        <f t="shared" si="6"/>
        <v>0</v>
      </c>
      <c r="R17" s="8">
        <f t="shared" si="7"/>
        <v>0</v>
      </c>
      <c r="S17" s="8">
        <f t="shared" si="8"/>
        <v>0</v>
      </c>
      <c r="U17">
        <f t="shared" si="27"/>
        <v>0</v>
      </c>
      <c r="V17">
        <f t="shared" si="28"/>
        <v>0</v>
      </c>
      <c r="W17">
        <f t="shared" si="29"/>
        <v>0</v>
      </c>
      <c r="X17">
        <f t="shared" si="30"/>
        <v>0</v>
      </c>
      <c r="Y17">
        <f t="shared" si="31"/>
        <v>0</v>
      </c>
      <c r="Z17">
        <f t="shared" si="32"/>
        <v>0</v>
      </c>
      <c r="AA17">
        <f t="shared" si="33"/>
        <v>0</v>
      </c>
      <c r="AB17">
        <f t="shared" si="34"/>
        <v>0</v>
      </c>
      <c r="AC17">
        <f t="shared" si="35"/>
        <v>0</v>
      </c>
      <c r="AD17">
        <f t="shared" si="36"/>
        <v>0</v>
      </c>
      <c r="AE17">
        <f t="shared" si="37"/>
        <v>0</v>
      </c>
      <c r="AF17">
        <f t="shared" si="38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22"/>
        <v>0</v>
      </c>
      <c r="L18" s="1">
        <f t="shared" ref="L18:L19" ca="1" si="39">IF(F18=0,0,(TODAY()-A18))</f>
        <v>0</v>
      </c>
      <c r="M18">
        <f t="shared" si="23"/>
        <v>0</v>
      </c>
      <c r="N18">
        <f t="shared" si="24"/>
        <v>0</v>
      </c>
      <c r="O18">
        <f t="shared" si="25"/>
        <v>0</v>
      </c>
      <c r="P18">
        <f t="shared" si="26"/>
        <v>0</v>
      </c>
      <c r="Q18" s="8">
        <f t="shared" si="6"/>
        <v>0</v>
      </c>
      <c r="R18" s="8">
        <f t="shared" si="7"/>
        <v>0</v>
      </c>
      <c r="S18" s="8">
        <f t="shared" si="8"/>
        <v>0</v>
      </c>
      <c r="U18">
        <f t="shared" si="27"/>
        <v>0</v>
      </c>
      <c r="V18">
        <f t="shared" si="28"/>
        <v>0</v>
      </c>
      <c r="W18">
        <f t="shared" si="29"/>
        <v>0</v>
      </c>
      <c r="X18">
        <f t="shared" si="30"/>
        <v>0</v>
      </c>
      <c r="Y18">
        <f t="shared" si="31"/>
        <v>0</v>
      </c>
      <c r="Z18">
        <f t="shared" si="32"/>
        <v>0</v>
      </c>
      <c r="AA18">
        <f t="shared" si="33"/>
        <v>0</v>
      </c>
      <c r="AB18">
        <f t="shared" si="34"/>
        <v>0</v>
      </c>
      <c r="AC18">
        <f t="shared" si="35"/>
        <v>0</v>
      </c>
      <c r="AD18">
        <f t="shared" si="36"/>
        <v>0</v>
      </c>
      <c r="AE18">
        <f t="shared" si="37"/>
        <v>0</v>
      </c>
      <c r="AF18">
        <f t="shared" si="38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si="22"/>
        <v>0</v>
      </c>
      <c r="L19" s="1">
        <f t="shared" ca="1" si="39"/>
        <v>0</v>
      </c>
      <c r="M19">
        <f t="shared" si="23"/>
        <v>0</v>
      </c>
      <c r="N19">
        <f t="shared" si="24"/>
        <v>0</v>
      </c>
      <c r="O19">
        <f t="shared" si="25"/>
        <v>0</v>
      </c>
      <c r="P19">
        <f t="shared" si="26"/>
        <v>0</v>
      </c>
      <c r="Q19" s="8">
        <f t="shared" si="6"/>
        <v>0</v>
      </c>
      <c r="R19" s="8">
        <f t="shared" si="7"/>
        <v>0</v>
      </c>
      <c r="S19" s="8">
        <f t="shared" si="8"/>
        <v>0</v>
      </c>
      <c r="U19">
        <f t="shared" si="27"/>
        <v>0</v>
      </c>
      <c r="V19">
        <f t="shared" si="28"/>
        <v>0</v>
      </c>
      <c r="W19">
        <f t="shared" si="29"/>
        <v>0</v>
      </c>
      <c r="X19">
        <f t="shared" si="30"/>
        <v>0</v>
      </c>
      <c r="Y19">
        <f t="shared" si="31"/>
        <v>0</v>
      </c>
      <c r="Z19">
        <f t="shared" si="32"/>
        <v>0</v>
      </c>
      <c r="AA19">
        <f t="shared" si="33"/>
        <v>0</v>
      </c>
      <c r="AB19">
        <f t="shared" si="34"/>
        <v>0</v>
      </c>
      <c r="AC19">
        <f t="shared" si="35"/>
        <v>0</v>
      </c>
      <c r="AD19">
        <f t="shared" si="36"/>
        <v>0</v>
      </c>
      <c r="AE19">
        <f t="shared" si="37"/>
        <v>0</v>
      </c>
      <c r="AF19">
        <f t="shared" si="38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1"/>
        <v>0</v>
      </c>
      <c r="L20" s="1">
        <f t="shared" ca="1" si="21"/>
        <v>0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0</v>
      </c>
      <c r="Q20" s="8">
        <f t="shared" si="6"/>
        <v>0</v>
      </c>
      <c r="R20" s="8">
        <f t="shared" si="7"/>
        <v>0</v>
      </c>
      <c r="S20" s="8">
        <f t="shared" si="8"/>
        <v>0</v>
      </c>
      <c r="U20">
        <f t="shared" si="9"/>
        <v>0</v>
      </c>
      <c r="V20">
        <f t="shared" si="10"/>
        <v>0</v>
      </c>
      <c r="W20">
        <f t="shared" si="11"/>
        <v>0</v>
      </c>
      <c r="X20">
        <f t="shared" si="12"/>
        <v>0</v>
      </c>
      <c r="Y20">
        <f t="shared" si="13"/>
        <v>0</v>
      </c>
      <c r="Z20">
        <f t="shared" si="14"/>
        <v>0</v>
      </c>
      <c r="AA20">
        <f t="shared" si="15"/>
        <v>0</v>
      </c>
      <c r="AB20">
        <f t="shared" si="16"/>
        <v>0</v>
      </c>
      <c r="AC20">
        <f t="shared" si="17"/>
        <v>0</v>
      </c>
      <c r="AD20">
        <f t="shared" si="18"/>
        <v>0</v>
      </c>
      <c r="AE20">
        <f t="shared" si="19"/>
        <v>0</v>
      </c>
      <c r="AF20">
        <f t="shared" si="20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1"/>
        <v>0</v>
      </c>
      <c r="L21" s="1">
        <f t="shared" ca="1" si="21"/>
        <v>0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0</v>
      </c>
      <c r="Q21" s="8">
        <f t="shared" si="6"/>
        <v>0</v>
      </c>
      <c r="R21" s="8">
        <f t="shared" si="7"/>
        <v>0</v>
      </c>
      <c r="S21" s="8">
        <f t="shared" si="8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f t="shared" si="12"/>
        <v>0</v>
      </c>
      <c r="Y21">
        <f t="shared" si="13"/>
        <v>0</v>
      </c>
      <c r="Z21">
        <f t="shared" si="14"/>
        <v>0</v>
      </c>
      <c r="AA21">
        <f t="shared" si="15"/>
        <v>0</v>
      </c>
      <c r="AB21">
        <f t="shared" si="16"/>
        <v>0</v>
      </c>
      <c r="AC21">
        <f t="shared" si="17"/>
        <v>0</v>
      </c>
      <c r="AD21">
        <f t="shared" si="18"/>
        <v>0</v>
      </c>
      <c r="AE21">
        <f t="shared" si="19"/>
        <v>0</v>
      </c>
      <c r="AF21">
        <f t="shared" si="20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1">
        <f t="shared" si="1"/>
        <v>0</v>
      </c>
      <c r="L22" s="1">
        <f t="shared" ca="1" si="21"/>
        <v>0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0</v>
      </c>
      <c r="Q22" s="8">
        <f t="shared" si="6"/>
        <v>0</v>
      </c>
      <c r="R22" s="8">
        <f t="shared" si="7"/>
        <v>0</v>
      </c>
      <c r="S22" s="8">
        <f t="shared" si="8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17196</v>
      </c>
      <c r="G23" s="4"/>
      <c r="H23" s="4"/>
      <c r="I23" s="7"/>
      <c r="J23" s="8" t="s">
        <v>20</v>
      </c>
      <c r="K23" s="1">
        <f>SUM(K6:K22)</f>
        <v>17196</v>
      </c>
      <c r="L23" s="26">
        <f>IF(U$23&gt;=1,1,0)</f>
        <v>0</v>
      </c>
      <c r="N23">
        <f t="shared" si="3"/>
        <v>0</v>
      </c>
      <c r="P23">
        <f t="shared" si="5"/>
        <v>0</v>
      </c>
      <c r="U23">
        <f>SUM(U6:U22)</f>
        <v>0</v>
      </c>
      <c r="V23">
        <f t="shared" ref="V23:AF23" si="40">SUM(V6:V22)</f>
        <v>0</v>
      </c>
      <c r="W23">
        <f t="shared" si="40"/>
        <v>0</v>
      </c>
      <c r="X23">
        <f t="shared" si="40"/>
        <v>0</v>
      </c>
      <c r="Y23">
        <f t="shared" si="40"/>
        <v>0</v>
      </c>
      <c r="Z23">
        <f t="shared" si="40"/>
        <v>0</v>
      </c>
      <c r="AA23">
        <f t="shared" si="40"/>
        <v>0</v>
      </c>
      <c r="AB23">
        <f t="shared" si="40"/>
        <v>0</v>
      </c>
      <c r="AC23">
        <f t="shared" si="40"/>
        <v>0</v>
      </c>
      <c r="AD23">
        <f t="shared" si="40"/>
        <v>0</v>
      </c>
      <c r="AE23">
        <f t="shared" si="40"/>
        <v>6</v>
      </c>
      <c r="AF23">
        <f t="shared" si="40"/>
        <v>0</v>
      </c>
    </row>
    <row r="24" spans="1:32" x14ac:dyDescent="0.35">
      <c r="J24" s="8" t="s">
        <v>21</v>
      </c>
      <c r="K24" s="5">
        <f>SUMPRODUCT(K6:K22,G6:G22)/SUM(K6:K22)</f>
        <v>3520.8359960658086</v>
      </c>
      <c r="L24" s="26">
        <f>IF(V$23&gt;=1,1,0)</f>
        <v>0</v>
      </c>
    </row>
    <row r="25" spans="1:32" x14ac:dyDescent="0.35">
      <c r="J25" s="8" t="s">
        <v>11</v>
      </c>
      <c r="K25" s="5">
        <f>SUMPRODUCT(M6:M22,N6:N22)/SUM(N6:N22)</f>
        <v>3501.7590668307639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10680</v>
      </c>
      <c r="L26" s="26">
        <f>IF(X$23&gt;=1,1,0)</f>
        <v>0</v>
      </c>
    </row>
    <row r="27" spans="1:32" x14ac:dyDescent="0.35">
      <c r="J27" s="8" t="s">
        <v>22</v>
      </c>
      <c r="K27" s="5">
        <f>SUMPRODUCT(O6:O22,P6:P22)/SUM(P6:P22)</f>
        <v>3552.1038911287737</v>
      </c>
      <c r="L27" s="26">
        <f>IF(Y$23&gt;=1,1,0)</f>
        <v>0</v>
      </c>
    </row>
    <row r="28" spans="1:32" x14ac:dyDescent="0.35">
      <c r="J28" s="8" t="s">
        <v>23</v>
      </c>
      <c r="K28" s="5">
        <f>SUM(P6:P22)</f>
        <v>6516</v>
      </c>
      <c r="L28" s="26">
        <f>IF(Z$23&gt;=1,1,0)</f>
        <v>0</v>
      </c>
    </row>
    <row r="29" spans="1:32" x14ac:dyDescent="0.35">
      <c r="J29" s="8" t="s">
        <v>24</v>
      </c>
      <c r="K29" s="1">
        <f ca="1">MAX(L6:L22)</f>
        <v>105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98.333333333333329</v>
      </c>
      <c r="L30" s="26">
        <f>IF(AB$23&gt;=1,1,0)</f>
        <v>0</v>
      </c>
    </row>
    <row r="31" spans="1:32" x14ac:dyDescent="0.35">
      <c r="J31" s="8" t="s">
        <v>528</v>
      </c>
      <c r="K31" s="1">
        <f>SUM(Q6:Q22)</f>
        <v>13524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3672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0</v>
      </c>
      <c r="L33" s="26">
        <f>IF(AE$23&gt;=1,1,0)</f>
        <v>1</v>
      </c>
    </row>
    <row r="34" spans="10:12" x14ac:dyDescent="0.35">
      <c r="L34" s="26">
        <f>IF(AF$23&gt;=1,1,0)</f>
        <v>0</v>
      </c>
    </row>
  </sheetData>
  <conditionalFormatting sqref="G6:H23">
    <cfRule type="cellIs" dxfId="434" priority="1" operator="between">
      <formula>2500</formula>
      <formula>2000</formula>
    </cfRule>
    <cfRule type="cellIs" dxfId="433" priority="2" operator="between">
      <formula>2500</formula>
      <formula>3000</formula>
    </cfRule>
    <cfRule type="cellIs" dxfId="432" priority="3" operator="between">
      <formula>3000</formula>
      <formula>3200</formula>
    </cfRule>
    <cfRule type="cellIs" dxfId="431" priority="4" operator="greaterThan">
      <formula>3600</formula>
    </cfRule>
    <cfRule type="cellIs" dxfId="430" priority="5" operator="between">
      <formula>3200</formula>
      <formula>3600</formula>
    </cfRule>
  </conditionalFormatting>
  <conditionalFormatting sqref="K25">
    <cfRule type="cellIs" dxfId="429" priority="286" operator="lessThan">
      <formula>2500</formula>
    </cfRule>
    <cfRule type="cellIs" dxfId="428" priority="287" operator="between">
      <formula>2500</formula>
      <formula>3000</formula>
    </cfRule>
    <cfRule type="cellIs" dxfId="427" priority="288" operator="between">
      <formula>3000</formula>
      <formula>3200</formula>
    </cfRule>
    <cfRule type="cellIs" dxfId="426" priority="289" operator="greaterThan">
      <formula>3600</formula>
    </cfRule>
    <cfRule type="cellIs" dxfId="425" priority="290" operator="between">
      <formula>3200</formula>
      <formula>3600</formula>
    </cfRule>
  </conditionalFormatting>
  <conditionalFormatting sqref="K27">
    <cfRule type="cellIs" dxfId="424" priority="281" operator="lessThan">
      <formula>2500</formula>
    </cfRule>
    <cfRule type="cellIs" dxfId="423" priority="282" operator="between">
      <formula>2500</formula>
      <formula>3000</formula>
    </cfRule>
    <cfRule type="cellIs" dxfId="422" priority="283" operator="between">
      <formula>3000</formula>
      <formula>3200</formula>
    </cfRule>
    <cfRule type="cellIs" dxfId="421" priority="284" operator="greaterThan">
      <formula>3600</formula>
    </cfRule>
    <cfRule type="cellIs" dxfId="420" priority="285" operator="between">
      <formula>3200</formula>
      <formula>3600</formula>
    </cfRule>
  </conditionalFormatting>
  <conditionalFormatting sqref="L6:L34">
    <cfRule type="cellIs" dxfId="419" priority="261" operator="greaterThan">
      <formula>10</formula>
    </cfRule>
  </conditionalFormatting>
  <hyperlinks>
    <hyperlink ref="A3" location="'summery '!A1" display="summery " xr:uid="{00000000-0004-0000-0500-000000000000}"/>
  </hyperlink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S29"/>
  <sheetViews>
    <sheetView topLeftCell="F1" zoomScale="62" zoomScaleNormal="62" workbookViewId="0">
      <selection activeCell="J27" sqref="J27:J29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3.45312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5" width="11.08984375" customWidth="1"/>
    <col min="16" max="16" width="9.1796875" customWidth="1"/>
    <col min="17" max="17" width="18.54296875" customWidth="1"/>
    <col min="18" max="18" width="19.81640625" customWidth="1"/>
    <col min="19" max="19" width="17" customWidth="1"/>
  </cols>
  <sheetData>
    <row r="3" spans="1:19" x14ac:dyDescent="0.35">
      <c r="A3" s="20" t="s">
        <v>44</v>
      </c>
    </row>
    <row r="5" spans="1:19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1" t="s">
        <v>540</v>
      </c>
      <c r="R5" s="1" t="s">
        <v>527</v>
      </c>
      <c r="S5" s="1" t="s">
        <v>526</v>
      </c>
    </row>
    <row r="6" spans="1:19" ht="15.5" x14ac:dyDescent="0.35">
      <c r="A6" s="3">
        <v>45586</v>
      </c>
      <c r="B6" s="1">
        <v>45</v>
      </c>
      <c r="C6" s="1">
        <v>5</v>
      </c>
      <c r="D6" s="1">
        <v>1</v>
      </c>
      <c r="E6" s="1" t="s">
        <v>18</v>
      </c>
      <c r="F6" s="1">
        <v>3970</v>
      </c>
      <c r="G6" s="19">
        <v>3355.5565059267014</v>
      </c>
      <c r="H6" s="1" t="s">
        <v>46</v>
      </c>
      <c r="I6" s="3"/>
      <c r="J6" s="1"/>
      <c r="K6" s="1">
        <f>F6-J6</f>
        <v>3970</v>
      </c>
      <c r="L6" s="1">
        <f t="shared" ref="L6:L7" ca="1" si="0">IF(F6=0,0,(TODAY()-A6))</f>
        <v>102</v>
      </c>
      <c r="M6" s="42">
        <f>IF(E6="T",G6,0)</f>
        <v>0</v>
      </c>
      <c r="N6" s="42">
        <f>IF(E6="T",K6,0)</f>
        <v>0</v>
      </c>
      <c r="O6" s="42">
        <f>IF(E6="B",G6,0)</f>
        <v>3355.5565059267014</v>
      </c>
      <c r="P6" s="42">
        <f>IF(E6="B",K6,0)</f>
        <v>3970</v>
      </c>
      <c r="Q6" s="8">
        <f>IF(G6&gt;3500,K6,0)</f>
        <v>0</v>
      </c>
      <c r="R6" s="8">
        <f>IF(AND(G6&gt;=3100,G6&lt;=3500),K6,0)</f>
        <v>3970</v>
      </c>
      <c r="S6" s="8">
        <f>IF(G6&lt;3100,K6,0)</f>
        <v>0</v>
      </c>
    </row>
    <row r="7" spans="1:19" ht="15.5" x14ac:dyDescent="0.35">
      <c r="A7" s="3">
        <v>45587</v>
      </c>
      <c r="B7" s="1">
        <v>46</v>
      </c>
      <c r="C7" s="1">
        <v>5</v>
      </c>
      <c r="D7" s="1">
        <v>1</v>
      </c>
      <c r="E7" s="1" t="s">
        <v>18</v>
      </c>
      <c r="F7" s="1">
        <v>2930</v>
      </c>
      <c r="G7" s="19">
        <v>3618.1337222233806</v>
      </c>
      <c r="H7" s="1" t="s">
        <v>46</v>
      </c>
      <c r="I7" s="3"/>
      <c r="J7" s="1"/>
      <c r="K7" s="1">
        <f t="shared" ref="K7:K18" si="1">F7-J7</f>
        <v>2930</v>
      </c>
      <c r="L7" s="1">
        <f t="shared" ca="1" si="0"/>
        <v>101</v>
      </c>
      <c r="M7" s="42">
        <f t="shared" ref="M7:M18" si="2">IF(E7="T",G7,0)</f>
        <v>0</v>
      </c>
      <c r="N7" s="42">
        <f t="shared" ref="N7:N19" si="3">IF(E7="T",K7,0)</f>
        <v>0</v>
      </c>
      <c r="O7" s="42">
        <f t="shared" ref="O7:O18" si="4">IF(E7="B",G7,0)</f>
        <v>3618.1337222233806</v>
      </c>
      <c r="P7" s="42">
        <f t="shared" ref="P7:P19" si="5">IF(E7="B",K7,0)</f>
        <v>2930</v>
      </c>
      <c r="Q7" s="8">
        <f t="shared" ref="Q7:Q18" si="6">IF(G7&gt;3500,K7,0)</f>
        <v>2930</v>
      </c>
      <c r="R7" s="8">
        <f t="shared" ref="R7:R18" si="7">IF(AND(G7&gt;=3100,G7&lt;=3500),K7,0)</f>
        <v>0</v>
      </c>
      <c r="S7" s="8">
        <f t="shared" ref="S7:S18" si="8">IF(G7&lt;3100,K7,0)</f>
        <v>0</v>
      </c>
    </row>
    <row r="8" spans="1:19" x14ac:dyDescent="0.35">
      <c r="A8" s="3">
        <v>45587</v>
      </c>
      <c r="B8" s="1">
        <v>48</v>
      </c>
      <c r="C8" s="1">
        <v>5</v>
      </c>
      <c r="D8" s="1">
        <v>1</v>
      </c>
      <c r="E8" s="1" t="s">
        <v>19</v>
      </c>
      <c r="F8" s="1">
        <v>3475</v>
      </c>
      <c r="G8" s="79">
        <v>3597</v>
      </c>
      <c r="H8" s="1" t="s">
        <v>46</v>
      </c>
      <c r="I8" s="3"/>
      <c r="J8" s="1"/>
      <c r="K8" s="1">
        <f t="shared" si="1"/>
        <v>3475</v>
      </c>
      <c r="L8" s="1">
        <f ca="1">IF(F8=0,0,(TODAY()-A8))</f>
        <v>101</v>
      </c>
      <c r="M8" s="42">
        <f t="shared" si="2"/>
        <v>3597</v>
      </c>
      <c r="N8" s="42">
        <f t="shared" si="3"/>
        <v>3475</v>
      </c>
      <c r="O8" s="42">
        <f t="shared" si="4"/>
        <v>0</v>
      </c>
      <c r="P8" s="42">
        <f t="shared" si="5"/>
        <v>0</v>
      </c>
      <c r="Q8" s="8">
        <f t="shared" si="6"/>
        <v>3475</v>
      </c>
      <c r="R8" s="8">
        <f t="shared" si="7"/>
        <v>0</v>
      </c>
      <c r="S8" s="8">
        <f t="shared" si="8"/>
        <v>0</v>
      </c>
    </row>
    <row r="9" spans="1:19" ht="15.5" x14ac:dyDescent="0.35">
      <c r="A9" s="3">
        <v>45588</v>
      </c>
      <c r="B9" s="1">
        <v>51</v>
      </c>
      <c r="C9" s="1">
        <v>5</v>
      </c>
      <c r="D9" s="1">
        <v>1</v>
      </c>
      <c r="E9" s="1" t="s">
        <v>19</v>
      </c>
      <c r="F9" s="1">
        <v>3580</v>
      </c>
      <c r="G9" s="19">
        <v>3129.6454727719156</v>
      </c>
      <c r="H9" s="1" t="s">
        <v>46</v>
      </c>
      <c r="I9" s="3"/>
      <c r="J9" s="1"/>
      <c r="K9" s="1">
        <f t="shared" si="1"/>
        <v>3580</v>
      </c>
      <c r="L9" s="1">
        <f t="shared" ref="L9:L18" ca="1" si="9">IF(F9=0,0,(TODAY()-A9))</f>
        <v>100</v>
      </c>
      <c r="M9" s="42">
        <f t="shared" si="2"/>
        <v>3129.6454727719156</v>
      </c>
      <c r="N9" s="42">
        <f t="shared" si="3"/>
        <v>3580</v>
      </c>
      <c r="O9" s="42">
        <f t="shared" si="4"/>
        <v>0</v>
      </c>
      <c r="P9" s="42">
        <f t="shared" si="5"/>
        <v>0</v>
      </c>
      <c r="Q9" s="8">
        <f t="shared" si="6"/>
        <v>0</v>
      </c>
      <c r="R9" s="8">
        <f t="shared" si="7"/>
        <v>3580</v>
      </c>
      <c r="S9" s="8">
        <f t="shared" si="8"/>
        <v>0</v>
      </c>
    </row>
    <row r="10" spans="1:19" ht="15.5" x14ac:dyDescent="0.35">
      <c r="A10" s="3">
        <v>45589</v>
      </c>
      <c r="B10" s="1">
        <v>55</v>
      </c>
      <c r="C10" s="1">
        <v>5</v>
      </c>
      <c r="D10" s="1">
        <v>1</v>
      </c>
      <c r="E10" s="1" t="s">
        <v>19</v>
      </c>
      <c r="F10" s="1">
        <v>3700</v>
      </c>
      <c r="G10" s="19">
        <v>3527.8672867469872</v>
      </c>
      <c r="H10" s="1" t="s">
        <v>46</v>
      </c>
      <c r="I10" s="3"/>
      <c r="J10" s="1"/>
      <c r="K10" s="1">
        <f t="shared" si="1"/>
        <v>3700</v>
      </c>
      <c r="L10" s="1">
        <f t="shared" ca="1" si="9"/>
        <v>99</v>
      </c>
      <c r="M10" s="42">
        <f t="shared" si="2"/>
        <v>3527.8672867469872</v>
      </c>
      <c r="N10" s="42">
        <f t="shared" si="3"/>
        <v>3700</v>
      </c>
      <c r="O10" s="42">
        <f t="shared" si="4"/>
        <v>0</v>
      </c>
      <c r="P10" s="42">
        <f t="shared" si="5"/>
        <v>0</v>
      </c>
      <c r="Q10" s="8">
        <f t="shared" si="6"/>
        <v>3700</v>
      </c>
      <c r="R10" s="8">
        <f t="shared" si="7"/>
        <v>0</v>
      </c>
      <c r="S10" s="8">
        <f t="shared" si="8"/>
        <v>0</v>
      </c>
    </row>
    <row r="11" spans="1:19" ht="15.5" x14ac:dyDescent="0.35">
      <c r="A11" s="3">
        <v>45602</v>
      </c>
      <c r="B11" s="1">
        <v>6</v>
      </c>
      <c r="C11" s="1">
        <v>5</v>
      </c>
      <c r="D11" s="1">
        <v>1</v>
      </c>
      <c r="E11" s="1" t="s">
        <v>19</v>
      </c>
      <c r="F11" s="1">
        <v>3614</v>
      </c>
      <c r="G11" s="19">
        <v>3859.058699905333</v>
      </c>
      <c r="H11" s="1" t="s">
        <v>46</v>
      </c>
      <c r="I11" s="3"/>
      <c r="J11" s="1"/>
      <c r="K11" s="1">
        <f t="shared" ref="K11:K15" si="10">F11-J11</f>
        <v>3614</v>
      </c>
      <c r="L11" s="1">
        <f t="shared" ca="1" si="9"/>
        <v>86</v>
      </c>
      <c r="M11" s="42">
        <f t="shared" ref="M11:M15" si="11">IF(E11="T",G11,0)</f>
        <v>3859.058699905333</v>
      </c>
      <c r="N11" s="42">
        <f t="shared" ref="N11:N15" si="12">IF(E11="T",K11,0)</f>
        <v>3614</v>
      </c>
      <c r="O11" s="42">
        <f t="shared" ref="O11:O15" si="13">IF(E11="B",G11,0)</f>
        <v>0</v>
      </c>
      <c r="P11" s="42">
        <f t="shared" ref="P11:P15" si="14">IF(E11="B",K11,0)</f>
        <v>0</v>
      </c>
      <c r="Q11" s="8">
        <f t="shared" si="6"/>
        <v>3614</v>
      </c>
      <c r="R11" s="8">
        <f t="shared" si="7"/>
        <v>0</v>
      </c>
      <c r="S11" s="8">
        <f t="shared" si="8"/>
        <v>0</v>
      </c>
    </row>
    <row r="12" spans="1:19" ht="15.5" x14ac:dyDescent="0.35">
      <c r="A12" s="3">
        <v>45606</v>
      </c>
      <c r="B12" s="1">
        <v>17</v>
      </c>
      <c r="C12" s="13">
        <v>1</v>
      </c>
      <c r="D12" s="1">
        <v>2</v>
      </c>
      <c r="E12" s="1" t="s">
        <v>18</v>
      </c>
      <c r="F12" s="1">
        <v>2800</v>
      </c>
      <c r="G12" s="44">
        <v>3371.4394857623201</v>
      </c>
      <c r="H12" s="1" t="s">
        <v>46</v>
      </c>
      <c r="I12" s="3"/>
      <c r="J12" s="1"/>
      <c r="K12" s="1">
        <f t="shared" si="10"/>
        <v>2800</v>
      </c>
      <c r="L12" s="1">
        <f t="shared" ca="1" si="9"/>
        <v>82</v>
      </c>
      <c r="M12" s="42">
        <f t="shared" si="11"/>
        <v>0</v>
      </c>
      <c r="N12" s="42">
        <f t="shared" si="12"/>
        <v>0</v>
      </c>
      <c r="O12" s="42">
        <f t="shared" si="13"/>
        <v>3371.4394857623201</v>
      </c>
      <c r="P12" s="42">
        <f t="shared" si="14"/>
        <v>2800</v>
      </c>
      <c r="Q12" s="8">
        <f t="shared" si="6"/>
        <v>0</v>
      </c>
      <c r="R12" s="8">
        <f t="shared" si="7"/>
        <v>2800</v>
      </c>
      <c r="S12" s="8">
        <f t="shared" si="8"/>
        <v>0</v>
      </c>
    </row>
    <row r="13" spans="1:19" ht="15.5" x14ac:dyDescent="0.35">
      <c r="A13" s="3">
        <v>45607</v>
      </c>
      <c r="B13" s="1">
        <v>22</v>
      </c>
      <c r="C13" s="13">
        <v>1</v>
      </c>
      <c r="D13" s="1">
        <v>2</v>
      </c>
      <c r="E13" s="1" t="s">
        <v>18</v>
      </c>
      <c r="F13" s="1">
        <v>1357</v>
      </c>
      <c r="G13" s="19">
        <v>2978.5033200753605</v>
      </c>
      <c r="H13" s="1" t="s">
        <v>46</v>
      </c>
      <c r="I13" s="1"/>
      <c r="J13" s="1"/>
      <c r="K13" s="1">
        <f t="shared" si="10"/>
        <v>1357</v>
      </c>
      <c r="L13" s="1">
        <f ca="1">IF(F13=0,0,(TODAY()-A13))</f>
        <v>81</v>
      </c>
      <c r="M13" s="42">
        <f t="shared" si="11"/>
        <v>0</v>
      </c>
      <c r="N13" s="42">
        <f t="shared" si="12"/>
        <v>0</v>
      </c>
      <c r="O13" s="42">
        <f t="shared" si="13"/>
        <v>2978.5033200753605</v>
      </c>
      <c r="P13" s="42">
        <f t="shared" si="14"/>
        <v>1357</v>
      </c>
      <c r="Q13" s="8">
        <f t="shared" si="6"/>
        <v>0</v>
      </c>
      <c r="R13" s="8">
        <f t="shared" si="7"/>
        <v>0</v>
      </c>
      <c r="S13" s="8">
        <f t="shared" si="8"/>
        <v>1357</v>
      </c>
    </row>
    <row r="14" spans="1:19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10"/>
        <v>0</v>
      </c>
      <c r="L14" s="1">
        <f t="shared" ref="L14:L15" ca="1" si="15">IF(F14=0,0,(TODAY()-A14))</f>
        <v>0</v>
      </c>
      <c r="M14" s="42">
        <f t="shared" si="11"/>
        <v>0</v>
      </c>
      <c r="N14" s="42">
        <f t="shared" si="12"/>
        <v>0</v>
      </c>
      <c r="O14" s="42">
        <f t="shared" si="13"/>
        <v>0</v>
      </c>
      <c r="P14" s="42">
        <f t="shared" si="14"/>
        <v>0</v>
      </c>
      <c r="Q14" s="8">
        <f t="shared" si="6"/>
        <v>0</v>
      </c>
      <c r="R14" s="8">
        <f t="shared" si="7"/>
        <v>0</v>
      </c>
      <c r="S14" s="8">
        <f t="shared" si="8"/>
        <v>0</v>
      </c>
    </row>
    <row r="15" spans="1:19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si="10"/>
        <v>0</v>
      </c>
      <c r="L15" s="1">
        <f t="shared" ca="1" si="15"/>
        <v>0</v>
      </c>
      <c r="M15" s="42">
        <f t="shared" si="11"/>
        <v>0</v>
      </c>
      <c r="N15" s="42">
        <f t="shared" si="12"/>
        <v>0</v>
      </c>
      <c r="O15" s="42">
        <f t="shared" si="13"/>
        <v>0</v>
      </c>
      <c r="P15" s="42">
        <f t="shared" si="14"/>
        <v>0</v>
      </c>
      <c r="Q15" s="8">
        <f t="shared" si="6"/>
        <v>0</v>
      </c>
      <c r="R15" s="8">
        <f t="shared" si="7"/>
        <v>0</v>
      </c>
      <c r="S15" s="8">
        <f t="shared" si="8"/>
        <v>0</v>
      </c>
    </row>
    <row r="16" spans="1:19" x14ac:dyDescent="0.35">
      <c r="A16" s="3"/>
      <c r="B16" s="1"/>
      <c r="C16" s="1"/>
      <c r="D16" s="1"/>
      <c r="E16" s="1"/>
      <c r="F16" s="1"/>
      <c r="G16" s="5"/>
      <c r="H16" s="5"/>
      <c r="I16" s="1"/>
      <c r="J16" s="1"/>
      <c r="K16" s="1">
        <f t="shared" si="1"/>
        <v>0</v>
      </c>
      <c r="L16" s="1">
        <f t="shared" ca="1" si="9"/>
        <v>0</v>
      </c>
      <c r="M16" s="42">
        <f t="shared" si="2"/>
        <v>0</v>
      </c>
      <c r="N16" s="42">
        <f t="shared" si="3"/>
        <v>0</v>
      </c>
      <c r="O16" s="42">
        <f t="shared" si="4"/>
        <v>0</v>
      </c>
      <c r="P16" s="42">
        <f t="shared" si="5"/>
        <v>0</v>
      </c>
      <c r="Q16" s="8">
        <f t="shared" si="6"/>
        <v>0</v>
      </c>
      <c r="R16" s="8">
        <f t="shared" si="7"/>
        <v>0</v>
      </c>
      <c r="S16" s="8">
        <f t="shared" si="8"/>
        <v>0</v>
      </c>
    </row>
    <row r="17" spans="1:19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si="1"/>
        <v>0</v>
      </c>
      <c r="L17" s="1">
        <f t="shared" ca="1" si="9"/>
        <v>0</v>
      </c>
      <c r="M17" s="42">
        <f t="shared" si="2"/>
        <v>0</v>
      </c>
      <c r="N17" s="42">
        <f t="shared" si="3"/>
        <v>0</v>
      </c>
      <c r="O17" s="42">
        <f t="shared" si="4"/>
        <v>0</v>
      </c>
      <c r="P17" s="42">
        <f t="shared" si="5"/>
        <v>0</v>
      </c>
      <c r="Q17" s="8">
        <f t="shared" si="6"/>
        <v>0</v>
      </c>
      <c r="R17" s="8">
        <f t="shared" si="7"/>
        <v>0</v>
      </c>
      <c r="S17" s="8">
        <f t="shared" si="8"/>
        <v>0</v>
      </c>
    </row>
    <row r="18" spans="1:19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1"/>
        <v>0</v>
      </c>
      <c r="L18" s="1">
        <f t="shared" ca="1" si="9"/>
        <v>0</v>
      </c>
      <c r="M18" s="42">
        <f t="shared" si="2"/>
        <v>0</v>
      </c>
      <c r="N18" s="42">
        <f t="shared" si="3"/>
        <v>0</v>
      </c>
      <c r="O18" s="42">
        <f t="shared" si="4"/>
        <v>0</v>
      </c>
      <c r="P18" s="42">
        <f t="shared" si="5"/>
        <v>0</v>
      </c>
      <c r="Q18" s="87">
        <f t="shared" si="6"/>
        <v>0</v>
      </c>
      <c r="R18" s="87">
        <f t="shared" si="7"/>
        <v>0</v>
      </c>
      <c r="S18" s="87">
        <f t="shared" si="8"/>
        <v>0</v>
      </c>
    </row>
    <row r="19" spans="1:19" x14ac:dyDescent="0.35">
      <c r="A19" s="6"/>
      <c r="B19" s="7"/>
      <c r="C19" s="7"/>
      <c r="D19" s="7"/>
      <c r="E19" s="7"/>
      <c r="F19" s="7">
        <f>SUM(F6:F18)</f>
        <v>25426</v>
      </c>
      <c r="G19" s="4"/>
      <c r="H19" s="4"/>
      <c r="I19" s="7"/>
      <c r="J19" s="8" t="s">
        <v>20</v>
      </c>
      <c r="K19" s="1">
        <f>SUM(K6:K18)</f>
        <v>25426</v>
      </c>
      <c r="L19" s="7"/>
      <c r="N19">
        <f t="shared" si="3"/>
        <v>0</v>
      </c>
      <c r="P19">
        <f t="shared" si="5"/>
        <v>0</v>
      </c>
    </row>
    <row r="20" spans="1:19" x14ac:dyDescent="0.35">
      <c r="J20" s="8" t="s">
        <v>21</v>
      </c>
      <c r="K20" s="5">
        <f>SUMPRODUCT(K6:K18,G6:G18)/SUM(K6:K18)</f>
        <v>3465.2719104485745</v>
      </c>
    </row>
    <row r="21" spans="1:19" x14ac:dyDescent="0.35">
      <c r="J21" s="8" t="s">
        <v>11</v>
      </c>
      <c r="K21" s="5">
        <f>SUMPRODUCT(M6:M18,N6:N18)/SUM(N6:N18)</f>
        <v>3528.6695591165139</v>
      </c>
    </row>
    <row r="22" spans="1:19" x14ac:dyDescent="0.35">
      <c r="J22" s="8" t="s">
        <v>12</v>
      </c>
      <c r="K22" s="5">
        <f>SUM(N6:N18)</f>
        <v>14369</v>
      </c>
    </row>
    <row r="23" spans="1:19" x14ac:dyDescent="0.35">
      <c r="J23" s="8" t="s">
        <v>22</v>
      </c>
      <c r="K23" s="5">
        <f>SUMPRODUCT(O6:O18,P6:P18)/SUM(P6:P18)</f>
        <v>3382.884209109186</v>
      </c>
    </row>
    <row r="24" spans="1:19" x14ac:dyDescent="0.35">
      <c r="J24" s="8" t="s">
        <v>23</v>
      </c>
      <c r="K24" s="5">
        <f>SUM(P6:P18)</f>
        <v>11057</v>
      </c>
    </row>
    <row r="25" spans="1:19" x14ac:dyDescent="0.35">
      <c r="J25" s="8" t="s">
        <v>24</v>
      </c>
      <c r="K25" s="1">
        <f ca="1">MAX(L6:L18)</f>
        <v>102</v>
      </c>
    </row>
    <row r="26" spans="1:19" x14ac:dyDescent="0.35">
      <c r="J26" s="8" t="s">
        <v>25</v>
      </c>
      <c r="K26" s="9">
        <f ca="1">AVERAGEIF((L6:L18),"&gt;0")</f>
        <v>94</v>
      </c>
    </row>
    <row r="27" spans="1:19" x14ac:dyDescent="0.35">
      <c r="J27" s="8" t="s">
        <v>528</v>
      </c>
      <c r="K27" s="1">
        <f>SUM(Q6:Q18)</f>
        <v>13719</v>
      </c>
    </row>
    <row r="28" spans="1:19" x14ac:dyDescent="0.35">
      <c r="J28" s="8" t="s">
        <v>527</v>
      </c>
      <c r="K28" s="1">
        <f>SUM(R6:R18)</f>
        <v>10350</v>
      </c>
    </row>
    <row r="29" spans="1:19" x14ac:dyDescent="0.35">
      <c r="J29" s="8" t="s">
        <v>526</v>
      </c>
      <c r="K29" s="1">
        <f>SUM(S6:S18)</f>
        <v>1357</v>
      </c>
    </row>
  </sheetData>
  <conditionalFormatting sqref="G6:G10">
    <cfRule type="cellIs" dxfId="418" priority="29" operator="greaterThan">
      <formula>3600</formula>
    </cfRule>
  </conditionalFormatting>
  <conditionalFormatting sqref="G6:H10">
    <cfRule type="cellIs" dxfId="417" priority="16" operator="between">
      <formula>2500</formula>
      <formula>2000</formula>
    </cfRule>
    <cfRule type="cellIs" dxfId="416" priority="17" operator="between">
      <formula>2500</formula>
      <formula>3000</formula>
    </cfRule>
    <cfRule type="cellIs" dxfId="415" priority="18" operator="between">
      <formula>3000</formula>
      <formula>3200</formula>
    </cfRule>
    <cfRule type="cellIs" dxfId="414" priority="20" operator="between">
      <formula>3200</formula>
      <formula>3600</formula>
    </cfRule>
  </conditionalFormatting>
  <conditionalFormatting sqref="G14:H19">
    <cfRule type="cellIs" dxfId="413" priority="321" operator="between">
      <formula>2500</formula>
      <formula>2000</formula>
    </cfRule>
    <cfRule type="cellIs" dxfId="412" priority="322" operator="between">
      <formula>2500</formula>
      <formula>3000</formula>
    </cfRule>
    <cfRule type="cellIs" dxfId="411" priority="323" operator="between">
      <formula>3000</formula>
      <formula>3200</formula>
    </cfRule>
    <cfRule type="cellIs" dxfId="410" priority="324" operator="greaterThan">
      <formula>3600</formula>
    </cfRule>
    <cfRule type="cellIs" dxfId="409" priority="325" operator="between">
      <formula>3200</formula>
      <formula>3600</formula>
    </cfRule>
  </conditionalFormatting>
  <conditionalFormatting sqref="H6:H13">
    <cfRule type="cellIs" dxfId="408" priority="4" operator="greaterThan">
      <formula>3600</formula>
    </cfRule>
  </conditionalFormatting>
  <conditionalFormatting sqref="H11:H13">
    <cfRule type="cellIs" dxfId="407" priority="1" operator="between">
      <formula>2500</formula>
      <formula>2000</formula>
    </cfRule>
    <cfRule type="cellIs" dxfId="406" priority="2" operator="between">
      <formula>2500</formula>
      <formula>3000</formula>
    </cfRule>
    <cfRule type="cellIs" dxfId="405" priority="3" operator="between">
      <formula>3000</formula>
      <formula>3200</formula>
    </cfRule>
    <cfRule type="cellIs" dxfId="404" priority="5" operator="between">
      <formula>3200</formula>
      <formula>3600</formula>
    </cfRule>
  </conditionalFormatting>
  <conditionalFormatting sqref="K21">
    <cfRule type="cellIs" dxfId="403" priority="348" operator="lessThan">
      <formula>2500</formula>
    </cfRule>
    <cfRule type="cellIs" dxfId="402" priority="349" operator="between">
      <formula>2500</formula>
      <formula>3000</formula>
    </cfRule>
    <cfRule type="cellIs" dxfId="401" priority="350" operator="between">
      <formula>3000</formula>
      <formula>3200</formula>
    </cfRule>
    <cfRule type="cellIs" dxfId="400" priority="351" operator="greaterThan">
      <formula>3600</formula>
    </cfRule>
    <cfRule type="cellIs" dxfId="399" priority="352" operator="between">
      <formula>3200</formula>
      <formula>3600</formula>
    </cfRule>
  </conditionalFormatting>
  <conditionalFormatting sqref="K23">
    <cfRule type="cellIs" dxfId="398" priority="343" operator="lessThan">
      <formula>2500</formula>
    </cfRule>
    <cfRule type="cellIs" dxfId="397" priority="344" operator="between">
      <formula>2500</formula>
      <formula>3000</formula>
    </cfRule>
    <cfRule type="cellIs" dxfId="396" priority="345" operator="between">
      <formula>3000</formula>
      <formula>3200</formula>
    </cfRule>
    <cfRule type="cellIs" dxfId="395" priority="346" operator="greaterThan">
      <formula>3600</formula>
    </cfRule>
    <cfRule type="cellIs" dxfId="394" priority="347" operator="between">
      <formula>3200</formula>
      <formula>3600</formula>
    </cfRule>
  </conditionalFormatting>
  <conditionalFormatting sqref="L6:L19">
    <cfRule type="cellIs" dxfId="393" priority="326" operator="greaterThan">
      <formula>10</formula>
    </cfRule>
  </conditionalFormatting>
  <hyperlinks>
    <hyperlink ref="A3" location="'summery '!A1" display="summery " xr:uid="{00000000-0004-0000-0600-000000000000}"/>
  </hyperlink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F34"/>
  <sheetViews>
    <sheetView zoomScale="62" zoomScaleNormal="62" workbookViewId="0">
      <selection activeCell="J31" sqref="J31:J33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2.5429687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6" width="9.1796875" customWidth="1"/>
    <col min="17" max="17" width="18.54296875" customWidth="1"/>
    <col min="18" max="18" width="19.81640625" customWidth="1"/>
    <col min="19" max="19" width="17" customWidth="1"/>
    <col min="20" max="20" width="9.1796875" customWidth="1"/>
    <col min="21" max="35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1" t="s">
        <v>540</v>
      </c>
      <c r="R5" s="1" t="s">
        <v>527</v>
      </c>
      <c r="S5" s="1" t="s">
        <v>526</v>
      </c>
    </row>
    <row r="6" spans="1:32" x14ac:dyDescent="0.35">
      <c r="A6" s="3">
        <v>45621</v>
      </c>
      <c r="B6" s="1">
        <v>50</v>
      </c>
      <c r="C6" s="1">
        <v>1</v>
      </c>
      <c r="D6" s="1">
        <v>1</v>
      </c>
      <c r="E6" s="1" t="s">
        <v>18</v>
      </c>
      <c r="F6" s="1">
        <v>3784</v>
      </c>
      <c r="G6" s="1">
        <v>2435</v>
      </c>
      <c r="H6" s="1" t="s">
        <v>46</v>
      </c>
      <c r="I6" s="3"/>
      <c r="J6" s="1"/>
      <c r="K6" s="1">
        <f>F6-J6</f>
        <v>3784</v>
      </c>
      <c r="L6" s="1">
        <f t="shared" ref="L6:L11" ca="1" si="0">IF(F6=0,0,(TODAY()-A6))</f>
        <v>67</v>
      </c>
      <c r="M6">
        <f>IF(E6="T",G6,0)</f>
        <v>0</v>
      </c>
      <c r="N6">
        <f>IF(E6="T",K6,0)</f>
        <v>0</v>
      </c>
      <c r="O6">
        <f>IF(E6="B",G6,0)</f>
        <v>2435</v>
      </c>
      <c r="P6">
        <f>IF(E6="B",K6,0)</f>
        <v>3784</v>
      </c>
      <c r="Q6" s="8">
        <f>IF(G6&gt;3500,K6,0)</f>
        <v>0</v>
      </c>
      <c r="R6" s="8">
        <f>IF(AND(G6&gt;=3100,G6&lt;=3500),K6,0)</f>
        <v>0</v>
      </c>
      <c r="S6" s="8">
        <f>IF(G6&lt;3100,K6,0)</f>
        <v>3784</v>
      </c>
      <c r="U6">
        <f>IF(C6=1,1,0)</f>
        <v>1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0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x14ac:dyDescent="0.35">
      <c r="A7" s="3">
        <v>45624</v>
      </c>
      <c r="B7" s="1">
        <v>62</v>
      </c>
      <c r="C7" s="1">
        <v>1</v>
      </c>
      <c r="D7" s="1">
        <v>1</v>
      </c>
      <c r="E7" s="1" t="s">
        <v>18</v>
      </c>
      <c r="F7" s="1">
        <v>4166</v>
      </c>
      <c r="G7" s="1">
        <v>2854</v>
      </c>
      <c r="H7" s="1" t="s">
        <v>455</v>
      </c>
      <c r="I7" s="3"/>
      <c r="J7" s="1"/>
      <c r="K7" s="1">
        <f t="shared" ref="K7:K22" si="1">F7-J7</f>
        <v>4166</v>
      </c>
      <c r="L7" s="1">
        <f t="shared" ca="1" si="0"/>
        <v>64</v>
      </c>
      <c r="M7">
        <f t="shared" ref="M7:M22" si="2">IF(E7="T",G7,0)</f>
        <v>0</v>
      </c>
      <c r="N7">
        <f t="shared" ref="N7:N23" si="3">IF(E7="T",K7,0)</f>
        <v>0</v>
      </c>
      <c r="O7">
        <f t="shared" ref="O7:O22" si="4">IF(E7="B",G7,0)</f>
        <v>2854</v>
      </c>
      <c r="P7">
        <f t="shared" ref="P7:P23" si="5">IF(E7="B",K7,0)</f>
        <v>4166</v>
      </c>
      <c r="Q7" s="8">
        <f t="shared" ref="Q7:Q22" si="6">IF(G7&gt;3500,K7,0)</f>
        <v>0</v>
      </c>
      <c r="R7" s="8">
        <f t="shared" ref="R7:R22" si="7">IF(AND(G7&gt;=3100,G7&lt;=3500),K7,0)</f>
        <v>0</v>
      </c>
      <c r="S7" s="8">
        <f t="shared" ref="S7:S22" si="8">IF(G7&lt;3100,K7,0)</f>
        <v>4166</v>
      </c>
      <c r="U7">
        <f t="shared" ref="U7:U22" si="9">IF(C7=1,1,0)</f>
        <v>1</v>
      </c>
      <c r="V7">
        <f t="shared" ref="V7:V22" si="10">IF(C7=2,1,0)</f>
        <v>0</v>
      </c>
      <c r="W7">
        <f t="shared" ref="W7:W22" si="11">IF(C7=3,1,0)</f>
        <v>0</v>
      </c>
      <c r="X7">
        <f t="shared" ref="X7:X22" si="12">IF(C7=4,1,0)</f>
        <v>0</v>
      </c>
      <c r="Y7">
        <f t="shared" ref="Y7:Y22" si="13">IF(C7=5,1,0)</f>
        <v>0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0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0</v>
      </c>
      <c r="AF7">
        <f t="shared" ref="AF7:AF22" si="20">IF(C7="CB",1,0)</f>
        <v>0</v>
      </c>
    </row>
    <row r="8" spans="1:32" ht="15.5" x14ac:dyDescent="0.35">
      <c r="A8" s="3"/>
      <c r="B8" s="1"/>
      <c r="C8" s="1"/>
      <c r="D8" s="1"/>
      <c r="E8" s="1"/>
      <c r="F8" s="1"/>
      <c r="G8" s="19"/>
      <c r="H8" s="1"/>
      <c r="I8" s="3"/>
      <c r="J8" s="1"/>
      <c r="K8" s="1">
        <f t="shared" si="1"/>
        <v>0</v>
      </c>
      <c r="L8" s="1">
        <f t="shared" ca="1" si="0"/>
        <v>0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0</v>
      </c>
      <c r="Q8" s="8">
        <f t="shared" si="6"/>
        <v>0</v>
      </c>
      <c r="R8" s="8">
        <f t="shared" si="7"/>
        <v>0</v>
      </c>
      <c r="S8" s="8">
        <f t="shared" si="8"/>
        <v>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x14ac:dyDescent="0.35">
      <c r="A9" s="3"/>
      <c r="B9" s="1"/>
      <c r="C9" s="1"/>
      <c r="D9" s="1"/>
      <c r="E9" s="1"/>
      <c r="F9" s="1"/>
      <c r="G9" s="5"/>
      <c r="H9" s="1"/>
      <c r="I9" s="3"/>
      <c r="J9" s="1"/>
      <c r="K9" s="1">
        <f t="shared" si="1"/>
        <v>0</v>
      </c>
      <c r="L9" s="1">
        <f t="shared" ca="1" si="0"/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0</v>
      </c>
      <c r="Q9" s="8">
        <f t="shared" si="6"/>
        <v>0</v>
      </c>
      <c r="R9" s="8">
        <f t="shared" si="7"/>
        <v>0</v>
      </c>
      <c r="S9" s="8">
        <f t="shared" si="8"/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0</v>
      </c>
      <c r="AF9">
        <f t="shared" si="20"/>
        <v>0</v>
      </c>
    </row>
    <row r="10" spans="1:32" x14ac:dyDescent="0.35">
      <c r="A10" s="3"/>
      <c r="B10" s="1"/>
      <c r="C10" s="1"/>
      <c r="D10" s="1"/>
      <c r="E10" s="1"/>
      <c r="F10" s="1"/>
      <c r="G10" s="5"/>
      <c r="H10" s="1"/>
      <c r="I10" s="3"/>
      <c r="J10" s="1"/>
      <c r="K10" s="1">
        <f t="shared" si="1"/>
        <v>0</v>
      </c>
      <c r="L10" s="1">
        <f t="shared" ca="1" si="0"/>
        <v>0</v>
      </c>
      <c r="M10">
        <f t="shared" si="2"/>
        <v>0</v>
      </c>
      <c r="N10">
        <f t="shared" si="3"/>
        <v>0</v>
      </c>
      <c r="O10">
        <f t="shared" si="4"/>
        <v>0</v>
      </c>
      <c r="P10">
        <f t="shared" si="5"/>
        <v>0</v>
      </c>
      <c r="Q10" s="8">
        <f t="shared" si="6"/>
        <v>0</v>
      </c>
      <c r="R10" s="8">
        <f t="shared" si="7"/>
        <v>0</v>
      </c>
      <c r="S10" s="8">
        <f t="shared" si="8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x14ac:dyDescent="0.35">
      <c r="A11" s="3"/>
      <c r="B11" s="1"/>
      <c r="C11" s="1"/>
      <c r="D11" s="1"/>
      <c r="E11" s="1"/>
      <c r="F11" s="1"/>
      <c r="G11" s="5"/>
      <c r="H11" s="1"/>
      <c r="I11" s="3"/>
      <c r="J11" s="1"/>
      <c r="K11" s="1">
        <f t="shared" si="1"/>
        <v>0</v>
      </c>
      <c r="L11" s="1">
        <f t="shared" ca="1" si="0"/>
        <v>0</v>
      </c>
      <c r="M11">
        <f t="shared" si="2"/>
        <v>0</v>
      </c>
      <c r="N11">
        <f t="shared" si="3"/>
        <v>0</v>
      </c>
      <c r="O11">
        <f t="shared" si="4"/>
        <v>0</v>
      </c>
      <c r="P11">
        <f t="shared" si="5"/>
        <v>0</v>
      </c>
      <c r="Q11" s="8">
        <f t="shared" si="6"/>
        <v>0</v>
      </c>
      <c r="R11" s="8">
        <f t="shared" si="7"/>
        <v>0</v>
      </c>
      <c r="S11" s="8">
        <f t="shared" si="8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1"/>
      <c r="I12" s="3"/>
      <c r="J12" s="1"/>
      <c r="K12" s="1">
        <f t="shared" si="1"/>
        <v>0</v>
      </c>
      <c r="L12" s="1">
        <f ca="1">IF(F12=0,0,(TODAY()-A12))</f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0</v>
      </c>
      <c r="Q12" s="8">
        <f t="shared" si="6"/>
        <v>0</v>
      </c>
      <c r="R12" s="8">
        <f t="shared" si="7"/>
        <v>0</v>
      </c>
      <c r="S12" s="8">
        <f t="shared" si="8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1"/>
      <c r="I13" s="3"/>
      <c r="J13" s="1"/>
      <c r="K13" s="1">
        <f t="shared" si="1"/>
        <v>0</v>
      </c>
      <c r="L13" s="1">
        <f t="shared" ref="L13:L22" ca="1" si="21">IF(F13=0,0,(TODAY()-A13))</f>
        <v>0</v>
      </c>
      <c r="M13">
        <f t="shared" si="2"/>
        <v>0</v>
      </c>
      <c r="N13">
        <f t="shared" si="3"/>
        <v>0</v>
      </c>
      <c r="O13">
        <f t="shared" si="4"/>
        <v>0</v>
      </c>
      <c r="P13">
        <f t="shared" si="5"/>
        <v>0</v>
      </c>
      <c r="Q13" s="8">
        <f t="shared" si="6"/>
        <v>0</v>
      </c>
      <c r="R13" s="8">
        <f t="shared" si="7"/>
        <v>0</v>
      </c>
      <c r="S13" s="8">
        <f t="shared" si="8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1"/>
      <c r="I14" s="3"/>
      <c r="J14" s="1"/>
      <c r="K14" s="1">
        <f t="shared" ref="K14:K18" si="22">F14-J14</f>
        <v>0</v>
      </c>
      <c r="L14" s="1">
        <f t="shared" ca="1" si="21"/>
        <v>0</v>
      </c>
      <c r="M14">
        <f t="shared" ref="M14:M18" si="23">IF(E14="T",G14,0)</f>
        <v>0</v>
      </c>
      <c r="N14">
        <f t="shared" ref="N14:N18" si="24">IF(E14="T",K14,0)</f>
        <v>0</v>
      </c>
      <c r="O14">
        <f t="shared" ref="O14:O18" si="25">IF(E14="B",G14,0)</f>
        <v>0</v>
      </c>
      <c r="P14">
        <f t="shared" ref="P14:P18" si="26">IF(E14="B",K14,0)</f>
        <v>0</v>
      </c>
      <c r="Q14" s="8">
        <f t="shared" si="6"/>
        <v>0</v>
      </c>
      <c r="R14" s="8">
        <f t="shared" si="7"/>
        <v>0</v>
      </c>
      <c r="S14" s="8">
        <f t="shared" si="8"/>
        <v>0</v>
      </c>
      <c r="U14">
        <f t="shared" ref="U14:U18" si="27">IF(C14=1,1,0)</f>
        <v>0</v>
      </c>
      <c r="V14">
        <f t="shared" ref="V14:V18" si="28">IF(C14=2,1,0)</f>
        <v>0</v>
      </c>
      <c r="W14">
        <f t="shared" ref="W14:W18" si="29">IF(C14=3,1,0)</f>
        <v>0</v>
      </c>
      <c r="X14">
        <f t="shared" ref="X14:X18" si="30">IF(C14=4,1,0)</f>
        <v>0</v>
      </c>
      <c r="Y14">
        <f t="shared" ref="Y14:Y18" si="31">IF(C14=5,1,0)</f>
        <v>0</v>
      </c>
      <c r="Z14">
        <f t="shared" ref="Z14:Z18" si="32">IF(C14=6,1,0)</f>
        <v>0</v>
      </c>
      <c r="AA14">
        <f t="shared" ref="AA14:AA18" si="33">IF(C14=7,1,0)</f>
        <v>0</v>
      </c>
      <c r="AB14">
        <f t="shared" ref="AB14:AB18" si="34">IF(C14=8,1,0)</f>
        <v>0</v>
      </c>
      <c r="AC14">
        <f t="shared" ref="AC14:AC18" si="35">IF(C14=9,1,0)</f>
        <v>0</v>
      </c>
      <c r="AD14">
        <f t="shared" ref="AD14:AD18" si="36">IF(C14=10,1,0)</f>
        <v>0</v>
      </c>
      <c r="AE14">
        <f t="shared" ref="AE14:AE18" si="37">IF(C14="SILO",1,0)</f>
        <v>0</v>
      </c>
      <c r="AF14">
        <f t="shared" ref="AF14:AF18" si="38">IF(C14="CB",1,0)</f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si="22"/>
        <v>0</v>
      </c>
      <c r="L15" s="1">
        <f t="shared" ca="1" si="21"/>
        <v>0</v>
      </c>
      <c r="M15">
        <f t="shared" si="23"/>
        <v>0</v>
      </c>
      <c r="N15">
        <f t="shared" si="24"/>
        <v>0</v>
      </c>
      <c r="O15">
        <f t="shared" si="25"/>
        <v>0</v>
      </c>
      <c r="P15">
        <f t="shared" si="26"/>
        <v>0</v>
      </c>
      <c r="Q15" s="8">
        <f t="shared" si="6"/>
        <v>0</v>
      </c>
      <c r="R15" s="8">
        <f t="shared" si="7"/>
        <v>0</v>
      </c>
      <c r="S15" s="8">
        <f t="shared" si="8"/>
        <v>0</v>
      </c>
      <c r="U15">
        <f t="shared" si="27"/>
        <v>0</v>
      </c>
      <c r="V15">
        <f t="shared" si="28"/>
        <v>0</v>
      </c>
      <c r="W15">
        <f t="shared" si="29"/>
        <v>0</v>
      </c>
      <c r="X15">
        <f t="shared" si="30"/>
        <v>0</v>
      </c>
      <c r="Y15">
        <f t="shared" si="31"/>
        <v>0</v>
      </c>
      <c r="Z15">
        <f t="shared" si="32"/>
        <v>0</v>
      </c>
      <c r="AA15">
        <f t="shared" si="33"/>
        <v>0</v>
      </c>
      <c r="AB15">
        <f t="shared" si="34"/>
        <v>0</v>
      </c>
      <c r="AC15">
        <f t="shared" si="35"/>
        <v>0</v>
      </c>
      <c r="AD15">
        <f t="shared" si="36"/>
        <v>0</v>
      </c>
      <c r="AE15">
        <f t="shared" si="37"/>
        <v>0</v>
      </c>
      <c r="AF15">
        <f t="shared" si="38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3"/>
      <c r="J16" s="1"/>
      <c r="K16" s="1">
        <f t="shared" si="22"/>
        <v>0</v>
      </c>
      <c r="L16" s="1">
        <f t="shared" ca="1" si="21"/>
        <v>0</v>
      </c>
      <c r="M16">
        <f t="shared" si="23"/>
        <v>0</v>
      </c>
      <c r="N16">
        <f t="shared" si="24"/>
        <v>0</v>
      </c>
      <c r="O16">
        <f t="shared" si="25"/>
        <v>0</v>
      </c>
      <c r="P16">
        <f t="shared" si="26"/>
        <v>0</v>
      </c>
      <c r="Q16" s="8">
        <f t="shared" si="6"/>
        <v>0</v>
      </c>
      <c r="R16" s="8">
        <f t="shared" si="7"/>
        <v>0</v>
      </c>
      <c r="S16" s="8">
        <f t="shared" si="8"/>
        <v>0</v>
      </c>
      <c r="U16">
        <f t="shared" si="27"/>
        <v>0</v>
      </c>
      <c r="V16">
        <f t="shared" si="28"/>
        <v>0</v>
      </c>
      <c r="W16">
        <f t="shared" si="29"/>
        <v>0</v>
      </c>
      <c r="X16">
        <f t="shared" si="30"/>
        <v>0</v>
      </c>
      <c r="Y16">
        <f t="shared" si="31"/>
        <v>0</v>
      </c>
      <c r="Z16">
        <f t="shared" si="32"/>
        <v>0</v>
      </c>
      <c r="AA16">
        <f t="shared" si="33"/>
        <v>0</v>
      </c>
      <c r="AB16">
        <f t="shared" si="34"/>
        <v>0</v>
      </c>
      <c r="AC16">
        <f t="shared" si="35"/>
        <v>0</v>
      </c>
      <c r="AD16">
        <f t="shared" si="36"/>
        <v>0</v>
      </c>
      <c r="AE16">
        <f t="shared" si="37"/>
        <v>0</v>
      </c>
      <c r="AF16">
        <f t="shared" si="38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si="22"/>
        <v>0</v>
      </c>
      <c r="L17" s="1">
        <f ca="1">IF(F17=0,0,(TODAY()-A17))</f>
        <v>0</v>
      </c>
      <c r="M17">
        <f t="shared" si="23"/>
        <v>0</v>
      </c>
      <c r="N17">
        <f t="shared" si="24"/>
        <v>0</v>
      </c>
      <c r="O17">
        <f t="shared" si="25"/>
        <v>0</v>
      </c>
      <c r="P17">
        <f t="shared" si="26"/>
        <v>0</v>
      </c>
      <c r="Q17" s="8">
        <f t="shared" si="6"/>
        <v>0</v>
      </c>
      <c r="R17" s="8">
        <f t="shared" si="7"/>
        <v>0</v>
      </c>
      <c r="S17" s="8">
        <f t="shared" si="8"/>
        <v>0</v>
      </c>
      <c r="U17">
        <f t="shared" si="27"/>
        <v>0</v>
      </c>
      <c r="V17">
        <f t="shared" si="28"/>
        <v>0</v>
      </c>
      <c r="W17">
        <f t="shared" si="29"/>
        <v>0</v>
      </c>
      <c r="X17">
        <f t="shared" si="30"/>
        <v>0</v>
      </c>
      <c r="Y17">
        <f t="shared" si="31"/>
        <v>0</v>
      </c>
      <c r="Z17">
        <f t="shared" si="32"/>
        <v>0</v>
      </c>
      <c r="AA17">
        <f t="shared" si="33"/>
        <v>0</v>
      </c>
      <c r="AB17">
        <f t="shared" si="34"/>
        <v>0</v>
      </c>
      <c r="AC17">
        <f t="shared" si="35"/>
        <v>0</v>
      </c>
      <c r="AD17">
        <f t="shared" si="36"/>
        <v>0</v>
      </c>
      <c r="AE17">
        <f t="shared" si="37"/>
        <v>0</v>
      </c>
      <c r="AF17">
        <f t="shared" si="38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22"/>
        <v>0</v>
      </c>
      <c r="L18" s="1">
        <f t="shared" ref="L18" ca="1" si="39">IF(F18=0,0,(TODAY()-A18))</f>
        <v>0</v>
      </c>
      <c r="M18">
        <f t="shared" si="23"/>
        <v>0</v>
      </c>
      <c r="N18">
        <f t="shared" si="24"/>
        <v>0</v>
      </c>
      <c r="O18">
        <f t="shared" si="25"/>
        <v>0</v>
      </c>
      <c r="P18">
        <f t="shared" si="26"/>
        <v>0</v>
      </c>
      <c r="Q18" s="8">
        <f t="shared" si="6"/>
        <v>0</v>
      </c>
      <c r="R18" s="8">
        <f t="shared" si="7"/>
        <v>0</v>
      </c>
      <c r="S18" s="8">
        <f t="shared" si="8"/>
        <v>0</v>
      </c>
      <c r="U18">
        <f t="shared" si="27"/>
        <v>0</v>
      </c>
      <c r="V18">
        <f t="shared" si="28"/>
        <v>0</v>
      </c>
      <c r="W18">
        <f t="shared" si="29"/>
        <v>0</v>
      </c>
      <c r="X18">
        <f t="shared" si="30"/>
        <v>0</v>
      </c>
      <c r="Y18">
        <f t="shared" si="31"/>
        <v>0</v>
      </c>
      <c r="Z18">
        <f t="shared" si="32"/>
        <v>0</v>
      </c>
      <c r="AA18">
        <f t="shared" si="33"/>
        <v>0</v>
      </c>
      <c r="AB18">
        <f t="shared" si="34"/>
        <v>0</v>
      </c>
      <c r="AC18">
        <f t="shared" si="35"/>
        <v>0</v>
      </c>
      <c r="AD18">
        <f t="shared" si="36"/>
        <v>0</v>
      </c>
      <c r="AE18">
        <f t="shared" si="37"/>
        <v>0</v>
      </c>
      <c r="AF18">
        <f t="shared" si="38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si="1"/>
        <v>0</v>
      </c>
      <c r="L19" s="1">
        <f t="shared" ca="1" si="21"/>
        <v>0</v>
      </c>
      <c r="M19">
        <f t="shared" si="2"/>
        <v>0</v>
      </c>
      <c r="N19">
        <f t="shared" si="3"/>
        <v>0</v>
      </c>
      <c r="O19">
        <f t="shared" si="4"/>
        <v>0</v>
      </c>
      <c r="P19">
        <f t="shared" si="5"/>
        <v>0</v>
      </c>
      <c r="Q19" s="8">
        <f t="shared" si="6"/>
        <v>0</v>
      </c>
      <c r="R19" s="8">
        <f t="shared" si="7"/>
        <v>0</v>
      </c>
      <c r="S19" s="8">
        <f t="shared" si="8"/>
        <v>0</v>
      </c>
      <c r="U19">
        <f t="shared" si="9"/>
        <v>0</v>
      </c>
      <c r="V19">
        <f t="shared" si="10"/>
        <v>0</v>
      </c>
      <c r="W19">
        <f t="shared" si="11"/>
        <v>0</v>
      </c>
      <c r="X19">
        <f t="shared" si="12"/>
        <v>0</v>
      </c>
      <c r="Y19">
        <f t="shared" si="13"/>
        <v>0</v>
      </c>
      <c r="Z19">
        <f t="shared" si="14"/>
        <v>0</v>
      </c>
      <c r="AA19">
        <f t="shared" si="15"/>
        <v>0</v>
      </c>
      <c r="AB19">
        <f t="shared" si="16"/>
        <v>0</v>
      </c>
      <c r="AC19">
        <f t="shared" si="17"/>
        <v>0</v>
      </c>
      <c r="AD19">
        <f t="shared" si="18"/>
        <v>0</v>
      </c>
      <c r="AE19">
        <f t="shared" si="19"/>
        <v>0</v>
      </c>
      <c r="AF19">
        <f t="shared" si="20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1"/>
        <v>0</v>
      </c>
      <c r="L20" s="1">
        <f t="shared" ca="1" si="21"/>
        <v>0</v>
      </c>
      <c r="M20">
        <f t="shared" si="2"/>
        <v>0</v>
      </c>
      <c r="N20">
        <f t="shared" si="3"/>
        <v>0</v>
      </c>
      <c r="O20">
        <f t="shared" si="4"/>
        <v>0</v>
      </c>
      <c r="P20">
        <f t="shared" si="5"/>
        <v>0</v>
      </c>
      <c r="Q20" s="8">
        <f t="shared" si="6"/>
        <v>0</v>
      </c>
      <c r="R20" s="8">
        <f t="shared" si="7"/>
        <v>0</v>
      </c>
      <c r="S20" s="8">
        <f t="shared" si="8"/>
        <v>0</v>
      </c>
      <c r="U20">
        <f t="shared" si="9"/>
        <v>0</v>
      </c>
      <c r="V20">
        <f t="shared" si="10"/>
        <v>0</v>
      </c>
      <c r="W20">
        <f t="shared" si="11"/>
        <v>0</v>
      </c>
      <c r="X20">
        <f t="shared" si="12"/>
        <v>0</v>
      </c>
      <c r="Y20">
        <f t="shared" si="13"/>
        <v>0</v>
      </c>
      <c r="Z20">
        <f t="shared" si="14"/>
        <v>0</v>
      </c>
      <c r="AA20">
        <f t="shared" si="15"/>
        <v>0</v>
      </c>
      <c r="AB20">
        <f t="shared" si="16"/>
        <v>0</v>
      </c>
      <c r="AC20">
        <f t="shared" si="17"/>
        <v>0</v>
      </c>
      <c r="AD20">
        <f t="shared" si="18"/>
        <v>0</v>
      </c>
      <c r="AE20">
        <f t="shared" si="19"/>
        <v>0</v>
      </c>
      <c r="AF20">
        <f t="shared" si="20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1"/>
        <v>0</v>
      </c>
      <c r="L21" s="1">
        <f t="shared" ca="1" si="21"/>
        <v>0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0</v>
      </c>
      <c r="Q21" s="8">
        <f t="shared" si="6"/>
        <v>0</v>
      </c>
      <c r="R21" s="8">
        <f t="shared" si="7"/>
        <v>0</v>
      </c>
      <c r="S21" s="8">
        <f t="shared" si="8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f t="shared" si="12"/>
        <v>0</v>
      </c>
      <c r="Y21">
        <f t="shared" si="13"/>
        <v>0</v>
      </c>
      <c r="Z21">
        <f t="shared" si="14"/>
        <v>0</v>
      </c>
      <c r="AA21">
        <f t="shared" si="15"/>
        <v>0</v>
      </c>
      <c r="AB21">
        <f t="shared" si="16"/>
        <v>0</v>
      </c>
      <c r="AC21">
        <f t="shared" si="17"/>
        <v>0</v>
      </c>
      <c r="AD21">
        <f t="shared" si="18"/>
        <v>0</v>
      </c>
      <c r="AE21">
        <f t="shared" si="19"/>
        <v>0</v>
      </c>
      <c r="AF21">
        <f t="shared" si="20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1">
        <f t="shared" si="1"/>
        <v>0</v>
      </c>
      <c r="L22" s="1">
        <f t="shared" ca="1" si="21"/>
        <v>0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0</v>
      </c>
      <c r="Q22" s="8">
        <f t="shared" si="6"/>
        <v>0</v>
      </c>
      <c r="R22" s="8">
        <f t="shared" si="7"/>
        <v>0</v>
      </c>
      <c r="S22" s="8">
        <f t="shared" si="8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7950</v>
      </c>
      <c r="G23" s="4"/>
      <c r="H23" s="4"/>
      <c r="I23" s="7"/>
      <c r="J23" s="8" t="s">
        <v>20</v>
      </c>
      <c r="K23" s="1">
        <f>SUM(K6:K22)</f>
        <v>7950</v>
      </c>
      <c r="L23" s="26">
        <f>IF(U$23&gt;=1,1,0)</f>
        <v>1</v>
      </c>
      <c r="N23">
        <f t="shared" si="3"/>
        <v>0</v>
      </c>
      <c r="P23">
        <f t="shared" si="5"/>
        <v>0</v>
      </c>
      <c r="U23">
        <f>SUM(U6:U22)</f>
        <v>2</v>
      </c>
      <c r="V23">
        <f t="shared" ref="V23:AF23" si="40">SUM(V6:V22)</f>
        <v>0</v>
      </c>
      <c r="W23">
        <f t="shared" si="40"/>
        <v>0</v>
      </c>
      <c r="X23">
        <f t="shared" si="40"/>
        <v>0</v>
      </c>
      <c r="Y23">
        <f t="shared" si="40"/>
        <v>0</v>
      </c>
      <c r="Z23">
        <f t="shared" si="40"/>
        <v>0</v>
      </c>
      <c r="AA23">
        <f t="shared" si="40"/>
        <v>0</v>
      </c>
      <c r="AB23">
        <f t="shared" si="40"/>
        <v>0</v>
      </c>
      <c r="AC23">
        <f t="shared" si="40"/>
        <v>0</v>
      </c>
      <c r="AD23">
        <f t="shared" si="40"/>
        <v>0</v>
      </c>
      <c r="AE23">
        <f t="shared" si="40"/>
        <v>0</v>
      </c>
      <c r="AF23">
        <f t="shared" si="40"/>
        <v>0</v>
      </c>
    </row>
    <row r="24" spans="1:32" x14ac:dyDescent="0.35">
      <c r="J24" s="8" t="s">
        <v>21</v>
      </c>
      <c r="K24" s="5">
        <f>SUMPRODUCT(K6:K22,G6:G22)/SUM(K6:K22)</f>
        <v>2654.566540880503</v>
      </c>
      <c r="L24" s="26">
        <f>IF(V$23&gt;=1,1,0)</f>
        <v>0</v>
      </c>
    </row>
    <row r="25" spans="1:32" x14ac:dyDescent="0.35">
      <c r="J25" s="8" t="s">
        <v>11</v>
      </c>
      <c r="K25" s="5" t="e">
        <f>SUMPRODUCT(M6:M22,N6:N22)/SUM(N6:N22)</f>
        <v>#DIV/0!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0</v>
      </c>
      <c r="L26" s="26">
        <f>IF(X$23&gt;=1,1,0)</f>
        <v>0</v>
      </c>
    </row>
    <row r="27" spans="1:32" x14ac:dyDescent="0.35">
      <c r="J27" s="8" t="s">
        <v>22</v>
      </c>
      <c r="K27" s="5">
        <f>SUMPRODUCT(O6:O22,P6:P22)/SUM(P6:P22)</f>
        <v>2654.566540880503</v>
      </c>
      <c r="L27" s="26">
        <f>IF(Y$23&gt;=1,1,0)</f>
        <v>0</v>
      </c>
    </row>
    <row r="28" spans="1:32" x14ac:dyDescent="0.35">
      <c r="J28" s="8" t="s">
        <v>23</v>
      </c>
      <c r="K28" s="5">
        <f>SUM(P6:P22)</f>
        <v>7950</v>
      </c>
      <c r="L28" s="26">
        <f>IF(Z$23&gt;=1,1,0)</f>
        <v>0</v>
      </c>
    </row>
    <row r="29" spans="1:32" x14ac:dyDescent="0.35">
      <c r="J29" s="8" t="s">
        <v>24</v>
      </c>
      <c r="K29" s="1">
        <f ca="1">MAX(L6:L22)</f>
        <v>67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65.5</v>
      </c>
      <c r="L30" s="26">
        <f>IF(AB$23&gt;=1,1,0)</f>
        <v>0</v>
      </c>
    </row>
    <row r="31" spans="1:32" x14ac:dyDescent="0.35">
      <c r="J31" s="8" t="s">
        <v>528</v>
      </c>
      <c r="K31" s="1">
        <f>SUM(Q6:Q22)</f>
        <v>0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0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7950</v>
      </c>
      <c r="L33" s="26">
        <f>IF(AE$23&gt;=1,1,0)</f>
        <v>0</v>
      </c>
    </row>
    <row r="34" spans="10:12" x14ac:dyDescent="0.35">
      <c r="L34" s="26">
        <f>IF(AF$23&gt;=1,1,0)</f>
        <v>0</v>
      </c>
    </row>
  </sheetData>
  <conditionalFormatting sqref="G6:H23">
    <cfRule type="cellIs" dxfId="392" priority="1" operator="between">
      <formula>2500</formula>
      <formula>2000</formula>
    </cfRule>
    <cfRule type="cellIs" dxfId="391" priority="2" operator="between">
      <formula>2500</formula>
      <formula>3000</formula>
    </cfRule>
    <cfRule type="cellIs" dxfId="390" priority="3" operator="between">
      <formula>3000</formula>
      <formula>3200</formula>
    </cfRule>
    <cfRule type="cellIs" dxfId="389" priority="4" operator="greaterThan">
      <formula>3600</formula>
    </cfRule>
    <cfRule type="cellIs" dxfId="388" priority="5" operator="between">
      <formula>3200</formula>
      <formula>3600</formula>
    </cfRule>
  </conditionalFormatting>
  <conditionalFormatting sqref="K25">
    <cfRule type="cellIs" dxfId="387" priority="114" operator="lessThan">
      <formula>2500</formula>
    </cfRule>
    <cfRule type="cellIs" dxfId="386" priority="115" operator="between">
      <formula>2500</formula>
      <formula>3000</formula>
    </cfRule>
    <cfRule type="cellIs" dxfId="385" priority="116" operator="between">
      <formula>3000</formula>
      <formula>3200</formula>
    </cfRule>
    <cfRule type="cellIs" dxfId="384" priority="117" operator="greaterThan">
      <formula>3600</formula>
    </cfRule>
    <cfRule type="cellIs" dxfId="383" priority="118" operator="between">
      <formula>3200</formula>
      <formula>3600</formula>
    </cfRule>
  </conditionalFormatting>
  <conditionalFormatting sqref="K27">
    <cfRule type="cellIs" dxfId="382" priority="109" operator="lessThan">
      <formula>2500</formula>
    </cfRule>
    <cfRule type="cellIs" dxfId="381" priority="110" operator="between">
      <formula>2500</formula>
      <formula>3000</formula>
    </cfRule>
    <cfRule type="cellIs" dxfId="380" priority="111" operator="between">
      <formula>3000</formula>
      <formula>3200</formula>
    </cfRule>
    <cfRule type="cellIs" dxfId="379" priority="112" operator="greaterThan">
      <formula>3600</formula>
    </cfRule>
    <cfRule type="cellIs" dxfId="378" priority="113" operator="between">
      <formula>3200</formula>
      <formula>3600</formula>
    </cfRule>
  </conditionalFormatting>
  <conditionalFormatting sqref="L6:L34">
    <cfRule type="cellIs" dxfId="377" priority="91" operator="greaterThan">
      <formula>10</formula>
    </cfRule>
  </conditionalFormatting>
  <hyperlinks>
    <hyperlink ref="A3" location="'summery '!A1" display="summery " xr:uid="{00000000-0004-0000-0700-000000000000}"/>
  </hyperlink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F34"/>
  <sheetViews>
    <sheetView topLeftCell="B1" zoomScale="45" zoomScaleNormal="45" workbookViewId="0">
      <selection activeCell="J31" sqref="J31:J33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3.45312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5" width="10.90625" customWidth="1"/>
    <col min="16" max="16" width="12.453125" customWidth="1"/>
    <col min="17" max="17" width="18.54296875" customWidth="1"/>
    <col min="18" max="18" width="19.81640625" customWidth="1"/>
    <col min="19" max="19" width="17" customWidth="1"/>
    <col min="20" max="33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</row>
    <row r="6" spans="1:32" ht="15.5" x14ac:dyDescent="0.35">
      <c r="A6" s="3">
        <v>45623</v>
      </c>
      <c r="B6" s="1">
        <v>58</v>
      </c>
      <c r="C6" s="1">
        <v>6</v>
      </c>
      <c r="D6" s="1">
        <v>1</v>
      </c>
      <c r="E6" s="1" t="s">
        <v>18</v>
      </c>
      <c r="F6" s="13">
        <v>4538</v>
      </c>
      <c r="G6" s="19">
        <v>3487</v>
      </c>
      <c r="H6" s="1" t="s">
        <v>46</v>
      </c>
      <c r="I6" s="3"/>
      <c r="J6" s="1"/>
      <c r="K6" s="1">
        <f>F6-J6</f>
        <v>4538</v>
      </c>
      <c r="L6" s="1">
        <f t="shared" ref="L6:L11" ca="1" si="0">IF(F6=0,0,(TODAY()-A6))</f>
        <v>65</v>
      </c>
      <c r="M6">
        <f>IF(E6="T",G6,0)</f>
        <v>0</v>
      </c>
      <c r="N6">
        <f>IF(E6="T",K6,0)</f>
        <v>0</v>
      </c>
      <c r="O6">
        <f>IF(E6="B",G6,0)</f>
        <v>3487</v>
      </c>
      <c r="P6">
        <f>IF(E6="B",K6,0)</f>
        <v>4538</v>
      </c>
      <c r="Q6" s="8">
        <f>IF(G6&gt;3500,K6,0)</f>
        <v>0</v>
      </c>
      <c r="R6" s="8">
        <f>IF(AND(G6&gt;=3100,G6&lt;=3500),K6,0)</f>
        <v>4538</v>
      </c>
      <c r="S6" s="8">
        <f>IF(G6&lt;3100,K6,0)</f>
        <v>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0</v>
      </c>
      <c r="Z6">
        <f>IF(C6=6,1,0)</f>
        <v>1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ht="15.5" x14ac:dyDescent="0.35">
      <c r="A7" s="3">
        <v>45624</v>
      </c>
      <c r="B7" s="1">
        <v>64</v>
      </c>
      <c r="C7" s="1" t="s">
        <v>70</v>
      </c>
      <c r="D7" s="1">
        <v>2</v>
      </c>
      <c r="E7" s="1" t="s">
        <v>18</v>
      </c>
      <c r="F7" s="13">
        <v>3867</v>
      </c>
      <c r="G7" s="19">
        <v>3119</v>
      </c>
      <c r="H7" s="1" t="s">
        <v>455</v>
      </c>
      <c r="I7" s="3"/>
      <c r="J7" s="1"/>
      <c r="K7" s="1">
        <f t="shared" ref="K7:K15" si="1">F7-J7</f>
        <v>3867</v>
      </c>
      <c r="L7" s="1">
        <f t="shared" ca="1" si="0"/>
        <v>64</v>
      </c>
      <c r="M7">
        <f t="shared" ref="M7:M9" si="2">IF(E7="T",G7,0)</f>
        <v>0</v>
      </c>
      <c r="N7">
        <f t="shared" ref="N7:N23" si="3">IF(E7="T",K7,0)</f>
        <v>0</v>
      </c>
      <c r="O7">
        <f t="shared" ref="O7:O9" si="4">IF(E7="B",G7,0)</f>
        <v>3119</v>
      </c>
      <c r="P7">
        <f t="shared" ref="P7:P23" si="5">IF(E7="B",K7,0)</f>
        <v>3867</v>
      </c>
      <c r="Q7" s="8">
        <f t="shared" ref="Q7:Q11" si="6">IF(G7&gt;3500,K7,0)</f>
        <v>0</v>
      </c>
      <c r="R7" s="8">
        <f t="shared" ref="R7:R11" si="7">IF(AND(G7&gt;=3100,G7&lt;=3500),K7,0)</f>
        <v>3867</v>
      </c>
      <c r="S7" s="8">
        <f t="shared" ref="S7:S11" si="8">IF(G7&lt;3100,K7,0)</f>
        <v>0</v>
      </c>
      <c r="U7">
        <f t="shared" ref="U7:U15" si="9">IF(C7=1,1,0)</f>
        <v>0</v>
      </c>
      <c r="V7">
        <f t="shared" ref="V7:V15" si="10">IF(C7=2,1,0)</f>
        <v>0</v>
      </c>
      <c r="W7">
        <f t="shared" ref="W7:W15" si="11">IF(C7=3,1,0)</f>
        <v>0</v>
      </c>
      <c r="X7">
        <f t="shared" ref="X7:X15" si="12">IF(C7=4,1,0)</f>
        <v>0</v>
      </c>
      <c r="Y7">
        <f t="shared" ref="Y7:Y15" si="13">IF(C7=5,1,0)</f>
        <v>0</v>
      </c>
      <c r="Z7">
        <f t="shared" ref="Z7:Z15" si="14">IF(C7=6,1,0)</f>
        <v>0</v>
      </c>
      <c r="AA7">
        <f t="shared" ref="AA7:AA15" si="15">IF(C7=7,1,0)</f>
        <v>0</v>
      </c>
      <c r="AB7">
        <f t="shared" ref="AB7:AB15" si="16">IF(C7=8,1,0)</f>
        <v>0</v>
      </c>
      <c r="AC7">
        <f t="shared" ref="AC7:AC15" si="17">IF(C7=9,1,0)</f>
        <v>0</v>
      </c>
      <c r="AD7">
        <f t="shared" ref="AD7:AD15" si="18">IF(C7=10,1,0)</f>
        <v>0</v>
      </c>
      <c r="AE7">
        <f t="shared" ref="AE7:AE15" si="19">IF(C7="SILO",1,0)</f>
        <v>1</v>
      </c>
      <c r="AF7">
        <f t="shared" ref="AF7:AF15" si="20">IF(C7="CB",1,0)</f>
        <v>0</v>
      </c>
    </row>
    <row r="8" spans="1:32" x14ac:dyDescent="0.35">
      <c r="A8" s="3"/>
      <c r="B8" s="1"/>
      <c r="C8" s="1"/>
      <c r="D8" s="1"/>
      <c r="E8" s="1"/>
      <c r="F8" s="13"/>
      <c r="G8" s="15"/>
      <c r="H8" s="1"/>
      <c r="I8" s="3"/>
      <c r="J8" s="1"/>
      <c r="K8" s="1">
        <f t="shared" si="1"/>
        <v>0</v>
      </c>
      <c r="L8" s="1">
        <f t="shared" ca="1" si="0"/>
        <v>0</v>
      </c>
      <c r="M8">
        <f t="shared" si="2"/>
        <v>0</v>
      </c>
      <c r="N8">
        <f t="shared" si="3"/>
        <v>0</v>
      </c>
      <c r="O8">
        <f t="shared" si="4"/>
        <v>0</v>
      </c>
      <c r="P8">
        <f t="shared" si="5"/>
        <v>0</v>
      </c>
      <c r="Q8" s="8">
        <f t="shared" si="6"/>
        <v>0</v>
      </c>
      <c r="R8" s="8">
        <f t="shared" si="7"/>
        <v>0</v>
      </c>
      <c r="S8" s="8">
        <f t="shared" si="8"/>
        <v>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x14ac:dyDescent="0.35">
      <c r="A9" s="3"/>
      <c r="B9" s="1"/>
      <c r="C9" s="1"/>
      <c r="D9" s="1"/>
      <c r="E9" s="1"/>
      <c r="F9" s="13"/>
      <c r="G9" s="12"/>
      <c r="H9" s="1"/>
      <c r="I9" s="3"/>
      <c r="J9" s="1"/>
      <c r="K9" s="1">
        <f t="shared" si="1"/>
        <v>0</v>
      </c>
      <c r="L9" s="1">
        <f t="shared" ca="1" si="0"/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0</v>
      </c>
      <c r="Q9" s="8">
        <f t="shared" si="6"/>
        <v>0</v>
      </c>
      <c r="R9" s="8">
        <f t="shared" si="7"/>
        <v>0</v>
      </c>
      <c r="S9" s="8">
        <f t="shared" si="8"/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0</v>
      </c>
      <c r="AF9">
        <f t="shared" si="20"/>
        <v>0</v>
      </c>
    </row>
    <row r="10" spans="1:32" x14ac:dyDescent="0.35">
      <c r="A10" s="3"/>
      <c r="B10" s="1"/>
      <c r="C10" s="1"/>
      <c r="D10" s="1"/>
      <c r="E10" s="1"/>
      <c r="F10" s="13"/>
      <c r="G10" s="12"/>
      <c r="H10" s="1"/>
      <c r="I10" s="3"/>
      <c r="J10" s="1"/>
      <c r="K10" s="1">
        <f t="shared" si="1"/>
        <v>0</v>
      </c>
      <c r="L10" s="1">
        <f t="shared" ca="1" si="0"/>
        <v>0</v>
      </c>
      <c r="M10">
        <f t="shared" ref="M10:M22" si="21">IF(E10="T",G10,0)</f>
        <v>0</v>
      </c>
      <c r="N10">
        <f t="shared" ref="N10:N22" si="22">IF(E10="T",K10,0)</f>
        <v>0</v>
      </c>
      <c r="O10">
        <f t="shared" ref="O10:O22" si="23">IF(E10="B",G10,0)</f>
        <v>0</v>
      </c>
      <c r="P10">
        <f t="shared" ref="P10:P22" si="24">IF(E10="B",K10,0)</f>
        <v>0</v>
      </c>
      <c r="Q10" s="8">
        <f t="shared" si="6"/>
        <v>0</v>
      </c>
      <c r="R10" s="8">
        <f t="shared" si="7"/>
        <v>0</v>
      </c>
      <c r="S10" s="8">
        <f t="shared" si="8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x14ac:dyDescent="0.35">
      <c r="A11" s="3"/>
      <c r="B11" s="1"/>
      <c r="C11" s="1"/>
      <c r="D11" s="1"/>
      <c r="E11" s="1"/>
      <c r="F11" s="13"/>
      <c r="G11" s="16"/>
      <c r="H11" s="1"/>
      <c r="I11" s="3"/>
      <c r="J11" s="1"/>
      <c r="K11" s="1">
        <f t="shared" si="1"/>
        <v>0</v>
      </c>
      <c r="L11" s="1">
        <f t="shared" ca="1" si="0"/>
        <v>0</v>
      </c>
      <c r="M11">
        <f t="shared" si="21"/>
        <v>0</v>
      </c>
      <c r="N11">
        <f t="shared" si="22"/>
        <v>0</v>
      </c>
      <c r="O11">
        <f t="shared" si="23"/>
        <v>0</v>
      </c>
      <c r="P11">
        <f t="shared" si="24"/>
        <v>0</v>
      </c>
      <c r="Q11" s="8">
        <f t="shared" si="6"/>
        <v>0</v>
      </c>
      <c r="R11" s="8">
        <f t="shared" si="7"/>
        <v>0</v>
      </c>
      <c r="S11" s="8">
        <f t="shared" si="8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3"/>
      <c r="G12" s="1"/>
      <c r="H12" s="1"/>
      <c r="I12" s="3"/>
      <c r="J12" s="1"/>
      <c r="K12" s="1">
        <f t="shared" si="1"/>
        <v>0</v>
      </c>
      <c r="L12" s="1">
        <f ca="1">IF(F12=0,0,(TODAY()-A12))</f>
        <v>0</v>
      </c>
      <c r="M12">
        <f t="shared" si="21"/>
        <v>0</v>
      </c>
      <c r="N12">
        <f t="shared" si="22"/>
        <v>0</v>
      </c>
      <c r="O12">
        <f t="shared" si="23"/>
        <v>0</v>
      </c>
      <c r="P12">
        <f t="shared" si="24"/>
        <v>0</v>
      </c>
      <c r="Q12" s="8">
        <f t="shared" ref="Q12:Q22" si="25">IF(G12&gt;3500,K12,0)</f>
        <v>0</v>
      </c>
      <c r="R12" s="8">
        <f t="shared" ref="R12:R22" si="26">IF(AND(G12&gt;=3100,G12&lt;=3500),K12,0)</f>
        <v>0</v>
      </c>
      <c r="S12" s="8">
        <f t="shared" ref="S12:S22" si="27">IF(G12&lt;3100,K12,0)</f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/>
      <c r="B13" s="1"/>
      <c r="C13" s="1"/>
      <c r="D13" s="1"/>
      <c r="E13" s="1"/>
      <c r="F13" s="13"/>
      <c r="G13" s="12"/>
      <c r="H13" s="1"/>
      <c r="I13" s="3"/>
      <c r="J13" s="1"/>
      <c r="K13" s="1">
        <f t="shared" si="1"/>
        <v>0</v>
      </c>
      <c r="L13" s="1">
        <f t="shared" ref="L13:L15" ca="1" si="28">IF(F13=0,0,(TODAY()-A13))</f>
        <v>0</v>
      </c>
      <c r="M13">
        <f t="shared" si="21"/>
        <v>0</v>
      </c>
      <c r="N13">
        <f t="shared" si="22"/>
        <v>0</v>
      </c>
      <c r="O13">
        <f t="shared" si="23"/>
        <v>0</v>
      </c>
      <c r="P13">
        <f t="shared" si="24"/>
        <v>0</v>
      </c>
      <c r="Q13" s="8">
        <f t="shared" si="25"/>
        <v>0</v>
      </c>
      <c r="R13" s="8">
        <f t="shared" si="26"/>
        <v>0</v>
      </c>
      <c r="S13" s="8">
        <f t="shared" si="27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3"/>
      <c r="G14" s="15"/>
      <c r="H14" s="1"/>
      <c r="I14" s="3"/>
      <c r="J14" s="1"/>
      <c r="K14" s="1">
        <f t="shared" si="1"/>
        <v>0</v>
      </c>
      <c r="L14" s="1">
        <f t="shared" ca="1" si="28"/>
        <v>0</v>
      </c>
      <c r="M14">
        <f t="shared" si="21"/>
        <v>0</v>
      </c>
      <c r="N14">
        <f t="shared" si="22"/>
        <v>0</v>
      </c>
      <c r="O14">
        <f t="shared" si="23"/>
        <v>0</v>
      </c>
      <c r="P14">
        <f t="shared" si="24"/>
        <v>0</v>
      </c>
      <c r="Q14" s="8">
        <f t="shared" si="25"/>
        <v>0</v>
      </c>
      <c r="R14" s="8">
        <f t="shared" si="26"/>
        <v>0</v>
      </c>
      <c r="S14" s="8">
        <f t="shared" si="27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/>
      <c r="B15" s="1"/>
      <c r="C15" s="1"/>
      <c r="D15" s="1"/>
      <c r="E15" s="1"/>
      <c r="F15" s="1"/>
      <c r="G15" s="15"/>
      <c r="H15" s="1"/>
      <c r="I15" s="3"/>
      <c r="J15" s="1"/>
      <c r="K15" s="1">
        <f t="shared" si="1"/>
        <v>0</v>
      </c>
      <c r="L15" s="1">
        <f t="shared" ca="1" si="28"/>
        <v>0</v>
      </c>
      <c r="M15">
        <f t="shared" si="21"/>
        <v>0</v>
      </c>
      <c r="N15">
        <f t="shared" si="22"/>
        <v>0</v>
      </c>
      <c r="O15">
        <f t="shared" si="23"/>
        <v>0</v>
      </c>
      <c r="P15">
        <f t="shared" si="24"/>
        <v>0</v>
      </c>
      <c r="Q15" s="8">
        <f t="shared" si="25"/>
        <v>0</v>
      </c>
      <c r="R15" s="8">
        <f t="shared" si="26"/>
        <v>0</v>
      </c>
      <c r="S15" s="8">
        <f t="shared" si="27"/>
        <v>0</v>
      </c>
      <c r="U15">
        <f t="shared" si="9"/>
        <v>0</v>
      </c>
      <c r="V15">
        <f t="shared" si="10"/>
        <v>0</v>
      </c>
      <c r="W15">
        <f t="shared" si="11"/>
        <v>0</v>
      </c>
      <c r="X15">
        <f t="shared" si="12"/>
        <v>0</v>
      </c>
      <c r="Y15">
        <f t="shared" si="13"/>
        <v>0</v>
      </c>
      <c r="Z15">
        <f t="shared" si="14"/>
        <v>0</v>
      </c>
      <c r="AA15">
        <f t="shared" si="15"/>
        <v>0</v>
      </c>
      <c r="AB15">
        <f t="shared" si="16"/>
        <v>0</v>
      </c>
      <c r="AC15">
        <f t="shared" si="17"/>
        <v>0</v>
      </c>
      <c r="AD15">
        <f t="shared" si="18"/>
        <v>0</v>
      </c>
      <c r="AE15">
        <f t="shared" si="19"/>
        <v>0</v>
      </c>
      <c r="AF15">
        <f t="shared" si="20"/>
        <v>0</v>
      </c>
    </row>
    <row r="16" spans="1:32" x14ac:dyDescent="0.35">
      <c r="A16" s="3"/>
      <c r="B16" s="1"/>
      <c r="C16" s="1"/>
      <c r="D16" s="1"/>
      <c r="E16" s="1"/>
      <c r="F16" s="1"/>
      <c r="G16" s="15"/>
      <c r="H16" s="1"/>
      <c r="I16" s="1"/>
      <c r="J16" s="1"/>
      <c r="K16" s="1">
        <f t="shared" ref="K16:K22" si="29">F16-J16</f>
        <v>0</v>
      </c>
      <c r="L16" s="1">
        <f t="shared" ref="L16:L22" ca="1" si="30">IF(F16=0,0,(TODAY()-A16))</f>
        <v>0</v>
      </c>
      <c r="M16">
        <f t="shared" si="21"/>
        <v>0</v>
      </c>
      <c r="N16">
        <f t="shared" si="22"/>
        <v>0</v>
      </c>
      <c r="O16">
        <f t="shared" si="23"/>
        <v>0</v>
      </c>
      <c r="P16">
        <f t="shared" si="24"/>
        <v>0</v>
      </c>
      <c r="Q16" s="8">
        <f t="shared" si="25"/>
        <v>0</v>
      </c>
      <c r="R16" s="8">
        <f t="shared" si="26"/>
        <v>0</v>
      </c>
      <c r="S16" s="8">
        <f t="shared" si="27"/>
        <v>0</v>
      </c>
      <c r="U16">
        <f t="shared" ref="U16:U22" si="31">IF(C16=1,1,0)</f>
        <v>0</v>
      </c>
      <c r="V16">
        <f t="shared" ref="V16:V22" si="32">IF(C16=2,1,0)</f>
        <v>0</v>
      </c>
      <c r="W16">
        <f t="shared" ref="W16:W22" si="33">IF(C16=3,1,0)</f>
        <v>0</v>
      </c>
      <c r="X16">
        <f t="shared" ref="X16:X22" si="34">IF(C16=4,1,0)</f>
        <v>0</v>
      </c>
      <c r="Y16">
        <f t="shared" ref="Y16:Y22" si="35">IF(C16=5,1,0)</f>
        <v>0</v>
      </c>
      <c r="Z16">
        <f t="shared" ref="Z16:Z22" si="36">IF(C16=6,1,0)</f>
        <v>0</v>
      </c>
      <c r="AA16">
        <f t="shared" ref="AA16:AA22" si="37">IF(C16=7,1,0)</f>
        <v>0</v>
      </c>
      <c r="AB16">
        <f t="shared" ref="AB16:AB22" si="38">IF(C16=8,1,0)</f>
        <v>0</v>
      </c>
      <c r="AC16">
        <f t="shared" ref="AC16:AC22" si="39">IF(C16=9,1,0)</f>
        <v>0</v>
      </c>
      <c r="AD16">
        <f t="shared" ref="AD16:AD22" si="40">IF(C16=10,1,0)</f>
        <v>0</v>
      </c>
      <c r="AE16">
        <f t="shared" ref="AE16:AE22" si="41">IF(C16="SILO",1,0)</f>
        <v>0</v>
      </c>
      <c r="AF16">
        <f t="shared" ref="AF16:AF22" si="42">IF(C16="CB",1,0)</f>
        <v>0</v>
      </c>
    </row>
    <row r="17" spans="1:32" x14ac:dyDescent="0.35">
      <c r="A17" s="3"/>
      <c r="B17" s="1"/>
      <c r="C17" s="1"/>
      <c r="D17" s="1"/>
      <c r="E17" s="1"/>
      <c r="F17" s="1"/>
      <c r="G17" s="15"/>
      <c r="H17" s="1"/>
      <c r="I17" s="1"/>
      <c r="J17" s="1"/>
      <c r="K17" s="1">
        <f t="shared" si="29"/>
        <v>0</v>
      </c>
      <c r="L17" s="1">
        <f t="shared" ca="1" si="30"/>
        <v>0</v>
      </c>
      <c r="M17">
        <f t="shared" si="21"/>
        <v>0</v>
      </c>
      <c r="N17">
        <f t="shared" si="22"/>
        <v>0</v>
      </c>
      <c r="O17">
        <f t="shared" si="23"/>
        <v>0</v>
      </c>
      <c r="P17">
        <f t="shared" si="24"/>
        <v>0</v>
      </c>
      <c r="Q17" s="8">
        <f t="shared" si="25"/>
        <v>0</v>
      </c>
      <c r="R17" s="8">
        <f t="shared" si="26"/>
        <v>0</v>
      </c>
      <c r="S17" s="8">
        <f t="shared" si="27"/>
        <v>0</v>
      </c>
      <c r="U17">
        <f t="shared" si="31"/>
        <v>0</v>
      </c>
      <c r="V17">
        <f t="shared" si="32"/>
        <v>0</v>
      </c>
      <c r="W17">
        <f t="shared" si="33"/>
        <v>0</v>
      </c>
      <c r="X17">
        <f t="shared" si="34"/>
        <v>0</v>
      </c>
      <c r="Y17">
        <f t="shared" si="35"/>
        <v>0</v>
      </c>
      <c r="Z17">
        <f t="shared" si="36"/>
        <v>0</v>
      </c>
      <c r="AA17">
        <f t="shared" si="37"/>
        <v>0</v>
      </c>
      <c r="AB17">
        <f t="shared" si="38"/>
        <v>0</v>
      </c>
      <c r="AC17">
        <f t="shared" si="39"/>
        <v>0</v>
      </c>
      <c r="AD17">
        <f t="shared" si="40"/>
        <v>0</v>
      </c>
      <c r="AE17">
        <f t="shared" si="41"/>
        <v>0</v>
      </c>
      <c r="AF17">
        <f t="shared" si="42"/>
        <v>0</v>
      </c>
    </row>
    <row r="18" spans="1:32" x14ac:dyDescent="0.35">
      <c r="A18" s="3"/>
      <c r="B18" s="1"/>
      <c r="C18" s="1"/>
      <c r="D18" s="1"/>
      <c r="E18" s="1"/>
      <c r="F18" s="1"/>
      <c r="G18" s="15"/>
      <c r="H18" s="1"/>
      <c r="I18" s="1"/>
      <c r="J18" s="1"/>
      <c r="K18" s="1">
        <f t="shared" si="29"/>
        <v>0</v>
      </c>
      <c r="L18" s="1">
        <f t="shared" ca="1" si="30"/>
        <v>0</v>
      </c>
      <c r="M18">
        <f t="shared" si="21"/>
        <v>0</v>
      </c>
      <c r="N18">
        <f t="shared" si="22"/>
        <v>0</v>
      </c>
      <c r="O18">
        <f t="shared" si="23"/>
        <v>0</v>
      </c>
      <c r="P18">
        <f t="shared" si="24"/>
        <v>0</v>
      </c>
      <c r="Q18" s="8">
        <f t="shared" si="25"/>
        <v>0</v>
      </c>
      <c r="R18" s="8">
        <f t="shared" si="26"/>
        <v>0</v>
      </c>
      <c r="S18" s="8">
        <f t="shared" si="27"/>
        <v>0</v>
      </c>
      <c r="U18">
        <f t="shared" si="31"/>
        <v>0</v>
      </c>
      <c r="V18">
        <f t="shared" si="32"/>
        <v>0</v>
      </c>
      <c r="W18">
        <f t="shared" si="33"/>
        <v>0</v>
      </c>
      <c r="X18">
        <f t="shared" si="34"/>
        <v>0</v>
      </c>
      <c r="Y18">
        <f t="shared" si="35"/>
        <v>0</v>
      </c>
      <c r="Z18">
        <f t="shared" si="36"/>
        <v>0</v>
      </c>
      <c r="AA18">
        <f t="shared" si="37"/>
        <v>0</v>
      </c>
      <c r="AB18">
        <f t="shared" si="38"/>
        <v>0</v>
      </c>
      <c r="AC18">
        <f t="shared" si="39"/>
        <v>0</v>
      </c>
      <c r="AD18">
        <f t="shared" si="40"/>
        <v>0</v>
      </c>
      <c r="AE18">
        <f t="shared" si="41"/>
        <v>0</v>
      </c>
      <c r="AF18">
        <f t="shared" si="42"/>
        <v>0</v>
      </c>
    </row>
    <row r="19" spans="1:32" x14ac:dyDescent="0.35">
      <c r="A19" s="3"/>
      <c r="B19" s="1"/>
      <c r="C19" s="1"/>
      <c r="D19" s="1"/>
      <c r="E19" s="1"/>
      <c r="F19" s="1"/>
      <c r="G19" s="15"/>
      <c r="H19" s="1"/>
      <c r="I19" s="1"/>
      <c r="J19" s="1"/>
      <c r="K19" s="1">
        <f t="shared" si="29"/>
        <v>0</v>
      </c>
      <c r="L19" s="1">
        <f t="shared" ca="1" si="30"/>
        <v>0</v>
      </c>
      <c r="M19">
        <f t="shared" si="21"/>
        <v>0</v>
      </c>
      <c r="N19">
        <f t="shared" si="22"/>
        <v>0</v>
      </c>
      <c r="O19">
        <f t="shared" si="23"/>
        <v>0</v>
      </c>
      <c r="P19">
        <f t="shared" si="24"/>
        <v>0</v>
      </c>
      <c r="Q19" s="8">
        <f t="shared" si="25"/>
        <v>0</v>
      </c>
      <c r="R19" s="8">
        <f t="shared" si="26"/>
        <v>0</v>
      </c>
      <c r="S19" s="8">
        <f t="shared" si="27"/>
        <v>0</v>
      </c>
      <c r="U19">
        <f t="shared" si="31"/>
        <v>0</v>
      </c>
      <c r="V19">
        <f t="shared" si="32"/>
        <v>0</v>
      </c>
      <c r="W19">
        <f t="shared" si="33"/>
        <v>0</v>
      </c>
      <c r="X19">
        <f t="shared" si="34"/>
        <v>0</v>
      </c>
      <c r="Y19">
        <f t="shared" si="35"/>
        <v>0</v>
      </c>
      <c r="Z19">
        <f t="shared" si="36"/>
        <v>0</v>
      </c>
      <c r="AA19">
        <f t="shared" si="37"/>
        <v>0</v>
      </c>
      <c r="AB19">
        <f t="shared" si="38"/>
        <v>0</v>
      </c>
      <c r="AC19">
        <f t="shared" si="39"/>
        <v>0</v>
      </c>
      <c r="AD19">
        <f t="shared" si="40"/>
        <v>0</v>
      </c>
      <c r="AE19">
        <f t="shared" si="41"/>
        <v>0</v>
      </c>
      <c r="AF19">
        <f t="shared" si="42"/>
        <v>0</v>
      </c>
    </row>
    <row r="20" spans="1:32" x14ac:dyDescent="0.35">
      <c r="A20" s="3"/>
      <c r="B20" s="1"/>
      <c r="C20" s="1"/>
      <c r="D20" s="1"/>
      <c r="E20" s="1"/>
      <c r="F20" s="1"/>
      <c r="G20" s="15"/>
      <c r="H20" s="1"/>
      <c r="I20" s="1"/>
      <c r="J20" s="1"/>
      <c r="K20" s="1">
        <f t="shared" si="29"/>
        <v>0</v>
      </c>
      <c r="L20" s="1">
        <f t="shared" ca="1" si="30"/>
        <v>0</v>
      </c>
      <c r="M20">
        <f t="shared" si="21"/>
        <v>0</v>
      </c>
      <c r="N20">
        <f t="shared" si="22"/>
        <v>0</v>
      </c>
      <c r="O20">
        <f t="shared" si="23"/>
        <v>0</v>
      </c>
      <c r="P20">
        <f t="shared" si="24"/>
        <v>0</v>
      </c>
      <c r="Q20" s="8">
        <f t="shared" si="25"/>
        <v>0</v>
      </c>
      <c r="R20" s="8">
        <f t="shared" si="26"/>
        <v>0</v>
      </c>
      <c r="S20" s="8">
        <f t="shared" si="27"/>
        <v>0</v>
      </c>
      <c r="U20">
        <f t="shared" si="31"/>
        <v>0</v>
      </c>
      <c r="V20">
        <f t="shared" si="32"/>
        <v>0</v>
      </c>
      <c r="W20">
        <f t="shared" si="33"/>
        <v>0</v>
      </c>
      <c r="X20">
        <f t="shared" si="34"/>
        <v>0</v>
      </c>
      <c r="Y20">
        <f t="shared" si="35"/>
        <v>0</v>
      </c>
      <c r="Z20">
        <f t="shared" si="36"/>
        <v>0</v>
      </c>
      <c r="AA20">
        <f t="shared" si="37"/>
        <v>0</v>
      </c>
      <c r="AB20">
        <f t="shared" si="38"/>
        <v>0</v>
      </c>
      <c r="AC20">
        <f t="shared" si="39"/>
        <v>0</v>
      </c>
      <c r="AD20">
        <f t="shared" si="40"/>
        <v>0</v>
      </c>
      <c r="AE20">
        <f t="shared" si="41"/>
        <v>0</v>
      </c>
      <c r="AF20">
        <f t="shared" si="42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29"/>
        <v>0</v>
      </c>
      <c r="L21" s="1">
        <f t="shared" ca="1" si="30"/>
        <v>0</v>
      </c>
      <c r="M21">
        <f t="shared" si="21"/>
        <v>0</v>
      </c>
      <c r="N21">
        <f t="shared" si="22"/>
        <v>0</v>
      </c>
      <c r="O21">
        <f t="shared" si="23"/>
        <v>0</v>
      </c>
      <c r="P21">
        <f t="shared" si="24"/>
        <v>0</v>
      </c>
      <c r="Q21" s="8">
        <f t="shared" si="25"/>
        <v>0</v>
      </c>
      <c r="R21" s="8">
        <f t="shared" si="26"/>
        <v>0</v>
      </c>
      <c r="S21" s="8">
        <f t="shared" si="27"/>
        <v>0</v>
      </c>
      <c r="U21">
        <f t="shared" si="31"/>
        <v>0</v>
      </c>
      <c r="V21">
        <f t="shared" si="32"/>
        <v>0</v>
      </c>
      <c r="W21">
        <f t="shared" si="33"/>
        <v>0</v>
      </c>
      <c r="X21">
        <f t="shared" si="34"/>
        <v>0</v>
      </c>
      <c r="Y21">
        <f t="shared" si="35"/>
        <v>0</v>
      </c>
      <c r="Z21">
        <f t="shared" si="36"/>
        <v>0</v>
      </c>
      <c r="AA21">
        <f t="shared" si="37"/>
        <v>0</v>
      </c>
      <c r="AB21">
        <f t="shared" si="38"/>
        <v>0</v>
      </c>
      <c r="AC21">
        <f t="shared" si="39"/>
        <v>0</v>
      </c>
      <c r="AD21">
        <f t="shared" si="40"/>
        <v>0</v>
      </c>
      <c r="AE21">
        <f t="shared" si="41"/>
        <v>0</v>
      </c>
      <c r="AF21">
        <f t="shared" si="42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1">
        <f t="shared" si="29"/>
        <v>0</v>
      </c>
      <c r="L22" s="1">
        <f t="shared" ca="1" si="30"/>
        <v>0</v>
      </c>
      <c r="M22">
        <f t="shared" si="21"/>
        <v>0</v>
      </c>
      <c r="N22">
        <f t="shared" si="22"/>
        <v>0</v>
      </c>
      <c r="O22">
        <f t="shared" si="23"/>
        <v>0</v>
      </c>
      <c r="P22">
        <f t="shared" si="24"/>
        <v>0</v>
      </c>
      <c r="Q22" s="8">
        <f t="shared" si="25"/>
        <v>0</v>
      </c>
      <c r="R22" s="8">
        <f t="shared" si="26"/>
        <v>0</v>
      </c>
      <c r="S22" s="8">
        <f t="shared" si="27"/>
        <v>0</v>
      </c>
      <c r="U22">
        <f t="shared" si="31"/>
        <v>0</v>
      </c>
      <c r="V22">
        <f t="shared" si="32"/>
        <v>0</v>
      </c>
      <c r="W22">
        <f t="shared" si="33"/>
        <v>0</v>
      </c>
      <c r="X22">
        <f t="shared" si="34"/>
        <v>0</v>
      </c>
      <c r="Y22">
        <f t="shared" si="35"/>
        <v>0</v>
      </c>
      <c r="Z22">
        <f t="shared" si="36"/>
        <v>0</v>
      </c>
      <c r="AA22">
        <f t="shared" si="37"/>
        <v>0</v>
      </c>
      <c r="AB22">
        <f t="shared" si="38"/>
        <v>0</v>
      </c>
      <c r="AC22">
        <f t="shared" si="39"/>
        <v>0</v>
      </c>
      <c r="AD22">
        <f t="shared" si="40"/>
        <v>0</v>
      </c>
      <c r="AE22">
        <f t="shared" si="41"/>
        <v>0</v>
      </c>
      <c r="AF22">
        <f t="shared" si="42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8405</v>
      </c>
      <c r="G23" s="4"/>
      <c r="H23" s="4"/>
      <c r="I23" s="7"/>
      <c r="J23" s="8" t="s">
        <v>20</v>
      </c>
      <c r="K23" s="1">
        <f>SUM(K6:K22)</f>
        <v>8405</v>
      </c>
      <c r="L23" s="26">
        <f>IF(U$23&gt;=1,1,0)</f>
        <v>0</v>
      </c>
      <c r="N23">
        <f t="shared" si="3"/>
        <v>0</v>
      </c>
      <c r="P23">
        <f t="shared" si="5"/>
        <v>0</v>
      </c>
      <c r="U23">
        <f>SUM(U6:U22)</f>
        <v>0</v>
      </c>
      <c r="V23">
        <f t="shared" ref="V23:AF23" si="43">SUM(V6:V22)</f>
        <v>0</v>
      </c>
      <c r="W23">
        <f t="shared" si="43"/>
        <v>0</v>
      </c>
      <c r="X23">
        <f t="shared" si="43"/>
        <v>0</v>
      </c>
      <c r="Y23">
        <f t="shared" si="43"/>
        <v>0</v>
      </c>
      <c r="Z23">
        <f t="shared" si="43"/>
        <v>1</v>
      </c>
      <c r="AA23">
        <f t="shared" si="43"/>
        <v>0</v>
      </c>
      <c r="AB23">
        <f t="shared" si="43"/>
        <v>0</v>
      </c>
      <c r="AC23">
        <f t="shared" si="43"/>
        <v>0</v>
      </c>
      <c r="AD23">
        <f t="shared" si="43"/>
        <v>0</v>
      </c>
      <c r="AE23">
        <f t="shared" si="43"/>
        <v>1</v>
      </c>
      <c r="AF23">
        <f t="shared" si="43"/>
        <v>0</v>
      </c>
    </row>
    <row r="24" spans="1:32" x14ac:dyDescent="0.35">
      <c r="J24" s="8" t="s">
        <v>21</v>
      </c>
      <c r="K24" s="5">
        <f>SUMPRODUCT(K6:K22,G6:G22)/SUM(K6:K22)</f>
        <v>3317.6893515764427</v>
      </c>
      <c r="L24" s="26">
        <f>IF(V$23&gt;=1,1,0)</f>
        <v>0</v>
      </c>
    </row>
    <row r="25" spans="1:32" x14ac:dyDescent="0.35">
      <c r="J25" s="8" t="s">
        <v>11</v>
      </c>
      <c r="K25" s="5" t="e">
        <f>SUMPRODUCT(M6:M22,N6:N22)/SUM(N6:N22)</f>
        <v>#DIV/0!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0</v>
      </c>
      <c r="L26" s="26">
        <f>IF(X$23&gt;=1,1,0)</f>
        <v>0</v>
      </c>
    </row>
    <row r="27" spans="1:32" x14ac:dyDescent="0.35">
      <c r="J27" s="8" t="s">
        <v>22</v>
      </c>
      <c r="K27" s="5">
        <f>SUMPRODUCT(O6:O22,P6:P22)/SUM(P6:P22)</f>
        <v>3317.6893515764427</v>
      </c>
      <c r="L27" s="26">
        <f>IF(Y$23&gt;=1,1,0)</f>
        <v>0</v>
      </c>
    </row>
    <row r="28" spans="1:32" x14ac:dyDescent="0.35">
      <c r="J28" s="8" t="s">
        <v>23</v>
      </c>
      <c r="K28" s="5">
        <f>SUM(P6:P22)</f>
        <v>8405</v>
      </c>
      <c r="L28" s="26">
        <f>IF(Z$23&gt;=1,1,0)</f>
        <v>1</v>
      </c>
    </row>
    <row r="29" spans="1:32" x14ac:dyDescent="0.35">
      <c r="J29" s="8" t="s">
        <v>24</v>
      </c>
      <c r="K29" s="1">
        <f ca="1">MAX(L6:L22)</f>
        <v>65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64.5</v>
      </c>
      <c r="L30" s="26">
        <f>IF(AB$23&gt;=1,1,0)</f>
        <v>0</v>
      </c>
    </row>
    <row r="31" spans="1:32" x14ac:dyDescent="0.35">
      <c r="J31" s="8" t="s">
        <v>528</v>
      </c>
      <c r="K31" s="1">
        <f>SUM(Q6:Q22)</f>
        <v>0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8405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0</v>
      </c>
      <c r="L33" s="26">
        <f>IF(AE$23&gt;=1,1,0)</f>
        <v>1</v>
      </c>
    </row>
    <row r="34" spans="10:12" x14ac:dyDescent="0.35">
      <c r="L34" s="26">
        <f>IF(AF$23&gt;=1,1,0)</f>
        <v>0</v>
      </c>
    </row>
  </sheetData>
  <conditionalFormatting sqref="G7:G15">
    <cfRule type="cellIs" dxfId="376" priority="49" operator="greaterThan">
      <formula>3600</formula>
    </cfRule>
  </conditionalFormatting>
  <conditionalFormatting sqref="G7:H23">
    <cfRule type="cellIs" dxfId="375" priority="6" operator="between">
      <formula>2500</formula>
      <formula>2000</formula>
    </cfRule>
    <cfRule type="cellIs" dxfId="374" priority="7" operator="between">
      <formula>2500</formula>
      <formula>3000</formula>
    </cfRule>
    <cfRule type="cellIs" dxfId="373" priority="8" operator="between">
      <formula>3000</formula>
      <formula>3200</formula>
    </cfRule>
    <cfRule type="cellIs" dxfId="372" priority="10" operator="between">
      <formula>3200</formula>
      <formula>3600</formula>
    </cfRule>
  </conditionalFormatting>
  <conditionalFormatting sqref="G16:H23">
    <cfRule type="cellIs" dxfId="371" priority="125" operator="greaterThan">
      <formula>3600</formula>
    </cfRule>
  </conditionalFormatting>
  <conditionalFormatting sqref="H6">
    <cfRule type="cellIs" dxfId="370" priority="1" operator="between">
      <formula>2500</formula>
      <formula>2000</formula>
    </cfRule>
    <cfRule type="cellIs" dxfId="369" priority="2" operator="between">
      <formula>2500</formula>
      <formula>3000</formula>
    </cfRule>
    <cfRule type="cellIs" dxfId="368" priority="3" operator="between">
      <formula>3000</formula>
      <formula>3200</formula>
    </cfRule>
    <cfRule type="cellIs" dxfId="367" priority="5" operator="between">
      <formula>3200</formula>
      <formula>3600</formula>
    </cfRule>
  </conditionalFormatting>
  <conditionalFormatting sqref="H6:H15">
    <cfRule type="cellIs" dxfId="366" priority="4" operator="greaterThan">
      <formula>3600</formula>
    </cfRule>
  </conditionalFormatting>
  <conditionalFormatting sqref="K25">
    <cfRule type="cellIs" dxfId="365" priority="143" operator="lessThan">
      <formula>2500</formula>
    </cfRule>
    <cfRule type="cellIs" dxfId="364" priority="144" operator="between">
      <formula>2500</formula>
      <formula>3000</formula>
    </cfRule>
    <cfRule type="cellIs" dxfId="363" priority="145" operator="between">
      <formula>3000</formula>
      <formula>3200</formula>
    </cfRule>
    <cfRule type="cellIs" dxfId="362" priority="146" operator="greaterThan">
      <formula>3600</formula>
    </cfRule>
    <cfRule type="cellIs" dxfId="361" priority="147" operator="between">
      <formula>3200</formula>
      <formula>3600</formula>
    </cfRule>
  </conditionalFormatting>
  <conditionalFormatting sqref="K27">
    <cfRule type="cellIs" dxfId="360" priority="138" operator="lessThan">
      <formula>2500</formula>
    </cfRule>
    <cfRule type="cellIs" dxfId="359" priority="139" operator="between">
      <formula>2500</formula>
      <formula>3000</formula>
    </cfRule>
    <cfRule type="cellIs" dxfId="358" priority="140" operator="between">
      <formula>3000</formula>
      <formula>3200</formula>
    </cfRule>
    <cfRule type="cellIs" dxfId="357" priority="141" operator="greaterThan">
      <formula>3600</formula>
    </cfRule>
    <cfRule type="cellIs" dxfId="356" priority="142" operator="between">
      <formula>3200</formula>
      <formula>3600</formula>
    </cfRule>
  </conditionalFormatting>
  <conditionalFormatting sqref="L6:L34">
    <cfRule type="cellIs" dxfId="355" priority="121" operator="greaterThan">
      <formula>10</formula>
    </cfRule>
  </conditionalFormatting>
  <hyperlinks>
    <hyperlink ref="A3" location="'summery '!A1" display="summery " xr:uid="{00000000-0004-0000-0800-000000000000}"/>
  </hyperlink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F34"/>
  <sheetViews>
    <sheetView topLeftCell="F1" zoomScale="50" zoomScaleNormal="50" workbookViewId="0">
      <selection activeCell="J31" sqref="J31:J33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2.5429687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6" width="9.1796875" customWidth="1"/>
    <col min="17" max="17" width="18.54296875" customWidth="1"/>
    <col min="18" max="18" width="19.81640625" customWidth="1"/>
    <col min="19" max="19" width="17" customWidth="1"/>
    <col min="20" max="32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</row>
    <row r="6" spans="1:32" ht="15.5" x14ac:dyDescent="0.35">
      <c r="A6" s="3">
        <v>45574</v>
      </c>
      <c r="B6" s="1">
        <v>17</v>
      </c>
      <c r="C6" s="1">
        <v>4</v>
      </c>
      <c r="D6" s="1">
        <v>1</v>
      </c>
      <c r="E6" s="1" t="s">
        <v>18</v>
      </c>
      <c r="F6" s="1">
        <v>3250</v>
      </c>
      <c r="G6" s="19">
        <v>2891</v>
      </c>
      <c r="H6" s="1" t="s">
        <v>46</v>
      </c>
      <c r="I6" s="3"/>
      <c r="J6" s="1"/>
      <c r="K6" s="1">
        <f>F6-J6</f>
        <v>3250</v>
      </c>
      <c r="L6" s="1">
        <f t="shared" ref="L6:L11" ca="1" si="0">IF(F6=0,0,(TODAY()-A6))</f>
        <v>114</v>
      </c>
      <c r="M6">
        <f>IF(E6="T",G6,0)</f>
        <v>0</v>
      </c>
      <c r="N6">
        <f>IF(E6="T",K6,0)</f>
        <v>0</v>
      </c>
      <c r="O6">
        <f>IF(E6="B",G6,0)</f>
        <v>2891</v>
      </c>
      <c r="P6">
        <f>IF(E6="B",K6,0)</f>
        <v>3250</v>
      </c>
      <c r="Q6" s="8">
        <f>IF(G6&gt;3500,K6,0)</f>
        <v>0</v>
      </c>
      <c r="R6" s="8">
        <f>IF(AND(G6&gt;=3100,G6&lt;=3500),K6,0)</f>
        <v>0</v>
      </c>
      <c r="S6" s="8">
        <f>IF(G6&lt;3100,K6,0)</f>
        <v>3250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1</v>
      </c>
      <c r="Y6">
        <f>IF(C6=5,1,0)</f>
        <v>0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ht="15.5" x14ac:dyDescent="0.35">
      <c r="A7" s="3">
        <v>45591</v>
      </c>
      <c r="B7" s="1">
        <v>64</v>
      </c>
      <c r="C7" s="1">
        <v>4</v>
      </c>
      <c r="D7" s="1">
        <v>1</v>
      </c>
      <c r="E7" s="1" t="s">
        <v>18</v>
      </c>
      <c r="F7" s="1">
        <v>1900</v>
      </c>
      <c r="G7" s="19">
        <v>2731.0676631800484</v>
      </c>
      <c r="H7" s="1" t="s">
        <v>46</v>
      </c>
      <c r="I7" s="3"/>
      <c r="J7" s="1"/>
      <c r="K7" s="1">
        <f t="shared" ref="K7:K22" si="1">F7-J7</f>
        <v>1900</v>
      </c>
      <c r="L7" s="1">
        <f t="shared" ca="1" si="0"/>
        <v>97</v>
      </c>
      <c r="M7">
        <f t="shared" ref="M7:M22" si="2">IF(E7="T",G7,0)</f>
        <v>0</v>
      </c>
      <c r="N7">
        <f t="shared" ref="N7:N23" si="3">IF(E7="T",K7,0)</f>
        <v>0</v>
      </c>
      <c r="O7">
        <f t="shared" ref="O7:O22" si="4">IF(E7="B",G7,0)</f>
        <v>2731.0676631800484</v>
      </c>
      <c r="P7">
        <f t="shared" ref="P7:P23" si="5">IF(E7="B",K7,0)</f>
        <v>1900</v>
      </c>
      <c r="Q7" s="8">
        <f t="shared" ref="Q7:Q22" si="6">IF(G7&gt;3500,K7,0)</f>
        <v>0</v>
      </c>
      <c r="R7" s="8">
        <f t="shared" ref="R7:R22" si="7">IF(AND(G7&gt;=3100,G7&lt;=3500),K7,0)</f>
        <v>0</v>
      </c>
      <c r="S7" s="8">
        <f t="shared" ref="S7:S22" si="8">IF(G7&lt;3100,K7,0)</f>
        <v>1900</v>
      </c>
      <c r="U7">
        <f t="shared" ref="U7:U22" si="9">IF(C7=1,1,0)</f>
        <v>0</v>
      </c>
      <c r="V7">
        <f t="shared" ref="V7:V22" si="10">IF(C7=2,1,0)</f>
        <v>0</v>
      </c>
      <c r="W7">
        <f t="shared" ref="W7:W22" si="11">IF(C7=3,1,0)</f>
        <v>0</v>
      </c>
      <c r="X7">
        <f t="shared" ref="X7:X22" si="12">IF(C7=4,1,0)</f>
        <v>1</v>
      </c>
      <c r="Y7">
        <f t="shared" ref="Y7:Y22" si="13">IF(C7=5,1,0)</f>
        <v>0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0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0</v>
      </c>
      <c r="AF7">
        <f t="shared" ref="AF7:AF22" si="20">IF(C7="CB",1,0)</f>
        <v>0</v>
      </c>
    </row>
    <row r="8" spans="1:32" ht="15.5" x14ac:dyDescent="0.35">
      <c r="A8" s="3">
        <v>45591</v>
      </c>
      <c r="B8" s="1">
        <v>66</v>
      </c>
      <c r="C8" s="1">
        <v>2</v>
      </c>
      <c r="D8" s="1">
        <v>2</v>
      </c>
      <c r="E8" s="1" t="s">
        <v>18</v>
      </c>
      <c r="F8" s="1">
        <v>1700</v>
      </c>
      <c r="G8" s="19">
        <v>2866.3594237433376</v>
      </c>
      <c r="H8" s="1" t="s">
        <v>46</v>
      </c>
      <c r="I8" s="3"/>
      <c r="J8" s="1"/>
      <c r="K8" s="1">
        <f t="shared" si="1"/>
        <v>1700</v>
      </c>
      <c r="L8" s="1">
        <f t="shared" ca="1" si="0"/>
        <v>97</v>
      </c>
      <c r="M8">
        <f t="shared" si="2"/>
        <v>0</v>
      </c>
      <c r="N8">
        <f t="shared" si="3"/>
        <v>0</v>
      </c>
      <c r="O8">
        <f t="shared" si="4"/>
        <v>2866.3594237433376</v>
      </c>
      <c r="P8">
        <f t="shared" si="5"/>
        <v>1700</v>
      </c>
      <c r="Q8" s="8">
        <f t="shared" si="6"/>
        <v>0</v>
      </c>
      <c r="R8" s="8">
        <f t="shared" si="7"/>
        <v>0</v>
      </c>
      <c r="S8" s="8">
        <f t="shared" si="8"/>
        <v>1700</v>
      </c>
      <c r="U8">
        <f t="shared" si="9"/>
        <v>0</v>
      </c>
      <c r="V8">
        <f t="shared" si="10"/>
        <v>1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x14ac:dyDescent="0.35">
      <c r="A9" s="3">
        <v>45594</v>
      </c>
      <c r="B9" s="1">
        <v>73</v>
      </c>
      <c r="C9" s="1">
        <v>2</v>
      </c>
      <c r="D9" s="1">
        <v>2</v>
      </c>
      <c r="E9" s="1" t="s">
        <v>18</v>
      </c>
      <c r="F9" s="1">
        <v>3600</v>
      </c>
      <c r="G9" s="5">
        <v>2903</v>
      </c>
      <c r="H9" s="1" t="s">
        <v>46</v>
      </c>
      <c r="I9" s="3"/>
      <c r="J9" s="1"/>
      <c r="K9" s="1">
        <f t="shared" si="1"/>
        <v>3600</v>
      </c>
      <c r="L9" s="1">
        <f t="shared" ca="1" si="0"/>
        <v>94</v>
      </c>
      <c r="M9">
        <f t="shared" si="2"/>
        <v>0</v>
      </c>
      <c r="N9">
        <f t="shared" si="3"/>
        <v>0</v>
      </c>
      <c r="O9">
        <f t="shared" si="4"/>
        <v>2903</v>
      </c>
      <c r="P9">
        <f t="shared" si="5"/>
        <v>3600</v>
      </c>
      <c r="Q9" s="8">
        <f t="shared" si="6"/>
        <v>0</v>
      </c>
      <c r="R9" s="8">
        <f t="shared" si="7"/>
        <v>0</v>
      </c>
      <c r="S9" s="8">
        <f t="shared" si="8"/>
        <v>3600</v>
      </c>
      <c r="U9">
        <f t="shared" si="9"/>
        <v>0</v>
      </c>
      <c r="V9">
        <f t="shared" si="10"/>
        <v>1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0</v>
      </c>
      <c r="AF9">
        <f t="shared" si="20"/>
        <v>0</v>
      </c>
    </row>
    <row r="10" spans="1:32" x14ac:dyDescent="0.35">
      <c r="A10" s="3">
        <v>45595</v>
      </c>
      <c r="B10" s="1">
        <v>78</v>
      </c>
      <c r="C10" s="1">
        <v>1</v>
      </c>
      <c r="D10" s="1">
        <v>2</v>
      </c>
      <c r="E10" s="1" t="s">
        <v>18</v>
      </c>
      <c r="F10" s="1">
        <v>6019</v>
      </c>
      <c r="G10" s="5">
        <v>3592</v>
      </c>
      <c r="H10" s="1" t="s">
        <v>46</v>
      </c>
      <c r="I10" s="3"/>
      <c r="J10" s="1"/>
      <c r="K10" s="1">
        <f t="shared" si="1"/>
        <v>6019</v>
      </c>
      <c r="L10" s="1">
        <f t="shared" ca="1" si="0"/>
        <v>93</v>
      </c>
      <c r="M10">
        <f t="shared" si="2"/>
        <v>0</v>
      </c>
      <c r="N10">
        <f t="shared" si="3"/>
        <v>0</v>
      </c>
      <c r="O10">
        <f t="shared" si="4"/>
        <v>3592</v>
      </c>
      <c r="P10">
        <f t="shared" si="5"/>
        <v>6019</v>
      </c>
      <c r="Q10" s="8">
        <f t="shared" si="6"/>
        <v>6019</v>
      </c>
      <c r="R10" s="8">
        <f t="shared" si="7"/>
        <v>0</v>
      </c>
      <c r="S10" s="8">
        <f t="shared" si="8"/>
        <v>0</v>
      </c>
      <c r="U10">
        <f t="shared" si="9"/>
        <v>1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ht="15.5" x14ac:dyDescent="0.35">
      <c r="A11" s="3">
        <v>45596</v>
      </c>
      <c r="B11" s="1">
        <v>81</v>
      </c>
      <c r="C11" s="1">
        <v>2</v>
      </c>
      <c r="D11" s="1">
        <v>2</v>
      </c>
      <c r="E11" s="1" t="s">
        <v>19</v>
      </c>
      <c r="F11" s="1">
        <v>3200</v>
      </c>
      <c r="G11" s="19">
        <v>3398</v>
      </c>
      <c r="H11" s="1" t="s">
        <v>46</v>
      </c>
      <c r="I11" s="3"/>
      <c r="J11" s="1"/>
      <c r="K11" s="1">
        <f t="shared" si="1"/>
        <v>3200</v>
      </c>
      <c r="L11" s="1">
        <f t="shared" ca="1" si="0"/>
        <v>92</v>
      </c>
      <c r="M11">
        <f t="shared" si="2"/>
        <v>3398</v>
      </c>
      <c r="N11">
        <f t="shared" si="3"/>
        <v>3200</v>
      </c>
      <c r="O11">
        <f t="shared" si="4"/>
        <v>0</v>
      </c>
      <c r="P11">
        <f t="shared" si="5"/>
        <v>0</v>
      </c>
      <c r="Q11" s="8">
        <f t="shared" si="6"/>
        <v>0</v>
      </c>
      <c r="R11" s="8">
        <f t="shared" si="7"/>
        <v>3200</v>
      </c>
      <c r="S11" s="8">
        <f t="shared" si="8"/>
        <v>0</v>
      </c>
      <c r="U11">
        <f t="shared" si="9"/>
        <v>0</v>
      </c>
      <c r="V11">
        <f t="shared" si="10"/>
        <v>1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ht="15.5" x14ac:dyDescent="0.35">
      <c r="A12" s="3">
        <v>45597</v>
      </c>
      <c r="B12" s="1">
        <v>83</v>
      </c>
      <c r="C12" s="1">
        <v>2</v>
      </c>
      <c r="D12" s="1">
        <v>2</v>
      </c>
      <c r="E12" s="1" t="s">
        <v>19</v>
      </c>
      <c r="F12" s="1">
        <v>3150</v>
      </c>
      <c r="G12" s="19">
        <v>3092</v>
      </c>
      <c r="H12" s="1" t="s">
        <v>46</v>
      </c>
      <c r="I12" s="3"/>
      <c r="J12" s="1"/>
      <c r="K12" s="1">
        <f t="shared" si="1"/>
        <v>3150</v>
      </c>
      <c r="L12" s="1">
        <f ca="1">IF(F12=0,0,(TODAY()-A12))</f>
        <v>91</v>
      </c>
      <c r="M12">
        <f t="shared" si="2"/>
        <v>3092</v>
      </c>
      <c r="N12">
        <f t="shared" si="3"/>
        <v>3150</v>
      </c>
      <c r="O12">
        <f t="shared" si="4"/>
        <v>0</v>
      </c>
      <c r="P12">
        <f t="shared" si="5"/>
        <v>0</v>
      </c>
      <c r="Q12" s="8">
        <f t="shared" si="6"/>
        <v>0</v>
      </c>
      <c r="R12" s="8">
        <f t="shared" si="7"/>
        <v>0</v>
      </c>
      <c r="S12" s="8">
        <f t="shared" si="8"/>
        <v>3150</v>
      </c>
      <c r="U12">
        <f t="shared" si="9"/>
        <v>0</v>
      </c>
      <c r="V12">
        <f t="shared" si="10"/>
        <v>1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>
        <v>45600</v>
      </c>
      <c r="B13" s="1">
        <v>1</v>
      </c>
      <c r="C13" s="1">
        <v>6</v>
      </c>
      <c r="D13" s="1">
        <v>2</v>
      </c>
      <c r="E13" s="1" t="s">
        <v>19</v>
      </c>
      <c r="F13" s="1">
        <v>2450</v>
      </c>
      <c r="G13" s="5">
        <v>3525</v>
      </c>
      <c r="H13" s="1" t="s">
        <v>46</v>
      </c>
      <c r="I13" s="1"/>
      <c r="J13" s="1"/>
      <c r="K13" s="1">
        <f t="shared" si="1"/>
        <v>2450</v>
      </c>
      <c r="L13" s="1">
        <f t="shared" ref="L13:L22" ca="1" si="21">IF(F13=0,0,(TODAY()-A13))</f>
        <v>88</v>
      </c>
      <c r="M13">
        <f t="shared" si="2"/>
        <v>3525</v>
      </c>
      <c r="N13">
        <f t="shared" si="3"/>
        <v>2450</v>
      </c>
      <c r="O13">
        <f t="shared" si="4"/>
        <v>0</v>
      </c>
      <c r="P13">
        <f t="shared" si="5"/>
        <v>0</v>
      </c>
      <c r="Q13" s="8">
        <f t="shared" si="6"/>
        <v>2450</v>
      </c>
      <c r="R13" s="8">
        <f t="shared" si="7"/>
        <v>0</v>
      </c>
      <c r="S13" s="8">
        <f t="shared" si="8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1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1"/>
        <v>0</v>
      </c>
      <c r="L14" s="1">
        <f t="shared" ca="1" si="21"/>
        <v>0</v>
      </c>
      <c r="M14">
        <f t="shared" si="2"/>
        <v>0</v>
      </c>
      <c r="N14">
        <f t="shared" si="3"/>
        <v>0</v>
      </c>
      <c r="O14">
        <f t="shared" si="4"/>
        <v>0</v>
      </c>
      <c r="P14">
        <f t="shared" si="5"/>
        <v>0</v>
      </c>
      <c r="Q14" s="8">
        <f t="shared" si="6"/>
        <v>0</v>
      </c>
      <c r="R14" s="8">
        <f t="shared" si="7"/>
        <v>0</v>
      </c>
      <c r="S14" s="8">
        <f t="shared" si="8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si="1"/>
        <v>0</v>
      </c>
      <c r="L15" s="1">
        <f t="shared" ca="1" si="21"/>
        <v>0</v>
      </c>
      <c r="M15">
        <f t="shared" si="2"/>
        <v>0</v>
      </c>
      <c r="N15">
        <f t="shared" si="3"/>
        <v>0</v>
      </c>
      <c r="O15">
        <f t="shared" si="4"/>
        <v>0</v>
      </c>
      <c r="P15">
        <f t="shared" si="5"/>
        <v>0</v>
      </c>
      <c r="Q15" s="8">
        <f t="shared" si="6"/>
        <v>0</v>
      </c>
      <c r="R15" s="8">
        <f t="shared" si="7"/>
        <v>0</v>
      </c>
      <c r="S15" s="8">
        <f t="shared" si="8"/>
        <v>0</v>
      </c>
      <c r="U15">
        <f t="shared" si="9"/>
        <v>0</v>
      </c>
      <c r="V15">
        <f t="shared" si="10"/>
        <v>0</v>
      </c>
      <c r="W15">
        <f t="shared" si="11"/>
        <v>0</v>
      </c>
      <c r="X15">
        <f t="shared" si="12"/>
        <v>0</v>
      </c>
      <c r="Y15">
        <f t="shared" si="13"/>
        <v>0</v>
      </c>
      <c r="Z15">
        <f t="shared" si="14"/>
        <v>0</v>
      </c>
      <c r="AA15">
        <f t="shared" si="15"/>
        <v>0</v>
      </c>
      <c r="AB15">
        <f t="shared" si="16"/>
        <v>0</v>
      </c>
      <c r="AC15">
        <f t="shared" si="17"/>
        <v>0</v>
      </c>
      <c r="AD15">
        <f t="shared" si="18"/>
        <v>0</v>
      </c>
      <c r="AE15">
        <f t="shared" si="19"/>
        <v>0</v>
      </c>
      <c r="AF15">
        <f t="shared" si="20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3"/>
      <c r="J16" s="1"/>
      <c r="K16" s="1">
        <f t="shared" ref="K16:K20" si="22">F16-J16</f>
        <v>0</v>
      </c>
      <c r="L16" s="1">
        <f t="shared" ca="1" si="21"/>
        <v>0</v>
      </c>
      <c r="M16">
        <f t="shared" ref="M16:M20" si="23">IF(E16="T",G16,0)</f>
        <v>0</v>
      </c>
      <c r="N16">
        <f t="shared" ref="N16:N20" si="24">IF(E16="T",K16,0)</f>
        <v>0</v>
      </c>
      <c r="O16">
        <f t="shared" ref="O16:O20" si="25">IF(E16="B",G16,0)</f>
        <v>0</v>
      </c>
      <c r="P16">
        <f t="shared" ref="P16:P20" si="26">IF(E16="B",K16,0)</f>
        <v>0</v>
      </c>
      <c r="Q16" s="8">
        <f t="shared" si="6"/>
        <v>0</v>
      </c>
      <c r="R16" s="8">
        <f t="shared" si="7"/>
        <v>0</v>
      </c>
      <c r="S16" s="8">
        <f t="shared" si="8"/>
        <v>0</v>
      </c>
      <c r="U16">
        <f t="shared" ref="U16:U20" si="27">IF(C16=1,1,0)</f>
        <v>0</v>
      </c>
      <c r="V16">
        <f t="shared" ref="V16:V20" si="28">IF(C16=2,1,0)</f>
        <v>0</v>
      </c>
      <c r="W16">
        <f t="shared" ref="W16:W20" si="29">IF(C16=3,1,0)</f>
        <v>0</v>
      </c>
      <c r="X16">
        <f t="shared" ref="X16:X20" si="30">IF(C16=4,1,0)</f>
        <v>0</v>
      </c>
      <c r="Y16">
        <f t="shared" ref="Y16:Y20" si="31">IF(C16=5,1,0)</f>
        <v>0</v>
      </c>
      <c r="Z16">
        <f t="shared" ref="Z16:Z20" si="32">IF(C16=6,1,0)</f>
        <v>0</v>
      </c>
      <c r="AA16">
        <f t="shared" ref="AA16:AA20" si="33">IF(C16=7,1,0)</f>
        <v>0</v>
      </c>
      <c r="AB16">
        <f t="shared" ref="AB16:AB20" si="34">IF(C16=8,1,0)</f>
        <v>0</v>
      </c>
      <c r="AC16">
        <f t="shared" ref="AC16:AC20" si="35">IF(C16=9,1,0)</f>
        <v>0</v>
      </c>
      <c r="AD16">
        <f t="shared" ref="AD16:AD20" si="36">IF(C16=10,1,0)</f>
        <v>0</v>
      </c>
      <c r="AE16">
        <f t="shared" ref="AE16:AE20" si="37">IF(C16="SILO",1,0)</f>
        <v>0</v>
      </c>
      <c r="AF16">
        <f t="shared" ref="AF16:AF20" si="38">IF(C16="CB",1,0)</f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si="22"/>
        <v>0</v>
      </c>
      <c r="L17" s="1">
        <f ca="1">IF(F17=0,0,(TODAY()-A17))</f>
        <v>0</v>
      </c>
      <c r="M17">
        <f t="shared" si="23"/>
        <v>0</v>
      </c>
      <c r="N17">
        <f t="shared" si="24"/>
        <v>0</v>
      </c>
      <c r="O17">
        <f t="shared" si="25"/>
        <v>0</v>
      </c>
      <c r="P17">
        <f t="shared" si="26"/>
        <v>0</v>
      </c>
      <c r="Q17" s="8">
        <f t="shared" si="6"/>
        <v>0</v>
      </c>
      <c r="R17" s="8">
        <f t="shared" si="7"/>
        <v>0</v>
      </c>
      <c r="S17" s="8">
        <f t="shared" si="8"/>
        <v>0</v>
      </c>
      <c r="U17">
        <f t="shared" si="27"/>
        <v>0</v>
      </c>
      <c r="V17">
        <f t="shared" si="28"/>
        <v>0</v>
      </c>
      <c r="W17">
        <f t="shared" si="29"/>
        <v>0</v>
      </c>
      <c r="X17">
        <f t="shared" si="30"/>
        <v>0</v>
      </c>
      <c r="Y17">
        <f t="shared" si="31"/>
        <v>0</v>
      </c>
      <c r="Z17">
        <f t="shared" si="32"/>
        <v>0</v>
      </c>
      <c r="AA17">
        <f t="shared" si="33"/>
        <v>0</v>
      </c>
      <c r="AB17">
        <f t="shared" si="34"/>
        <v>0</v>
      </c>
      <c r="AC17">
        <f t="shared" si="35"/>
        <v>0</v>
      </c>
      <c r="AD17">
        <f t="shared" si="36"/>
        <v>0</v>
      </c>
      <c r="AE17">
        <f t="shared" si="37"/>
        <v>0</v>
      </c>
      <c r="AF17">
        <f t="shared" si="38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22"/>
        <v>0</v>
      </c>
      <c r="L18" s="1">
        <f t="shared" ref="L18:L20" ca="1" si="39">IF(F18=0,0,(TODAY()-A18))</f>
        <v>0</v>
      </c>
      <c r="M18">
        <f t="shared" si="23"/>
        <v>0</v>
      </c>
      <c r="N18">
        <f t="shared" si="24"/>
        <v>0</v>
      </c>
      <c r="O18">
        <f t="shared" si="25"/>
        <v>0</v>
      </c>
      <c r="P18">
        <f t="shared" si="26"/>
        <v>0</v>
      </c>
      <c r="Q18" s="8">
        <f t="shared" si="6"/>
        <v>0</v>
      </c>
      <c r="R18" s="8">
        <f t="shared" si="7"/>
        <v>0</v>
      </c>
      <c r="S18" s="8">
        <f t="shared" si="8"/>
        <v>0</v>
      </c>
      <c r="U18">
        <f t="shared" si="27"/>
        <v>0</v>
      </c>
      <c r="V18">
        <f t="shared" si="28"/>
        <v>0</v>
      </c>
      <c r="W18">
        <f t="shared" si="29"/>
        <v>0</v>
      </c>
      <c r="X18">
        <f t="shared" si="30"/>
        <v>0</v>
      </c>
      <c r="Y18">
        <f t="shared" si="31"/>
        <v>0</v>
      </c>
      <c r="Z18">
        <f t="shared" si="32"/>
        <v>0</v>
      </c>
      <c r="AA18">
        <f t="shared" si="33"/>
        <v>0</v>
      </c>
      <c r="AB18">
        <f t="shared" si="34"/>
        <v>0</v>
      </c>
      <c r="AC18">
        <f t="shared" si="35"/>
        <v>0</v>
      </c>
      <c r="AD18">
        <f t="shared" si="36"/>
        <v>0</v>
      </c>
      <c r="AE18">
        <f t="shared" si="37"/>
        <v>0</v>
      </c>
      <c r="AF18">
        <f t="shared" si="38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si="22"/>
        <v>0</v>
      </c>
      <c r="L19" s="1">
        <f t="shared" ca="1" si="39"/>
        <v>0</v>
      </c>
      <c r="M19">
        <f t="shared" si="23"/>
        <v>0</v>
      </c>
      <c r="N19">
        <f t="shared" si="24"/>
        <v>0</v>
      </c>
      <c r="O19">
        <f t="shared" si="25"/>
        <v>0</v>
      </c>
      <c r="P19">
        <f t="shared" si="26"/>
        <v>0</v>
      </c>
      <c r="Q19" s="8">
        <f t="shared" si="6"/>
        <v>0</v>
      </c>
      <c r="R19" s="8">
        <f t="shared" si="7"/>
        <v>0</v>
      </c>
      <c r="S19" s="8">
        <f t="shared" si="8"/>
        <v>0</v>
      </c>
      <c r="U19">
        <f t="shared" si="27"/>
        <v>0</v>
      </c>
      <c r="V19">
        <f t="shared" si="28"/>
        <v>0</v>
      </c>
      <c r="W19">
        <f t="shared" si="29"/>
        <v>0</v>
      </c>
      <c r="X19">
        <f t="shared" si="30"/>
        <v>0</v>
      </c>
      <c r="Y19">
        <f t="shared" si="31"/>
        <v>0</v>
      </c>
      <c r="Z19">
        <f t="shared" si="32"/>
        <v>0</v>
      </c>
      <c r="AA19">
        <f t="shared" si="33"/>
        <v>0</v>
      </c>
      <c r="AB19">
        <f t="shared" si="34"/>
        <v>0</v>
      </c>
      <c r="AC19">
        <f t="shared" si="35"/>
        <v>0</v>
      </c>
      <c r="AD19">
        <f t="shared" si="36"/>
        <v>0</v>
      </c>
      <c r="AE19">
        <f t="shared" si="37"/>
        <v>0</v>
      </c>
      <c r="AF19">
        <f t="shared" si="38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22"/>
        <v>0</v>
      </c>
      <c r="L20" s="1">
        <f t="shared" ca="1" si="39"/>
        <v>0</v>
      </c>
      <c r="M20">
        <f t="shared" si="23"/>
        <v>0</v>
      </c>
      <c r="N20">
        <f t="shared" si="24"/>
        <v>0</v>
      </c>
      <c r="O20">
        <f t="shared" si="25"/>
        <v>0</v>
      </c>
      <c r="P20">
        <f t="shared" si="26"/>
        <v>0</v>
      </c>
      <c r="Q20" s="8">
        <f t="shared" si="6"/>
        <v>0</v>
      </c>
      <c r="R20" s="8">
        <f t="shared" si="7"/>
        <v>0</v>
      </c>
      <c r="S20" s="8">
        <f t="shared" si="8"/>
        <v>0</v>
      </c>
      <c r="U20">
        <f t="shared" si="27"/>
        <v>0</v>
      </c>
      <c r="V20">
        <f t="shared" si="28"/>
        <v>0</v>
      </c>
      <c r="W20">
        <f t="shared" si="29"/>
        <v>0</v>
      </c>
      <c r="X20">
        <f t="shared" si="30"/>
        <v>0</v>
      </c>
      <c r="Y20">
        <f t="shared" si="31"/>
        <v>0</v>
      </c>
      <c r="Z20">
        <f t="shared" si="32"/>
        <v>0</v>
      </c>
      <c r="AA20">
        <f t="shared" si="33"/>
        <v>0</v>
      </c>
      <c r="AB20">
        <f t="shared" si="34"/>
        <v>0</v>
      </c>
      <c r="AC20">
        <f t="shared" si="35"/>
        <v>0</v>
      </c>
      <c r="AD20">
        <f t="shared" si="36"/>
        <v>0</v>
      </c>
      <c r="AE20">
        <f t="shared" si="37"/>
        <v>0</v>
      </c>
      <c r="AF20">
        <f t="shared" si="38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1"/>
        <v>0</v>
      </c>
      <c r="L21" s="1">
        <f t="shared" ca="1" si="21"/>
        <v>0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0</v>
      </c>
      <c r="Q21" s="8">
        <f t="shared" si="6"/>
        <v>0</v>
      </c>
      <c r="R21" s="8">
        <f t="shared" si="7"/>
        <v>0</v>
      </c>
      <c r="S21" s="8">
        <f t="shared" si="8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f t="shared" si="12"/>
        <v>0</v>
      </c>
      <c r="Y21">
        <f t="shared" si="13"/>
        <v>0</v>
      </c>
      <c r="Z21">
        <f t="shared" si="14"/>
        <v>0</v>
      </c>
      <c r="AA21">
        <f t="shared" si="15"/>
        <v>0</v>
      </c>
      <c r="AB21">
        <f t="shared" si="16"/>
        <v>0</v>
      </c>
      <c r="AC21">
        <f t="shared" si="17"/>
        <v>0</v>
      </c>
      <c r="AD21">
        <f t="shared" si="18"/>
        <v>0</v>
      </c>
      <c r="AE21">
        <f t="shared" si="19"/>
        <v>0</v>
      </c>
      <c r="AF21">
        <f t="shared" si="20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1">
        <f t="shared" si="1"/>
        <v>0</v>
      </c>
      <c r="L22" s="1">
        <f t="shared" ca="1" si="21"/>
        <v>0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0</v>
      </c>
      <c r="Q22" s="8">
        <f t="shared" si="6"/>
        <v>0</v>
      </c>
      <c r="R22" s="8">
        <f t="shared" si="7"/>
        <v>0</v>
      </c>
      <c r="S22" s="8">
        <f t="shared" si="8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25269</v>
      </c>
      <c r="G23" s="4"/>
      <c r="H23" s="4"/>
      <c r="I23" s="7"/>
      <c r="J23" s="8" t="s">
        <v>20</v>
      </c>
      <c r="K23" s="1">
        <f>SUM(K6:K22)</f>
        <v>25269</v>
      </c>
      <c r="L23" s="26">
        <f>IF(U$23&gt;=1,1,0)</f>
        <v>1</v>
      </c>
      <c r="N23">
        <f t="shared" si="3"/>
        <v>0</v>
      </c>
      <c r="P23">
        <f t="shared" si="5"/>
        <v>0</v>
      </c>
      <c r="U23">
        <f>SUM(U6:U22)</f>
        <v>1</v>
      </c>
      <c r="V23">
        <f t="shared" ref="V23:AF23" si="40">SUM(V6:V22)</f>
        <v>4</v>
      </c>
      <c r="W23">
        <f t="shared" si="40"/>
        <v>0</v>
      </c>
      <c r="X23">
        <f t="shared" si="40"/>
        <v>2</v>
      </c>
      <c r="Y23">
        <f t="shared" si="40"/>
        <v>0</v>
      </c>
      <c r="Z23">
        <f t="shared" si="40"/>
        <v>1</v>
      </c>
      <c r="AA23">
        <f t="shared" si="40"/>
        <v>0</v>
      </c>
      <c r="AB23">
        <f t="shared" si="40"/>
        <v>0</v>
      </c>
      <c r="AC23">
        <f t="shared" si="40"/>
        <v>0</v>
      </c>
      <c r="AD23">
        <f t="shared" si="40"/>
        <v>0</v>
      </c>
      <c r="AE23">
        <f t="shared" si="40"/>
        <v>0</v>
      </c>
      <c r="AF23">
        <f t="shared" si="40"/>
        <v>0</v>
      </c>
    </row>
    <row r="24" spans="1:32" x14ac:dyDescent="0.35">
      <c r="J24" s="8" t="s">
        <v>21</v>
      </c>
      <c r="K24" s="5">
        <f>SUMPRODUCT(K6:K22,G6:G22)/SUM(K6:K22)</f>
        <v>3196.7346385059072</v>
      </c>
      <c r="L24" s="26">
        <f>IF(V$23&gt;=1,1,0)</f>
        <v>1</v>
      </c>
    </row>
    <row r="25" spans="1:32" x14ac:dyDescent="0.35">
      <c r="J25" s="8" t="s">
        <v>11</v>
      </c>
      <c r="K25" s="5">
        <f>SUMPRODUCT(M6:M22,N6:N22)/SUM(N6:N22)</f>
        <v>3323.8238636363635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8800</v>
      </c>
      <c r="L26" s="26">
        <f>IF(X$23&gt;=1,1,0)</f>
        <v>1</v>
      </c>
    </row>
    <row r="27" spans="1:32" x14ac:dyDescent="0.35">
      <c r="J27" s="8" t="s">
        <v>22</v>
      </c>
      <c r="K27" s="5">
        <f>SUMPRODUCT(O6:O22,P6:P22)/SUM(P6:P22)</f>
        <v>3128.8261327588662</v>
      </c>
      <c r="L27" s="26">
        <f>IF(Y$23&gt;=1,1,0)</f>
        <v>0</v>
      </c>
    </row>
    <row r="28" spans="1:32" x14ac:dyDescent="0.35">
      <c r="J28" s="8" t="s">
        <v>23</v>
      </c>
      <c r="K28" s="5">
        <f>SUM(P6:P22)</f>
        <v>16469</v>
      </c>
      <c r="L28" s="26">
        <f>IF(Z$23&gt;=1,1,0)</f>
        <v>1</v>
      </c>
    </row>
    <row r="29" spans="1:32" x14ac:dyDescent="0.35">
      <c r="J29" s="8" t="s">
        <v>24</v>
      </c>
      <c r="K29" s="1">
        <f ca="1">MAX(L6:L22)</f>
        <v>114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95.75</v>
      </c>
      <c r="L30" s="26">
        <f>IF(AB$23&gt;=1,1,0)</f>
        <v>0</v>
      </c>
    </row>
    <row r="31" spans="1:32" x14ac:dyDescent="0.35">
      <c r="J31" s="8" t="s">
        <v>528</v>
      </c>
      <c r="K31" s="1">
        <f>SUM(Q6:Q22)</f>
        <v>8469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3200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13600</v>
      </c>
      <c r="L33" s="26">
        <f>IF(AE$23&gt;=1,1,0)</f>
        <v>0</v>
      </c>
    </row>
    <row r="34" spans="10:12" x14ac:dyDescent="0.35">
      <c r="L34" s="26">
        <f>IF(AF$23&gt;=1,1,0)</f>
        <v>0</v>
      </c>
    </row>
  </sheetData>
  <conditionalFormatting sqref="G9:G10">
    <cfRule type="cellIs" dxfId="354" priority="151" operator="between">
      <formula>2500</formula>
      <formula>2000</formula>
    </cfRule>
    <cfRule type="cellIs" dxfId="353" priority="152" operator="between">
      <formula>2500</formula>
      <formula>3000</formula>
    </cfRule>
    <cfRule type="cellIs" dxfId="352" priority="153" operator="between">
      <formula>3000</formula>
      <formula>3200</formula>
    </cfRule>
    <cfRule type="cellIs" dxfId="351" priority="154" operator="greaterThan">
      <formula>3600</formula>
    </cfRule>
    <cfRule type="cellIs" dxfId="350" priority="155" operator="between">
      <formula>3200</formula>
      <formula>3600</formula>
    </cfRule>
  </conditionalFormatting>
  <conditionalFormatting sqref="G13">
    <cfRule type="cellIs" dxfId="349" priority="184" operator="between">
      <formula>2500</formula>
      <formula>2000</formula>
    </cfRule>
    <cfRule type="cellIs" dxfId="348" priority="185" operator="between">
      <formula>2500</formula>
      <formula>3000</formula>
    </cfRule>
    <cfRule type="cellIs" dxfId="347" priority="186" operator="between">
      <formula>3000</formula>
      <formula>3200</formula>
    </cfRule>
    <cfRule type="cellIs" dxfId="346" priority="187" operator="greaterThan">
      <formula>3600</formula>
    </cfRule>
    <cfRule type="cellIs" dxfId="345" priority="188" operator="between">
      <formula>3200</formula>
      <formula>3600</formula>
    </cfRule>
  </conditionalFormatting>
  <conditionalFormatting sqref="G14:H23">
    <cfRule type="cellIs" dxfId="344" priority="161" operator="between">
      <formula>2500</formula>
      <formula>2000</formula>
    </cfRule>
    <cfRule type="cellIs" dxfId="343" priority="162" operator="between">
      <formula>2500</formula>
      <formula>3000</formula>
    </cfRule>
    <cfRule type="cellIs" dxfId="342" priority="163" operator="between">
      <formula>3000</formula>
      <formula>3200</formula>
    </cfRule>
    <cfRule type="cellIs" dxfId="341" priority="164" operator="greaterThan">
      <formula>3600</formula>
    </cfRule>
    <cfRule type="cellIs" dxfId="340" priority="165" operator="between">
      <formula>3200</formula>
      <formula>3600</formula>
    </cfRule>
  </conditionalFormatting>
  <conditionalFormatting sqref="H6:H13">
    <cfRule type="cellIs" dxfId="339" priority="1" operator="between">
      <formula>2500</formula>
      <formula>2000</formula>
    </cfRule>
    <cfRule type="cellIs" dxfId="338" priority="2" operator="between">
      <formula>2500</formula>
      <formula>3000</formula>
    </cfRule>
    <cfRule type="cellIs" dxfId="337" priority="3" operator="between">
      <formula>3000</formula>
      <formula>3200</formula>
    </cfRule>
    <cfRule type="cellIs" dxfId="336" priority="4" operator="greaterThan">
      <formula>3600</formula>
    </cfRule>
    <cfRule type="cellIs" dxfId="335" priority="5" operator="between">
      <formula>3200</formula>
      <formula>3600</formula>
    </cfRule>
  </conditionalFormatting>
  <conditionalFormatting sqref="K25">
    <cfRule type="cellIs" dxfId="334" priority="194" operator="lessThan">
      <formula>2500</formula>
    </cfRule>
    <cfRule type="cellIs" dxfId="333" priority="195" operator="between">
      <formula>2500</formula>
      <formula>3000</formula>
    </cfRule>
    <cfRule type="cellIs" dxfId="332" priority="196" operator="between">
      <formula>3000</formula>
      <formula>3200</formula>
    </cfRule>
    <cfRule type="cellIs" dxfId="331" priority="197" operator="greaterThan">
      <formula>3600</formula>
    </cfRule>
    <cfRule type="cellIs" dxfId="330" priority="198" operator="between">
      <formula>3200</formula>
      <formula>3600</formula>
    </cfRule>
  </conditionalFormatting>
  <conditionalFormatting sqref="K27">
    <cfRule type="cellIs" dxfId="329" priority="189" operator="lessThan">
      <formula>2500</formula>
    </cfRule>
    <cfRule type="cellIs" dxfId="328" priority="190" operator="between">
      <formula>2500</formula>
      <formula>3000</formula>
    </cfRule>
    <cfRule type="cellIs" dxfId="327" priority="191" operator="between">
      <formula>3000</formula>
      <formula>3200</formula>
    </cfRule>
    <cfRule type="cellIs" dxfId="326" priority="192" operator="greaterThan">
      <formula>3600</formula>
    </cfRule>
    <cfRule type="cellIs" dxfId="325" priority="193" operator="between">
      <formula>3200</formula>
      <formula>3600</formula>
    </cfRule>
  </conditionalFormatting>
  <conditionalFormatting sqref="L6:L34">
    <cfRule type="cellIs" dxfId="324" priority="166" operator="greaterThan">
      <formula>10</formula>
    </cfRule>
  </conditionalFormatting>
  <hyperlinks>
    <hyperlink ref="A3" location="'summery '!A1" display="summery " xr:uid="{00000000-0004-0000-0900-000000000000}"/>
  </hyperlinks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AF34"/>
  <sheetViews>
    <sheetView topLeftCell="H1" zoomScale="63" zoomScaleNormal="63" workbookViewId="0">
      <selection activeCell="J31" sqref="J31:J33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3.45312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5" width="11.36328125" customWidth="1"/>
    <col min="16" max="16" width="13" customWidth="1"/>
    <col min="17" max="17" width="18.54296875" customWidth="1"/>
    <col min="18" max="18" width="19.81640625" customWidth="1"/>
    <col min="19" max="19" width="17" customWidth="1"/>
    <col min="20" max="32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</row>
    <row r="6" spans="1:32" x14ac:dyDescent="0.35">
      <c r="A6" s="3">
        <v>45624</v>
      </c>
      <c r="B6" s="1">
        <v>63</v>
      </c>
      <c r="C6" s="1">
        <v>5</v>
      </c>
      <c r="D6" s="1">
        <v>1</v>
      </c>
      <c r="E6" s="1" t="s">
        <v>18</v>
      </c>
      <c r="F6" s="1">
        <v>3926</v>
      </c>
      <c r="G6" s="5">
        <v>3637</v>
      </c>
      <c r="H6" s="1" t="s">
        <v>455</v>
      </c>
      <c r="I6" s="3"/>
      <c r="J6" s="1"/>
      <c r="K6" s="1">
        <f>F6-J6</f>
        <v>3926</v>
      </c>
      <c r="L6" s="1">
        <f t="shared" ref="L6:L11" ca="1" si="0">IF(F6=0,0,(TODAY()-A6))</f>
        <v>64</v>
      </c>
      <c r="M6" s="1">
        <f>IF(E6="T",G6,0)</f>
        <v>0</v>
      </c>
      <c r="N6" s="1">
        <f>IF(E6="T",K6,0)</f>
        <v>0</v>
      </c>
      <c r="O6" s="1">
        <f>IF(E6="B",G6,0)</f>
        <v>3637</v>
      </c>
      <c r="P6" s="1">
        <f>IF(E6="B",K6,0)</f>
        <v>3926</v>
      </c>
      <c r="Q6" s="1">
        <f>IF(G6&gt;3500,K6,0)</f>
        <v>3926</v>
      </c>
      <c r="R6" s="1">
        <f>IF(AND(G6&gt;=3100,G6&lt;=3500),K6,0)</f>
        <v>0</v>
      </c>
      <c r="S6" s="1">
        <f>IF(G6&lt;3100,K6,0)</f>
        <v>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1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x14ac:dyDescent="0.35">
      <c r="A7" s="3">
        <v>45625</v>
      </c>
      <c r="B7" s="1">
        <v>65</v>
      </c>
      <c r="C7" s="1">
        <v>5</v>
      </c>
      <c r="D7" s="1">
        <v>1</v>
      </c>
      <c r="E7" s="1" t="s">
        <v>18</v>
      </c>
      <c r="F7" s="1">
        <v>3580</v>
      </c>
      <c r="G7" s="5">
        <v>3637</v>
      </c>
      <c r="H7" s="1" t="s">
        <v>455</v>
      </c>
      <c r="I7" s="3"/>
      <c r="J7" s="1"/>
      <c r="K7" s="1">
        <f t="shared" ref="K7:K22" si="1">F7-J7</f>
        <v>3580</v>
      </c>
      <c r="L7" s="1">
        <f t="shared" ca="1" si="0"/>
        <v>63</v>
      </c>
      <c r="M7" s="1">
        <f t="shared" ref="M7:M22" si="2">IF(E7="T",G7,0)</f>
        <v>0</v>
      </c>
      <c r="N7" s="1">
        <f t="shared" ref="N7:N23" si="3">IF(E7="T",K7,0)</f>
        <v>0</v>
      </c>
      <c r="O7" s="1">
        <f t="shared" ref="O7:O22" si="4">IF(E7="B",G7,0)</f>
        <v>3637</v>
      </c>
      <c r="P7" s="1">
        <f t="shared" ref="P7:P23" si="5">IF(E7="B",K7,0)</f>
        <v>3580</v>
      </c>
      <c r="Q7" s="1">
        <f t="shared" ref="Q7:Q8" si="6">IF(G7&gt;3500,K7,0)</f>
        <v>3580</v>
      </c>
      <c r="R7" s="1">
        <f t="shared" ref="R7:R8" si="7">IF(AND(G7&gt;=3100,G7&lt;=3500),K7,0)</f>
        <v>0</v>
      </c>
      <c r="S7" s="1">
        <f t="shared" ref="S7:S8" si="8">IF(G7&lt;3100,K7,0)</f>
        <v>0</v>
      </c>
      <c r="U7">
        <f t="shared" ref="U7:U22" si="9">IF(C7=1,1,0)</f>
        <v>0</v>
      </c>
      <c r="V7">
        <f t="shared" ref="V7:V22" si="10">IF(C7=2,1,0)</f>
        <v>0</v>
      </c>
      <c r="W7">
        <f t="shared" ref="W7:W22" si="11">IF(C7=3,1,0)</f>
        <v>0</v>
      </c>
      <c r="X7">
        <f t="shared" ref="X7:X22" si="12">IF(C7=4,1,0)</f>
        <v>0</v>
      </c>
      <c r="Y7">
        <f t="shared" ref="Y7:Y22" si="13">IF(C7=5,1,0)</f>
        <v>1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0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0</v>
      </c>
      <c r="AF7">
        <f t="shared" ref="AF7:AF22" si="20">IF(C7="CB",1,0)</f>
        <v>0</v>
      </c>
    </row>
    <row r="8" spans="1:32" x14ac:dyDescent="0.35">
      <c r="A8" s="3"/>
      <c r="B8" s="1"/>
      <c r="C8" s="1"/>
      <c r="D8" s="1"/>
      <c r="E8" s="1"/>
      <c r="F8" s="1"/>
      <c r="G8" s="5"/>
      <c r="H8" s="1"/>
      <c r="I8" s="3"/>
      <c r="J8" s="1"/>
      <c r="K8" s="1">
        <f t="shared" si="1"/>
        <v>0</v>
      </c>
      <c r="L8" s="1">
        <f t="shared" ca="1" si="0"/>
        <v>0</v>
      </c>
      <c r="M8" s="1">
        <f t="shared" si="2"/>
        <v>0</v>
      </c>
      <c r="N8" s="1">
        <f t="shared" si="3"/>
        <v>0</v>
      </c>
      <c r="O8" s="1">
        <f t="shared" si="4"/>
        <v>0</v>
      </c>
      <c r="P8" s="1">
        <f t="shared" si="5"/>
        <v>0</v>
      </c>
      <c r="Q8" s="1">
        <f t="shared" si="6"/>
        <v>0</v>
      </c>
      <c r="R8" s="1">
        <f t="shared" si="7"/>
        <v>0</v>
      </c>
      <c r="S8" s="1">
        <f t="shared" si="8"/>
        <v>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x14ac:dyDescent="0.35">
      <c r="A9" s="3"/>
      <c r="B9" s="1"/>
      <c r="C9" s="1"/>
      <c r="D9" s="1"/>
      <c r="E9" s="1"/>
      <c r="F9" s="1"/>
      <c r="G9" s="5"/>
      <c r="H9" s="1"/>
      <c r="I9" s="3"/>
      <c r="J9" s="1"/>
      <c r="K9" s="1">
        <f t="shared" si="1"/>
        <v>0</v>
      </c>
      <c r="L9" s="1">
        <f t="shared" ca="1" si="0"/>
        <v>0</v>
      </c>
      <c r="M9" s="1">
        <f t="shared" si="2"/>
        <v>0</v>
      </c>
      <c r="N9" s="1">
        <f t="shared" si="3"/>
        <v>0</v>
      </c>
      <c r="O9" s="1">
        <f t="shared" si="4"/>
        <v>0</v>
      </c>
      <c r="P9" s="1">
        <f t="shared" si="5"/>
        <v>0</v>
      </c>
      <c r="Q9" s="1">
        <f t="shared" ref="Q9:Q22" si="21">IF(G9&gt;3500,K9,0)</f>
        <v>0</v>
      </c>
      <c r="R9" s="1">
        <f t="shared" ref="R9:R22" si="22">IF(AND(G9&gt;=3100,G9&lt;=3500),K9,0)</f>
        <v>0</v>
      </c>
      <c r="S9" s="1">
        <f t="shared" ref="S9:S22" si="23">IF(G9&lt;3100,K9,0)</f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0</v>
      </c>
      <c r="AF9">
        <f t="shared" si="20"/>
        <v>0</v>
      </c>
    </row>
    <row r="10" spans="1:32" x14ac:dyDescent="0.35">
      <c r="A10" s="3"/>
      <c r="B10" s="1"/>
      <c r="C10" s="1"/>
      <c r="D10" s="1"/>
      <c r="E10" s="1"/>
      <c r="F10" s="1"/>
      <c r="G10" s="5"/>
      <c r="H10" s="5"/>
      <c r="I10" s="1"/>
      <c r="J10" s="1"/>
      <c r="K10" s="1">
        <f t="shared" si="1"/>
        <v>0</v>
      </c>
      <c r="L10" s="1">
        <f t="shared" ca="1" si="0"/>
        <v>0</v>
      </c>
      <c r="M10" s="1">
        <f t="shared" si="2"/>
        <v>0</v>
      </c>
      <c r="N10" s="1">
        <f t="shared" si="3"/>
        <v>0</v>
      </c>
      <c r="O10" s="1">
        <f t="shared" si="4"/>
        <v>0</v>
      </c>
      <c r="P10" s="1">
        <f t="shared" si="5"/>
        <v>0</v>
      </c>
      <c r="Q10" s="1">
        <f t="shared" si="21"/>
        <v>0</v>
      </c>
      <c r="R10" s="1">
        <f t="shared" si="22"/>
        <v>0</v>
      </c>
      <c r="S10" s="1">
        <f t="shared" si="23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x14ac:dyDescent="0.35">
      <c r="A11" s="3"/>
      <c r="B11" s="1"/>
      <c r="C11" s="1"/>
      <c r="D11" s="1"/>
      <c r="E11" s="1"/>
      <c r="F11" s="1"/>
      <c r="G11" s="5"/>
      <c r="H11" s="5"/>
      <c r="I11" s="3"/>
      <c r="J11" s="1"/>
      <c r="K11" s="1">
        <f t="shared" si="1"/>
        <v>0</v>
      </c>
      <c r="L11" s="1">
        <f t="shared" ca="1" si="0"/>
        <v>0</v>
      </c>
      <c r="M11" s="1">
        <f t="shared" si="2"/>
        <v>0</v>
      </c>
      <c r="N11" s="1">
        <f t="shared" si="3"/>
        <v>0</v>
      </c>
      <c r="O11" s="1">
        <f t="shared" si="4"/>
        <v>0</v>
      </c>
      <c r="P11" s="1">
        <f t="shared" si="5"/>
        <v>0</v>
      </c>
      <c r="Q11" s="1">
        <f t="shared" si="21"/>
        <v>0</v>
      </c>
      <c r="R11" s="1">
        <f t="shared" si="22"/>
        <v>0</v>
      </c>
      <c r="S11" s="1">
        <f t="shared" si="23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5"/>
      <c r="I12" s="1"/>
      <c r="J12" s="1"/>
      <c r="K12" s="1">
        <f t="shared" si="1"/>
        <v>0</v>
      </c>
      <c r="L12" s="1">
        <f ca="1">IF(F12=0,0,(TODAY()-A12))</f>
        <v>0</v>
      </c>
      <c r="M12" s="1">
        <f t="shared" si="2"/>
        <v>0</v>
      </c>
      <c r="N12" s="1">
        <f t="shared" si="3"/>
        <v>0</v>
      </c>
      <c r="O12" s="1">
        <f t="shared" si="4"/>
        <v>0</v>
      </c>
      <c r="P12" s="1">
        <f t="shared" si="5"/>
        <v>0</v>
      </c>
      <c r="Q12" s="1">
        <f t="shared" si="21"/>
        <v>0</v>
      </c>
      <c r="R12" s="1">
        <f t="shared" si="22"/>
        <v>0</v>
      </c>
      <c r="S12" s="1">
        <f t="shared" si="23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5"/>
      <c r="I13" s="1"/>
      <c r="J13" s="1"/>
      <c r="K13" s="1">
        <f t="shared" si="1"/>
        <v>0</v>
      </c>
      <c r="L13" s="1">
        <f t="shared" ref="L13:L22" ca="1" si="24">IF(F13=0,0,(TODAY()-A13))</f>
        <v>0</v>
      </c>
      <c r="M13" s="1">
        <f t="shared" si="2"/>
        <v>0</v>
      </c>
      <c r="N13" s="1">
        <f t="shared" si="3"/>
        <v>0</v>
      </c>
      <c r="O13" s="1">
        <f t="shared" si="4"/>
        <v>0</v>
      </c>
      <c r="P13" s="1">
        <f t="shared" si="5"/>
        <v>0</v>
      </c>
      <c r="Q13" s="1">
        <f t="shared" si="21"/>
        <v>0</v>
      </c>
      <c r="R13" s="1">
        <f t="shared" si="22"/>
        <v>0</v>
      </c>
      <c r="S13" s="1">
        <f t="shared" si="23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1"/>
        <v>0</v>
      </c>
      <c r="L14" s="1">
        <f t="shared" ca="1" si="24"/>
        <v>0</v>
      </c>
      <c r="M14" s="1">
        <f t="shared" si="2"/>
        <v>0</v>
      </c>
      <c r="N14" s="1">
        <f t="shared" si="3"/>
        <v>0</v>
      </c>
      <c r="O14" s="1">
        <f t="shared" si="4"/>
        <v>0</v>
      </c>
      <c r="P14" s="1">
        <f t="shared" si="5"/>
        <v>0</v>
      </c>
      <c r="Q14" s="1">
        <f t="shared" si="21"/>
        <v>0</v>
      </c>
      <c r="R14" s="1">
        <f t="shared" si="22"/>
        <v>0</v>
      </c>
      <c r="S14" s="1">
        <f t="shared" si="23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ref="K15:K19" si="25">F15-J15</f>
        <v>0</v>
      </c>
      <c r="L15" s="1">
        <f t="shared" ca="1" si="24"/>
        <v>0</v>
      </c>
      <c r="M15" s="1">
        <f t="shared" ref="M15:M19" si="26">IF(E15="T",G15,0)</f>
        <v>0</v>
      </c>
      <c r="N15" s="1">
        <f t="shared" ref="N15:N19" si="27">IF(E15="T",K15,0)</f>
        <v>0</v>
      </c>
      <c r="O15" s="1">
        <f t="shared" ref="O15:O19" si="28">IF(E15="B",G15,0)</f>
        <v>0</v>
      </c>
      <c r="P15" s="1">
        <f t="shared" ref="P15:P19" si="29">IF(E15="B",K15,0)</f>
        <v>0</v>
      </c>
      <c r="Q15" s="1">
        <f t="shared" si="21"/>
        <v>0</v>
      </c>
      <c r="R15" s="1">
        <f t="shared" si="22"/>
        <v>0</v>
      </c>
      <c r="S15" s="1">
        <f t="shared" si="23"/>
        <v>0</v>
      </c>
      <c r="U15">
        <f t="shared" ref="U15:U19" si="30">IF(C15=1,1,0)</f>
        <v>0</v>
      </c>
      <c r="V15">
        <f t="shared" ref="V15:V19" si="31">IF(C15=2,1,0)</f>
        <v>0</v>
      </c>
      <c r="W15">
        <f t="shared" ref="W15:W19" si="32">IF(C15=3,1,0)</f>
        <v>0</v>
      </c>
      <c r="X15">
        <f t="shared" ref="X15:X19" si="33">IF(C15=4,1,0)</f>
        <v>0</v>
      </c>
      <c r="Y15">
        <f t="shared" ref="Y15:Y19" si="34">IF(C15=5,1,0)</f>
        <v>0</v>
      </c>
      <c r="Z15">
        <f t="shared" ref="Z15:Z19" si="35">IF(C15=6,1,0)</f>
        <v>0</v>
      </c>
      <c r="AA15">
        <f t="shared" ref="AA15:AA19" si="36">IF(C15=7,1,0)</f>
        <v>0</v>
      </c>
      <c r="AB15">
        <f t="shared" ref="AB15:AB19" si="37">IF(C15=8,1,0)</f>
        <v>0</v>
      </c>
      <c r="AC15">
        <f t="shared" ref="AC15:AC19" si="38">IF(C15=9,1,0)</f>
        <v>0</v>
      </c>
      <c r="AD15">
        <f t="shared" ref="AD15:AD19" si="39">IF(C15=10,1,0)</f>
        <v>0</v>
      </c>
      <c r="AE15">
        <f t="shared" ref="AE15:AE19" si="40">IF(C15="SILO",1,0)</f>
        <v>0</v>
      </c>
      <c r="AF15">
        <f t="shared" ref="AF15:AF19" si="41">IF(C15="CB",1,0)</f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3"/>
      <c r="J16" s="1"/>
      <c r="K16" s="1">
        <f t="shared" si="25"/>
        <v>0</v>
      </c>
      <c r="L16" s="1">
        <f t="shared" ca="1" si="24"/>
        <v>0</v>
      </c>
      <c r="M16" s="1">
        <f t="shared" si="26"/>
        <v>0</v>
      </c>
      <c r="N16" s="1">
        <f t="shared" si="27"/>
        <v>0</v>
      </c>
      <c r="O16" s="1">
        <f t="shared" si="28"/>
        <v>0</v>
      </c>
      <c r="P16" s="1">
        <f t="shared" si="29"/>
        <v>0</v>
      </c>
      <c r="Q16" s="1">
        <f t="shared" si="21"/>
        <v>0</v>
      </c>
      <c r="R16" s="1">
        <f t="shared" si="22"/>
        <v>0</v>
      </c>
      <c r="S16" s="1">
        <f t="shared" si="23"/>
        <v>0</v>
      </c>
      <c r="U16">
        <f t="shared" si="30"/>
        <v>0</v>
      </c>
      <c r="V16">
        <f t="shared" si="31"/>
        <v>0</v>
      </c>
      <c r="W16">
        <f t="shared" si="32"/>
        <v>0</v>
      </c>
      <c r="X16">
        <f t="shared" si="33"/>
        <v>0</v>
      </c>
      <c r="Y16">
        <f t="shared" si="34"/>
        <v>0</v>
      </c>
      <c r="Z16">
        <f t="shared" si="35"/>
        <v>0</v>
      </c>
      <c r="AA16">
        <f t="shared" si="36"/>
        <v>0</v>
      </c>
      <c r="AB16">
        <f t="shared" si="37"/>
        <v>0</v>
      </c>
      <c r="AC16">
        <f t="shared" si="38"/>
        <v>0</v>
      </c>
      <c r="AD16">
        <f t="shared" si="39"/>
        <v>0</v>
      </c>
      <c r="AE16">
        <f t="shared" si="40"/>
        <v>0</v>
      </c>
      <c r="AF16">
        <f t="shared" si="41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si="25"/>
        <v>0</v>
      </c>
      <c r="L17" s="1">
        <f ca="1">IF(F17=0,0,(TODAY()-A17))</f>
        <v>0</v>
      </c>
      <c r="M17" s="1">
        <f t="shared" si="26"/>
        <v>0</v>
      </c>
      <c r="N17" s="1">
        <f t="shared" si="27"/>
        <v>0</v>
      </c>
      <c r="O17" s="1">
        <f t="shared" si="28"/>
        <v>0</v>
      </c>
      <c r="P17" s="1">
        <f t="shared" si="29"/>
        <v>0</v>
      </c>
      <c r="Q17" s="1">
        <f t="shared" si="21"/>
        <v>0</v>
      </c>
      <c r="R17" s="1">
        <f t="shared" si="22"/>
        <v>0</v>
      </c>
      <c r="S17" s="1">
        <f t="shared" si="23"/>
        <v>0</v>
      </c>
      <c r="U17">
        <f t="shared" si="30"/>
        <v>0</v>
      </c>
      <c r="V17">
        <f t="shared" si="31"/>
        <v>0</v>
      </c>
      <c r="W17">
        <f t="shared" si="32"/>
        <v>0</v>
      </c>
      <c r="X17">
        <f t="shared" si="33"/>
        <v>0</v>
      </c>
      <c r="Y17">
        <f t="shared" si="34"/>
        <v>0</v>
      </c>
      <c r="Z17">
        <f t="shared" si="35"/>
        <v>0</v>
      </c>
      <c r="AA17">
        <f t="shared" si="36"/>
        <v>0</v>
      </c>
      <c r="AB17">
        <f t="shared" si="37"/>
        <v>0</v>
      </c>
      <c r="AC17">
        <f t="shared" si="38"/>
        <v>0</v>
      </c>
      <c r="AD17">
        <f t="shared" si="39"/>
        <v>0</v>
      </c>
      <c r="AE17">
        <f t="shared" si="40"/>
        <v>0</v>
      </c>
      <c r="AF17">
        <f t="shared" si="41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25"/>
        <v>0</v>
      </c>
      <c r="L18" s="1">
        <f t="shared" ref="L18:L19" ca="1" si="42">IF(F18=0,0,(TODAY()-A18))</f>
        <v>0</v>
      </c>
      <c r="M18" s="1">
        <f t="shared" si="26"/>
        <v>0</v>
      </c>
      <c r="N18" s="1">
        <f t="shared" si="27"/>
        <v>0</v>
      </c>
      <c r="O18" s="1">
        <f t="shared" si="28"/>
        <v>0</v>
      </c>
      <c r="P18" s="1">
        <f t="shared" si="29"/>
        <v>0</v>
      </c>
      <c r="Q18" s="1">
        <f t="shared" si="21"/>
        <v>0</v>
      </c>
      <c r="R18" s="1">
        <f t="shared" si="22"/>
        <v>0</v>
      </c>
      <c r="S18" s="1">
        <f t="shared" si="23"/>
        <v>0</v>
      </c>
      <c r="U18">
        <f t="shared" si="30"/>
        <v>0</v>
      </c>
      <c r="V18">
        <f t="shared" si="31"/>
        <v>0</v>
      </c>
      <c r="W18">
        <f t="shared" si="32"/>
        <v>0</v>
      </c>
      <c r="X18">
        <f t="shared" si="33"/>
        <v>0</v>
      </c>
      <c r="Y18">
        <f t="shared" si="34"/>
        <v>0</v>
      </c>
      <c r="Z18">
        <f t="shared" si="35"/>
        <v>0</v>
      </c>
      <c r="AA18">
        <f t="shared" si="36"/>
        <v>0</v>
      </c>
      <c r="AB18">
        <f t="shared" si="37"/>
        <v>0</v>
      </c>
      <c r="AC18">
        <f t="shared" si="38"/>
        <v>0</v>
      </c>
      <c r="AD18">
        <f t="shared" si="39"/>
        <v>0</v>
      </c>
      <c r="AE18">
        <f t="shared" si="40"/>
        <v>0</v>
      </c>
      <c r="AF18">
        <f t="shared" si="41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si="25"/>
        <v>0</v>
      </c>
      <c r="L19" s="1">
        <f t="shared" ca="1" si="42"/>
        <v>0</v>
      </c>
      <c r="M19" s="1">
        <f t="shared" si="26"/>
        <v>0</v>
      </c>
      <c r="N19" s="1">
        <f t="shared" si="27"/>
        <v>0</v>
      </c>
      <c r="O19" s="1">
        <f t="shared" si="28"/>
        <v>0</v>
      </c>
      <c r="P19" s="1">
        <f t="shared" si="29"/>
        <v>0</v>
      </c>
      <c r="Q19" s="1">
        <f t="shared" si="21"/>
        <v>0</v>
      </c>
      <c r="R19" s="1">
        <f t="shared" si="22"/>
        <v>0</v>
      </c>
      <c r="S19" s="1">
        <f t="shared" si="23"/>
        <v>0</v>
      </c>
      <c r="U19">
        <f t="shared" si="30"/>
        <v>0</v>
      </c>
      <c r="V19">
        <f t="shared" si="31"/>
        <v>0</v>
      </c>
      <c r="W19">
        <f t="shared" si="32"/>
        <v>0</v>
      </c>
      <c r="X19">
        <f t="shared" si="33"/>
        <v>0</v>
      </c>
      <c r="Y19">
        <f t="shared" si="34"/>
        <v>0</v>
      </c>
      <c r="Z19">
        <f t="shared" si="35"/>
        <v>0</v>
      </c>
      <c r="AA19">
        <f t="shared" si="36"/>
        <v>0</v>
      </c>
      <c r="AB19">
        <f t="shared" si="37"/>
        <v>0</v>
      </c>
      <c r="AC19">
        <f t="shared" si="38"/>
        <v>0</v>
      </c>
      <c r="AD19">
        <f t="shared" si="39"/>
        <v>0</v>
      </c>
      <c r="AE19">
        <f t="shared" si="40"/>
        <v>0</v>
      </c>
      <c r="AF19">
        <f t="shared" si="41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1"/>
        <v>0</v>
      </c>
      <c r="L20" s="1">
        <f t="shared" ca="1" si="24"/>
        <v>0</v>
      </c>
      <c r="M20" s="1">
        <f t="shared" si="2"/>
        <v>0</v>
      </c>
      <c r="N20" s="1">
        <f t="shared" si="3"/>
        <v>0</v>
      </c>
      <c r="O20" s="1">
        <f t="shared" si="4"/>
        <v>0</v>
      </c>
      <c r="P20" s="1">
        <f t="shared" si="5"/>
        <v>0</v>
      </c>
      <c r="Q20" s="1">
        <f t="shared" si="21"/>
        <v>0</v>
      </c>
      <c r="R20" s="1">
        <f t="shared" si="22"/>
        <v>0</v>
      </c>
      <c r="S20" s="1">
        <f t="shared" si="23"/>
        <v>0</v>
      </c>
      <c r="U20">
        <f t="shared" si="9"/>
        <v>0</v>
      </c>
      <c r="V20">
        <f t="shared" si="10"/>
        <v>0</v>
      </c>
      <c r="W20">
        <f t="shared" si="11"/>
        <v>0</v>
      </c>
      <c r="X20">
        <f t="shared" si="12"/>
        <v>0</v>
      </c>
      <c r="Y20">
        <f t="shared" si="13"/>
        <v>0</v>
      </c>
      <c r="Z20">
        <f t="shared" si="14"/>
        <v>0</v>
      </c>
      <c r="AA20">
        <f t="shared" si="15"/>
        <v>0</v>
      </c>
      <c r="AB20">
        <f t="shared" si="16"/>
        <v>0</v>
      </c>
      <c r="AC20">
        <f t="shared" si="17"/>
        <v>0</v>
      </c>
      <c r="AD20">
        <f t="shared" si="18"/>
        <v>0</v>
      </c>
      <c r="AE20">
        <f t="shared" si="19"/>
        <v>0</v>
      </c>
      <c r="AF20">
        <f t="shared" si="20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1"/>
        <v>0</v>
      </c>
      <c r="L21" s="1">
        <f t="shared" ca="1" si="24"/>
        <v>0</v>
      </c>
      <c r="M21" s="1">
        <f t="shared" si="2"/>
        <v>0</v>
      </c>
      <c r="N21" s="1">
        <f t="shared" si="3"/>
        <v>0</v>
      </c>
      <c r="O21" s="1">
        <f t="shared" si="4"/>
        <v>0</v>
      </c>
      <c r="P21" s="1">
        <f t="shared" si="5"/>
        <v>0</v>
      </c>
      <c r="Q21" s="1">
        <f t="shared" si="21"/>
        <v>0</v>
      </c>
      <c r="R21" s="1">
        <f t="shared" si="22"/>
        <v>0</v>
      </c>
      <c r="S21" s="1">
        <f t="shared" si="23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f t="shared" si="12"/>
        <v>0</v>
      </c>
      <c r="Y21">
        <f t="shared" si="13"/>
        <v>0</v>
      </c>
      <c r="Z21">
        <f t="shared" si="14"/>
        <v>0</v>
      </c>
      <c r="AA21">
        <f t="shared" si="15"/>
        <v>0</v>
      </c>
      <c r="AB21">
        <f t="shared" si="16"/>
        <v>0</v>
      </c>
      <c r="AC21">
        <f t="shared" si="17"/>
        <v>0</v>
      </c>
      <c r="AD21">
        <f t="shared" si="18"/>
        <v>0</v>
      </c>
      <c r="AE21">
        <f t="shared" si="19"/>
        <v>0</v>
      </c>
      <c r="AF21">
        <f t="shared" si="20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1">
        <f t="shared" si="1"/>
        <v>0</v>
      </c>
      <c r="L22" s="1">
        <f t="shared" ca="1" si="24"/>
        <v>0</v>
      </c>
      <c r="M22" s="1">
        <f t="shared" si="2"/>
        <v>0</v>
      </c>
      <c r="N22" s="1">
        <f t="shared" si="3"/>
        <v>0</v>
      </c>
      <c r="O22" s="1">
        <f t="shared" si="4"/>
        <v>0</v>
      </c>
      <c r="P22" s="1">
        <f t="shared" si="5"/>
        <v>0</v>
      </c>
      <c r="Q22" s="1">
        <f t="shared" si="21"/>
        <v>0</v>
      </c>
      <c r="R22" s="1">
        <f t="shared" si="22"/>
        <v>0</v>
      </c>
      <c r="S22" s="1">
        <f t="shared" si="23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7506</v>
      </c>
      <c r="G23" s="4"/>
      <c r="H23" s="4"/>
      <c r="I23" s="7"/>
      <c r="J23" s="8" t="s">
        <v>20</v>
      </c>
      <c r="K23" s="1">
        <f>SUM(K6:K22)</f>
        <v>7506</v>
      </c>
      <c r="L23" s="26">
        <f>IF(U$23&gt;=1,1,0)</f>
        <v>0</v>
      </c>
      <c r="N23">
        <f t="shared" si="3"/>
        <v>0</v>
      </c>
      <c r="P23">
        <f t="shared" si="5"/>
        <v>0</v>
      </c>
      <c r="U23">
        <f>SUM(U6:U22)</f>
        <v>0</v>
      </c>
      <c r="V23">
        <f t="shared" ref="V23:AF23" si="43">SUM(V6:V22)</f>
        <v>0</v>
      </c>
      <c r="W23">
        <f t="shared" si="43"/>
        <v>0</v>
      </c>
      <c r="X23">
        <f t="shared" si="43"/>
        <v>0</v>
      </c>
      <c r="Y23">
        <f t="shared" si="43"/>
        <v>2</v>
      </c>
      <c r="Z23">
        <f t="shared" si="43"/>
        <v>0</v>
      </c>
      <c r="AA23">
        <f t="shared" si="43"/>
        <v>0</v>
      </c>
      <c r="AB23">
        <f t="shared" si="43"/>
        <v>0</v>
      </c>
      <c r="AC23">
        <f t="shared" si="43"/>
        <v>0</v>
      </c>
      <c r="AD23">
        <f t="shared" si="43"/>
        <v>0</v>
      </c>
      <c r="AE23">
        <f t="shared" si="43"/>
        <v>0</v>
      </c>
      <c r="AF23">
        <f t="shared" si="43"/>
        <v>0</v>
      </c>
    </row>
    <row r="24" spans="1:32" x14ac:dyDescent="0.35">
      <c r="J24" s="8" t="s">
        <v>21</v>
      </c>
      <c r="K24" s="5">
        <f>SUMPRODUCT(K6:K22,G6:G22)/SUM(K6:K22)</f>
        <v>3637</v>
      </c>
      <c r="L24" s="26">
        <f>IF(V$23&gt;=1,1,0)</f>
        <v>0</v>
      </c>
    </row>
    <row r="25" spans="1:32" x14ac:dyDescent="0.35">
      <c r="J25" s="8" t="s">
        <v>11</v>
      </c>
      <c r="K25" s="5" t="e">
        <f>SUMPRODUCT(M6:M22,N6:N22)/SUM(N6:N22)</f>
        <v>#DIV/0!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0</v>
      </c>
      <c r="L26" s="26">
        <f>IF(X$23&gt;=1,1,0)</f>
        <v>0</v>
      </c>
    </row>
    <row r="27" spans="1:32" x14ac:dyDescent="0.35">
      <c r="J27" s="8" t="s">
        <v>22</v>
      </c>
      <c r="K27" s="5">
        <f>SUMPRODUCT(O6:O22,P6:P22)/SUM(P6:P22)</f>
        <v>3637</v>
      </c>
      <c r="L27" s="26">
        <f>IF(Y$23&gt;=1,1,0)</f>
        <v>1</v>
      </c>
    </row>
    <row r="28" spans="1:32" x14ac:dyDescent="0.35">
      <c r="J28" s="8" t="s">
        <v>23</v>
      </c>
      <c r="K28" s="5">
        <f>SUM(P6:P22)</f>
        <v>7506</v>
      </c>
      <c r="L28" s="26">
        <f>IF(Z$23&gt;=1,1,0)</f>
        <v>0</v>
      </c>
    </row>
    <row r="29" spans="1:32" x14ac:dyDescent="0.35">
      <c r="J29" s="8" t="s">
        <v>24</v>
      </c>
      <c r="K29" s="1">
        <f ca="1">MAX(L6:L22)</f>
        <v>64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63.5</v>
      </c>
      <c r="L30" s="26">
        <f>IF(AB$23&gt;=1,1,0)</f>
        <v>0</v>
      </c>
    </row>
    <row r="31" spans="1:32" x14ac:dyDescent="0.35">
      <c r="J31" s="8" t="s">
        <v>528</v>
      </c>
      <c r="K31" s="1">
        <f>SUM(Q6:Q22)</f>
        <v>7506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0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0</v>
      </c>
      <c r="L33" s="26">
        <f>IF(AE$23&gt;=1,1,0)</f>
        <v>0</v>
      </c>
    </row>
    <row r="34" spans="10:12" x14ac:dyDescent="0.35">
      <c r="L34" s="26">
        <f>IF(AF$23&gt;=1,1,0)</f>
        <v>0</v>
      </c>
    </row>
  </sheetData>
  <conditionalFormatting sqref="G6:H23">
    <cfRule type="cellIs" dxfId="323" priority="1" operator="between">
      <formula>2500</formula>
      <formula>2000</formula>
    </cfRule>
    <cfRule type="cellIs" dxfId="322" priority="2" operator="between">
      <formula>2500</formula>
      <formula>3000</formula>
    </cfRule>
    <cfRule type="cellIs" dxfId="321" priority="3" operator="between">
      <formula>3000</formula>
      <formula>3200</formula>
    </cfRule>
    <cfRule type="cellIs" dxfId="320" priority="4" operator="greaterThan">
      <formula>3600</formula>
    </cfRule>
    <cfRule type="cellIs" dxfId="319" priority="5" operator="between">
      <formula>3200</formula>
      <formula>3600</formula>
    </cfRule>
  </conditionalFormatting>
  <conditionalFormatting sqref="K25">
    <cfRule type="cellIs" dxfId="318" priority="148" operator="lessThan">
      <formula>2500</formula>
    </cfRule>
    <cfRule type="cellIs" dxfId="317" priority="149" operator="between">
      <formula>2500</formula>
      <formula>3000</formula>
    </cfRule>
    <cfRule type="cellIs" dxfId="316" priority="150" operator="between">
      <formula>3000</formula>
      <formula>3200</formula>
    </cfRule>
    <cfRule type="cellIs" dxfId="315" priority="151" operator="greaterThan">
      <formula>3600</formula>
    </cfRule>
    <cfRule type="cellIs" dxfId="314" priority="152" operator="between">
      <formula>3200</formula>
      <formula>3600</formula>
    </cfRule>
  </conditionalFormatting>
  <conditionalFormatting sqref="K27">
    <cfRule type="cellIs" dxfId="313" priority="143" operator="lessThan">
      <formula>2500</formula>
    </cfRule>
    <cfRule type="cellIs" dxfId="312" priority="144" operator="between">
      <formula>2500</formula>
      <formula>3000</formula>
    </cfRule>
    <cfRule type="cellIs" dxfId="311" priority="145" operator="between">
      <formula>3000</formula>
      <formula>3200</formula>
    </cfRule>
    <cfRule type="cellIs" dxfId="310" priority="146" operator="greaterThan">
      <formula>3600</formula>
    </cfRule>
    <cfRule type="cellIs" dxfId="309" priority="147" operator="between">
      <formula>3200</formula>
      <formula>3600</formula>
    </cfRule>
  </conditionalFormatting>
  <conditionalFormatting sqref="L6:L34">
    <cfRule type="cellIs" dxfId="308" priority="121" operator="greaterThan">
      <formula>10</formula>
    </cfRule>
  </conditionalFormatting>
  <hyperlinks>
    <hyperlink ref="A3" location="'summery '!A1" display="summery " xr:uid="{00000000-0004-0000-0A00-000000000000}"/>
  </hyperlinks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AF31"/>
  <sheetViews>
    <sheetView zoomScale="54" zoomScaleNormal="54" workbookViewId="0">
      <selection activeCell="J28" sqref="J28:J30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2.5429687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5" width="12.7265625" customWidth="1"/>
    <col min="16" max="16" width="13.36328125" customWidth="1"/>
    <col min="17" max="17" width="18.54296875" customWidth="1"/>
    <col min="18" max="18" width="19.81640625" customWidth="1"/>
    <col min="19" max="19" width="17" customWidth="1"/>
    <col min="20" max="32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1" t="s">
        <v>15</v>
      </c>
      <c r="R5" s="1" t="s">
        <v>16</v>
      </c>
      <c r="S5" s="1" t="s">
        <v>17</v>
      </c>
    </row>
    <row r="6" spans="1:32" x14ac:dyDescent="0.35">
      <c r="A6" s="3">
        <v>45555</v>
      </c>
      <c r="B6" s="1">
        <v>57</v>
      </c>
      <c r="C6" s="13">
        <v>2</v>
      </c>
      <c r="D6" s="1">
        <v>1</v>
      </c>
      <c r="E6" s="1" t="s">
        <v>18</v>
      </c>
      <c r="F6" s="13">
        <v>3344</v>
      </c>
      <c r="G6" s="10">
        <v>3128</v>
      </c>
      <c r="H6" s="1" t="s">
        <v>46</v>
      </c>
      <c r="I6" s="3"/>
      <c r="J6" s="1"/>
      <c r="K6" s="1">
        <f t="shared" ref="K6:K19" si="0">F6-J6</f>
        <v>3344</v>
      </c>
      <c r="L6" s="1">
        <f t="shared" ref="L6:L8" ca="1" si="1">IF(F6=0,0,(TODAY()-A6))</f>
        <v>133</v>
      </c>
      <c r="M6">
        <f t="shared" ref="M6:M19" si="2">IF(E6="T",G6,0)</f>
        <v>0</v>
      </c>
      <c r="N6">
        <f t="shared" ref="N6:N20" si="3">IF(E6="T",K6,0)</f>
        <v>0</v>
      </c>
      <c r="O6">
        <f t="shared" ref="O6:O19" si="4">IF(E6="B",G6,0)</f>
        <v>3128</v>
      </c>
      <c r="P6">
        <f t="shared" ref="P6:P20" si="5">IF(E6="B",K6,0)</f>
        <v>3344</v>
      </c>
      <c r="Q6" s="1">
        <f>IF(G6&gt;3500,K6,0)</f>
        <v>0</v>
      </c>
      <c r="R6" s="1">
        <f>IF(AND(G6&gt;=3100,G6&lt;=3500),K6,0)</f>
        <v>3344</v>
      </c>
      <c r="S6" s="1">
        <f>IF(G6&lt;3100,K6,0)</f>
        <v>0</v>
      </c>
      <c r="U6">
        <f t="shared" ref="U6:U19" si="6">IF(C6=1,1,0)</f>
        <v>0</v>
      </c>
      <c r="V6">
        <f t="shared" ref="V6:V19" si="7">IF(C6=2,1,0)</f>
        <v>1</v>
      </c>
      <c r="W6">
        <f t="shared" ref="W6:W19" si="8">IF(C6=3,1,0)</f>
        <v>0</v>
      </c>
      <c r="X6">
        <f t="shared" ref="X6:X19" si="9">IF(C6=4,1,0)</f>
        <v>0</v>
      </c>
      <c r="Y6">
        <f t="shared" ref="Y6:Y19" si="10">IF(C6=5,1,0)</f>
        <v>0</v>
      </c>
      <c r="Z6">
        <f t="shared" ref="Z6:Z19" si="11">IF(C6=6,1,0)</f>
        <v>0</v>
      </c>
      <c r="AA6">
        <f t="shared" ref="AA6:AA19" si="12">IF(C6=7,1,0)</f>
        <v>0</v>
      </c>
      <c r="AB6">
        <f t="shared" ref="AB6:AB19" si="13">IF(C6=8,1,0)</f>
        <v>0</v>
      </c>
      <c r="AC6">
        <f t="shared" ref="AC6:AC19" si="14">IF(C6=9,1,0)</f>
        <v>0</v>
      </c>
      <c r="AD6">
        <f t="shared" ref="AD6:AD19" si="15">IF(C6=10,1,0)</f>
        <v>0</v>
      </c>
      <c r="AE6">
        <f t="shared" ref="AE6:AE19" si="16">IF(C6="SILO",1,0)</f>
        <v>0</v>
      </c>
      <c r="AF6">
        <f t="shared" ref="AF6:AF19" si="17">IF(C6="CB",1,0)</f>
        <v>0</v>
      </c>
    </row>
    <row r="7" spans="1:32" x14ac:dyDescent="0.35">
      <c r="A7" s="3">
        <v>45565</v>
      </c>
      <c r="B7" s="1">
        <v>80</v>
      </c>
      <c r="C7" s="13">
        <v>3</v>
      </c>
      <c r="D7" s="1">
        <v>2</v>
      </c>
      <c r="E7" s="1" t="s">
        <v>18</v>
      </c>
      <c r="F7" s="13">
        <v>3133</v>
      </c>
      <c r="G7" s="10">
        <v>2874</v>
      </c>
      <c r="H7" s="1" t="s">
        <v>46</v>
      </c>
      <c r="I7" s="3"/>
      <c r="J7" s="1"/>
      <c r="K7" s="1">
        <f t="shared" si="0"/>
        <v>3133</v>
      </c>
      <c r="L7" s="1">
        <f t="shared" ca="1" si="1"/>
        <v>123</v>
      </c>
      <c r="M7">
        <f t="shared" si="2"/>
        <v>0</v>
      </c>
      <c r="N7">
        <f t="shared" si="3"/>
        <v>0</v>
      </c>
      <c r="O7">
        <f t="shared" si="4"/>
        <v>2874</v>
      </c>
      <c r="P7">
        <f t="shared" si="5"/>
        <v>3133</v>
      </c>
      <c r="Q7" s="1">
        <f t="shared" ref="Q7" si="18">IF(G7&gt;3500,K7,0)</f>
        <v>0</v>
      </c>
      <c r="R7" s="1">
        <f t="shared" ref="R7" si="19">IF(AND(G7&gt;=3100,G7&lt;=3500),K7,0)</f>
        <v>0</v>
      </c>
      <c r="S7" s="1">
        <f t="shared" ref="S7" si="20">IF(G7&lt;3100,K7,0)</f>
        <v>3133</v>
      </c>
      <c r="U7">
        <f t="shared" si="6"/>
        <v>0</v>
      </c>
      <c r="V7">
        <f t="shared" si="7"/>
        <v>0</v>
      </c>
      <c r="W7">
        <f t="shared" si="8"/>
        <v>1</v>
      </c>
      <c r="X7">
        <f t="shared" si="9"/>
        <v>0</v>
      </c>
      <c r="Y7">
        <f t="shared" si="10"/>
        <v>0</v>
      </c>
      <c r="Z7">
        <f t="shared" si="11"/>
        <v>0</v>
      </c>
      <c r="AA7">
        <f t="shared" si="12"/>
        <v>0</v>
      </c>
      <c r="AB7">
        <f t="shared" si="13"/>
        <v>0</v>
      </c>
      <c r="AC7">
        <f t="shared" si="14"/>
        <v>0</v>
      </c>
      <c r="AD7">
        <f t="shared" si="15"/>
        <v>0</v>
      </c>
      <c r="AE7">
        <f t="shared" si="16"/>
        <v>0</v>
      </c>
      <c r="AF7">
        <f t="shared" si="17"/>
        <v>0</v>
      </c>
    </row>
    <row r="8" spans="1:32" x14ac:dyDescent="0.35">
      <c r="A8" s="3">
        <v>45598</v>
      </c>
      <c r="B8" s="1">
        <v>86</v>
      </c>
      <c r="C8" s="1" t="s">
        <v>70</v>
      </c>
      <c r="D8" s="1">
        <v>2</v>
      </c>
      <c r="E8" s="1" t="s">
        <v>18</v>
      </c>
      <c r="F8" s="1">
        <v>3800</v>
      </c>
      <c r="G8" s="5">
        <v>3237</v>
      </c>
      <c r="H8" s="1" t="s">
        <v>46</v>
      </c>
      <c r="I8" s="3"/>
      <c r="J8" s="1"/>
      <c r="K8" s="1">
        <f t="shared" si="0"/>
        <v>3800</v>
      </c>
      <c r="L8" s="1">
        <f t="shared" ca="1" si="1"/>
        <v>90</v>
      </c>
      <c r="M8">
        <f t="shared" si="2"/>
        <v>0</v>
      </c>
      <c r="N8">
        <f t="shared" si="3"/>
        <v>0</v>
      </c>
      <c r="O8">
        <f t="shared" si="4"/>
        <v>3237</v>
      </c>
      <c r="P8">
        <f t="shared" si="5"/>
        <v>3800</v>
      </c>
      <c r="Q8" s="1">
        <f t="shared" ref="Q8:Q19" si="21">IF(G8&gt;3500,K8,0)</f>
        <v>0</v>
      </c>
      <c r="R8" s="1">
        <f t="shared" ref="R8:R19" si="22">IF(AND(G8&gt;=3100,G8&lt;=3500),K8,0)</f>
        <v>3800</v>
      </c>
      <c r="S8" s="1">
        <f t="shared" ref="S8:S19" si="23">IF(G8&lt;3100,K8,0)</f>
        <v>0</v>
      </c>
      <c r="U8">
        <f t="shared" si="6"/>
        <v>0</v>
      </c>
      <c r="V8">
        <f t="shared" si="7"/>
        <v>0</v>
      </c>
      <c r="W8">
        <f t="shared" si="8"/>
        <v>0</v>
      </c>
      <c r="X8">
        <f t="shared" si="9"/>
        <v>0</v>
      </c>
      <c r="Y8">
        <f t="shared" si="10"/>
        <v>0</v>
      </c>
      <c r="Z8">
        <f t="shared" si="11"/>
        <v>0</v>
      </c>
      <c r="AA8">
        <f t="shared" si="12"/>
        <v>0</v>
      </c>
      <c r="AB8">
        <f t="shared" si="13"/>
        <v>0</v>
      </c>
      <c r="AC8">
        <f t="shared" si="14"/>
        <v>0</v>
      </c>
      <c r="AD8">
        <f t="shared" si="15"/>
        <v>0</v>
      </c>
      <c r="AE8">
        <f t="shared" si="16"/>
        <v>1</v>
      </c>
      <c r="AF8">
        <f t="shared" si="17"/>
        <v>0</v>
      </c>
    </row>
    <row r="9" spans="1:32" x14ac:dyDescent="0.35">
      <c r="A9" s="3"/>
      <c r="B9" s="1"/>
      <c r="C9" s="1"/>
      <c r="D9" s="1"/>
      <c r="E9" s="1"/>
      <c r="F9" s="1"/>
      <c r="G9" s="5"/>
      <c r="H9" s="5"/>
      <c r="I9" s="1"/>
      <c r="J9" s="1"/>
      <c r="K9" s="1">
        <f t="shared" si="0"/>
        <v>0</v>
      </c>
      <c r="L9" s="1">
        <f ca="1">IF(F9=0,0,(TODAY()-A9))</f>
        <v>0</v>
      </c>
      <c r="M9">
        <f t="shared" si="2"/>
        <v>0</v>
      </c>
      <c r="N9">
        <f t="shared" si="3"/>
        <v>0</v>
      </c>
      <c r="O9">
        <f t="shared" si="4"/>
        <v>0</v>
      </c>
      <c r="P9">
        <f t="shared" si="5"/>
        <v>0</v>
      </c>
      <c r="Q9" s="1">
        <f t="shared" si="21"/>
        <v>0</v>
      </c>
      <c r="R9" s="1">
        <f t="shared" si="22"/>
        <v>0</v>
      </c>
      <c r="S9" s="1">
        <f t="shared" si="23"/>
        <v>0</v>
      </c>
      <c r="U9">
        <f t="shared" si="6"/>
        <v>0</v>
      </c>
      <c r="V9">
        <f t="shared" si="7"/>
        <v>0</v>
      </c>
      <c r="W9">
        <f t="shared" si="8"/>
        <v>0</v>
      </c>
      <c r="X9">
        <f t="shared" si="9"/>
        <v>0</v>
      </c>
      <c r="Y9">
        <f t="shared" si="10"/>
        <v>0</v>
      </c>
      <c r="Z9">
        <f t="shared" si="11"/>
        <v>0</v>
      </c>
      <c r="AA9">
        <f t="shared" si="12"/>
        <v>0</v>
      </c>
      <c r="AB9">
        <f t="shared" si="13"/>
        <v>0</v>
      </c>
      <c r="AC9">
        <f t="shared" si="14"/>
        <v>0</v>
      </c>
      <c r="AD9">
        <f t="shared" si="15"/>
        <v>0</v>
      </c>
      <c r="AE9">
        <f t="shared" si="16"/>
        <v>0</v>
      </c>
      <c r="AF9">
        <f t="shared" si="17"/>
        <v>0</v>
      </c>
    </row>
    <row r="10" spans="1:32" x14ac:dyDescent="0.35">
      <c r="A10" s="3"/>
      <c r="B10" s="1"/>
      <c r="C10" s="1"/>
      <c r="D10" s="1"/>
      <c r="E10" s="1"/>
      <c r="F10" s="1"/>
      <c r="G10" s="5"/>
      <c r="H10" s="5"/>
      <c r="I10" s="1"/>
      <c r="J10" s="1"/>
      <c r="K10" s="1">
        <f t="shared" si="0"/>
        <v>0</v>
      </c>
      <c r="L10" s="1">
        <f t="shared" ref="L10:L19" ca="1" si="24">IF(F10=0,0,(TODAY()-A10))</f>
        <v>0</v>
      </c>
      <c r="M10">
        <f t="shared" si="2"/>
        <v>0</v>
      </c>
      <c r="N10">
        <f t="shared" si="3"/>
        <v>0</v>
      </c>
      <c r="O10">
        <f t="shared" si="4"/>
        <v>0</v>
      </c>
      <c r="P10">
        <f t="shared" si="5"/>
        <v>0</v>
      </c>
      <c r="Q10" s="1">
        <f t="shared" si="21"/>
        <v>0</v>
      </c>
      <c r="R10" s="1">
        <f t="shared" si="22"/>
        <v>0</v>
      </c>
      <c r="S10" s="1">
        <f t="shared" si="23"/>
        <v>0</v>
      </c>
      <c r="U10">
        <f t="shared" si="6"/>
        <v>0</v>
      </c>
      <c r="V10">
        <f t="shared" si="7"/>
        <v>0</v>
      </c>
      <c r="W10">
        <f t="shared" si="8"/>
        <v>0</v>
      </c>
      <c r="X10">
        <f t="shared" si="9"/>
        <v>0</v>
      </c>
      <c r="Y10">
        <f t="shared" si="10"/>
        <v>0</v>
      </c>
      <c r="Z10">
        <f t="shared" si="11"/>
        <v>0</v>
      </c>
      <c r="AA10">
        <f t="shared" si="12"/>
        <v>0</v>
      </c>
      <c r="AB10">
        <f t="shared" si="13"/>
        <v>0</v>
      </c>
      <c r="AC10">
        <f t="shared" si="14"/>
        <v>0</v>
      </c>
      <c r="AD10">
        <f t="shared" si="15"/>
        <v>0</v>
      </c>
      <c r="AE10">
        <f t="shared" si="16"/>
        <v>0</v>
      </c>
      <c r="AF10">
        <f t="shared" si="17"/>
        <v>0</v>
      </c>
    </row>
    <row r="11" spans="1:32" x14ac:dyDescent="0.35">
      <c r="A11" s="3"/>
      <c r="B11" s="1"/>
      <c r="C11" s="1"/>
      <c r="D11" s="1"/>
      <c r="E11" s="1"/>
      <c r="F11" s="1"/>
      <c r="G11" s="5"/>
      <c r="H11" s="5"/>
      <c r="I11" s="1"/>
      <c r="J11" s="1"/>
      <c r="K11" s="1">
        <f t="shared" si="0"/>
        <v>0</v>
      </c>
      <c r="L11" s="1">
        <f t="shared" ca="1" si="24"/>
        <v>0</v>
      </c>
      <c r="M11">
        <f t="shared" si="2"/>
        <v>0</v>
      </c>
      <c r="N11">
        <f t="shared" si="3"/>
        <v>0</v>
      </c>
      <c r="O11">
        <f t="shared" si="4"/>
        <v>0</v>
      </c>
      <c r="P11">
        <f t="shared" si="5"/>
        <v>0</v>
      </c>
      <c r="Q11" s="1">
        <f t="shared" si="21"/>
        <v>0</v>
      </c>
      <c r="R11" s="1">
        <f t="shared" si="22"/>
        <v>0</v>
      </c>
      <c r="S11" s="1">
        <f t="shared" si="23"/>
        <v>0</v>
      </c>
      <c r="U11">
        <f t="shared" si="6"/>
        <v>0</v>
      </c>
      <c r="V11">
        <f t="shared" si="7"/>
        <v>0</v>
      </c>
      <c r="W11">
        <f t="shared" si="8"/>
        <v>0</v>
      </c>
      <c r="X11">
        <f t="shared" si="9"/>
        <v>0</v>
      </c>
      <c r="Y11">
        <f t="shared" si="10"/>
        <v>0</v>
      </c>
      <c r="Z11">
        <f t="shared" si="11"/>
        <v>0</v>
      </c>
      <c r="AA11">
        <f t="shared" si="12"/>
        <v>0</v>
      </c>
      <c r="AB11">
        <f t="shared" si="13"/>
        <v>0</v>
      </c>
      <c r="AC11">
        <f t="shared" si="14"/>
        <v>0</v>
      </c>
      <c r="AD11">
        <f t="shared" si="15"/>
        <v>0</v>
      </c>
      <c r="AE11">
        <f t="shared" si="16"/>
        <v>0</v>
      </c>
      <c r="AF11">
        <f t="shared" si="17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5"/>
      <c r="I12" s="1"/>
      <c r="J12" s="1"/>
      <c r="K12" s="1">
        <f t="shared" ref="K12:K16" si="25">F12-J12</f>
        <v>0</v>
      </c>
      <c r="L12" s="1">
        <f t="shared" ca="1" si="24"/>
        <v>0</v>
      </c>
      <c r="M12">
        <f t="shared" ref="M12:M16" si="26">IF(E12="T",G12,0)</f>
        <v>0</v>
      </c>
      <c r="N12">
        <f t="shared" ref="N12:N16" si="27">IF(E12="T",K12,0)</f>
        <v>0</v>
      </c>
      <c r="O12">
        <f t="shared" ref="O12:O16" si="28">IF(E12="B",G12,0)</f>
        <v>0</v>
      </c>
      <c r="P12">
        <f t="shared" ref="P12:P16" si="29">IF(E12="B",K12,0)</f>
        <v>0</v>
      </c>
      <c r="Q12" s="1">
        <f t="shared" si="21"/>
        <v>0</v>
      </c>
      <c r="R12" s="1">
        <f t="shared" si="22"/>
        <v>0</v>
      </c>
      <c r="S12" s="1">
        <f t="shared" si="23"/>
        <v>0</v>
      </c>
      <c r="U12">
        <f t="shared" ref="U12:U16" si="30">IF(C12=1,1,0)</f>
        <v>0</v>
      </c>
      <c r="V12">
        <f t="shared" ref="V12:V16" si="31">IF(C12=2,1,0)</f>
        <v>0</v>
      </c>
      <c r="W12">
        <f t="shared" ref="W12:W16" si="32">IF(C12=3,1,0)</f>
        <v>0</v>
      </c>
      <c r="X12">
        <f t="shared" ref="X12:X16" si="33">IF(C12=4,1,0)</f>
        <v>0</v>
      </c>
      <c r="Y12">
        <f t="shared" ref="Y12:Y16" si="34">IF(C12=5,1,0)</f>
        <v>0</v>
      </c>
      <c r="Z12">
        <f t="shared" ref="Z12:Z16" si="35">IF(C12=6,1,0)</f>
        <v>0</v>
      </c>
      <c r="AA12">
        <f t="shared" ref="AA12:AA16" si="36">IF(C12=7,1,0)</f>
        <v>0</v>
      </c>
      <c r="AB12">
        <f t="shared" ref="AB12:AB16" si="37">IF(C12=8,1,0)</f>
        <v>0</v>
      </c>
      <c r="AC12">
        <f t="shared" ref="AC12:AC16" si="38">IF(C12=9,1,0)</f>
        <v>0</v>
      </c>
      <c r="AD12">
        <f t="shared" ref="AD12:AD16" si="39">IF(C12=10,1,0)</f>
        <v>0</v>
      </c>
      <c r="AE12">
        <f t="shared" ref="AE12:AE16" si="40">IF(C12="SILO",1,0)</f>
        <v>0</v>
      </c>
      <c r="AF12">
        <f t="shared" ref="AF12:AF16" si="41">IF(C12="CB",1,0)</f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5"/>
      <c r="I13" s="3"/>
      <c r="J13" s="1"/>
      <c r="K13" s="1">
        <f t="shared" si="25"/>
        <v>0</v>
      </c>
      <c r="L13" s="1">
        <f t="shared" ca="1" si="24"/>
        <v>0</v>
      </c>
      <c r="M13">
        <f t="shared" si="26"/>
        <v>0</v>
      </c>
      <c r="N13">
        <f t="shared" si="27"/>
        <v>0</v>
      </c>
      <c r="O13">
        <f t="shared" si="28"/>
        <v>0</v>
      </c>
      <c r="P13">
        <f t="shared" si="29"/>
        <v>0</v>
      </c>
      <c r="Q13" s="1">
        <f t="shared" si="21"/>
        <v>0</v>
      </c>
      <c r="R13" s="1">
        <f t="shared" si="22"/>
        <v>0</v>
      </c>
      <c r="S13" s="1">
        <f t="shared" si="23"/>
        <v>0</v>
      </c>
      <c r="U13">
        <f t="shared" si="30"/>
        <v>0</v>
      </c>
      <c r="V13">
        <f t="shared" si="31"/>
        <v>0</v>
      </c>
      <c r="W13">
        <f t="shared" si="32"/>
        <v>0</v>
      </c>
      <c r="X13">
        <f t="shared" si="33"/>
        <v>0</v>
      </c>
      <c r="Y13">
        <f t="shared" si="34"/>
        <v>0</v>
      </c>
      <c r="Z13">
        <f t="shared" si="35"/>
        <v>0</v>
      </c>
      <c r="AA13">
        <f t="shared" si="36"/>
        <v>0</v>
      </c>
      <c r="AB13">
        <f t="shared" si="37"/>
        <v>0</v>
      </c>
      <c r="AC13">
        <f t="shared" si="38"/>
        <v>0</v>
      </c>
      <c r="AD13">
        <f t="shared" si="39"/>
        <v>0</v>
      </c>
      <c r="AE13">
        <f t="shared" si="40"/>
        <v>0</v>
      </c>
      <c r="AF13">
        <f t="shared" si="41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25"/>
        <v>0</v>
      </c>
      <c r="L14" s="1">
        <f ca="1">IF(F14=0,0,(TODAY()-A14))</f>
        <v>0</v>
      </c>
      <c r="M14">
        <f t="shared" si="26"/>
        <v>0</v>
      </c>
      <c r="N14">
        <f t="shared" si="27"/>
        <v>0</v>
      </c>
      <c r="O14">
        <f t="shared" si="28"/>
        <v>0</v>
      </c>
      <c r="P14">
        <f t="shared" si="29"/>
        <v>0</v>
      </c>
      <c r="Q14" s="1">
        <f t="shared" si="21"/>
        <v>0</v>
      </c>
      <c r="R14" s="1">
        <f t="shared" si="22"/>
        <v>0</v>
      </c>
      <c r="S14" s="1">
        <f t="shared" si="23"/>
        <v>0</v>
      </c>
      <c r="U14">
        <f t="shared" si="30"/>
        <v>0</v>
      </c>
      <c r="V14">
        <f t="shared" si="31"/>
        <v>0</v>
      </c>
      <c r="W14">
        <f t="shared" si="32"/>
        <v>0</v>
      </c>
      <c r="X14">
        <f t="shared" si="33"/>
        <v>0</v>
      </c>
      <c r="Y14">
        <f t="shared" si="34"/>
        <v>0</v>
      </c>
      <c r="Z14">
        <f t="shared" si="35"/>
        <v>0</v>
      </c>
      <c r="AA14">
        <f t="shared" si="36"/>
        <v>0</v>
      </c>
      <c r="AB14">
        <f t="shared" si="37"/>
        <v>0</v>
      </c>
      <c r="AC14">
        <f t="shared" si="38"/>
        <v>0</v>
      </c>
      <c r="AD14">
        <f t="shared" si="39"/>
        <v>0</v>
      </c>
      <c r="AE14">
        <f t="shared" si="40"/>
        <v>0</v>
      </c>
      <c r="AF14">
        <f t="shared" si="41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si="25"/>
        <v>0</v>
      </c>
      <c r="L15" s="1">
        <f t="shared" ref="L15:L16" ca="1" si="42">IF(F15=0,0,(TODAY()-A15))</f>
        <v>0</v>
      </c>
      <c r="M15">
        <f t="shared" si="26"/>
        <v>0</v>
      </c>
      <c r="N15">
        <f t="shared" si="27"/>
        <v>0</v>
      </c>
      <c r="O15">
        <f t="shared" si="28"/>
        <v>0</v>
      </c>
      <c r="P15">
        <f t="shared" si="29"/>
        <v>0</v>
      </c>
      <c r="Q15" s="1">
        <f t="shared" si="21"/>
        <v>0</v>
      </c>
      <c r="R15" s="1">
        <f t="shared" si="22"/>
        <v>0</v>
      </c>
      <c r="S15" s="1">
        <f t="shared" si="23"/>
        <v>0</v>
      </c>
      <c r="U15">
        <f t="shared" si="30"/>
        <v>0</v>
      </c>
      <c r="V15">
        <f t="shared" si="31"/>
        <v>0</v>
      </c>
      <c r="W15">
        <f t="shared" si="32"/>
        <v>0</v>
      </c>
      <c r="X15">
        <f t="shared" si="33"/>
        <v>0</v>
      </c>
      <c r="Y15">
        <f t="shared" si="34"/>
        <v>0</v>
      </c>
      <c r="Z15">
        <f t="shared" si="35"/>
        <v>0</v>
      </c>
      <c r="AA15">
        <f t="shared" si="36"/>
        <v>0</v>
      </c>
      <c r="AB15">
        <f t="shared" si="37"/>
        <v>0</v>
      </c>
      <c r="AC15">
        <f t="shared" si="38"/>
        <v>0</v>
      </c>
      <c r="AD15">
        <f t="shared" si="39"/>
        <v>0</v>
      </c>
      <c r="AE15">
        <f t="shared" si="40"/>
        <v>0</v>
      </c>
      <c r="AF15">
        <f t="shared" si="41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1"/>
      <c r="J16" s="1"/>
      <c r="K16" s="1">
        <f t="shared" si="25"/>
        <v>0</v>
      </c>
      <c r="L16" s="1">
        <f t="shared" ca="1" si="42"/>
        <v>0</v>
      </c>
      <c r="M16">
        <f t="shared" si="26"/>
        <v>0</v>
      </c>
      <c r="N16">
        <f t="shared" si="27"/>
        <v>0</v>
      </c>
      <c r="O16">
        <f t="shared" si="28"/>
        <v>0</v>
      </c>
      <c r="P16">
        <f t="shared" si="29"/>
        <v>0</v>
      </c>
      <c r="Q16" s="1">
        <f t="shared" si="21"/>
        <v>0</v>
      </c>
      <c r="R16" s="1">
        <f t="shared" si="22"/>
        <v>0</v>
      </c>
      <c r="S16" s="1">
        <f t="shared" si="23"/>
        <v>0</v>
      </c>
      <c r="U16">
        <f t="shared" si="30"/>
        <v>0</v>
      </c>
      <c r="V16">
        <f t="shared" si="31"/>
        <v>0</v>
      </c>
      <c r="W16">
        <f t="shared" si="32"/>
        <v>0</v>
      </c>
      <c r="X16">
        <f t="shared" si="33"/>
        <v>0</v>
      </c>
      <c r="Y16">
        <f t="shared" si="34"/>
        <v>0</v>
      </c>
      <c r="Z16">
        <f t="shared" si="35"/>
        <v>0</v>
      </c>
      <c r="AA16">
        <f t="shared" si="36"/>
        <v>0</v>
      </c>
      <c r="AB16">
        <f t="shared" si="37"/>
        <v>0</v>
      </c>
      <c r="AC16">
        <f t="shared" si="38"/>
        <v>0</v>
      </c>
      <c r="AD16">
        <f t="shared" si="39"/>
        <v>0</v>
      </c>
      <c r="AE16">
        <f t="shared" si="40"/>
        <v>0</v>
      </c>
      <c r="AF16">
        <f t="shared" si="41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si="0"/>
        <v>0</v>
      </c>
      <c r="L17" s="1">
        <f t="shared" ca="1" si="24"/>
        <v>0</v>
      </c>
      <c r="M17">
        <f t="shared" si="2"/>
        <v>0</v>
      </c>
      <c r="N17">
        <f t="shared" si="3"/>
        <v>0</v>
      </c>
      <c r="O17">
        <f t="shared" si="4"/>
        <v>0</v>
      </c>
      <c r="P17">
        <f t="shared" si="5"/>
        <v>0</v>
      </c>
      <c r="Q17" s="1">
        <f t="shared" si="21"/>
        <v>0</v>
      </c>
      <c r="R17" s="1">
        <f t="shared" si="22"/>
        <v>0</v>
      </c>
      <c r="S17" s="1">
        <f t="shared" si="23"/>
        <v>0</v>
      </c>
      <c r="U17">
        <f t="shared" si="6"/>
        <v>0</v>
      </c>
      <c r="V17">
        <f t="shared" si="7"/>
        <v>0</v>
      </c>
      <c r="W17">
        <f t="shared" si="8"/>
        <v>0</v>
      </c>
      <c r="X17">
        <f t="shared" si="9"/>
        <v>0</v>
      </c>
      <c r="Y17">
        <f t="shared" si="10"/>
        <v>0</v>
      </c>
      <c r="Z17">
        <f t="shared" si="11"/>
        <v>0</v>
      </c>
      <c r="AA17">
        <f t="shared" si="12"/>
        <v>0</v>
      </c>
      <c r="AB17">
        <f t="shared" si="13"/>
        <v>0</v>
      </c>
      <c r="AC17">
        <f t="shared" si="14"/>
        <v>0</v>
      </c>
      <c r="AD17">
        <f t="shared" si="15"/>
        <v>0</v>
      </c>
      <c r="AE17">
        <f t="shared" si="16"/>
        <v>0</v>
      </c>
      <c r="AF17">
        <f t="shared" si="17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0"/>
        <v>0</v>
      </c>
      <c r="L18" s="1">
        <f t="shared" ca="1" si="24"/>
        <v>0</v>
      </c>
      <c r="M18">
        <f t="shared" si="2"/>
        <v>0</v>
      </c>
      <c r="N18">
        <f t="shared" si="3"/>
        <v>0</v>
      </c>
      <c r="O18">
        <f t="shared" si="4"/>
        <v>0</v>
      </c>
      <c r="P18">
        <f t="shared" si="5"/>
        <v>0</v>
      </c>
      <c r="Q18" s="1">
        <f t="shared" si="21"/>
        <v>0</v>
      </c>
      <c r="R18" s="1">
        <f t="shared" si="22"/>
        <v>0</v>
      </c>
      <c r="S18" s="1">
        <f t="shared" si="23"/>
        <v>0</v>
      </c>
      <c r="U18">
        <f t="shared" si="6"/>
        <v>0</v>
      </c>
      <c r="V18">
        <f t="shared" si="7"/>
        <v>0</v>
      </c>
      <c r="W18">
        <f t="shared" si="8"/>
        <v>0</v>
      </c>
      <c r="X18">
        <f t="shared" si="9"/>
        <v>0</v>
      </c>
      <c r="Y18">
        <f t="shared" si="10"/>
        <v>0</v>
      </c>
      <c r="Z18">
        <f t="shared" si="11"/>
        <v>0</v>
      </c>
      <c r="AA18">
        <f t="shared" si="12"/>
        <v>0</v>
      </c>
      <c r="AB18">
        <f t="shared" si="13"/>
        <v>0</v>
      </c>
      <c r="AC18">
        <f t="shared" si="14"/>
        <v>0</v>
      </c>
      <c r="AD18">
        <f t="shared" si="15"/>
        <v>0</v>
      </c>
      <c r="AE18">
        <f t="shared" si="16"/>
        <v>0</v>
      </c>
      <c r="AF18">
        <f t="shared" si="17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si="0"/>
        <v>0</v>
      </c>
      <c r="L19" s="1">
        <f t="shared" ca="1" si="24"/>
        <v>0</v>
      </c>
      <c r="M19">
        <f t="shared" si="2"/>
        <v>0</v>
      </c>
      <c r="N19">
        <f t="shared" si="3"/>
        <v>0</v>
      </c>
      <c r="O19">
        <f t="shared" si="4"/>
        <v>0</v>
      </c>
      <c r="P19">
        <f t="shared" si="5"/>
        <v>0</v>
      </c>
      <c r="Q19" s="1">
        <f t="shared" si="21"/>
        <v>0</v>
      </c>
      <c r="R19" s="1">
        <f t="shared" si="22"/>
        <v>0</v>
      </c>
      <c r="S19" s="1">
        <f t="shared" si="23"/>
        <v>0</v>
      </c>
      <c r="U19">
        <f t="shared" si="6"/>
        <v>0</v>
      </c>
      <c r="V19">
        <f t="shared" si="7"/>
        <v>0</v>
      </c>
      <c r="W19">
        <f t="shared" si="8"/>
        <v>0</v>
      </c>
      <c r="X19">
        <f t="shared" si="9"/>
        <v>0</v>
      </c>
      <c r="Y19">
        <f t="shared" si="10"/>
        <v>0</v>
      </c>
      <c r="Z19">
        <f t="shared" si="11"/>
        <v>0</v>
      </c>
      <c r="AA19">
        <f t="shared" si="12"/>
        <v>0</v>
      </c>
      <c r="AB19">
        <f t="shared" si="13"/>
        <v>0</v>
      </c>
      <c r="AC19">
        <f t="shared" si="14"/>
        <v>0</v>
      </c>
      <c r="AD19">
        <f t="shared" si="15"/>
        <v>0</v>
      </c>
      <c r="AE19">
        <f t="shared" si="16"/>
        <v>0</v>
      </c>
      <c r="AF19">
        <f t="shared" si="17"/>
        <v>0</v>
      </c>
    </row>
    <row r="20" spans="1:32" x14ac:dyDescent="0.35">
      <c r="A20" s="6"/>
      <c r="B20" s="7"/>
      <c r="C20" s="7"/>
      <c r="D20" s="7"/>
      <c r="E20" s="7"/>
      <c r="F20" s="7">
        <f>SUM(F6:F19)</f>
        <v>10277</v>
      </c>
      <c r="G20" s="4"/>
      <c r="H20" s="4"/>
      <c r="I20" s="7"/>
      <c r="J20" s="8" t="s">
        <v>20</v>
      </c>
      <c r="K20" s="1">
        <f>SUM(K6:K19)</f>
        <v>10277</v>
      </c>
      <c r="L20" s="26">
        <f>IF(U$20&gt;=1,1,0)</f>
        <v>0</v>
      </c>
      <c r="N20">
        <f t="shared" si="3"/>
        <v>0</v>
      </c>
      <c r="P20">
        <f t="shared" si="5"/>
        <v>0</v>
      </c>
      <c r="U20">
        <f t="shared" ref="U20:AF20" si="43">SUM(U6:U19)</f>
        <v>0</v>
      </c>
      <c r="V20">
        <f t="shared" si="43"/>
        <v>1</v>
      </c>
      <c r="W20">
        <f t="shared" si="43"/>
        <v>1</v>
      </c>
      <c r="X20">
        <f t="shared" si="43"/>
        <v>0</v>
      </c>
      <c r="Y20">
        <f t="shared" si="43"/>
        <v>0</v>
      </c>
      <c r="Z20">
        <f t="shared" si="43"/>
        <v>0</v>
      </c>
      <c r="AA20">
        <f t="shared" si="43"/>
        <v>0</v>
      </c>
      <c r="AB20">
        <f t="shared" si="43"/>
        <v>0</v>
      </c>
      <c r="AC20">
        <f t="shared" si="43"/>
        <v>0</v>
      </c>
      <c r="AD20">
        <f t="shared" si="43"/>
        <v>0</v>
      </c>
      <c r="AE20">
        <f t="shared" si="43"/>
        <v>1</v>
      </c>
      <c r="AF20">
        <f t="shared" si="43"/>
        <v>0</v>
      </c>
    </row>
    <row r="21" spans="1:32" x14ac:dyDescent="0.35">
      <c r="J21" s="8" t="s">
        <v>21</v>
      </c>
      <c r="K21" s="5">
        <f>SUMPRODUCT(K6:K19,G6:G19)/SUM(K6:K19)</f>
        <v>3090.8702928870293</v>
      </c>
      <c r="L21" s="26">
        <f>IF(V$20&gt;=1,1,0)</f>
        <v>1</v>
      </c>
    </row>
    <row r="22" spans="1:32" x14ac:dyDescent="0.35">
      <c r="J22" s="8" t="s">
        <v>11</v>
      </c>
      <c r="K22" s="5" t="e">
        <f>SUMPRODUCT(M6:M19,N6:N19)/SUM(N6:N19)</f>
        <v>#DIV/0!</v>
      </c>
      <c r="L22" s="26">
        <f>IF(W$20&gt;=1,1,0)</f>
        <v>1</v>
      </c>
    </row>
    <row r="23" spans="1:32" x14ac:dyDescent="0.35">
      <c r="J23" s="8" t="s">
        <v>12</v>
      </c>
      <c r="K23" s="5">
        <f>SUM(N6:N19)</f>
        <v>0</v>
      </c>
      <c r="L23" s="26">
        <f>IF(X$20&gt;=1,1,0)</f>
        <v>0</v>
      </c>
    </row>
    <row r="24" spans="1:32" x14ac:dyDescent="0.35">
      <c r="J24" s="8" t="s">
        <v>22</v>
      </c>
      <c r="K24" s="5">
        <f>SUMPRODUCT(O6:O19,P6:P19)/SUM(P6:P19)</f>
        <v>3090.8702928870293</v>
      </c>
      <c r="L24" s="26">
        <f>IF(Y$20&gt;=1,1,0)</f>
        <v>0</v>
      </c>
    </row>
    <row r="25" spans="1:32" x14ac:dyDescent="0.35">
      <c r="J25" s="8" t="s">
        <v>23</v>
      </c>
      <c r="K25" s="5">
        <f>SUM(P6:P19)</f>
        <v>10277</v>
      </c>
      <c r="L25" s="26">
        <f>IF(Z$20&gt;=1,1,0)</f>
        <v>0</v>
      </c>
    </row>
    <row r="26" spans="1:32" x14ac:dyDescent="0.35">
      <c r="J26" s="8" t="s">
        <v>24</v>
      </c>
      <c r="K26" s="1">
        <f ca="1">MAX(L6:L19)</f>
        <v>133</v>
      </c>
      <c r="L26" s="26">
        <f>IF(AA$20&gt;=1,1,0)</f>
        <v>0</v>
      </c>
    </row>
    <row r="27" spans="1:32" x14ac:dyDescent="0.35">
      <c r="J27" s="8" t="s">
        <v>25</v>
      </c>
      <c r="K27" s="9">
        <f ca="1">AVERAGEIF((L6:L19),"&gt;0")</f>
        <v>115.33333333333333</v>
      </c>
      <c r="L27" s="26">
        <f>IF(AB$20&gt;=1,1,0)</f>
        <v>0</v>
      </c>
    </row>
    <row r="28" spans="1:32" x14ac:dyDescent="0.35">
      <c r="J28" s="8" t="s">
        <v>528</v>
      </c>
      <c r="K28" s="1">
        <f>SUM(Q6:Q19)</f>
        <v>0</v>
      </c>
      <c r="L28" s="26">
        <f>IF(AC$20&gt;=1,1,0)</f>
        <v>0</v>
      </c>
    </row>
    <row r="29" spans="1:32" x14ac:dyDescent="0.35">
      <c r="J29" s="8" t="s">
        <v>527</v>
      </c>
      <c r="K29" s="1">
        <f>SUM(R6:R19)</f>
        <v>7144</v>
      </c>
      <c r="L29" s="26">
        <f>IF(AD$20&gt;=1,1,0)</f>
        <v>0</v>
      </c>
    </row>
    <row r="30" spans="1:32" x14ac:dyDescent="0.35">
      <c r="J30" s="8" t="s">
        <v>526</v>
      </c>
      <c r="K30" s="1">
        <f>SUM(S6:S19)</f>
        <v>3133</v>
      </c>
      <c r="L30" s="26">
        <f>IF(AE$20&gt;=1,1,0)</f>
        <v>1</v>
      </c>
    </row>
    <row r="31" spans="1:32" x14ac:dyDescent="0.35">
      <c r="L31" s="26">
        <f>IF(AF$20&gt;=1,1,0)</f>
        <v>0</v>
      </c>
    </row>
  </sheetData>
  <conditionalFormatting sqref="G6:H20">
    <cfRule type="cellIs" dxfId="307" priority="1" operator="between">
      <formula>2500</formula>
      <formula>2000</formula>
    </cfRule>
    <cfRule type="cellIs" dxfId="306" priority="2" operator="between">
      <formula>2500</formula>
      <formula>3000</formula>
    </cfRule>
    <cfRule type="cellIs" dxfId="305" priority="3" operator="between">
      <formula>3000</formula>
      <formula>3200</formula>
    </cfRule>
    <cfRule type="cellIs" dxfId="304" priority="4" operator="greaterThan">
      <formula>3600</formula>
    </cfRule>
    <cfRule type="cellIs" dxfId="303" priority="5" operator="between">
      <formula>3200</formula>
      <formula>3600</formula>
    </cfRule>
  </conditionalFormatting>
  <conditionalFormatting sqref="K22">
    <cfRule type="cellIs" dxfId="302" priority="114" operator="lessThan">
      <formula>2500</formula>
    </cfRule>
    <cfRule type="cellIs" dxfId="301" priority="115" operator="between">
      <formula>2500</formula>
      <formula>3000</formula>
    </cfRule>
    <cfRule type="cellIs" dxfId="300" priority="116" operator="between">
      <formula>3000</formula>
      <formula>3200</formula>
    </cfRule>
    <cfRule type="cellIs" dxfId="299" priority="117" operator="greaterThan">
      <formula>3600</formula>
    </cfRule>
    <cfRule type="cellIs" dxfId="298" priority="118" operator="between">
      <formula>3200</formula>
      <formula>3600</formula>
    </cfRule>
  </conditionalFormatting>
  <conditionalFormatting sqref="K24">
    <cfRule type="cellIs" dxfId="297" priority="109" operator="lessThan">
      <formula>2500</formula>
    </cfRule>
    <cfRule type="cellIs" dxfId="296" priority="110" operator="between">
      <formula>2500</formula>
      <formula>3000</formula>
    </cfRule>
    <cfRule type="cellIs" dxfId="295" priority="111" operator="between">
      <formula>3000</formula>
      <formula>3200</formula>
    </cfRule>
    <cfRule type="cellIs" dxfId="294" priority="112" operator="greaterThan">
      <formula>3600</formula>
    </cfRule>
    <cfRule type="cellIs" dxfId="293" priority="113" operator="between">
      <formula>3200</formula>
      <formula>3600</formula>
    </cfRule>
  </conditionalFormatting>
  <conditionalFormatting sqref="L6:L31">
    <cfRule type="cellIs" dxfId="292" priority="91" operator="greaterThan">
      <formula>10</formula>
    </cfRule>
  </conditionalFormatting>
  <hyperlinks>
    <hyperlink ref="A3" location="'summery '!A1" display="summery " xr:uid="{00000000-0004-0000-0B00-000000000000}"/>
  </hyperlink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AF34"/>
  <sheetViews>
    <sheetView zoomScale="78" zoomScaleNormal="44" workbookViewId="0">
      <selection activeCell="E24" sqref="E24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3.81640625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6" width="9.1796875" customWidth="1"/>
    <col min="17" max="17" width="18.54296875" customWidth="1"/>
    <col min="18" max="18" width="19.81640625" customWidth="1"/>
    <col min="19" max="19" width="17" customWidth="1"/>
    <col min="20" max="32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1" t="s">
        <v>15</v>
      </c>
      <c r="R5" s="1" t="s">
        <v>16</v>
      </c>
      <c r="S5" s="1" t="s">
        <v>17</v>
      </c>
    </row>
    <row r="6" spans="1:32" ht="15.5" x14ac:dyDescent="0.35">
      <c r="A6" s="3">
        <v>45552</v>
      </c>
      <c r="B6" s="1">
        <v>45</v>
      </c>
      <c r="C6" s="1">
        <v>5</v>
      </c>
      <c r="D6" s="1">
        <v>2</v>
      </c>
      <c r="E6" s="1" t="s">
        <v>18</v>
      </c>
      <c r="F6" s="1">
        <v>3836</v>
      </c>
      <c r="G6" s="19">
        <v>3127.2653083974292</v>
      </c>
      <c r="H6" s="1" t="s">
        <v>46</v>
      </c>
      <c r="I6" s="3"/>
      <c r="J6" s="1"/>
      <c r="K6" s="1">
        <f>F6-J6</f>
        <v>3836</v>
      </c>
      <c r="L6" s="1">
        <f t="shared" ref="L6:L11" ca="1" si="0">IF(F6=0,0,(TODAY()-A6))</f>
        <v>136</v>
      </c>
      <c r="M6">
        <f>IF(E6="T",G6,0)</f>
        <v>0</v>
      </c>
      <c r="N6">
        <f>IF(E6="T",K6,0)</f>
        <v>0</v>
      </c>
      <c r="O6">
        <f>IF(E6="B",G6,0)</f>
        <v>3127.2653083974292</v>
      </c>
      <c r="P6">
        <f>IF(E6="B",K6,0)</f>
        <v>3836</v>
      </c>
      <c r="Q6" s="1">
        <f>IF(G6&gt;3500,K6,0)</f>
        <v>0</v>
      </c>
      <c r="R6" s="1">
        <f>IF(AND(G6&gt;=3100,G6&lt;=3500),K6,0)</f>
        <v>3836</v>
      </c>
      <c r="S6" s="1">
        <f>IF(G6&lt;3100,K6,0)</f>
        <v>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1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ht="15.5" x14ac:dyDescent="0.35">
      <c r="A7" s="3">
        <v>45553</v>
      </c>
      <c r="B7" s="1">
        <v>47</v>
      </c>
      <c r="C7" s="1">
        <v>5</v>
      </c>
      <c r="D7" s="1">
        <v>2</v>
      </c>
      <c r="E7" s="1" t="s">
        <v>18</v>
      </c>
      <c r="F7" s="1">
        <v>3540</v>
      </c>
      <c r="G7" s="19">
        <v>2908.9609223240318</v>
      </c>
      <c r="H7" s="1" t="s">
        <v>46</v>
      </c>
      <c r="I7" s="3"/>
      <c r="J7" s="1"/>
      <c r="K7" s="1">
        <f t="shared" ref="K7:K22" si="1">F7-J7</f>
        <v>3540</v>
      </c>
      <c r="L7" s="1">
        <f t="shared" ca="1" si="0"/>
        <v>135</v>
      </c>
      <c r="M7">
        <f t="shared" ref="M7:M22" si="2">IF(E7="T",G7,0)</f>
        <v>0</v>
      </c>
      <c r="N7">
        <f t="shared" ref="N7:N23" si="3">IF(E7="T",K7,0)</f>
        <v>0</v>
      </c>
      <c r="O7">
        <f t="shared" ref="O7:O22" si="4">IF(E7="B",G7,0)</f>
        <v>2908.9609223240318</v>
      </c>
      <c r="P7">
        <f t="shared" ref="P7:P23" si="5">IF(E7="B",K7,0)</f>
        <v>3540</v>
      </c>
      <c r="Q7" s="1">
        <f t="shared" ref="Q7:Q8" si="6">IF(G7&gt;3500,K7,0)</f>
        <v>0</v>
      </c>
      <c r="R7" s="1">
        <f t="shared" ref="R7:R8" si="7">IF(AND(G7&gt;=3100,G7&lt;=3500),K7,0)</f>
        <v>0</v>
      </c>
      <c r="S7" s="1">
        <f t="shared" ref="S7:S8" si="8">IF(G7&lt;3100,K7,0)</f>
        <v>3540</v>
      </c>
      <c r="U7">
        <f t="shared" ref="U7:U22" si="9">IF(C7=1,1,0)</f>
        <v>0</v>
      </c>
      <c r="V7">
        <f t="shared" ref="V7:V22" si="10">IF(C7=2,1,0)</f>
        <v>0</v>
      </c>
      <c r="W7">
        <f t="shared" ref="W7:W22" si="11">IF(C7=3,1,0)</f>
        <v>0</v>
      </c>
      <c r="X7">
        <f t="shared" ref="X7:X22" si="12">IF(C7=4,1,0)</f>
        <v>0</v>
      </c>
      <c r="Y7">
        <f t="shared" ref="Y7:Y22" si="13">IF(C7=5,1,0)</f>
        <v>1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0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0</v>
      </c>
      <c r="AF7">
        <f t="shared" ref="AF7:AF22" si="20">IF(C7="CB",1,0)</f>
        <v>0</v>
      </c>
    </row>
    <row r="8" spans="1:32" x14ac:dyDescent="0.35">
      <c r="A8" s="3">
        <v>45553</v>
      </c>
      <c r="B8" s="1">
        <v>48</v>
      </c>
      <c r="C8" s="1">
        <v>5</v>
      </c>
      <c r="D8" s="1">
        <v>2</v>
      </c>
      <c r="E8" s="1" t="s">
        <v>19</v>
      </c>
      <c r="F8" s="1">
        <v>3032</v>
      </c>
      <c r="G8" s="5">
        <v>3173</v>
      </c>
      <c r="H8" s="1" t="s">
        <v>46</v>
      </c>
      <c r="I8" s="3"/>
      <c r="J8" s="1"/>
      <c r="K8" s="1">
        <f t="shared" si="1"/>
        <v>3032</v>
      </c>
      <c r="L8" s="1">
        <f t="shared" ca="1" si="0"/>
        <v>135</v>
      </c>
      <c r="M8">
        <f t="shared" si="2"/>
        <v>3173</v>
      </c>
      <c r="N8">
        <f t="shared" si="3"/>
        <v>3032</v>
      </c>
      <c r="O8">
        <f t="shared" si="4"/>
        <v>0</v>
      </c>
      <c r="P8">
        <f t="shared" si="5"/>
        <v>0</v>
      </c>
      <c r="Q8" s="1">
        <f t="shared" si="6"/>
        <v>0</v>
      </c>
      <c r="R8" s="1">
        <f t="shared" si="7"/>
        <v>3032</v>
      </c>
      <c r="S8" s="1">
        <f t="shared" si="8"/>
        <v>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1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ht="15.5" x14ac:dyDescent="0.35">
      <c r="A9" s="3">
        <v>45554</v>
      </c>
      <c r="B9" s="1">
        <v>51</v>
      </c>
      <c r="C9" s="1">
        <v>5</v>
      </c>
      <c r="D9" s="1">
        <v>1</v>
      </c>
      <c r="E9" s="1" t="s">
        <v>18</v>
      </c>
      <c r="F9" s="1">
        <v>2750</v>
      </c>
      <c r="G9" s="19">
        <v>3346.1751545714587</v>
      </c>
      <c r="H9" s="1" t="s">
        <v>46</v>
      </c>
      <c r="I9" s="3">
        <v>45624</v>
      </c>
      <c r="J9" s="1">
        <v>2750</v>
      </c>
      <c r="K9" s="1">
        <f t="shared" si="1"/>
        <v>0</v>
      </c>
      <c r="L9" s="1">
        <f t="shared" ca="1" si="0"/>
        <v>134</v>
      </c>
      <c r="M9">
        <f t="shared" si="2"/>
        <v>0</v>
      </c>
      <c r="N9">
        <f t="shared" si="3"/>
        <v>0</v>
      </c>
      <c r="O9">
        <f t="shared" si="4"/>
        <v>3346.1751545714587</v>
      </c>
      <c r="P9">
        <f t="shared" si="5"/>
        <v>0</v>
      </c>
      <c r="Q9" s="1">
        <f t="shared" ref="Q9:Q22" si="21">IF(G9&gt;3500,K9,0)</f>
        <v>0</v>
      </c>
      <c r="R9" s="1">
        <f t="shared" ref="R9:R22" si="22">IF(AND(G9&gt;=3100,G9&lt;=3500),K9,0)</f>
        <v>0</v>
      </c>
      <c r="S9" s="1">
        <f t="shared" ref="S9:S22" si="23">IF(G9&lt;3100,K9,0)</f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1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0</v>
      </c>
      <c r="AF9">
        <f t="shared" si="20"/>
        <v>0</v>
      </c>
    </row>
    <row r="10" spans="1:32" ht="15.5" x14ac:dyDescent="0.35">
      <c r="A10" s="3">
        <v>45554</v>
      </c>
      <c r="B10" s="1">
        <v>52</v>
      </c>
      <c r="C10" s="1">
        <v>5</v>
      </c>
      <c r="D10" s="1">
        <v>1</v>
      </c>
      <c r="E10" s="1" t="s">
        <v>18</v>
      </c>
      <c r="F10" s="1">
        <v>3500</v>
      </c>
      <c r="G10" s="19">
        <v>3248.311999831632</v>
      </c>
      <c r="H10" s="1" t="s">
        <v>46</v>
      </c>
      <c r="I10" s="3">
        <v>45624</v>
      </c>
      <c r="J10" s="1">
        <v>3500</v>
      </c>
      <c r="K10" s="1">
        <f t="shared" si="1"/>
        <v>0</v>
      </c>
      <c r="L10" s="1">
        <f t="shared" ca="1" si="0"/>
        <v>134</v>
      </c>
      <c r="M10">
        <f t="shared" si="2"/>
        <v>0</v>
      </c>
      <c r="N10">
        <f t="shared" si="3"/>
        <v>0</v>
      </c>
      <c r="O10">
        <f t="shared" si="4"/>
        <v>3248.311999831632</v>
      </c>
      <c r="P10">
        <f t="shared" si="5"/>
        <v>0</v>
      </c>
      <c r="Q10" s="1">
        <f t="shared" si="21"/>
        <v>0</v>
      </c>
      <c r="R10" s="1">
        <f t="shared" si="22"/>
        <v>0</v>
      </c>
      <c r="S10" s="1">
        <f t="shared" si="23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1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x14ac:dyDescent="0.35">
      <c r="A11" s="3"/>
      <c r="B11" s="1"/>
      <c r="C11" s="1"/>
      <c r="D11" s="1"/>
      <c r="E11" s="1"/>
      <c r="F11" s="1"/>
      <c r="G11" s="4"/>
      <c r="H11" s="1"/>
      <c r="I11" s="3"/>
      <c r="J11" s="1"/>
      <c r="K11" s="1">
        <f t="shared" si="1"/>
        <v>0</v>
      </c>
      <c r="L11" s="1">
        <f t="shared" ca="1" si="0"/>
        <v>0</v>
      </c>
      <c r="M11">
        <f t="shared" si="2"/>
        <v>0</v>
      </c>
      <c r="N11">
        <f t="shared" si="3"/>
        <v>0</v>
      </c>
      <c r="O11">
        <f t="shared" si="4"/>
        <v>0</v>
      </c>
      <c r="P11">
        <f t="shared" si="5"/>
        <v>0</v>
      </c>
      <c r="Q11" s="1">
        <f t="shared" si="21"/>
        <v>0</v>
      </c>
      <c r="R11" s="1">
        <f t="shared" si="22"/>
        <v>0</v>
      </c>
      <c r="S11" s="1">
        <f t="shared" si="23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5"/>
      <c r="I12" s="1"/>
      <c r="J12" s="1"/>
      <c r="K12" s="1">
        <f t="shared" si="1"/>
        <v>0</v>
      </c>
      <c r="L12" s="1">
        <f ca="1">IF(F12=0,0,(TODAY()-A12))</f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0</v>
      </c>
      <c r="Q12" s="1">
        <f t="shared" si="21"/>
        <v>0</v>
      </c>
      <c r="R12" s="1">
        <f t="shared" si="22"/>
        <v>0</v>
      </c>
      <c r="S12" s="1">
        <f t="shared" si="23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5"/>
      <c r="I13" s="1"/>
      <c r="J13" s="1"/>
      <c r="K13" s="1">
        <f t="shared" si="1"/>
        <v>0</v>
      </c>
      <c r="L13" s="1">
        <f t="shared" ref="L13:L22" ca="1" si="24">IF(F13=0,0,(TODAY()-A13))</f>
        <v>0</v>
      </c>
      <c r="M13">
        <f t="shared" si="2"/>
        <v>0</v>
      </c>
      <c r="N13">
        <f t="shared" si="3"/>
        <v>0</v>
      </c>
      <c r="O13">
        <f t="shared" si="4"/>
        <v>0</v>
      </c>
      <c r="P13">
        <f t="shared" si="5"/>
        <v>0</v>
      </c>
      <c r="Q13" s="1">
        <f t="shared" si="21"/>
        <v>0</v>
      </c>
      <c r="R13" s="1">
        <f t="shared" si="22"/>
        <v>0</v>
      </c>
      <c r="S13" s="1">
        <f t="shared" si="23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1"/>
        <v>0</v>
      </c>
      <c r="L14" s="1">
        <f t="shared" ca="1" si="24"/>
        <v>0</v>
      </c>
      <c r="M14">
        <f t="shared" si="2"/>
        <v>0</v>
      </c>
      <c r="N14">
        <f t="shared" si="3"/>
        <v>0</v>
      </c>
      <c r="O14">
        <f t="shared" si="4"/>
        <v>0</v>
      </c>
      <c r="P14">
        <f t="shared" si="5"/>
        <v>0</v>
      </c>
      <c r="Q14" s="1">
        <f t="shared" si="21"/>
        <v>0</v>
      </c>
      <c r="R14" s="1">
        <f t="shared" si="22"/>
        <v>0</v>
      </c>
      <c r="S14" s="1">
        <f t="shared" si="23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si="1"/>
        <v>0</v>
      </c>
      <c r="L15" s="1">
        <f t="shared" ca="1" si="24"/>
        <v>0</v>
      </c>
      <c r="M15">
        <f t="shared" si="2"/>
        <v>0</v>
      </c>
      <c r="N15">
        <f t="shared" si="3"/>
        <v>0</v>
      </c>
      <c r="O15">
        <f t="shared" si="4"/>
        <v>0</v>
      </c>
      <c r="P15">
        <f t="shared" si="5"/>
        <v>0</v>
      </c>
      <c r="Q15" s="1">
        <f t="shared" si="21"/>
        <v>0</v>
      </c>
      <c r="R15" s="1">
        <f t="shared" si="22"/>
        <v>0</v>
      </c>
      <c r="S15" s="1">
        <f t="shared" si="23"/>
        <v>0</v>
      </c>
      <c r="U15">
        <f t="shared" si="9"/>
        <v>0</v>
      </c>
      <c r="V15">
        <f t="shared" si="10"/>
        <v>0</v>
      </c>
      <c r="W15">
        <f t="shared" si="11"/>
        <v>0</v>
      </c>
      <c r="X15">
        <f t="shared" si="12"/>
        <v>0</v>
      </c>
      <c r="Y15">
        <f t="shared" si="13"/>
        <v>0</v>
      </c>
      <c r="Z15">
        <f t="shared" si="14"/>
        <v>0</v>
      </c>
      <c r="AA15">
        <f t="shared" si="15"/>
        <v>0</v>
      </c>
      <c r="AB15">
        <f t="shared" si="16"/>
        <v>0</v>
      </c>
      <c r="AC15">
        <f t="shared" si="17"/>
        <v>0</v>
      </c>
      <c r="AD15">
        <f t="shared" si="18"/>
        <v>0</v>
      </c>
      <c r="AE15">
        <f t="shared" si="19"/>
        <v>0</v>
      </c>
      <c r="AF15">
        <f t="shared" si="20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1"/>
      <c r="J16" s="1"/>
      <c r="K16" s="1">
        <f t="shared" si="1"/>
        <v>0</v>
      </c>
      <c r="L16" s="1">
        <f t="shared" ca="1" si="24"/>
        <v>0</v>
      </c>
      <c r="M16">
        <f t="shared" si="2"/>
        <v>0</v>
      </c>
      <c r="N16">
        <f t="shared" si="3"/>
        <v>0</v>
      </c>
      <c r="O16">
        <f t="shared" si="4"/>
        <v>0</v>
      </c>
      <c r="P16">
        <f t="shared" si="5"/>
        <v>0</v>
      </c>
      <c r="Q16" s="1">
        <f t="shared" si="21"/>
        <v>0</v>
      </c>
      <c r="R16" s="1">
        <f t="shared" si="22"/>
        <v>0</v>
      </c>
      <c r="S16" s="1">
        <f t="shared" si="23"/>
        <v>0</v>
      </c>
      <c r="U16">
        <f t="shared" si="9"/>
        <v>0</v>
      </c>
      <c r="V16">
        <f t="shared" si="10"/>
        <v>0</v>
      </c>
      <c r="W16">
        <f t="shared" si="11"/>
        <v>0</v>
      </c>
      <c r="X16">
        <f t="shared" si="12"/>
        <v>0</v>
      </c>
      <c r="Y16">
        <f t="shared" si="13"/>
        <v>0</v>
      </c>
      <c r="Z16">
        <f t="shared" si="14"/>
        <v>0</v>
      </c>
      <c r="AA16">
        <f t="shared" si="15"/>
        <v>0</v>
      </c>
      <c r="AB16">
        <f t="shared" si="16"/>
        <v>0</v>
      </c>
      <c r="AC16">
        <f t="shared" si="17"/>
        <v>0</v>
      </c>
      <c r="AD16">
        <f t="shared" si="18"/>
        <v>0</v>
      </c>
      <c r="AE16">
        <f t="shared" si="19"/>
        <v>0</v>
      </c>
      <c r="AF16">
        <f t="shared" si="20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ref="K17:K21" si="25">F17-J17</f>
        <v>0</v>
      </c>
      <c r="L17" s="1">
        <f ca="1">IF(F17=0,0,(TODAY()-A17))</f>
        <v>0</v>
      </c>
      <c r="M17">
        <f t="shared" ref="M17:M21" si="26">IF(E17="T",G17,0)</f>
        <v>0</v>
      </c>
      <c r="N17">
        <f t="shared" ref="N17:N21" si="27">IF(E17="T",K17,0)</f>
        <v>0</v>
      </c>
      <c r="O17">
        <f t="shared" ref="O17:O21" si="28">IF(E17="B",G17,0)</f>
        <v>0</v>
      </c>
      <c r="P17">
        <f t="shared" ref="P17:P21" si="29">IF(E17="B",K17,0)</f>
        <v>0</v>
      </c>
      <c r="Q17" s="1">
        <f t="shared" si="21"/>
        <v>0</v>
      </c>
      <c r="R17" s="1">
        <f t="shared" si="22"/>
        <v>0</v>
      </c>
      <c r="S17" s="1">
        <f t="shared" si="23"/>
        <v>0</v>
      </c>
      <c r="U17">
        <f t="shared" ref="U17:U21" si="30">IF(C17=1,1,0)</f>
        <v>0</v>
      </c>
      <c r="V17">
        <f t="shared" ref="V17:V21" si="31">IF(C17=2,1,0)</f>
        <v>0</v>
      </c>
      <c r="W17">
        <f t="shared" ref="W17:W21" si="32">IF(C17=3,1,0)</f>
        <v>0</v>
      </c>
      <c r="X17">
        <f t="shared" ref="X17:X21" si="33">IF(C17=4,1,0)</f>
        <v>0</v>
      </c>
      <c r="Y17">
        <f t="shared" ref="Y17:Y21" si="34">IF(C17=5,1,0)</f>
        <v>0</v>
      </c>
      <c r="Z17">
        <f t="shared" ref="Z17:Z21" si="35">IF(C17=6,1,0)</f>
        <v>0</v>
      </c>
      <c r="AA17">
        <f t="shared" ref="AA17:AA21" si="36">IF(C17=7,1,0)</f>
        <v>0</v>
      </c>
      <c r="AB17">
        <f t="shared" ref="AB17:AB21" si="37">IF(C17=8,1,0)</f>
        <v>0</v>
      </c>
      <c r="AC17">
        <f t="shared" ref="AC17:AC21" si="38">IF(C17=9,1,0)</f>
        <v>0</v>
      </c>
      <c r="AD17">
        <f t="shared" ref="AD17:AD21" si="39">IF(C17=10,1,0)</f>
        <v>0</v>
      </c>
      <c r="AE17">
        <f t="shared" ref="AE17:AE21" si="40">IF(C17="SILO",1,0)</f>
        <v>0</v>
      </c>
      <c r="AF17">
        <f t="shared" ref="AF17:AF21" si="41">IF(C17="CB",1,0)</f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25"/>
        <v>0</v>
      </c>
      <c r="L18" s="1">
        <f t="shared" ref="L18:L21" ca="1" si="42">IF(F18=0,0,(TODAY()-A18))</f>
        <v>0</v>
      </c>
      <c r="M18">
        <f t="shared" si="26"/>
        <v>0</v>
      </c>
      <c r="N18">
        <f t="shared" si="27"/>
        <v>0</v>
      </c>
      <c r="O18">
        <f t="shared" si="28"/>
        <v>0</v>
      </c>
      <c r="P18">
        <f t="shared" si="29"/>
        <v>0</v>
      </c>
      <c r="Q18" s="1">
        <f t="shared" si="21"/>
        <v>0</v>
      </c>
      <c r="R18" s="1">
        <f t="shared" si="22"/>
        <v>0</v>
      </c>
      <c r="S18" s="1">
        <f t="shared" si="23"/>
        <v>0</v>
      </c>
      <c r="U18">
        <f t="shared" si="30"/>
        <v>0</v>
      </c>
      <c r="V18">
        <f t="shared" si="31"/>
        <v>0</v>
      </c>
      <c r="W18">
        <f t="shared" si="32"/>
        <v>0</v>
      </c>
      <c r="X18">
        <f t="shared" si="33"/>
        <v>0</v>
      </c>
      <c r="Y18">
        <f t="shared" si="34"/>
        <v>0</v>
      </c>
      <c r="Z18">
        <f t="shared" si="35"/>
        <v>0</v>
      </c>
      <c r="AA18">
        <f t="shared" si="36"/>
        <v>0</v>
      </c>
      <c r="AB18">
        <f t="shared" si="37"/>
        <v>0</v>
      </c>
      <c r="AC18">
        <f t="shared" si="38"/>
        <v>0</v>
      </c>
      <c r="AD18">
        <f t="shared" si="39"/>
        <v>0</v>
      </c>
      <c r="AE18">
        <f t="shared" si="40"/>
        <v>0</v>
      </c>
      <c r="AF18">
        <f t="shared" si="41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si="25"/>
        <v>0</v>
      </c>
      <c r="L19" s="1">
        <f t="shared" ca="1" si="42"/>
        <v>0</v>
      </c>
      <c r="M19">
        <f t="shared" si="26"/>
        <v>0</v>
      </c>
      <c r="N19">
        <f t="shared" si="27"/>
        <v>0</v>
      </c>
      <c r="O19">
        <f t="shared" si="28"/>
        <v>0</v>
      </c>
      <c r="P19">
        <f t="shared" si="29"/>
        <v>0</v>
      </c>
      <c r="Q19" s="1">
        <f t="shared" si="21"/>
        <v>0</v>
      </c>
      <c r="R19" s="1">
        <f t="shared" si="22"/>
        <v>0</v>
      </c>
      <c r="S19" s="1">
        <f t="shared" si="23"/>
        <v>0</v>
      </c>
      <c r="U19">
        <f t="shared" si="30"/>
        <v>0</v>
      </c>
      <c r="V19">
        <f t="shared" si="31"/>
        <v>0</v>
      </c>
      <c r="W19">
        <f t="shared" si="32"/>
        <v>0</v>
      </c>
      <c r="X19">
        <f t="shared" si="33"/>
        <v>0</v>
      </c>
      <c r="Y19">
        <f t="shared" si="34"/>
        <v>0</v>
      </c>
      <c r="Z19">
        <f t="shared" si="35"/>
        <v>0</v>
      </c>
      <c r="AA19">
        <f t="shared" si="36"/>
        <v>0</v>
      </c>
      <c r="AB19">
        <f t="shared" si="37"/>
        <v>0</v>
      </c>
      <c r="AC19">
        <f t="shared" si="38"/>
        <v>0</v>
      </c>
      <c r="AD19">
        <f t="shared" si="39"/>
        <v>0</v>
      </c>
      <c r="AE19">
        <f t="shared" si="40"/>
        <v>0</v>
      </c>
      <c r="AF19">
        <f t="shared" si="41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25"/>
        <v>0</v>
      </c>
      <c r="L20" s="1">
        <f t="shared" ca="1" si="42"/>
        <v>0</v>
      </c>
      <c r="M20">
        <f t="shared" si="26"/>
        <v>0</v>
      </c>
      <c r="N20">
        <f t="shared" si="27"/>
        <v>0</v>
      </c>
      <c r="O20">
        <f t="shared" si="28"/>
        <v>0</v>
      </c>
      <c r="P20">
        <f t="shared" si="29"/>
        <v>0</v>
      </c>
      <c r="Q20" s="1">
        <f t="shared" si="21"/>
        <v>0</v>
      </c>
      <c r="R20" s="1">
        <f t="shared" si="22"/>
        <v>0</v>
      </c>
      <c r="S20" s="1">
        <f t="shared" si="23"/>
        <v>0</v>
      </c>
      <c r="U20">
        <f t="shared" si="30"/>
        <v>0</v>
      </c>
      <c r="V20">
        <f t="shared" si="31"/>
        <v>0</v>
      </c>
      <c r="W20">
        <f t="shared" si="32"/>
        <v>0</v>
      </c>
      <c r="X20">
        <f t="shared" si="33"/>
        <v>0</v>
      </c>
      <c r="Y20">
        <f t="shared" si="34"/>
        <v>0</v>
      </c>
      <c r="Z20">
        <f t="shared" si="35"/>
        <v>0</v>
      </c>
      <c r="AA20">
        <f t="shared" si="36"/>
        <v>0</v>
      </c>
      <c r="AB20">
        <f t="shared" si="37"/>
        <v>0</v>
      </c>
      <c r="AC20">
        <f t="shared" si="38"/>
        <v>0</v>
      </c>
      <c r="AD20">
        <f t="shared" si="39"/>
        <v>0</v>
      </c>
      <c r="AE20">
        <f t="shared" si="40"/>
        <v>0</v>
      </c>
      <c r="AF20">
        <f t="shared" si="41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25"/>
        <v>0</v>
      </c>
      <c r="L21" s="1">
        <f t="shared" ca="1" si="42"/>
        <v>0</v>
      </c>
      <c r="M21">
        <f t="shared" si="26"/>
        <v>0</v>
      </c>
      <c r="N21">
        <f t="shared" si="27"/>
        <v>0</v>
      </c>
      <c r="O21">
        <f t="shared" si="28"/>
        <v>0</v>
      </c>
      <c r="P21">
        <f t="shared" si="29"/>
        <v>0</v>
      </c>
      <c r="Q21" s="1">
        <f t="shared" si="21"/>
        <v>0</v>
      </c>
      <c r="R21" s="1">
        <f t="shared" si="22"/>
        <v>0</v>
      </c>
      <c r="S21" s="1">
        <f t="shared" si="23"/>
        <v>0</v>
      </c>
      <c r="U21">
        <f t="shared" si="30"/>
        <v>0</v>
      </c>
      <c r="V21">
        <f t="shared" si="31"/>
        <v>0</v>
      </c>
      <c r="W21">
        <f t="shared" si="32"/>
        <v>0</v>
      </c>
      <c r="X21">
        <f t="shared" si="33"/>
        <v>0</v>
      </c>
      <c r="Y21">
        <f t="shared" si="34"/>
        <v>0</v>
      </c>
      <c r="Z21">
        <f t="shared" si="35"/>
        <v>0</v>
      </c>
      <c r="AA21">
        <f t="shared" si="36"/>
        <v>0</v>
      </c>
      <c r="AB21">
        <f t="shared" si="37"/>
        <v>0</v>
      </c>
      <c r="AC21">
        <f t="shared" si="38"/>
        <v>0</v>
      </c>
      <c r="AD21">
        <f t="shared" si="39"/>
        <v>0</v>
      </c>
      <c r="AE21">
        <f t="shared" si="40"/>
        <v>0</v>
      </c>
      <c r="AF21">
        <f t="shared" si="41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1">
        <f t="shared" si="1"/>
        <v>0</v>
      </c>
      <c r="L22" s="1">
        <f t="shared" ca="1" si="24"/>
        <v>0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0</v>
      </c>
      <c r="Q22" s="1">
        <f t="shared" si="21"/>
        <v>0</v>
      </c>
      <c r="R22" s="1">
        <f t="shared" si="22"/>
        <v>0</v>
      </c>
      <c r="S22" s="1">
        <f t="shared" si="23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16658</v>
      </c>
      <c r="G23" s="4"/>
      <c r="H23" s="4"/>
      <c r="I23" s="7"/>
      <c r="J23" s="8" t="s">
        <v>20</v>
      </c>
      <c r="K23" s="1">
        <f>SUM(K6:K22)</f>
        <v>10408</v>
      </c>
      <c r="L23" s="26">
        <f>IF(U$23&gt;=1,1,0)</f>
        <v>0</v>
      </c>
      <c r="N23">
        <f t="shared" si="3"/>
        <v>0</v>
      </c>
      <c r="P23">
        <f t="shared" si="5"/>
        <v>0</v>
      </c>
      <c r="U23">
        <f>SUM(U6:U22)</f>
        <v>0</v>
      </c>
      <c r="V23">
        <f t="shared" ref="V23:AF23" si="43">SUM(V6:V22)</f>
        <v>0</v>
      </c>
      <c r="W23">
        <f t="shared" si="43"/>
        <v>0</v>
      </c>
      <c r="X23">
        <f t="shared" si="43"/>
        <v>0</v>
      </c>
      <c r="Y23">
        <f t="shared" si="43"/>
        <v>5</v>
      </c>
      <c r="Z23">
        <f t="shared" si="43"/>
        <v>0</v>
      </c>
      <c r="AA23">
        <f t="shared" si="43"/>
        <v>0</v>
      </c>
      <c r="AB23">
        <f t="shared" si="43"/>
        <v>0</v>
      </c>
      <c r="AC23">
        <f t="shared" si="43"/>
        <v>0</v>
      </c>
      <c r="AD23">
        <f t="shared" si="43"/>
        <v>0</v>
      </c>
      <c r="AE23">
        <f t="shared" si="43"/>
        <v>0</v>
      </c>
      <c r="AF23">
        <f t="shared" si="43"/>
        <v>0</v>
      </c>
    </row>
    <row r="24" spans="1:32" x14ac:dyDescent="0.35">
      <c r="J24" s="8" t="s">
        <v>21</v>
      </c>
      <c r="K24" s="5">
        <f>SUMPRODUCT(K6:K22,G6:G22)/SUM(K6:K22)</f>
        <v>3066.3381425864345</v>
      </c>
      <c r="L24" s="26">
        <f>IF(V$23&gt;=1,1,0)</f>
        <v>0</v>
      </c>
    </row>
    <row r="25" spans="1:32" x14ac:dyDescent="0.35">
      <c r="J25" s="8" t="s">
        <v>11</v>
      </c>
      <c r="K25" s="5">
        <f>SUMPRODUCT(M6:M22,N6:N22)/SUM(N6:N22)</f>
        <v>3173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3032</v>
      </c>
      <c r="L26" s="26">
        <f>IF(X$23&gt;=1,1,0)</f>
        <v>0</v>
      </c>
    </row>
    <row r="27" spans="1:32" x14ac:dyDescent="0.35">
      <c r="J27" s="8" t="s">
        <v>22</v>
      </c>
      <c r="K27" s="5">
        <f>SUMPRODUCT(O6:O22,P6:P22)/SUM(P6:P22)</f>
        <v>3022.4934094413788</v>
      </c>
      <c r="L27" s="26">
        <f>IF(Y$23&gt;=1,1,0)</f>
        <v>1</v>
      </c>
    </row>
    <row r="28" spans="1:32" x14ac:dyDescent="0.35">
      <c r="J28" s="8" t="s">
        <v>23</v>
      </c>
      <c r="K28" s="5">
        <f>SUM(P6:P22)</f>
        <v>7376</v>
      </c>
      <c r="L28" s="26">
        <f>IF(Z$23&gt;=1,1,0)</f>
        <v>0</v>
      </c>
    </row>
    <row r="29" spans="1:32" x14ac:dyDescent="0.35">
      <c r="J29" s="8" t="s">
        <v>24</v>
      </c>
      <c r="K29" s="1">
        <f ca="1">MAX(L6:L22)</f>
        <v>136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134.80000000000001</v>
      </c>
      <c r="L30" s="26">
        <f>IF(AB$23&gt;=1,1,0)</f>
        <v>0</v>
      </c>
    </row>
    <row r="31" spans="1:32" x14ac:dyDescent="0.35">
      <c r="J31" s="8" t="s">
        <v>528</v>
      </c>
      <c r="K31" s="1">
        <f>SUM(Q6:Q22)</f>
        <v>0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6868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3540</v>
      </c>
      <c r="L33" s="26">
        <f>IF(AE$23&gt;=1,1,0)</f>
        <v>0</v>
      </c>
    </row>
    <row r="34" spans="10:12" x14ac:dyDescent="0.35">
      <c r="L34" s="26">
        <f>IF(AF$23&gt;=1,1,0)</f>
        <v>0</v>
      </c>
    </row>
  </sheetData>
  <conditionalFormatting sqref="G6:H23">
    <cfRule type="cellIs" dxfId="291" priority="1" operator="between">
      <formula>2500</formula>
      <formula>2000</formula>
    </cfRule>
    <cfRule type="cellIs" dxfId="290" priority="2" operator="between">
      <formula>2500</formula>
      <formula>3000</formula>
    </cfRule>
    <cfRule type="cellIs" dxfId="289" priority="3" operator="between">
      <formula>3000</formula>
      <formula>3200</formula>
    </cfRule>
    <cfRule type="cellIs" dxfId="288" priority="4" operator="greaterThan">
      <formula>3600</formula>
    </cfRule>
    <cfRule type="cellIs" dxfId="287" priority="5" operator="between">
      <formula>3200</formula>
      <formula>3600</formula>
    </cfRule>
  </conditionalFormatting>
  <conditionalFormatting sqref="K25">
    <cfRule type="cellIs" dxfId="286" priority="219" operator="lessThan">
      <formula>2500</formula>
    </cfRule>
    <cfRule type="cellIs" dxfId="285" priority="220" operator="between">
      <formula>2500</formula>
      <formula>3000</formula>
    </cfRule>
    <cfRule type="cellIs" dxfId="284" priority="221" operator="between">
      <formula>3000</formula>
      <formula>3200</formula>
    </cfRule>
    <cfRule type="cellIs" dxfId="283" priority="222" operator="greaterThan">
      <formula>3600</formula>
    </cfRule>
    <cfRule type="cellIs" dxfId="282" priority="223" operator="between">
      <formula>3200</formula>
      <formula>3600</formula>
    </cfRule>
  </conditionalFormatting>
  <conditionalFormatting sqref="K27">
    <cfRule type="cellIs" dxfId="281" priority="214" operator="lessThan">
      <formula>2500</formula>
    </cfRule>
    <cfRule type="cellIs" dxfId="280" priority="215" operator="between">
      <formula>2500</formula>
      <formula>3000</formula>
    </cfRule>
    <cfRule type="cellIs" dxfId="279" priority="216" operator="between">
      <formula>3000</formula>
      <formula>3200</formula>
    </cfRule>
    <cfRule type="cellIs" dxfId="278" priority="217" operator="greaterThan">
      <formula>3600</formula>
    </cfRule>
    <cfRule type="cellIs" dxfId="277" priority="218" operator="between">
      <formula>3200</formula>
      <formula>3600</formula>
    </cfRule>
  </conditionalFormatting>
  <conditionalFormatting sqref="L6:L34">
    <cfRule type="cellIs" dxfId="276" priority="196" operator="greaterThan">
      <formula>10</formula>
    </cfRule>
  </conditionalFormatting>
  <hyperlinks>
    <hyperlink ref="A3" location="'summery '!A1" display="summery " xr:uid="{00000000-0004-0000-0C00-000000000000}"/>
  </hyperlink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AF34"/>
  <sheetViews>
    <sheetView zoomScale="40" zoomScaleNormal="40" workbookViewId="0">
      <selection activeCell="J31" sqref="J31:J33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8" width="11.453125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3" width="13.26953125" customWidth="1"/>
    <col min="14" max="14" width="15.54296875" customWidth="1"/>
    <col min="15" max="15" width="16.7265625" customWidth="1"/>
    <col min="16" max="16" width="16.453125" customWidth="1"/>
    <col min="17" max="17" width="18.54296875" customWidth="1"/>
    <col min="18" max="18" width="19.81640625" customWidth="1"/>
    <col min="19" max="19" width="17" customWidth="1"/>
    <col min="20" max="33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1" t="s">
        <v>15</v>
      </c>
      <c r="R5" s="1" t="s">
        <v>16</v>
      </c>
      <c r="S5" s="1" t="s">
        <v>17</v>
      </c>
    </row>
    <row r="6" spans="1:32" ht="15.5" x14ac:dyDescent="0.35">
      <c r="A6" s="3">
        <v>45619</v>
      </c>
      <c r="B6" s="1">
        <v>45</v>
      </c>
      <c r="C6" s="1" t="s">
        <v>70</v>
      </c>
      <c r="D6" s="1">
        <v>1</v>
      </c>
      <c r="E6" s="1" t="s">
        <v>18</v>
      </c>
      <c r="F6" s="1">
        <v>2690</v>
      </c>
      <c r="G6" s="19">
        <v>3208.511734043002</v>
      </c>
      <c r="H6" s="1" t="s">
        <v>46</v>
      </c>
      <c r="I6" s="3"/>
      <c r="J6" s="1"/>
      <c r="K6" s="1">
        <f>F6-J6</f>
        <v>2690</v>
      </c>
      <c r="L6" s="1">
        <f t="shared" ref="L6:L11" ca="1" si="0">IF(F6=0,0,(TODAY()-A6))</f>
        <v>69</v>
      </c>
      <c r="M6" s="7">
        <f>IF(E6="T",G6,0)</f>
        <v>0</v>
      </c>
      <c r="N6" s="7">
        <f>IF(E6="T",K6,0)</f>
        <v>0</v>
      </c>
      <c r="O6" s="4">
        <f>IF(E6="B",G6,0)</f>
        <v>3208.511734043002</v>
      </c>
      <c r="P6" s="4">
        <f>IF(E6="B",K6,0)</f>
        <v>2690</v>
      </c>
      <c r="Q6" s="1">
        <f>IF(G6&gt;3500,K6,0)</f>
        <v>0</v>
      </c>
      <c r="R6" s="1">
        <f>IF(AND(G6&gt;=3100,G6&lt;=3500),K6,0)</f>
        <v>2690</v>
      </c>
      <c r="S6" s="1">
        <f>IF(G6&lt;3100,K6,0)</f>
        <v>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0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1</v>
      </c>
      <c r="AF6">
        <f>IF(C6="CB",1,0)</f>
        <v>0</v>
      </c>
    </row>
    <row r="7" spans="1:32" ht="15.5" x14ac:dyDescent="0.35">
      <c r="A7" s="3">
        <v>45620</v>
      </c>
      <c r="B7" s="1">
        <v>47</v>
      </c>
      <c r="C7" s="1">
        <v>8</v>
      </c>
      <c r="D7" s="1">
        <v>2</v>
      </c>
      <c r="E7" s="1" t="s">
        <v>18</v>
      </c>
      <c r="F7" s="1">
        <v>3650</v>
      </c>
      <c r="G7" s="19">
        <v>2900.8780479155675</v>
      </c>
      <c r="H7" s="1" t="s">
        <v>46</v>
      </c>
      <c r="I7" s="3"/>
      <c r="J7" s="1"/>
      <c r="K7" s="1">
        <f t="shared" ref="K7:K22" si="1">F7-J7</f>
        <v>3650</v>
      </c>
      <c r="L7" s="1">
        <f t="shared" ca="1" si="0"/>
        <v>68</v>
      </c>
      <c r="M7" s="7">
        <f t="shared" ref="M7:M22" si="2">IF(E7="T",G7,0)</f>
        <v>0</v>
      </c>
      <c r="N7" s="7">
        <f t="shared" ref="N7:N23" si="3">IF(E7="T",K7,0)</f>
        <v>0</v>
      </c>
      <c r="O7" s="4">
        <f t="shared" ref="O7:O22" si="4">IF(E7="B",G7,0)</f>
        <v>2900.8780479155675</v>
      </c>
      <c r="P7" s="4">
        <f t="shared" ref="P7:P23" si="5">IF(E7="B",K7,0)</f>
        <v>3650</v>
      </c>
      <c r="Q7" s="1">
        <f t="shared" ref="Q7:Q8" si="6">IF(G7&gt;3500,K7,0)</f>
        <v>0</v>
      </c>
      <c r="R7" s="1">
        <f t="shared" ref="R7:R8" si="7">IF(AND(G7&gt;=3100,G7&lt;=3500),K7,0)</f>
        <v>0</v>
      </c>
      <c r="S7" s="1">
        <f t="shared" ref="S7:S8" si="8">IF(G7&lt;3100,K7,0)</f>
        <v>3650</v>
      </c>
      <c r="U7">
        <f t="shared" ref="U7:U22" si="9">IF(C7=1,1,0)</f>
        <v>0</v>
      </c>
      <c r="V7">
        <f t="shared" ref="V7:V22" si="10">IF(C7=2,1,0)</f>
        <v>0</v>
      </c>
      <c r="W7">
        <f t="shared" ref="W7:W22" si="11">IF(C7=3,1,0)</f>
        <v>0</v>
      </c>
      <c r="X7">
        <f t="shared" ref="X7:X22" si="12">IF(C7=4,1,0)</f>
        <v>0</v>
      </c>
      <c r="Y7">
        <f t="shared" ref="Y7:Y22" si="13">IF(C7=5,1,0)</f>
        <v>0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1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0</v>
      </c>
      <c r="AF7">
        <f t="shared" ref="AF7:AF22" si="20">IF(C7="CB",1,0)</f>
        <v>0</v>
      </c>
    </row>
    <row r="8" spans="1:32" ht="15.5" x14ac:dyDescent="0.35">
      <c r="A8" s="3">
        <v>45620</v>
      </c>
      <c r="B8" s="1">
        <v>49</v>
      </c>
      <c r="C8" s="1" t="s">
        <v>70</v>
      </c>
      <c r="D8" s="1">
        <v>1</v>
      </c>
      <c r="E8" s="1" t="s">
        <v>18</v>
      </c>
      <c r="F8" s="1">
        <v>2326</v>
      </c>
      <c r="G8" s="19">
        <v>3223.4260425173647</v>
      </c>
      <c r="H8" s="1" t="s">
        <v>46</v>
      </c>
      <c r="I8" s="3"/>
      <c r="J8" s="1"/>
      <c r="K8" s="1">
        <f t="shared" si="1"/>
        <v>2326</v>
      </c>
      <c r="L8" s="1">
        <f t="shared" ca="1" si="0"/>
        <v>68</v>
      </c>
      <c r="M8" s="7">
        <f t="shared" si="2"/>
        <v>0</v>
      </c>
      <c r="N8" s="7">
        <f t="shared" si="3"/>
        <v>0</v>
      </c>
      <c r="O8" s="4">
        <f t="shared" si="4"/>
        <v>3223.4260425173647</v>
      </c>
      <c r="P8" s="4">
        <f t="shared" si="5"/>
        <v>2326</v>
      </c>
      <c r="Q8" s="1">
        <f t="shared" si="6"/>
        <v>0</v>
      </c>
      <c r="R8" s="1">
        <f t="shared" si="7"/>
        <v>2326</v>
      </c>
      <c r="S8" s="1">
        <f t="shared" si="8"/>
        <v>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1</v>
      </c>
      <c r="AF8">
        <f t="shared" si="20"/>
        <v>0</v>
      </c>
    </row>
    <row r="9" spans="1:32" ht="15.5" x14ac:dyDescent="0.35">
      <c r="A9" s="3">
        <v>45621</v>
      </c>
      <c r="B9" s="1">
        <v>53</v>
      </c>
      <c r="C9" s="1" t="s">
        <v>70</v>
      </c>
      <c r="D9" s="1">
        <v>1</v>
      </c>
      <c r="E9" s="1" t="s">
        <v>19</v>
      </c>
      <c r="F9" s="1">
        <v>3348</v>
      </c>
      <c r="G9" s="19">
        <v>3153</v>
      </c>
      <c r="H9" s="1" t="s">
        <v>455</v>
      </c>
      <c r="I9" s="3"/>
      <c r="J9" s="1"/>
      <c r="K9" s="1">
        <f t="shared" si="1"/>
        <v>3348</v>
      </c>
      <c r="L9" s="1">
        <f t="shared" ca="1" si="0"/>
        <v>67</v>
      </c>
      <c r="M9" s="7">
        <f t="shared" si="2"/>
        <v>3153</v>
      </c>
      <c r="N9" s="7">
        <f t="shared" si="3"/>
        <v>3348</v>
      </c>
      <c r="O9" s="4">
        <f t="shared" si="4"/>
        <v>0</v>
      </c>
      <c r="P9" s="4">
        <f t="shared" si="5"/>
        <v>0</v>
      </c>
      <c r="Q9" s="1">
        <f t="shared" ref="Q9:Q22" si="21">IF(G9&gt;3500,K9,0)</f>
        <v>0</v>
      </c>
      <c r="R9" s="1">
        <f t="shared" ref="R9:R22" si="22">IF(AND(G9&gt;=3100,G9&lt;=3500),K9,0)</f>
        <v>3348</v>
      </c>
      <c r="S9" s="1">
        <f t="shared" ref="S9:S22" si="23">IF(G9&lt;3100,K9,0)</f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1</v>
      </c>
      <c r="AF9">
        <f t="shared" si="20"/>
        <v>0</v>
      </c>
    </row>
    <row r="10" spans="1:32" x14ac:dyDescent="0.35">
      <c r="A10" s="3"/>
      <c r="B10" s="1"/>
      <c r="C10" s="1"/>
      <c r="D10" s="1"/>
      <c r="E10" s="1"/>
      <c r="F10" s="1"/>
      <c r="G10" s="5"/>
      <c r="H10" s="1"/>
      <c r="I10" s="3"/>
      <c r="J10" s="1"/>
      <c r="K10" s="1">
        <f t="shared" si="1"/>
        <v>0</v>
      </c>
      <c r="L10" s="1">
        <f t="shared" ca="1" si="0"/>
        <v>0</v>
      </c>
      <c r="M10" s="7">
        <f t="shared" si="2"/>
        <v>0</v>
      </c>
      <c r="N10" s="7">
        <f t="shared" si="3"/>
        <v>0</v>
      </c>
      <c r="O10" s="4">
        <f t="shared" si="4"/>
        <v>0</v>
      </c>
      <c r="P10" s="4">
        <f t="shared" si="5"/>
        <v>0</v>
      </c>
      <c r="Q10" s="1">
        <f t="shared" si="21"/>
        <v>0</v>
      </c>
      <c r="R10" s="1">
        <f t="shared" si="22"/>
        <v>0</v>
      </c>
      <c r="S10" s="1">
        <f t="shared" si="23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x14ac:dyDescent="0.35">
      <c r="A11" s="3"/>
      <c r="B11" s="1"/>
      <c r="C11" s="1"/>
      <c r="D11" s="1"/>
      <c r="E11" s="1"/>
      <c r="F11" s="1"/>
      <c r="G11" s="5"/>
      <c r="H11" s="1"/>
      <c r="I11" s="3"/>
      <c r="J11" s="1"/>
      <c r="K11" s="1">
        <f t="shared" si="1"/>
        <v>0</v>
      </c>
      <c r="L11" s="1">
        <f t="shared" ca="1" si="0"/>
        <v>0</v>
      </c>
      <c r="M11" s="7">
        <f t="shared" si="2"/>
        <v>0</v>
      </c>
      <c r="N11" s="7">
        <f t="shared" si="3"/>
        <v>0</v>
      </c>
      <c r="O11" s="4">
        <f t="shared" si="4"/>
        <v>0</v>
      </c>
      <c r="P11" s="4">
        <f t="shared" si="5"/>
        <v>0</v>
      </c>
      <c r="Q11" s="1">
        <f t="shared" si="21"/>
        <v>0</v>
      </c>
      <c r="R11" s="1">
        <f t="shared" si="22"/>
        <v>0</v>
      </c>
      <c r="S11" s="1">
        <f t="shared" si="23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5"/>
      <c r="I12" s="1"/>
      <c r="J12" s="1"/>
      <c r="K12" s="1">
        <f t="shared" si="1"/>
        <v>0</v>
      </c>
      <c r="L12" s="1">
        <f ca="1">IF(F12=0,0,(TODAY()-A12))</f>
        <v>0</v>
      </c>
      <c r="M12" s="7">
        <f t="shared" si="2"/>
        <v>0</v>
      </c>
      <c r="N12" s="7">
        <f t="shared" si="3"/>
        <v>0</v>
      </c>
      <c r="O12" s="4">
        <f t="shared" si="4"/>
        <v>0</v>
      </c>
      <c r="P12" s="4">
        <f t="shared" si="5"/>
        <v>0</v>
      </c>
      <c r="Q12" s="1">
        <f t="shared" si="21"/>
        <v>0</v>
      </c>
      <c r="R12" s="1">
        <f t="shared" si="22"/>
        <v>0</v>
      </c>
      <c r="S12" s="1">
        <f t="shared" si="23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5"/>
      <c r="I13" s="1"/>
      <c r="J13" s="1"/>
      <c r="K13" s="1">
        <f t="shared" si="1"/>
        <v>0</v>
      </c>
      <c r="L13" s="1">
        <f t="shared" ref="L13:L22" ca="1" si="24">IF(F13=0,0,(TODAY()-A13))</f>
        <v>0</v>
      </c>
      <c r="M13" s="7">
        <f t="shared" si="2"/>
        <v>0</v>
      </c>
      <c r="N13" s="7">
        <f t="shared" si="3"/>
        <v>0</v>
      </c>
      <c r="O13" s="4">
        <f t="shared" si="4"/>
        <v>0</v>
      </c>
      <c r="P13" s="4">
        <f t="shared" si="5"/>
        <v>0</v>
      </c>
      <c r="Q13" s="1">
        <f t="shared" si="21"/>
        <v>0</v>
      </c>
      <c r="R13" s="1">
        <f t="shared" si="22"/>
        <v>0</v>
      </c>
      <c r="S13" s="1">
        <f t="shared" si="23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1"/>
        <v>0</v>
      </c>
      <c r="L14" s="1">
        <f t="shared" ca="1" si="24"/>
        <v>0</v>
      </c>
      <c r="M14" s="7">
        <f t="shared" si="2"/>
        <v>0</v>
      </c>
      <c r="N14" s="7">
        <f t="shared" si="3"/>
        <v>0</v>
      </c>
      <c r="O14" s="4">
        <f t="shared" si="4"/>
        <v>0</v>
      </c>
      <c r="P14" s="4">
        <f t="shared" si="5"/>
        <v>0</v>
      </c>
      <c r="Q14" s="1">
        <f t="shared" si="21"/>
        <v>0</v>
      </c>
      <c r="R14" s="1">
        <f t="shared" si="22"/>
        <v>0</v>
      </c>
      <c r="S14" s="1">
        <f t="shared" si="23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si="1"/>
        <v>0</v>
      </c>
      <c r="L15" s="1">
        <f t="shared" ca="1" si="24"/>
        <v>0</v>
      </c>
      <c r="M15" s="7">
        <f t="shared" si="2"/>
        <v>0</v>
      </c>
      <c r="N15" s="7">
        <f t="shared" si="3"/>
        <v>0</v>
      </c>
      <c r="O15" s="4">
        <f t="shared" si="4"/>
        <v>0</v>
      </c>
      <c r="P15" s="4">
        <f t="shared" si="5"/>
        <v>0</v>
      </c>
      <c r="Q15" s="1">
        <f t="shared" si="21"/>
        <v>0</v>
      </c>
      <c r="R15" s="1">
        <f t="shared" si="22"/>
        <v>0</v>
      </c>
      <c r="S15" s="1">
        <f t="shared" si="23"/>
        <v>0</v>
      </c>
      <c r="U15">
        <f t="shared" si="9"/>
        <v>0</v>
      </c>
      <c r="V15">
        <f t="shared" si="10"/>
        <v>0</v>
      </c>
      <c r="W15">
        <f t="shared" si="11"/>
        <v>0</v>
      </c>
      <c r="X15">
        <f t="shared" si="12"/>
        <v>0</v>
      </c>
      <c r="Y15">
        <f t="shared" si="13"/>
        <v>0</v>
      </c>
      <c r="Z15">
        <f t="shared" si="14"/>
        <v>0</v>
      </c>
      <c r="AA15">
        <f t="shared" si="15"/>
        <v>0</v>
      </c>
      <c r="AB15">
        <f t="shared" si="16"/>
        <v>0</v>
      </c>
      <c r="AC15">
        <f t="shared" si="17"/>
        <v>0</v>
      </c>
      <c r="AD15">
        <f t="shared" si="18"/>
        <v>0</v>
      </c>
      <c r="AE15">
        <f t="shared" si="19"/>
        <v>0</v>
      </c>
      <c r="AF15">
        <f t="shared" si="20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1"/>
      <c r="J16" s="1"/>
      <c r="K16" s="1">
        <f t="shared" si="1"/>
        <v>0</v>
      </c>
      <c r="L16" s="1">
        <f t="shared" ca="1" si="24"/>
        <v>0</v>
      </c>
      <c r="M16" s="7">
        <f t="shared" si="2"/>
        <v>0</v>
      </c>
      <c r="N16" s="7">
        <f t="shared" si="3"/>
        <v>0</v>
      </c>
      <c r="O16" s="4">
        <f t="shared" si="4"/>
        <v>0</v>
      </c>
      <c r="P16" s="4">
        <f t="shared" si="5"/>
        <v>0</v>
      </c>
      <c r="Q16" s="1">
        <f t="shared" si="21"/>
        <v>0</v>
      </c>
      <c r="R16" s="1">
        <f t="shared" si="22"/>
        <v>0</v>
      </c>
      <c r="S16" s="1">
        <f t="shared" si="23"/>
        <v>0</v>
      </c>
      <c r="U16">
        <f t="shared" si="9"/>
        <v>0</v>
      </c>
      <c r="V16">
        <f t="shared" si="10"/>
        <v>0</v>
      </c>
      <c r="W16">
        <f t="shared" si="11"/>
        <v>0</v>
      </c>
      <c r="X16">
        <f t="shared" si="12"/>
        <v>0</v>
      </c>
      <c r="Y16">
        <f t="shared" si="13"/>
        <v>0</v>
      </c>
      <c r="Z16">
        <f t="shared" si="14"/>
        <v>0</v>
      </c>
      <c r="AA16">
        <f t="shared" si="15"/>
        <v>0</v>
      </c>
      <c r="AB16">
        <f t="shared" si="16"/>
        <v>0</v>
      </c>
      <c r="AC16">
        <f t="shared" si="17"/>
        <v>0</v>
      </c>
      <c r="AD16">
        <f t="shared" si="18"/>
        <v>0</v>
      </c>
      <c r="AE16">
        <f t="shared" si="19"/>
        <v>0</v>
      </c>
      <c r="AF16">
        <f t="shared" si="20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ref="K17:K21" si="25">F17-J17</f>
        <v>0</v>
      </c>
      <c r="L17" s="1">
        <f t="shared" ca="1" si="24"/>
        <v>0</v>
      </c>
      <c r="M17" s="7">
        <f t="shared" ref="M17:M21" si="26">IF(E17="T",G17,0)</f>
        <v>0</v>
      </c>
      <c r="N17" s="7">
        <f t="shared" ref="N17:N21" si="27">IF(E17="T",K17,0)</f>
        <v>0</v>
      </c>
      <c r="O17" s="4">
        <f t="shared" ref="O17:O21" si="28">IF(E17="B",G17,0)</f>
        <v>0</v>
      </c>
      <c r="P17" s="4">
        <f t="shared" ref="P17:P21" si="29">IF(E17="B",K17,0)</f>
        <v>0</v>
      </c>
      <c r="Q17" s="1">
        <f t="shared" si="21"/>
        <v>0</v>
      </c>
      <c r="R17" s="1">
        <f t="shared" si="22"/>
        <v>0</v>
      </c>
      <c r="S17" s="1">
        <f t="shared" si="23"/>
        <v>0</v>
      </c>
      <c r="U17">
        <f t="shared" ref="U17:U21" si="30">IF(C17=1,1,0)</f>
        <v>0</v>
      </c>
      <c r="V17">
        <f t="shared" ref="V17:V21" si="31">IF(C17=2,1,0)</f>
        <v>0</v>
      </c>
      <c r="W17">
        <f t="shared" ref="W17:W21" si="32">IF(C17=3,1,0)</f>
        <v>0</v>
      </c>
      <c r="X17">
        <f t="shared" ref="X17:X21" si="33">IF(C17=4,1,0)</f>
        <v>0</v>
      </c>
      <c r="Y17">
        <f t="shared" ref="Y17:Y21" si="34">IF(C17=5,1,0)</f>
        <v>0</v>
      </c>
      <c r="Z17">
        <f t="shared" ref="Z17:Z21" si="35">IF(C17=6,1,0)</f>
        <v>0</v>
      </c>
      <c r="AA17">
        <f t="shared" ref="AA17:AA21" si="36">IF(C17=7,1,0)</f>
        <v>0</v>
      </c>
      <c r="AB17">
        <f t="shared" ref="AB17:AB21" si="37">IF(C17=8,1,0)</f>
        <v>0</v>
      </c>
      <c r="AC17">
        <f t="shared" ref="AC17:AC21" si="38">IF(C17=9,1,0)</f>
        <v>0</v>
      </c>
      <c r="AD17">
        <f t="shared" ref="AD17:AD21" si="39">IF(C17=10,1,0)</f>
        <v>0</v>
      </c>
      <c r="AE17">
        <f t="shared" ref="AE17:AE21" si="40">IF(C17="SILO",1,0)</f>
        <v>0</v>
      </c>
      <c r="AF17">
        <f t="shared" ref="AF17:AF21" si="41">IF(C17="CB",1,0)</f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3"/>
      <c r="J18" s="1"/>
      <c r="K18" s="1">
        <f t="shared" si="25"/>
        <v>0</v>
      </c>
      <c r="L18" s="1">
        <f t="shared" ca="1" si="24"/>
        <v>0</v>
      </c>
      <c r="M18" s="7">
        <f t="shared" si="26"/>
        <v>0</v>
      </c>
      <c r="N18" s="7">
        <f t="shared" si="27"/>
        <v>0</v>
      </c>
      <c r="O18" s="4">
        <f t="shared" si="28"/>
        <v>0</v>
      </c>
      <c r="P18" s="4">
        <f t="shared" si="29"/>
        <v>0</v>
      </c>
      <c r="Q18" s="1">
        <f t="shared" si="21"/>
        <v>0</v>
      </c>
      <c r="R18" s="1">
        <f t="shared" si="22"/>
        <v>0</v>
      </c>
      <c r="S18" s="1">
        <f t="shared" si="23"/>
        <v>0</v>
      </c>
      <c r="U18">
        <f t="shared" si="30"/>
        <v>0</v>
      </c>
      <c r="V18">
        <f t="shared" si="31"/>
        <v>0</v>
      </c>
      <c r="W18">
        <f t="shared" si="32"/>
        <v>0</v>
      </c>
      <c r="X18">
        <f t="shared" si="33"/>
        <v>0</v>
      </c>
      <c r="Y18">
        <f t="shared" si="34"/>
        <v>0</v>
      </c>
      <c r="Z18">
        <f t="shared" si="35"/>
        <v>0</v>
      </c>
      <c r="AA18">
        <f t="shared" si="36"/>
        <v>0</v>
      </c>
      <c r="AB18">
        <f t="shared" si="37"/>
        <v>0</v>
      </c>
      <c r="AC18">
        <f t="shared" si="38"/>
        <v>0</v>
      </c>
      <c r="AD18">
        <f t="shared" si="39"/>
        <v>0</v>
      </c>
      <c r="AE18">
        <f t="shared" si="40"/>
        <v>0</v>
      </c>
      <c r="AF18">
        <f t="shared" si="41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si="25"/>
        <v>0</v>
      </c>
      <c r="L19" s="1">
        <f ca="1">IF(F19=0,0,(TODAY()-A19))</f>
        <v>0</v>
      </c>
      <c r="M19" s="7">
        <f t="shared" si="26"/>
        <v>0</v>
      </c>
      <c r="N19" s="7">
        <f t="shared" si="27"/>
        <v>0</v>
      </c>
      <c r="O19" s="4">
        <f t="shared" si="28"/>
        <v>0</v>
      </c>
      <c r="P19" s="4">
        <f t="shared" si="29"/>
        <v>0</v>
      </c>
      <c r="Q19" s="1">
        <f t="shared" si="21"/>
        <v>0</v>
      </c>
      <c r="R19" s="1">
        <f t="shared" si="22"/>
        <v>0</v>
      </c>
      <c r="S19" s="1">
        <f t="shared" si="23"/>
        <v>0</v>
      </c>
      <c r="U19">
        <f t="shared" si="30"/>
        <v>0</v>
      </c>
      <c r="V19">
        <f t="shared" si="31"/>
        <v>0</v>
      </c>
      <c r="W19">
        <f t="shared" si="32"/>
        <v>0</v>
      </c>
      <c r="X19">
        <f t="shared" si="33"/>
        <v>0</v>
      </c>
      <c r="Y19">
        <f t="shared" si="34"/>
        <v>0</v>
      </c>
      <c r="Z19">
        <f t="shared" si="35"/>
        <v>0</v>
      </c>
      <c r="AA19">
        <f t="shared" si="36"/>
        <v>0</v>
      </c>
      <c r="AB19">
        <f t="shared" si="37"/>
        <v>0</v>
      </c>
      <c r="AC19">
        <f t="shared" si="38"/>
        <v>0</v>
      </c>
      <c r="AD19">
        <f t="shared" si="39"/>
        <v>0</v>
      </c>
      <c r="AE19">
        <f t="shared" si="40"/>
        <v>0</v>
      </c>
      <c r="AF19">
        <f t="shared" si="41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25"/>
        <v>0</v>
      </c>
      <c r="L20" s="1">
        <f t="shared" ref="L20:L21" ca="1" si="42">IF(F20=0,0,(TODAY()-A20))</f>
        <v>0</v>
      </c>
      <c r="M20" s="7">
        <f t="shared" si="26"/>
        <v>0</v>
      </c>
      <c r="N20" s="7">
        <f t="shared" si="27"/>
        <v>0</v>
      </c>
      <c r="O20" s="4">
        <f t="shared" si="28"/>
        <v>0</v>
      </c>
      <c r="P20" s="4">
        <f t="shared" si="29"/>
        <v>0</v>
      </c>
      <c r="Q20" s="1">
        <f t="shared" si="21"/>
        <v>0</v>
      </c>
      <c r="R20" s="1">
        <f t="shared" si="22"/>
        <v>0</v>
      </c>
      <c r="S20" s="1">
        <f t="shared" si="23"/>
        <v>0</v>
      </c>
      <c r="U20">
        <f t="shared" si="30"/>
        <v>0</v>
      </c>
      <c r="V20">
        <f t="shared" si="31"/>
        <v>0</v>
      </c>
      <c r="W20">
        <f t="shared" si="32"/>
        <v>0</v>
      </c>
      <c r="X20">
        <f t="shared" si="33"/>
        <v>0</v>
      </c>
      <c r="Y20">
        <f t="shared" si="34"/>
        <v>0</v>
      </c>
      <c r="Z20">
        <f t="shared" si="35"/>
        <v>0</v>
      </c>
      <c r="AA20">
        <f t="shared" si="36"/>
        <v>0</v>
      </c>
      <c r="AB20">
        <f t="shared" si="37"/>
        <v>0</v>
      </c>
      <c r="AC20">
        <f t="shared" si="38"/>
        <v>0</v>
      </c>
      <c r="AD20">
        <f t="shared" si="39"/>
        <v>0</v>
      </c>
      <c r="AE20">
        <f t="shared" si="40"/>
        <v>0</v>
      </c>
      <c r="AF20">
        <f t="shared" si="41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25"/>
        <v>0</v>
      </c>
      <c r="L21" s="1">
        <f t="shared" ca="1" si="42"/>
        <v>0</v>
      </c>
      <c r="M21" s="7">
        <f t="shared" si="26"/>
        <v>0</v>
      </c>
      <c r="N21" s="7">
        <f t="shared" si="27"/>
        <v>0</v>
      </c>
      <c r="O21" s="4">
        <f t="shared" si="28"/>
        <v>0</v>
      </c>
      <c r="P21" s="4">
        <f t="shared" si="29"/>
        <v>0</v>
      </c>
      <c r="Q21" s="1">
        <f t="shared" si="21"/>
        <v>0</v>
      </c>
      <c r="R21" s="1">
        <f t="shared" si="22"/>
        <v>0</v>
      </c>
      <c r="S21" s="1">
        <f t="shared" si="23"/>
        <v>0</v>
      </c>
      <c r="U21">
        <f t="shared" si="30"/>
        <v>0</v>
      </c>
      <c r="V21">
        <f t="shared" si="31"/>
        <v>0</v>
      </c>
      <c r="W21">
        <f t="shared" si="32"/>
        <v>0</v>
      </c>
      <c r="X21">
        <f t="shared" si="33"/>
        <v>0</v>
      </c>
      <c r="Y21">
        <f t="shared" si="34"/>
        <v>0</v>
      </c>
      <c r="Z21">
        <f t="shared" si="35"/>
        <v>0</v>
      </c>
      <c r="AA21">
        <f t="shared" si="36"/>
        <v>0</v>
      </c>
      <c r="AB21">
        <f t="shared" si="37"/>
        <v>0</v>
      </c>
      <c r="AC21">
        <f t="shared" si="38"/>
        <v>0</v>
      </c>
      <c r="AD21">
        <f t="shared" si="39"/>
        <v>0</v>
      </c>
      <c r="AE21">
        <f t="shared" si="40"/>
        <v>0</v>
      </c>
      <c r="AF21">
        <f t="shared" si="41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1">
        <f t="shared" si="1"/>
        <v>0</v>
      </c>
      <c r="L22" s="1">
        <f t="shared" ca="1" si="24"/>
        <v>0</v>
      </c>
      <c r="M22" s="7">
        <f t="shared" si="2"/>
        <v>0</v>
      </c>
      <c r="N22" s="7">
        <f t="shared" si="3"/>
        <v>0</v>
      </c>
      <c r="O22" s="4">
        <f t="shared" si="4"/>
        <v>0</v>
      </c>
      <c r="P22" s="4">
        <f t="shared" si="5"/>
        <v>0</v>
      </c>
      <c r="Q22" s="1">
        <f t="shared" si="21"/>
        <v>0</v>
      </c>
      <c r="R22" s="1">
        <f t="shared" si="22"/>
        <v>0</v>
      </c>
      <c r="S22" s="1">
        <f t="shared" si="23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12014</v>
      </c>
      <c r="G23" s="4"/>
      <c r="H23" s="4"/>
      <c r="I23" s="7"/>
      <c r="J23" s="8" t="s">
        <v>20</v>
      </c>
      <c r="K23" s="1">
        <f>SUM(K6:K22)</f>
        <v>12014</v>
      </c>
      <c r="L23" s="26">
        <f>IF(U$23&gt;=1,1,0)</f>
        <v>0</v>
      </c>
      <c r="N23">
        <f t="shared" si="3"/>
        <v>0</v>
      </c>
      <c r="P23">
        <f t="shared" si="5"/>
        <v>0</v>
      </c>
      <c r="U23">
        <f>SUM(U6:U22)</f>
        <v>0</v>
      </c>
      <c r="V23">
        <f t="shared" ref="V23:AF23" si="43">SUM(V6:V22)</f>
        <v>0</v>
      </c>
      <c r="W23">
        <f t="shared" si="43"/>
        <v>0</v>
      </c>
      <c r="X23">
        <f t="shared" si="43"/>
        <v>0</v>
      </c>
      <c r="Y23">
        <f t="shared" si="43"/>
        <v>0</v>
      </c>
      <c r="Z23">
        <f t="shared" si="43"/>
        <v>0</v>
      </c>
      <c r="AA23">
        <f t="shared" si="43"/>
        <v>0</v>
      </c>
      <c r="AB23">
        <f t="shared" si="43"/>
        <v>1</v>
      </c>
      <c r="AC23">
        <f t="shared" si="43"/>
        <v>0</v>
      </c>
      <c r="AD23">
        <f t="shared" si="43"/>
        <v>0</v>
      </c>
      <c r="AE23">
        <f t="shared" si="43"/>
        <v>3</v>
      </c>
      <c r="AF23">
        <f t="shared" si="43"/>
        <v>0</v>
      </c>
    </row>
    <row r="24" spans="1:32" x14ac:dyDescent="0.35">
      <c r="J24" s="8" t="s">
        <v>21</v>
      </c>
      <c r="K24" s="5">
        <f>SUMPRODUCT(K6:K22,G6:G22)/SUM(K6:K22)</f>
        <v>3102.4666567640165</v>
      </c>
      <c r="L24" s="26">
        <f>IF(V$23&gt;=1,1,0)</f>
        <v>0</v>
      </c>
    </row>
    <row r="25" spans="1:32" x14ac:dyDescent="0.35">
      <c r="J25" s="8" t="s">
        <v>11</v>
      </c>
      <c r="K25" s="5">
        <f>SUMPRODUCT(M6:M22,N6:N22)/SUM(N6:N22)</f>
        <v>3153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3348</v>
      </c>
      <c r="L26" s="26">
        <f>IF(X$23&gt;=1,1,0)</f>
        <v>0</v>
      </c>
    </row>
    <row r="27" spans="1:32" x14ac:dyDescent="0.35">
      <c r="J27" s="8" t="s">
        <v>22</v>
      </c>
      <c r="K27" s="5">
        <f>SUMPRODUCT(O6:O22,P6:P22)/SUM(P6:P22)</f>
        <v>3082.9437357907786</v>
      </c>
      <c r="L27" s="26">
        <f>IF(Y$23&gt;=1,1,0)</f>
        <v>0</v>
      </c>
    </row>
    <row r="28" spans="1:32" x14ac:dyDescent="0.35">
      <c r="J28" s="8" t="s">
        <v>23</v>
      </c>
      <c r="K28" s="5">
        <f>SUM(P6:P22)</f>
        <v>8666</v>
      </c>
      <c r="L28" s="26">
        <f>IF(Z$23&gt;=1,1,0)</f>
        <v>0</v>
      </c>
    </row>
    <row r="29" spans="1:32" x14ac:dyDescent="0.35">
      <c r="J29" s="8" t="s">
        <v>24</v>
      </c>
      <c r="K29" s="1">
        <f ca="1">MAX(L6:L22)</f>
        <v>69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68</v>
      </c>
      <c r="L30" s="26">
        <f>IF(AB$23&gt;=1,1,0)</f>
        <v>1</v>
      </c>
    </row>
    <row r="31" spans="1:32" x14ac:dyDescent="0.35">
      <c r="J31" s="8" t="s">
        <v>528</v>
      </c>
      <c r="K31" s="1">
        <f>SUM(Q6:Q22)</f>
        <v>0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8364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3650</v>
      </c>
      <c r="L33" s="26">
        <f>IF(AE$23&gt;=1,1,0)</f>
        <v>1</v>
      </c>
    </row>
    <row r="34" spans="10:12" x14ac:dyDescent="0.35">
      <c r="L34" s="26">
        <f>IF(AF$23&gt;=1,1,0)</f>
        <v>0</v>
      </c>
    </row>
  </sheetData>
  <conditionalFormatting sqref="G10:G11">
    <cfRule type="cellIs" dxfId="275" priority="127" operator="greaterThan">
      <formula>3600</formula>
    </cfRule>
  </conditionalFormatting>
  <conditionalFormatting sqref="G10:H23">
    <cfRule type="cellIs" dxfId="274" priority="21" operator="between">
      <formula>2500</formula>
      <formula>2000</formula>
    </cfRule>
    <cfRule type="cellIs" dxfId="273" priority="22" operator="between">
      <formula>2500</formula>
      <formula>3000</formula>
    </cfRule>
    <cfRule type="cellIs" dxfId="272" priority="23" operator="between">
      <formula>3000</formula>
      <formula>3200</formula>
    </cfRule>
    <cfRule type="cellIs" dxfId="271" priority="25" operator="between">
      <formula>3200</formula>
      <formula>3600</formula>
    </cfRule>
  </conditionalFormatting>
  <conditionalFormatting sqref="G12:H23">
    <cfRule type="cellIs" dxfId="270" priority="109" operator="greaterThan">
      <formula>3600</formula>
    </cfRule>
  </conditionalFormatting>
  <conditionalFormatting sqref="H6:H9">
    <cfRule type="cellIs" dxfId="269" priority="1" operator="between">
      <formula>2500</formula>
      <formula>2000</formula>
    </cfRule>
    <cfRule type="cellIs" dxfId="268" priority="2" operator="between">
      <formula>2500</formula>
      <formula>3000</formula>
    </cfRule>
    <cfRule type="cellIs" dxfId="267" priority="3" operator="between">
      <formula>3000</formula>
      <formula>3200</formula>
    </cfRule>
    <cfRule type="cellIs" dxfId="266" priority="5" operator="between">
      <formula>3200</formula>
      <formula>3600</formula>
    </cfRule>
  </conditionalFormatting>
  <conditionalFormatting sqref="H6:H11">
    <cfRule type="cellIs" dxfId="265" priority="4" operator="greaterThan">
      <formula>3600</formula>
    </cfRule>
  </conditionalFormatting>
  <conditionalFormatting sqref="K25">
    <cfRule type="cellIs" dxfId="264" priority="134" operator="lessThan">
      <formula>2500</formula>
    </cfRule>
    <cfRule type="cellIs" dxfId="263" priority="135" operator="between">
      <formula>2500</formula>
      <formula>3000</formula>
    </cfRule>
    <cfRule type="cellIs" dxfId="262" priority="136" operator="between">
      <formula>3000</formula>
      <formula>3200</formula>
    </cfRule>
    <cfRule type="cellIs" dxfId="261" priority="137" operator="greaterThan">
      <formula>3600</formula>
    </cfRule>
    <cfRule type="cellIs" dxfId="260" priority="138" operator="between">
      <formula>3200</formula>
      <formula>3600</formula>
    </cfRule>
  </conditionalFormatting>
  <conditionalFormatting sqref="K27">
    <cfRule type="cellIs" dxfId="259" priority="129" operator="lessThan">
      <formula>2500</formula>
    </cfRule>
    <cfRule type="cellIs" dxfId="258" priority="130" operator="between">
      <formula>2500</formula>
      <formula>3000</formula>
    </cfRule>
    <cfRule type="cellIs" dxfId="257" priority="131" operator="between">
      <formula>3000</formula>
      <formula>3200</formula>
    </cfRule>
    <cfRule type="cellIs" dxfId="256" priority="132" operator="greaterThan">
      <formula>3600</formula>
    </cfRule>
    <cfRule type="cellIs" dxfId="255" priority="133" operator="between">
      <formula>3200</formula>
      <formula>3600</formula>
    </cfRule>
  </conditionalFormatting>
  <conditionalFormatting sqref="L6:L34">
    <cfRule type="cellIs" dxfId="254" priority="111" operator="greaterThan">
      <formula>10</formula>
    </cfRule>
  </conditionalFormatting>
  <hyperlinks>
    <hyperlink ref="A3" location="'summery '!A1" display="summery " xr:uid="{00000000-0004-0000-0D00-000000000000}"/>
  </hyperlinks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AF32"/>
  <sheetViews>
    <sheetView topLeftCell="B1" zoomScale="42" zoomScaleNormal="42" workbookViewId="0">
      <selection activeCell="J29" sqref="J29:J31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3.45312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3" width="13.7265625" customWidth="1"/>
    <col min="14" max="14" width="17.6328125" customWidth="1"/>
    <col min="15" max="15" width="16" customWidth="1"/>
    <col min="16" max="16" width="14.7265625" customWidth="1"/>
    <col min="17" max="17" width="18.54296875" customWidth="1"/>
    <col min="18" max="18" width="19.81640625" customWidth="1"/>
    <col min="19" max="19" width="17" customWidth="1"/>
    <col min="20" max="33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</row>
    <row r="6" spans="1:32" ht="15.5" x14ac:dyDescent="0.35">
      <c r="A6" s="3">
        <v>45615</v>
      </c>
      <c r="B6" s="1">
        <v>34</v>
      </c>
      <c r="C6" s="1">
        <v>6</v>
      </c>
      <c r="D6" s="1">
        <v>1</v>
      </c>
      <c r="E6" s="1" t="s">
        <v>18</v>
      </c>
      <c r="F6" s="1">
        <v>3752</v>
      </c>
      <c r="G6" s="19">
        <v>3355.3533826798071</v>
      </c>
      <c r="H6" s="1" t="s">
        <v>46</v>
      </c>
      <c r="I6" s="3"/>
      <c r="J6" s="1"/>
      <c r="K6" s="1">
        <f t="shared" ref="K6:K20" si="0">F6-J6</f>
        <v>3752</v>
      </c>
      <c r="L6" s="1">
        <f t="shared" ref="L6:L9" ca="1" si="1">IF(F6=0,0,(TODAY()-A6))</f>
        <v>73</v>
      </c>
      <c r="M6" s="5">
        <f t="shared" ref="M6:M11" si="2">IF(E6="T",G6,0)</f>
        <v>0</v>
      </c>
      <c r="N6" s="5">
        <f t="shared" ref="N6:N21" si="3">IF(E6="T",K6,0)</f>
        <v>0</v>
      </c>
      <c r="O6" s="5">
        <f t="shared" ref="O6:O11" si="4">IF(E6="B",G6,0)</f>
        <v>3355.3533826798071</v>
      </c>
      <c r="P6" s="5">
        <f t="shared" ref="P6:P21" si="5">IF(E6="B",K6,0)</f>
        <v>3752</v>
      </c>
      <c r="Q6" s="1">
        <f>IF(G6&gt;3500,K6,0)</f>
        <v>0</v>
      </c>
      <c r="R6" s="1">
        <f>IF(AND(G6&gt;=3100,G6&lt;=3500),K6,0)</f>
        <v>3752</v>
      </c>
      <c r="S6" s="1">
        <f>IF(G6&lt;3100,K6,0)</f>
        <v>0</v>
      </c>
      <c r="U6">
        <f t="shared" ref="U6:U20" si="6">IF(C6=1,1,0)</f>
        <v>0</v>
      </c>
      <c r="V6">
        <f t="shared" ref="V6:V20" si="7">IF(C6=2,1,0)</f>
        <v>0</v>
      </c>
      <c r="W6">
        <f t="shared" ref="W6:W20" si="8">IF(C6=3,1,0)</f>
        <v>0</v>
      </c>
      <c r="X6">
        <f t="shared" ref="X6:X20" si="9">IF(C6=4,1,0)</f>
        <v>0</v>
      </c>
      <c r="Y6">
        <f t="shared" ref="Y6:Y20" si="10">IF(C6=5,1,0)</f>
        <v>0</v>
      </c>
      <c r="Z6">
        <f t="shared" ref="Z6:Z20" si="11">IF(C6=6,1,0)</f>
        <v>1</v>
      </c>
      <c r="AA6">
        <f t="shared" ref="AA6:AA20" si="12">IF(C6=7,1,0)</f>
        <v>0</v>
      </c>
      <c r="AB6">
        <f t="shared" ref="AB6:AB20" si="13">IF(C6=8,1,0)</f>
        <v>0</v>
      </c>
      <c r="AC6">
        <f t="shared" ref="AC6:AC20" si="14">IF(C6=9,1,0)</f>
        <v>0</v>
      </c>
      <c r="AD6">
        <f t="shared" ref="AD6:AD20" si="15">IF(C6=10,1,0)</f>
        <v>0</v>
      </c>
      <c r="AE6">
        <f t="shared" ref="AE6:AE20" si="16">IF(C6="SILO",1,0)</f>
        <v>0</v>
      </c>
      <c r="AF6">
        <f t="shared" ref="AF6:AF20" si="17">IF(C6="CB",1,0)</f>
        <v>0</v>
      </c>
    </row>
    <row r="7" spans="1:32" x14ac:dyDescent="0.35">
      <c r="A7" s="3">
        <v>45615</v>
      </c>
      <c r="B7" s="1">
        <v>37</v>
      </c>
      <c r="C7" s="1">
        <v>4</v>
      </c>
      <c r="D7" s="1">
        <v>2</v>
      </c>
      <c r="E7" s="1" t="s">
        <v>18</v>
      </c>
      <c r="F7" s="1">
        <v>3900</v>
      </c>
      <c r="G7" s="70">
        <v>2641.1595206722686</v>
      </c>
      <c r="H7" s="1" t="s">
        <v>46</v>
      </c>
      <c r="I7" s="1"/>
      <c r="J7" s="1"/>
      <c r="K7" s="1">
        <f t="shared" si="0"/>
        <v>3900</v>
      </c>
      <c r="L7" s="1">
        <f t="shared" ca="1" si="1"/>
        <v>73</v>
      </c>
      <c r="M7" s="5">
        <f t="shared" si="2"/>
        <v>0</v>
      </c>
      <c r="N7" s="5">
        <f t="shared" si="3"/>
        <v>0</v>
      </c>
      <c r="O7" s="5">
        <f t="shared" si="4"/>
        <v>2641.1595206722686</v>
      </c>
      <c r="P7" s="5">
        <f t="shared" si="5"/>
        <v>3900</v>
      </c>
      <c r="Q7" s="1">
        <f t="shared" ref="Q7:Q8" si="18">IF(G7&gt;3500,K7,0)</f>
        <v>0</v>
      </c>
      <c r="R7" s="1">
        <f t="shared" ref="R7:R8" si="19">IF(AND(G7&gt;=3100,G7&lt;=3500),K7,0)</f>
        <v>0</v>
      </c>
      <c r="S7" s="1">
        <f t="shared" ref="S7:S8" si="20">IF(G7&lt;3100,K7,0)</f>
        <v>3900</v>
      </c>
      <c r="U7">
        <f t="shared" si="6"/>
        <v>0</v>
      </c>
      <c r="V7">
        <f t="shared" si="7"/>
        <v>0</v>
      </c>
      <c r="W7">
        <f t="shared" si="8"/>
        <v>0</v>
      </c>
      <c r="X7">
        <f t="shared" si="9"/>
        <v>1</v>
      </c>
      <c r="Y7">
        <f t="shared" si="10"/>
        <v>0</v>
      </c>
      <c r="Z7">
        <f t="shared" si="11"/>
        <v>0</v>
      </c>
      <c r="AA7">
        <f t="shared" si="12"/>
        <v>0</v>
      </c>
      <c r="AB7">
        <f t="shared" si="13"/>
        <v>0</v>
      </c>
      <c r="AC7">
        <f t="shared" si="14"/>
        <v>0</v>
      </c>
      <c r="AD7">
        <f t="shared" si="15"/>
        <v>0</v>
      </c>
      <c r="AE7">
        <f t="shared" si="16"/>
        <v>0</v>
      </c>
      <c r="AF7">
        <f t="shared" si="17"/>
        <v>0</v>
      </c>
    </row>
    <row r="8" spans="1:32" ht="15.5" x14ac:dyDescent="0.35">
      <c r="A8" s="3">
        <v>45616</v>
      </c>
      <c r="B8" s="1">
        <v>38</v>
      </c>
      <c r="C8" s="1">
        <v>6</v>
      </c>
      <c r="D8" s="1">
        <v>1</v>
      </c>
      <c r="E8" s="1" t="s">
        <v>18</v>
      </c>
      <c r="F8" s="1">
        <v>3800</v>
      </c>
      <c r="G8" s="19">
        <v>3631.1160661864492</v>
      </c>
      <c r="H8" s="1" t="s">
        <v>46</v>
      </c>
      <c r="I8" s="3"/>
      <c r="J8" s="1"/>
      <c r="K8" s="1">
        <f t="shared" si="0"/>
        <v>3800</v>
      </c>
      <c r="L8" s="1">
        <f t="shared" ca="1" si="1"/>
        <v>72</v>
      </c>
      <c r="M8" s="5">
        <f t="shared" si="2"/>
        <v>0</v>
      </c>
      <c r="N8" s="5">
        <f t="shared" si="3"/>
        <v>0</v>
      </c>
      <c r="O8" s="5">
        <f t="shared" si="4"/>
        <v>3631.1160661864492</v>
      </c>
      <c r="P8" s="5">
        <f t="shared" si="5"/>
        <v>3800</v>
      </c>
      <c r="Q8" s="1">
        <f t="shared" si="18"/>
        <v>3800</v>
      </c>
      <c r="R8" s="1">
        <f t="shared" si="19"/>
        <v>0</v>
      </c>
      <c r="S8" s="1">
        <f t="shared" si="20"/>
        <v>0</v>
      </c>
      <c r="U8">
        <f t="shared" si="6"/>
        <v>0</v>
      </c>
      <c r="V8">
        <f t="shared" si="7"/>
        <v>0</v>
      </c>
      <c r="W8">
        <f t="shared" si="8"/>
        <v>0</v>
      </c>
      <c r="X8">
        <f t="shared" si="9"/>
        <v>0</v>
      </c>
      <c r="Y8">
        <f t="shared" si="10"/>
        <v>0</v>
      </c>
      <c r="Z8">
        <f t="shared" si="11"/>
        <v>1</v>
      </c>
      <c r="AA8">
        <f t="shared" si="12"/>
        <v>0</v>
      </c>
      <c r="AB8">
        <f t="shared" si="13"/>
        <v>0</v>
      </c>
      <c r="AC8">
        <f t="shared" si="14"/>
        <v>0</v>
      </c>
      <c r="AD8">
        <f t="shared" si="15"/>
        <v>0</v>
      </c>
      <c r="AE8">
        <f t="shared" si="16"/>
        <v>0</v>
      </c>
      <c r="AF8">
        <f t="shared" si="17"/>
        <v>0</v>
      </c>
    </row>
    <row r="9" spans="1:32" ht="15.5" x14ac:dyDescent="0.35">
      <c r="A9" s="3">
        <v>45617</v>
      </c>
      <c r="B9" s="1">
        <v>41</v>
      </c>
      <c r="C9" s="1">
        <v>6</v>
      </c>
      <c r="D9" s="1">
        <v>1</v>
      </c>
      <c r="E9" s="1" t="s">
        <v>19</v>
      </c>
      <c r="F9" s="1">
        <v>2729</v>
      </c>
      <c r="G9" s="19">
        <v>3623.3699968740229</v>
      </c>
      <c r="H9" s="1" t="s">
        <v>46</v>
      </c>
      <c r="I9" s="3"/>
      <c r="J9" s="1"/>
      <c r="K9" s="1">
        <f t="shared" si="0"/>
        <v>2729</v>
      </c>
      <c r="L9" s="1">
        <f t="shared" ca="1" si="1"/>
        <v>71</v>
      </c>
      <c r="M9" s="5">
        <f t="shared" si="2"/>
        <v>3623.3699968740229</v>
      </c>
      <c r="N9" s="5">
        <f t="shared" si="3"/>
        <v>2729</v>
      </c>
      <c r="O9" s="5">
        <f t="shared" si="4"/>
        <v>0</v>
      </c>
      <c r="P9" s="5">
        <f t="shared" si="5"/>
        <v>0</v>
      </c>
      <c r="Q9" s="1">
        <f t="shared" ref="Q9:Q20" si="21">IF(G9&gt;3500,K9,0)</f>
        <v>2729</v>
      </c>
      <c r="R9" s="1">
        <f t="shared" ref="R9:R20" si="22">IF(AND(G9&gt;=3100,G9&lt;=3500),K9,0)</f>
        <v>0</v>
      </c>
      <c r="S9" s="1">
        <f t="shared" ref="S9:S20" si="23">IF(G9&lt;3100,K9,0)</f>
        <v>0</v>
      </c>
      <c r="U9">
        <f t="shared" si="6"/>
        <v>0</v>
      </c>
      <c r="V9">
        <f t="shared" si="7"/>
        <v>0</v>
      </c>
      <c r="W9">
        <f t="shared" si="8"/>
        <v>0</v>
      </c>
      <c r="X9">
        <f t="shared" si="9"/>
        <v>0</v>
      </c>
      <c r="Y9">
        <f t="shared" si="10"/>
        <v>0</v>
      </c>
      <c r="Z9">
        <f t="shared" si="11"/>
        <v>1</v>
      </c>
      <c r="AA9">
        <f t="shared" si="12"/>
        <v>0</v>
      </c>
      <c r="AB9">
        <f t="shared" si="13"/>
        <v>0</v>
      </c>
      <c r="AC9">
        <f t="shared" si="14"/>
        <v>0</v>
      </c>
      <c r="AD9">
        <f t="shared" si="15"/>
        <v>0</v>
      </c>
      <c r="AE9">
        <f t="shared" si="16"/>
        <v>0</v>
      </c>
      <c r="AF9">
        <f t="shared" si="17"/>
        <v>0</v>
      </c>
    </row>
    <row r="10" spans="1:32" ht="15.5" x14ac:dyDescent="0.35">
      <c r="A10" s="3">
        <v>45620</v>
      </c>
      <c r="B10" s="1">
        <v>48</v>
      </c>
      <c r="C10" s="1">
        <v>6</v>
      </c>
      <c r="D10" s="1">
        <v>1</v>
      </c>
      <c r="E10" s="1" t="s">
        <v>19</v>
      </c>
      <c r="F10" s="1">
        <v>4086</v>
      </c>
      <c r="G10" s="19">
        <v>2991.2317112085161</v>
      </c>
      <c r="H10" s="1" t="s">
        <v>46</v>
      </c>
      <c r="I10" s="3"/>
      <c r="J10" s="1"/>
      <c r="K10" s="1">
        <f t="shared" si="0"/>
        <v>4086</v>
      </c>
      <c r="L10" s="1">
        <f ca="1">IF(F10=0,0,(TODAY()-A10))</f>
        <v>68</v>
      </c>
      <c r="M10" s="5">
        <f t="shared" si="2"/>
        <v>2991.2317112085161</v>
      </c>
      <c r="N10" s="5">
        <f t="shared" si="3"/>
        <v>4086</v>
      </c>
      <c r="O10" s="5">
        <f t="shared" si="4"/>
        <v>0</v>
      </c>
      <c r="P10" s="5">
        <f t="shared" si="5"/>
        <v>0</v>
      </c>
      <c r="Q10" s="1">
        <f t="shared" si="21"/>
        <v>0</v>
      </c>
      <c r="R10" s="1">
        <f t="shared" si="22"/>
        <v>0</v>
      </c>
      <c r="S10" s="1">
        <f t="shared" si="23"/>
        <v>4086</v>
      </c>
      <c r="U10">
        <f t="shared" si="6"/>
        <v>0</v>
      </c>
      <c r="V10">
        <f t="shared" si="7"/>
        <v>0</v>
      </c>
      <c r="W10">
        <f t="shared" si="8"/>
        <v>0</v>
      </c>
      <c r="X10">
        <f t="shared" si="9"/>
        <v>0</v>
      </c>
      <c r="Y10">
        <f t="shared" si="10"/>
        <v>0</v>
      </c>
      <c r="Z10">
        <f t="shared" si="11"/>
        <v>1</v>
      </c>
      <c r="AA10">
        <f t="shared" si="12"/>
        <v>0</v>
      </c>
      <c r="AB10">
        <f t="shared" si="13"/>
        <v>0</v>
      </c>
      <c r="AC10">
        <f t="shared" si="14"/>
        <v>0</v>
      </c>
      <c r="AD10">
        <f t="shared" si="15"/>
        <v>0</v>
      </c>
      <c r="AE10">
        <f t="shared" si="16"/>
        <v>0</v>
      </c>
      <c r="AF10">
        <f t="shared" si="17"/>
        <v>0</v>
      </c>
    </row>
    <row r="11" spans="1:32" x14ac:dyDescent="0.35">
      <c r="A11" s="3">
        <v>45621</v>
      </c>
      <c r="B11" s="1">
        <v>51</v>
      </c>
      <c r="C11" s="1">
        <v>6</v>
      </c>
      <c r="D11" s="1">
        <v>1</v>
      </c>
      <c r="E11" s="1" t="s">
        <v>19</v>
      </c>
      <c r="F11" s="1">
        <v>3358</v>
      </c>
      <c r="G11" s="5">
        <v>3417</v>
      </c>
      <c r="H11" s="1" t="s">
        <v>46</v>
      </c>
      <c r="I11" s="3"/>
      <c r="J11" s="1"/>
      <c r="K11" s="1">
        <f t="shared" si="0"/>
        <v>3358</v>
      </c>
      <c r="L11" s="1">
        <f t="shared" ref="L11:L20" ca="1" si="24">IF(F11=0,0,(TODAY()-A11))</f>
        <v>67</v>
      </c>
      <c r="M11" s="5">
        <f t="shared" si="2"/>
        <v>3417</v>
      </c>
      <c r="N11" s="5">
        <f t="shared" si="3"/>
        <v>3358</v>
      </c>
      <c r="O11" s="5">
        <f t="shared" si="4"/>
        <v>0</v>
      </c>
      <c r="P11" s="5">
        <f t="shared" si="5"/>
        <v>0</v>
      </c>
      <c r="Q11" s="1">
        <f t="shared" si="21"/>
        <v>0</v>
      </c>
      <c r="R11" s="1">
        <f t="shared" si="22"/>
        <v>3358</v>
      </c>
      <c r="S11" s="1">
        <f t="shared" si="23"/>
        <v>0</v>
      </c>
      <c r="U11">
        <f t="shared" si="6"/>
        <v>0</v>
      </c>
      <c r="V11">
        <f t="shared" si="7"/>
        <v>0</v>
      </c>
      <c r="W11">
        <f t="shared" si="8"/>
        <v>0</v>
      </c>
      <c r="X11">
        <f t="shared" si="9"/>
        <v>0</v>
      </c>
      <c r="Y11">
        <f t="shared" si="10"/>
        <v>0</v>
      </c>
      <c r="Z11">
        <f t="shared" si="11"/>
        <v>1</v>
      </c>
      <c r="AA11">
        <f t="shared" si="12"/>
        <v>0</v>
      </c>
      <c r="AB11">
        <f t="shared" si="13"/>
        <v>0</v>
      </c>
      <c r="AC11">
        <f t="shared" si="14"/>
        <v>0</v>
      </c>
      <c r="AD11">
        <f t="shared" si="15"/>
        <v>0</v>
      </c>
      <c r="AE11">
        <f t="shared" si="16"/>
        <v>0</v>
      </c>
      <c r="AF11">
        <f t="shared" si="17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1"/>
      <c r="I12" s="3"/>
      <c r="J12" s="1"/>
      <c r="K12" s="1">
        <f t="shared" si="0"/>
        <v>0</v>
      </c>
      <c r="L12" s="1">
        <f t="shared" ca="1" si="24"/>
        <v>0</v>
      </c>
      <c r="M12" s="5">
        <f t="shared" ref="M12:M15" si="25">IF(E12="T",G12,0)</f>
        <v>0</v>
      </c>
      <c r="N12" s="5">
        <f t="shared" ref="N12:N15" si="26">IF(E12="T",K12,0)</f>
        <v>0</v>
      </c>
      <c r="O12" s="5">
        <f t="shared" ref="O12:O15" si="27">IF(E12="B",G12,0)</f>
        <v>0</v>
      </c>
      <c r="P12" s="5">
        <f t="shared" ref="P12:P15" si="28">IF(E12="B",K12,0)</f>
        <v>0</v>
      </c>
      <c r="Q12" s="1">
        <f t="shared" si="21"/>
        <v>0</v>
      </c>
      <c r="R12" s="1">
        <f t="shared" si="22"/>
        <v>0</v>
      </c>
      <c r="S12" s="1">
        <f t="shared" si="23"/>
        <v>0</v>
      </c>
      <c r="U12">
        <f t="shared" ref="U12:U15" si="29">IF(C12=1,1,0)</f>
        <v>0</v>
      </c>
      <c r="V12">
        <f t="shared" ref="V12:V15" si="30">IF(C12=2,1,0)</f>
        <v>0</v>
      </c>
      <c r="W12">
        <f t="shared" ref="W12:W15" si="31">IF(C12=3,1,0)</f>
        <v>0</v>
      </c>
      <c r="X12">
        <f t="shared" ref="X12:X15" si="32">IF(C12=4,1,0)</f>
        <v>0</v>
      </c>
      <c r="Y12">
        <f t="shared" ref="Y12:Y15" si="33">IF(C12=5,1,0)</f>
        <v>0</v>
      </c>
      <c r="Z12">
        <f t="shared" ref="Z12:Z15" si="34">IF(C12=6,1,0)</f>
        <v>0</v>
      </c>
      <c r="AA12">
        <f t="shared" ref="AA12:AA15" si="35">IF(C12=7,1,0)</f>
        <v>0</v>
      </c>
      <c r="AB12">
        <f t="shared" ref="AB12:AB15" si="36">IF(C12=8,1,0)</f>
        <v>0</v>
      </c>
      <c r="AC12">
        <f t="shared" ref="AC12:AC15" si="37">IF(C12=9,1,0)</f>
        <v>0</v>
      </c>
      <c r="AD12">
        <f t="shared" ref="AD12:AD15" si="38">IF(C12=10,1,0)</f>
        <v>0</v>
      </c>
      <c r="AE12">
        <f t="shared" ref="AE12:AE15" si="39">IF(C12="SILO",1,0)</f>
        <v>0</v>
      </c>
      <c r="AF12">
        <f t="shared" ref="AF12:AF15" si="40">IF(C12="CB",1,0)</f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1"/>
      <c r="I13" s="3"/>
      <c r="J13" s="1"/>
      <c r="K13" s="1">
        <f t="shared" ref="K13:K15" si="41">F13-J13</f>
        <v>0</v>
      </c>
      <c r="L13" s="1">
        <f t="shared" ref="L13:L15" ca="1" si="42">IF(F13=0,0,(TODAY()-A13))</f>
        <v>0</v>
      </c>
      <c r="M13" s="5">
        <f t="shared" si="25"/>
        <v>0</v>
      </c>
      <c r="N13" s="5">
        <f t="shared" si="26"/>
        <v>0</v>
      </c>
      <c r="O13" s="5">
        <f t="shared" si="27"/>
        <v>0</v>
      </c>
      <c r="P13" s="5">
        <f t="shared" si="28"/>
        <v>0</v>
      </c>
      <c r="Q13" s="1">
        <f t="shared" si="21"/>
        <v>0</v>
      </c>
      <c r="R13" s="1">
        <f t="shared" si="22"/>
        <v>0</v>
      </c>
      <c r="S13" s="1">
        <f t="shared" si="23"/>
        <v>0</v>
      </c>
      <c r="U13">
        <f t="shared" si="29"/>
        <v>0</v>
      </c>
      <c r="V13">
        <f t="shared" si="30"/>
        <v>0</v>
      </c>
      <c r="W13">
        <f t="shared" si="31"/>
        <v>0</v>
      </c>
      <c r="X13">
        <f t="shared" si="32"/>
        <v>0</v>
      </c>
      <c r="Y13">
        <f t="shared" si="33"/>
        <v>0</v>
      </c>
      <c r="Z13">
        <f t="shared" si="34"/>
        <v>0</v>
      </c>
      <c r="AA13">
        <f t="shared" si="35"/>
        <v>0</v>
      </c>
      <c r="AB13">
        <f t="shared" si="36"/>
        <v>0</v>
      </c>
      <c r="AC13">
        <f t="shared" si="37"/>
        <v>0</v>
      </c>
      <c r="AD13">
        <f t="shared" si="38"/>
        <v>0</v>
      </c>
      <c r="AE13">
        <f t="shared" si="39"/>
        <v>0</v>
      </c>
      <c r="AF13">
        <f t="shared" si="4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1"/>
      <c r="I14" s="3"/>
      <c r="J14" s="1"/>
      <c r="K14" s="1">
        <f t="shared" si="41"/>
        <v>0</v>
      </c>
      <c r="L14" s="1">
        <f t="shared" ca="1" si="42"/>
        <v>0</v>
      </c>
      <c r="M14" s="5">
        <f t="shared" si="25"/>
        <v>0</v>
      </c>
      <c r="N14" s="5">
        <f t="shared" si="26"/>
        <v>0</v>
      </c>
      <c r="O14" s="5">
        <f t="shared" si="27"/>
        <v>0</v>
      </c>
      <c r="P14" s="5">
        <f t="shared" si="28"/>
        <v>0</v>
      </c>
      <c r="Q14" s="1">
        <f t="shared" si="21"/>
        <v>0</v>
      </c>
      <c r="R14" s="1">
        <f t="shared" si="22"/>
        <v>0</v>
      </c>
      <c r="S14" s="1">
        <f t="shared" si="23"/>
        <v>0</v>
      </c>
      <c r="U14">
        <f t="shared" si="29"/>
        <v>0</v>
      </c>
      <c r="V14">
        <f t="shared" si="30"/>
        <v>0</v>
      </c>
      <c r="W14">
        <f t="shared" si="31"/>
        <v>0</v>
      </c>
      <c r="X14">
        <f t="shared" si="32"/>
        <v>0</v>
      </c>
      <c r="Y14">
        <f t="shared" si="33"/>
        <v>0</v>
      </c>
      <c r="Z14">
        <f t="shared" si="34"/>
        <v>0</v>
      </c>
      <c r="AA14">
        <f t="shared" si="35"/>
        <v>0</v>
      </c>
      <c r="AB14">
        <f t="shared" si="36"/>
        <v>0</v>
      </c>
      <c r="AC14">
        <f t="shared" si="37"/>
        <v>0</v>
      </c>
      <c r="AD14">
        <f t="shared" si="38"/>
        <v>0</v>
      </c>
      <c r="AE14">
        <f t="shared" si="39"/>
        <v>0</v>
      </c>
      <c r="AF14">
        <f t="shared" si="40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1"/>
      <c r="I15" s="3"/>
      <c r="J15" s="1"/>
      <c r="K15" s="1">
        <f t="shared" si="41"/>
        <v>0</v>
      </c>
      <c r="L15" s="1">
        <f t="shared" ca="1" si="42"/>
        <v>0</v>
      </c>
      <c r="M15" s="5">
        <f t="shared" si="25"/>
        <v>0</v>
      </c>
      <c r="N15" s="5">
        <f t="shared" si="26"/>
        <v>0</v>
      </c>
      <c r="O15" s="5">
        <f t="shared" si="27"/>
        <v>0</v>
      </c>
      <c r="P15" s="5">
        <f t="shared" si="28"/>
        <v>0</v>
      </c>
      <c r="Q15" s="1">
        <f t="shared" si="21"/>
        <v>0</v>
      </c>
      <c r="R15" s="1">
        <f t="shared" si="22"/>
        <v>0</v>
      </c>
      <c r="S15" s="1">
        <f t="shared" si="23"/>
        <v>0</v>
      </c>
      <c r="U15">
        <f t="shared" si="29"/>
        <v>0</v>
      </c>
      <c r="V15">
        <f t="shared" si="30"/>
        <v>0</v>
      </c>
      <c r="W15">
        <f t="shared" si="31"/>
        <v>0</v>
      </c>
      <c r="X15">
        <f t="shared" si="32"/>
        <v>0</v>
      </c>
      <c r="Y15">
        <f t="shared" si="33"/>
        <v>0</v>
      </c>
      <c r="Z15">
        <f t="shared" si="34"/>
        <v>0</v>
      </c>
      <c r="AA15">
        <f t="shared" si="35"/>
        <v>0</v>
      </c>
      <c r="AB15">
        <f t="shared" si="36"/>
        <v>0</v>
      </c>
      <c r="AC15">
        <f t="shared" si="37"/>
        <v>0</v>
      </c>
      <c r="AD15">
        <f t="shared" si="38"/>
        <v>0</v>
      </c>
      <c r="AE15">
        <f t="shared" si="39"/>
        <v>0</v>
      </c>
      <c r="AF15">
        <f t="shared" si="40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1"/>
      <c r="J16" s="1"/>
      <c r="K16" s="1">
        <f t="shared" ref="K16" si="43">F16-J16</f>
        <v>0</v>
      </c>
      <c r="L16" s="1">
        <f t="shared" ref="L16" ca="1" si="44">IF(F16=0,0,(TODAY()-A16))</f>
        <v>0</v>
      </c>
      <c r="M16" s="5">
        <f t="shared" ref="M16:M20" si="45">IF(E16="T",G16,0)</f>
        <v>0</v>
      </c>
      <c r="N16" s="5">
        <f t="shared" ref="N16:N20" si="46">IF(E16="T",K16,0)</f>
        <v>0</v>
      </c>
      <c r="O16" s="5">
        <f t="shared" ref="O16:O20" si="47">IF(E16="B",G16,0)</f>
        <v>0</v>
      </c>
      <c r="P16" s="5">
        <f t="shared" ref="P16:P20" si="48">IF(E16="B",K16,0)</f>
        <v>0</v>
      </c>
      <c r="Q16" s="1">
        <f t="shared" si="21"/>
        <v>0</v>
      </c>
      <c r="R16" s="1">
        <f t="shared" si="22"/>
        <v>0</v>
      </c>
      <c r="S16" s="1">
        <f t="shared" si="23"/>
        <v>0</v>
      </c>
      <c r="U16">
        <f t="shared" ref="U16" si="49">IF(C16=1,1,0)</f>
        <v>0</v>
      </c>
      <c r="V16">
        <f t="shared" ref="V16" si="50">IF(C16=2,1,0)</f>
        <v>0</v>
      </c>
      <c r="W16">
        <f t="shared" ref="W16" si="51">IF(C16=3,1,0)</f>
        <v>0</v>
      </c>
      <c r="X16">
        <f t="shared" ref="X16" si="52">IF(C16=4,1,0)</f>
        <v>0</v>
      </c>
      <c r="Y16">
        <f t="shared" ref="Y16" si="53">IF(C16=5,1,0)</f>
        <v>0</v>
      </c>
      <c r="Z16">
        <f t="shared" ref="Z16" si="54">IF(C16=6,1,0)</f>
        <v>0</v>
      </c>
      <c r="AA16">
        <f t="shared" ref="AA16" si="55">IF(C16=7,1,0)</f>
        <v>0</v>
      </c>
      <c r="AB16">
        <f t="shared" ref="AB16" si="56">IF(C16=8,1,0)</f>
        <v>0</v>
      </c>
      <c r="AC16">
        <f t="shared" ref="AC16" si="57">IF(C16=9,1,0)</f>
        <v>0</v>
      </c>
      <c r="AD16">
        <f t="shared" ref="AD16" si="58">IF(C16=10,1,0)</f>
        <v>0</v>
      </c>
      <c r="AE16">
        <f t="shared" ref="AE16" si="59">IF(C16="SILO",1,0)</f>
        <v>0</v>
      </c>
      <c r="AF16">
        <f t="shared" ref="AF16" si="60">IF(C16="CB",1,0)</f>
        <v>0</v>
      </c>
    </row>
    <row r="17" spans="1:32" x14ac:dyDescent="0.35">
      <c r="A17" s="3"/>
      <c r="B17" s="1"/>
      <c r="C17" s="1"/>
      <c r="D17" s="1"/>
      <c r="E17" s="1"/>
      <c r="F17" s="1"/>
      <c r="G17" s="1"/>
      <c r="H17" s="12"/>
      <c r="I17" s="1"/>
      <c r="J17" s="1"/>
      <c r="K17" s="1">
        <f t="shared" si="0"/>
        <v>0</v>
      </c>
      <c r="L17" s="1">
        <f t="shared" ca="1" si="24"/>
        <v>0</v>
      </c>
      <c r="M17" s="5">
        <f t="shared" si="45"/>
        <v>0</v>
      </c>
      <c r="N17" s="5">
        <f t="shared" si="46"/>
        <v>0</v>
      </c>
      <c r="O17" s="5">
        <f t="shared" si="47"/>
        <v>0</v>
      </c>
      <c r="P17" s="5">
        <f t="shared" si="48"/>
        <v>0</v>
      </c>
      <c r="Q17" s="1">
        <f t="shared" si="21"/>
        <v>0</v>
      </c>
      <c r="R17" s="1">
        <f t="shared" si="22"/>
        <v>0</v>
      </c>
      <c r="S17" s="1">
        <f t="shared" si="23"/>
        <v>0</v>
      </c>
      <c r="U17">
        <f t="shared" si="6"/>
        <v>0</v>
      </c>
      <c r="V17">
        <f t="shared" si="7"/>
        <v>0</v>
      </c>
      <c r="W17">
        <f t="shared" si="8"/>
        <v>0</v>
      </c>
      <c r="X17">
        <f t="shared" si="9"/>
        <v>0</v>
      </c>
      <c r="Y17">
        <f t="shared" si="10"/>
        <v>0</v>
      </c>
      <c r="Z17">
        <f t="shared" si="11"/>
        <v>0</v>
      </c>
      <c r="AA17">
        <f t="shared" si="12"/>
        <v>0</v>
      </c>
      <c r="AB17">
        <f t="shared" si="13"/>
        <v>0</v>
      </c>
      <c r="AC17">
        <f t="shared" si="14"/>
        <v>0</v>
      </c>
      <c r="AD17">
        <f t="shared" si="15"/>
        <v>0</v>
      </c>
      <c r="AE17">
        <f t="shared" si="16"/>
        <v>0</v>
      </c>
      <c r="AF17">
        <f t="shared" si="17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0"/>
        <v>0</v>
      </c>
      <c r="L18" s="1">
        <f t="shared" ca="1" si="24"/>
        <v>0</v>
      </c>
      <c r="M18" s="5">
        <f t="shared" si="45"/>
        <v>0</v>
      </c>
      <c r="N18" s="5">
        <f t="shared" si="46"/>
        <v>0</v>
      </c>
      <c r="O18" s="5">
        <f t="shared" si="47"/>
        <v>0</v>
      </c>
      <c r="P18" s="5">
        <f t="shared" si="48"/>
        <v>0</v>
      </c>
      <c r="Q18" s="1">
        <f t="shared" si="21"/>
        <v>0</v>
      </c>
      <c r="R18" s="1">
        <f t="shared" si="22"/>
        <v>0</v>
      </c>
      <c r="S18" s="1">
        <f t="shared" si="23"/>
        <v>0</v>
      </c>
      <c r="U18">
        <f t="shared" si="6"/>
        <v>0</v>
      </c>
      <c r="V18">
        <f t="shared" si="7"/>
        <v>0</v>
      </c>
      <c r="W18">
        <f t="shared" si="8"/>
        <v>0</v>
      </c>
      <c r="X18">
        <f t="shared" si="9"/>
        <v>0</v>
      </c>
      <c r="Y18">
        <f t="shared" si="10"/>
        <v>0</v>
      </c>
      <c r="Z18">
        <f t="shared" si="11"/>
        <v>0</v>
      </c>
      <c r="AA18">
        <f t="shared" si="12"/>
        <v>0</v>
      </c>
      <c r="AB18">
        <f t="shared" si="13"/>
        <v>0</v>
      </c>
      <c r="AC18">
        <f t="shared" si="14"/>
        <v>0</v>
      </c>
      <c r="AD18">
        <f t="shared" si="15"/>
        <v>0</v>
      </c>
      <c r="AE18">
        <f t="shared" si="16"/>
        <v>0</v>
      </c>
      <c r="AF18">
        <f t="shared" si="17"/>
        <v>0</v>
      </c>
    </row>
    <row r="19" spans="1:32" x14ac:dyDescent="0.35">
      <c r="A19" s="3"/>
      <c r="B19" s="1"/>
      <c r="C19" s="1"/>
      <c r="D19" s="1"/>
      <c r="E19" s="1"/>
      <c r="F19" s="1"/>
      <c r="G19" s="1"/>
      <c r="H19" s="12"/>
      <c r="I19" s="1"/>
      <c r="J19" s="1"/>
      <c r="K19" s="1">
        <f t="shared" si="0"/>
        <v>0</v>
      </c>
      <c r="L19" s="1">
        <f t="shared" ca="1" si="24"/>
        <v>0</v>
      </c>
      <c r="M19" s="5">
        <f t="shared" si="45"/>
        <v>0</v>
      </c>
      <c r="N19" s="5">
        <f t="shared" si="46"/>
        <v>0</v>
      </c>
      <c r="O19" s="5">
        <f t="shared" si="47"/>
        <v>0</v>
      </c>
      <c r="P19" s="5">
        <f t="shared" si="48"/>
        <v>0</v>
      </c>
      <c r="Q19" s="1">
        <f t="shared" si="21"/>
        <v>0</v>
      </c>
      <c r="R19" s="1">
        <f t="shared" si="22"/>
        <v>0</v>
      </c>
      <c r="S19" s="1">
        <f t="shared" si="23"/>
        <v>0</v>
      </c>
      <c r="U19">
        <f t="shared" si="6"/>
        <v>0</v>
      </c>
      <c r="V19">
        <f t="shared" si="7"/>
        <v>0</v>
      </c>
      <c r="W19">
        <f t="shared" si="8"/>
        <v>0</v>
      </c>
      <c r="X19">
        <f t="shared" si="9"/>
        <v>0</v>
      </c>
      <c r="Y19">
        <f t="shared" si="10"/>
        <v>0</v>
      </c>
      <c r="Z19">
        <f t="shared" si="11"/>
        <v>0</v>
      </c>
      <c r="AA19">
        <f t="shared" si="12"/>
        <v>0</v>
      </c>
      <c r="AB19">
        <f t="shared" si="13"/>
        <v>0</v>
      </c>
      <c r="AC19">
        <f t="shared" si="14"/>
        <v>0</v>
      </c>
      <c r="AD19">
        <f t="shared" si="15"/>
        <v>0</v>
      </c>
      <c r="AE19">
        <f t="shared" si="16"/>
        <v>0</v>
      </c>
      <c r="AF19">
        <f t="shared" si="17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0"/>
        <v>0</v>
      </c>
      <c r="L20" s="1">
        <f t="shared" ca="1" si="24"/>
        <v>0</v>
      </c>
      <c r="M20" s="5">
        <f t="shared" si="45"/>
        <v>0</v>
      </c>
      <c r="N20" s="5">
        <f t="shared" si="46"/>
        <v>0</v>
      </c>
      <c r="O20" s="5">
        <f t="shared" si="47"/>
        <v>0</v>
      </c>
      <c r="P20" s="5">
        <f t="shared" si="48"/>
        <v>0</v>
      </c>
      <c r="Q20" s="1">
        <f t="shared" si="21"/>
        <v>0</v>
      </c>
      <c r="R20" s="1">
        <f t="shared" si="22"/>
        <v>0</v>
      </c>
      <c r="S20" s="1">
        <f t="shared" si="23"/>
        <v>0</v>
      </c>
      <c r="U20">
        <f t="shared" si="6"/>
        <v>0</v>
      </c>
      <c r="V20">
        <f t="shared" si="7"/>
        <v>0</v>
      </c>
      <c r="W20">
        <f t="shared" si="8"/>
        <v>0</v>
      </c>
      <c r="X20">
        <f t="shared" si="9"/>
        <v>0</v>
      </c>
      <c r="Y20">
        <f t="shared" si="10"/>
        <v>0</v>
      </c>
      <c r="Z20">
        <f t="shared" si="11"/>
        <v>0</v>
      </c>
      <c r="AA20">
        <f t="shared" si="12"/>
        <v>0</v>
      </c>
      <c r="AB20">
        <f t="shared" si="13"/>
        <v>0</v>
      </c>
      <c r="AC20">
        <f t="shared" si="14"/>
        <v>0</v>
      </c>
      <c r="AD20">
        <f t="shared" si="15"/>
        <v>0</v>
      </c>
      <c r="AE20">
        <f t="shared" si="16"/>
        <v>0</v>
      </c>
      <c r="AF20">
        <f t="shared" si="17"/>
        <v>0</v>
      </c>
    </row>
    <row r="21" spans="1:32" x14ac:dyDescent="0.35">
      <c r="A21" s="6"/>
      <c r="B21" s="7"/>
      <c r="C21" s="7"/>
      <c r="D21" s="7"/>
      <c r="E21" s="7"/>
      <c r="F21" s="7">
        <f>SUM(F6:F20)</f>
        <v>21625</v>
      </c>
      <c r="G21" s="4"/>
      <c r="H21" s="4"/>
      <c r="I21" s="7"/>
      <c r="J21" s="8" t="s">
        <v>20</v>
      </c>
      <c r="K21" s="1">
        <f>SUM(K6:K20)</f>
        <v>21625</v>
      </c>
      <c r="L21" s="26">
        <f>IF(U$21&gt;=1,1,0)</f>
        <v>0</v>
      </c>
      <c r="N21">
        <f t="shared" si="3"/>
        <v>0</v>
      </c>
      <c r="P21">
        <f t="shared" si="5"/>
        <v>0</v>
      </c>
      <c r="U21">
        <f t="shared" ref="U21:AF21" si="61">SUM(U6:U20)</f>
        <v>0</v>
      </c>
      <c r="V21">
        <f t="shared" si="61"/>
        <v>0</v>
      </c>
      <c r="W21">
        <f t="shared" si="61"/>
        <v>0</v>
      </c>
      <c r="X21">
        <f t="shared" si="61"/>
        <v>1</v>
      </c>
      <c r="Y21">
        <f t="shared" si="61"/>
        <v>0</v>
      </c>
      <c r="Z21">
        <f t="shared" si="61"/>
        <v>5</v>
      </c>
      <c r="AA21">
        <f t="shared" si="61"/>
        <v>0</v>
      </c>
      <c r="AB21">
        <f t="shared" si="61"/>
        <v>0</v>
      </c>
      <c r="AC21">
        <f t="shared" si="61"/>
        <v>0</v>
      </c>
      <c r="AD21">
        <f t="shared" si="61"/>
        <v>0</v>
      </c>
      <c r="AE21">
        <f t="shared" si="61"/>
        <v>0</v>
      </c>
      <c r="AF21">
        <f t="shared" si="61"/>
        <v>0</v>
      </c>
    </row>
    <row r="22" spans="1:32" x14ac:dyDescent="0.35">
      <c r="J22" s="8" t="s">
        <v>21</v>
      </c>
      <c r="K22" s="5">
        <f>SUMPRODUCT(K6:K20,G6:G20)/SUM(K6:K20)</f>
        <v>3249.603910631778</v>
      </c>
      <c r="L22" s="26">
        <f>IF(V$21&gt;=1,1,0)</f>
        <v>0</v>
      </c>
    </row>
    <row r="23" spans="1:32" x14ac:dyDescent="0.35">
      <c r="J23" s="8" t="s">
        <v>11</v>
      </c>
      <c r="K23" s="5">
        <f>SUMPRODUCT(M6:M20,N6:N20)/SUM(N6:N20)</f>
        <v>3301.350191041699</v>
      </c>
      <c r="L23" s="26">
        <f>IF(W$21&gt;=1,1,0)</f>
        <v>0</v>
      </c>
    </row>
    <row r="24" spans="1:32" x14ac:dyDescent="0.35">
      <c r="J24" s="8" t="s">
        <v>12</v>
      </c>
      <c r="K24" s="5">
        <f>SUM(N6:N20)</f>
        <v>10173</v>
      </c>
      <c r="L24" s="26">
        <f>IF(X$21&gt;=1,1,0)</f>
        <v>1</v>
      </c>
    </row>
    <row r="25" spans="1:32" x14ac:dyDescent="0.35">
      <c r="J25" s="8" t="s">
        <v>22</v>
      </c>
      <c r="K25" s="5">
        <f>SUMPRODUCT(O6:O20,P6:P20)/SUM(P6:P20)</f>
        <v>3203.6368384513617</v>
      </c>
      <c r="L25" s="26">
        <f>IF(Y$21&gt;=1,1,0)</f>
        <v>0</v>
      </c>
    </row>
    <row r="26" spans="1:32" x14ac:dyDescent="0.35">
      <c r="J26" s="8" t="s">
        <v>23</v>
      </c>
      <c r="K26" s="5">
        <f>SUM(P6:P20)</f>
        <v>11452</v>
      </c>
      <c r="L26" s="26">
        <f>IF(Z$21&gt;=1,1,0)</f>
        <v>1</v>
      </c>
    </row>
    <row r="27" spans="1:32" x14ac:dyDescent="0.35">
      <c r="J27" s="8" t="s">
        <v>24</v>
      </c>
      <c r="K27" s="1">
        <f ca="1">MAX(L6:L20)</f>
        <v>73</v>
      </c>
      <c r="L27" s="26">
        <f>IF(AA$21&gt;=1,1,0)</f>
        <v>0</v>
      </c>
    </row>
    <row r="28" spans="1:32" x14ac:dyDescent="0.35">
      <c r="J28" s="8" t="s">
        <v>25</v>
      </c>
      <c r="K28" s="9">
        <f ca="1">AVERAGEIF((L6:L20),"&gt;0")</f>
        <v>70.666666666666671</v>
      </c>
      <c r="L28" s="26">
        <f>IF(AB$21&gt;=1,1,0)</f>
        <v>0</v>
      </c>
    </row>
    <row r="29" spans="1:32" x14ac:dyDescent="0.35">
      <c r="J29" s="8" t="s">
        <v>528</v>
      </c>
      <c r="K29" s="1">
        <f>SUM(Q6:Q20)</f>
        <v>6529</v>
      </c>
      <c r="L29" s="26">
        <f>IF(AC$21&gt;=1,1,0)</f>
        <v>0</v>
      </c>
    </row>
    <row r="30" spans="1:32" x14ac:dyDescent="0.35">
      <c r="J30" s="8" t="s">
        <v>527</v>
      </c>
      <c r="K30" s="1">
        <f>SUM(R6:R20)</f>
        <v>7110</v>
      </c>
      <c r="L30" s="26">
        <f>IF(AD$21&gt;=1,1,0)</f>
        <v>0</v>
      </c>
    </row>
    <row r="31" spans="1:32" x14ac:dyDescent="0.35">
      <c r="J31" s="8" t="s">
        <v>526</v>
      </c>
      <c r="K31" s="1">
        <f>SUM(S6:S20)</f>
        <v>7986</v>
      </c>
      <c r="L31" s="26">
        <f>IF(AE$21&gt;=1,1,0)</f>
        <v>0</v>
      </c>
    </row>
    <row r="32" spans="1:32" x14ac:dyDescent="0.35">
      <c r="L32" s="26">
        <f>IF(AF$21&gt;=1,1,0)</f>
        <v>0</v>
      </c>
    </row>
  </sheetData>
  <conditionalFormatting sqref="G6:G11">
    <cfRule type="cellIs" dxfId="253" priority="28" operator="between">
      <formula>3000</formula>
      <formula>3200</formula>
    </cfRule>
    <cfRule type="cellIs" dxfId="252" priority="30" operator="between">
      <formula>3200</formula>
      <formula>3600</formula>
    </cfRule>
    <cfRule type="cellIs" dxfId="251" priority="26" operator="between">
      <formula>2500</formula>
      <formula>2000</formula>
    </cfRule>
    <cfRule type="cellIs" dxfId="250" priority="27" operator="between">
      <formula>2500</formula>
      <formula>3000</formula>
    </cfRule>
  </conditionalFormatting>
  <conditionalFormatting sqref="G7">
    <cfRule type="cellIs" dxfId="249" priority="464" operator="between">
      <formula>2500</formula>
      <formula>2000</formula>
    </cfRule>
    <cfRule type="cellIs" dxfId="248" priority="465" operator="between">
      <formula>2500</formula>
      <formula>3000</formula>
    </cfRule>
    <cfRule type="cellIs" dxfId="247" priority="466" operator="between">
      <formula>3000</formula>
      <formula>3200</formula>
    </cfRule>
    <cfRule type="cellIs" dxfId="246" priority="468" operator="between">
      <formula>3200</formula>
      <formula>3600</formula>
    </cfRule>
  </conditionalFormatting>
  <conditionalFormatting sqref="G8:G11">
    <cfRule type="cellIs" dxfId="245" priority="21" operator="between">
      <formula>2500</formula>
      <formula>2000</formula>
    </cfRule>
    <cfRule type="cellIs" dxfId="244" priority="22" operator="between">
      <formula>2500</formula>
      <formula>3000</formula>
    </cfRule>
    <cfRule type="cellIs" dxfId="243" priority="23" operator="between">
      <formula>3000</formula>
      <formula>3200</formula>
    </cfRule>
    <cfRule type="cellIs" dxfId="242" priority="25" operator="between">
      <formula>3200</formula>
      <formula>3600</formula>
    </cfRule>
  </conditionalFormatting>
  <conditionalFormatting sqref="G6:H6">
    <cfRule type="cellIs" dxfId="241" priority="11" operator="between">
      <formula>2500</formula>
      <formula>2000</formula>
    </cfRule>
    <cfRule type="cellIs" dxfId="240" priority="12" operator="between">
      <formula>2500</formula>
      <formula>3000</formula>
    </cfRule>
    <cfRule type="cellIs" dxfId="239" priority="13" operator="between">
      <formula>3000</formula>
      <formula>3200</formula>
    </cfRule>
    <cfRule type="cellIs" dxfId="238" priority="15" operator="between">
      <formula>3200</formula>
      <formula>3600</formula>
    </cfRule>
  </conditionalFormatting>
  <conditionalFormatting sqref="G6:H21">
    <cfRule type="cellIs" dxfId="237" priority="4" operator="greaterThan">
      <formula>3600</formula>
    </cfRule>
  </conditionalFormatting>
  <conditionalFormatting sqref="G12:H21">
    <cfRule type="cellIs" dxfId="236" priority="87" operator="between">
      <formula>2500</formula>
      <formula>3000</formula>
    </cfRule>
    <cfRule type="cellIs" dxfId="235" priority="86" operator="between">
      <formula>2500</formula>
      <formula>2000</formula>
    </cfRule>
    <cfRule type="cellIs" dxfId="234" priority="88" operator="between">
      <formula>3000</formula>
      <formula>3200</formula>
    </cfRule>
    <cfRule type="cellIs" dxfId="233" priority="90" operator="between">
      <formula>3200</formula>
      <formula>3600</formula>
    </cfRule>
  </conditionalFormatting>
  <conditionalFormatting sqref="H7:H12">
    <cfRule type="cellIs" dxfId="232" priority="5" operator="between">
      <formula>3200</formula>
      <formula>3600</formula>
    </cfRule>
    <cfRule type="cellIs" dxfId="231" priority="1" operator="between">
      <formula>2500</formula>
      <formula>2000</formula>
    </cfRule>
    <cfRule type="cellIs" dxfId="230" priority="2" operator="between">
      <formula>2500</formula>
      <formula>3000</formula>
    </cfRule>
    <cfRule type="cellIs" dxfId="229" priority="3" operator="between">
      <formula>3000</formula>
      <formula>3200</formula>
    </cfRule>
  </conditionalFormatting>
  <conditionalFormatting sqref="K23">
    <cfRule type="cellIs" dxfId="228" priority="474" operator="lessThan">
      <formula>2500</formula>
    </cfRule>
    <cfRule type="cellIs" dxfId="227" priority="475" operator="between">
      <formula>2500</formula>
      <formula>3000</formula>
    </cfRule>
    <cfRule type="cellIs" dxfId="226" priority="476" operator="between">
      <formula>3000</formula>
      <formula>3200</formula>
    </cfRule>
    <cfRule type="cellIs" dxfId="225" priority="477" operator="greaterThan">
      <formula>3600</formula>
    </cfRule>
    <cfRule type="cellIs" dxfId="224" priority="478" operator="between">
      <formula>3200</formula>
      <formula>3600</formula>
    </cfRule>
  </conditionalFormatting>
  <conditionalFormatting sqref="K25">
    <cfRule type="cellIs" dxfId="223" priority="469" operator="lessThan">
      <formula>2500</formula>
    </cfRule>
    <cfRule type="cellIs" dxfId="222" priority="470" operator="between">
      <formula>2500</formula>
      <formula>3000</formula>
    </cfRule>
    <cfRule type="cellIs" dxfId="221" priority="471" operator="between">
      <formula>3000</formula>
      <formula>3200</formula>
    </cfRule>
    <cfRule type="cellIs" dxfId="220" priority="472" operator="greaterThan">
      <formula>3600</formula>
    </cfRule>
    <cfRule type="cellIs" dxfId="219" priority="473" operator="between">
      <formula>3200</formula>
      <formula>3600</formula>
    </cfRule>
  </conditionalFormatting>
  <conditionalFormatting sqref="L6:L32">
    <cfRule type="cellIs" dxfId="218" priority="446" operator="greaterThan">
      <formula>10</formula>
    </cfRule>
  </conditionalFormatting>
  <hyperlinks>
    <hyperlink ref="A3" location="'summery '!A1" display="summery " xr:uid="{00000000-0004-0000-0E00-000000000000}"/>
  </hyperlinks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AF34"/>
  <sheetViews>
    <sheetView zoomScale="60" zoomScaleNormal="60" workbookViewId="0">
      <selection activeCell="A26" sqref="A26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4.7265625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6" width="9.1796875" customWidth="1"/>
    <col min="17" max="17" width="18.54296875" customWidth="1"/>
    <col min="18" max="18" width="19.81640625" customWidth="1"/>
    <col min="19" max="19" width="17" customWidth="1"/>
    <col min="20" max="32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1" t="s">
        <v>15</v>
      </c>
      <c r="R5" s="1" t="s">
        <v>16</v>
      </c>
      <c r="S5" s="1" t="s">
        <v>17</v>
      </c>
    </row>
    <row r="6" spans="1:32" ht="15.5" x14ac:dyDescent="0.35">
      <c r="A6" s="3">
        <v>45574</v>
      </c>
      <c r="B6" s="1">
        <v>20</v>
      </c>
      <c r="C6" s="1">
        <v>3</v>
      </c>
      <c r="D6" s="1">
        <v>1</v>
      </c>
      <c r="E6" s="1" t="s">
        <v>18</v>
      </c>
      <c r="F6" s="1">
        <v>5075</v>
      </c>
      <c r="G6" s="19">
        <v>2818</v>
      </c>
      <c r="H6" s="1" t="s">
        <v>46</v>
      </c>
      <c r="I6" s="3">
        <v>45588</v>
      </c>
      <c r="J6" s="1">
        <v>1800</v>
      </c>
      <c r="K6" s="1">
        <f>F6-J6</f>
        <v>3275</v>
      </c>
      <c r="L6" s="1">
        <f t="shared" ref="L6:L11" ca="1" si="0">IF(F6=0,0,(TODAY()-A6))</f>
        <v>114</v>
      </c>
      <c r="M6">
        <f>IF(E6="T",G6,0)</f>
        <v>0</v>
      </c>
      <c r="N6">
        <f>IF(E6="T",K6,0)</f>
        <v>0</v>
      </c>
      <c r="O6">
        <f>IF(E6="B",G6,0)</f>
        <v>2818</v>
      </c>
      <c r="P6">
        <f>IF(E6="B",K6,0)</f>
        <v>3275</v>
      </c>
      <c r="Q6" s="1">
        <f>IF(G6&gt;3500,K6,0)</f>
        <v>0</v>
      </c>
      <c r="R6" s="1">
        <f>IF(AND(G6&gt;=3100,G6&lt;=3500),K6,0)</f>
        <v>0</v>
      </c>
      <c r="S6" s="1">
        <f>IF(G6&lt;3100,K6,0)</f>
        <v>3275</v>
      </c>
      <c r="U6">
        <f>IF(C6=1,1,0)</f>
        <v>0</v>
      </c>
      <c r="V6">
        <f>IF(C6=2,1,0)</f>
        <v>0</v>
      </c>
      <c r="W6">
        <f>IF(C6=3,1,0)</f>
        <v>1</v>
      </c>
      <c r="X6">
        <f>IF(C6=4,1,0)</f>
        <v>0</v>
      </c>
      <c r="Y6">
        <f>IF(C6=5,1,0)</f>
        <v>0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x14ac:dyDescent="0.35">
      <c r="A7" s="3">
        <v>45595</v>
      </c>
      <c r="B7" s="1">
        <v>78</v>
      </c>
      <c r="C7" s="1">
        <v>1</v>
      </c>
      <c r="D7" s="1">
        <v>1</v>
      </c>
      <c r="E7" s="1" t="s">
        <v>18</v>
      </c>
      <c r="F7" s="1">
        <v>2453</v>
      </c>
      <c r="G7" s="1">
        <v>3592</v>
      </c>
      <c r="H7" s="1" t="s">
        <v>46</v>
      </c>
      <c r="I7" s="3"/>
      <c r="J7" s="1"/>
      <c r="K7" s="1">
        <f t="shared" ref="K7:K22" si="1">F7-J7</f>
        <v>2453</v>
      </c>
      <c r="L7" s="1">
        <f t="shared" ca="1" si="0"/>
        <v>93</v>
      </c>
      <c r="M7">
        <f t="shared" ref="M7:M22" si="2">IF(E7="T",G7,0)</f>
        <v>0</v>
      </c>
      <c r="N7">
        <f t="shared" ref="N7:N23" si="3">IF(E7="T",K7,0)</f>
        <v>0</v>
      </c>
      <c r="O7">
        <f t="shared" ref="O7:O22" si="4">IF(E7="B",G7,0)</f>
        <v>3592</v>
      </c>
      <c r="P7">
        <f t="shared" ref="P7:P23" si="5">IF(E7="B",K7,0)</f>
        <v>2453</v>
      </c>
      <c r="Q7" s="1">
        <f t="shared" ref="Q7" si="6">IF(G7&gt;3500,K7,0)</f>
        <v>2453</v>
      </c>
      <c r="R7" s="1">
        <f t="shared" ref="R7" si="7">IF(AND(G7&gt;=3100,G7&lt;=3500),K7,0)</f>
        <v>0</v>
      </c>
      <c r="S7" s="1">
        <f t="shared" ref="S7" si="8">IF(G7&lt;3100,K7,0)</f>
        <v>0</v>
      </c>
      <c r="U7">
        <f t="shared" ref="U7:U22" si="9">IF(C7=1,1,0)</f>
        <v>1</v>
      </c>
      <c r="V7">
        <f t="shared" ref="V7:V22" si="10">IF(C7=2,1,0)</f>
        <v>0</v>
      </c>
      <c r="W7">
        <f t="shared" ref="W7:W22" si="11">IF(C7=3,1,0)</f>
        <v>0</v>
      </c>
      <c r="X7">
        <f t="shared" ref="X7:X22" si="12">IF(C7=4,1,0)</f>
        <v>0</v>
      </c>
      <c r="Y7">
        <f t="shared" ref="Y7:Y22" si="13">IF(C7=5,1,0)</f>
        <v>0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0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0</v>
      </c>
      <c r="AF7">
        <f t="shared" ref="AF7:AF22" si="20">IF(C7="CB",1,0)</f>
        <v>0</v>
      </c>
    </row>
    <row r="8" spans="1:32" ht="15.5" x14ac:dyDescent="0.35">
      <c r="A8" s="3">
        <v>45597</v>
      </c>
      <c r="B8" s="1">
        <v>79</v>
      </c>
      <c r="C8" s="1">
        <v>5</v>
      </c>
      <c r="D8" s="1">
        <v>2</v>
      </c>
      <c r="E8" s="1" t="s">
        <v>18</v>
      </c>
      <c r="F8" s="1">
        <v>3485</v>
      </c>
      <c r="G8" s="19">
        <v>3375</v>
      </c>
      <c r="H8" s="1" t="s">
        <v>46</v>
      </c>
      <c r="I8" s="3"/>
      <c r="J8" s="1"/>
      <c r="K8" s="1">
        <f t="shared" si="1"/>
        <v>3485</v>
      </c>
      <c r="L8" s="1">
        <f t="shared" ca="1" si="0"/>
        <v>91</v>
      </c>
      <c r="M8">
        <f t="shared" si="2"/>
        <v>0</v>
      </c>
      <c r="N8">
        <f t="shared" si="3"/>
        <v>0</v>
      </c>
      <c r="O8">
        <f t="shared" si="4"/>
        <v>3375</v>
      </c>
      <c r="P8">
        <f t="shared" si="5"/>
        <v>3485</v>
      </c>
      <c r="Q8" s="1">
        <f t="shared" ref="Q8:Q22" si="21">IF(G8&gt;3500,K8,0)</f>
        <v>0</v>
      </c>
      <c r="R8" s="1">
        <f t="shared" ref="R8:R22" si="22">IF(AND(G8&gt;=3100,G8&lt;=3500),K8,0)</f>
        <v>3485</v>
      </c>
      <c r="S8" s="1">
        <f t="shared" ref="S8:S22" si="23">IF(G8&lt;3100,K8,0)</f>
        <v>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1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x14ac:dyDescent="0.35">
      <c r="A9" s="3">
        <v>45599</v>
      </c>
      <c r="B9" s="1">
        <v>89</v>
      </c>
      <c r="C9" s="1" t="s">
        <v>70</v>
      </c>
      <c r="D9" s="1">
        <v>1</v>
      </c>
      <c r="E9" s="1" t="s">
        <v>19</v>
      </c>
      <c r="F9" s="1">
        <v>4862</v>
      </c>
      <c r="G9" s="1">
        <v>3246</v>
      </c>
      <c r="H9" s="1" t="s">
        <v>46</v>
      </c>
      <c r="I9" s="3"/>
      <c r="J9" s="1"/>
      <c r="K9" s="1">
        <f t="shared" si="1"/>
        <v>4862</v>
      </c>
      <c r="L9" s="1">
        <f t="shared" ca="1" si="0"/>
        <v>89</v>
      </c>
      <c r="M9">
        <f t="shared" si="2"/>
        <v>3246</v>
      </c>
      <c r="N9">
        <f t="shared" si="3"/>
        <v>4862</v>
      </c>
      <c r="O9">
        <f t="shared" si="4"/>
        <v>0</v>
      </c>
      <c r="P9">
        <f t="shared" si="5"/>
        <v>0</v>
      </c>
      <c r="Q9" s="1">
        <f t="shared" si="21"/>
        <v>0</v>
      </c>
      <c r="R9" s="1">
        <f t="shared" si="22"/>
        <v>4862</v>
      </c>
      <c r="S9" s="1">
        <f t="shared" si="23"/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1</v>
      </c>
      <c r="AF9">
        <f t="shared" si="20"/>
        <v>0</v>
      </c>
    </row>
    <row r="10" spans="1:32" x14ac:dyDescent="0.35">
      <c r="A10" s="3">
        <v>45621</v>
      </c>
      <c r="B10" s="1">
        <v>54</v>
      </c>
      <c r="C10" s="1">
        <v>4</v>
      </c>
      <c r="D10" s="1">
        <v>2</v>
      </c>
      <c r="E10" s="1" t="s">
        <v>19</v>
      </c>
      <c r="F10" s="1">
        <v>3126</v>
      </c>
      <c r="G10" s="1">
        <v>2766</v>
      </c>
      <c r="H10" s="1" t="s">
        <v>46</v>
      </c>
      <c r="I10" s="3"/>
      <c r="J10" s="1"/>
      <c r="K10" s="1">
        <f t="shared" si="1"/>
        <v>3126</v>
      </c>
      <c r="L10" s="1">
        <f t="shared" ca="1" si="0"/>
        <v>67</v>
      </c>
      <c r="M10">
        <f t="shared" si="2"/>
        <v>2766</v>
      </c>
      <c r="N10">
        <f t="shared" si="3"/>
        <v>3126</v>
      </c>
      <c r="O10">
        <f t="shared" si="4"/>
        <v>0</v>
      </c>
      <c r="P10">
        <f t="shared" si="5"/>
        <v>0</v>
      </c>
      <c r="Q10" s="1">
        <f t="shared" si="21"/>
        <v>0</v>
      </c>
      <c r="R10" s="1">
        <f t="shared" si="22"/>
        <v>0</v>
      </c>
      <c r="S10" s="1">
        <f t="shared" si="23"/>
        <v>3126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1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x14ac:dyDescent="0.35">
      <c r="A11" s="3">
        <v>45623</v>
      </c>
      <c r="B11" s="1">
        <v>61</v>
      </c>
      <c r="C11" s="1" t="s">
        <v>70</v>
      </c>
      <c r="D11" s="1">
        <v>1</v>
      </c>
      <c r="E11" s="1" t="s">
        <v>19</v>
      </c>
      <c r="F11" s="1">
        <v>4273</v>
      </c>
      <c r="G11" s="1">
        <v>3119</v>
      </c>
      <c r="H11" s="1" t="s">
        <v>455</v>
      </c>
      <c r="I11" s="3"/>
      <c r="J11" s="1"/>
      <c r="K11" s="1">
        <f t="shared" si="1"/>
        <v>4273</v>
      </c>
      <c r="L11" s="1">
        <f t="shared" ca="1" si="0"/>
        <v>65</v>
      </c>
      <c r="M11">
        <f t="shared" si="2"/>
        <v>3119</v>
      </c>
      <c r="N11">
        <f t="shared" si="3"/>
        <v>4273</v>
      </c>
      <c r="O11">
        <f t="shared" si="4"/>
        <v>0</v>
      </c>
      <c r="P11">
        <f t="shared" si="5"/>
        <v>0</v>
      </c>
      <c r="Q11" s="1">
        <f t="shared" si="21"/>
        <v>0</v>
      </c>
      <c r="R11" s="1">
        <f t="shared" si="22"/>
        <v>4273</v>
      </c>
      <c r="S11" s="1">
        <f t="shared" si="23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1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1"/>
      <c r="I12" s="3"/>
      <c r="J12" s="1"/>
      <c r="K12" s="1">
        <f t="shared" si="1"/>
        <v>0</v>
      </c>
      <c r="L12" s="1">
        <f ca="1">IF(F12=0,0,(TODAY()-A12))</f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0</v>
      </c>
      <c r="Q12" s="1">
        <f t="shared" si="21"/>
        <v>0</v>
      </c>
      <c r="R12" s="1">
        <f t="shared" si="22"/>
        <v>0</v>
      </c>
      <c r="S12" s="1">
        <f t="shared" si="23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5"/>
      <c r="I13" s="1"/>
      <c r="J13" s="1"/>
      <c r="K13" s="1">
        <f t="shared" si="1"/>
        <v>0</v>
      </c>
      <c r="L13" s="1">
        <f t="shared" ref="L13:L22" ca="1" si="24">IF(F13=0,0,(TODAY()-A13))</f>
        <v>0</v>
      </c>
      <c r="M13">
        <f t="shared" si="2"/>
        <v>0</v>
      </c>
      <c r="N13">
        <f t="shared" si="3"/>
        <v>0</v>
      </c>
      <c r="O13">
        <f t="shared" si="4"/>
        <v>0</v>
      </c>
      <c r="P13">
        <f t="shared" si="5"/>
        <v>0</v>
      </c>
      <c r="Q13" s="1">
        <f t="shared" si="21"/>
        <v>0</v>
      </c>
      <c r="R13" s="1">
        <f t="shared" si="22"/>
        <v>0</v>
      </c>
      <c r="S13" s="1">
        <f t="shared" si="23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1"/>
        <v>0</v>
      </c>
      <c r="L14" s="1">
        <f t="shared" ca="1" si="24"/>
        <v>0</v>
      </c>
      <c r="M14">
        <f t="shared" si="2"/>
        <v>0</v>
      </c>
      <c r="N14">
        <f t="shared" si="3"/>
        <v>0</v>
      </c>
      <c r="O14">
        <f t="shared" si="4"/>
        <v>0</v>
      </c>
      <c r="P14">
        <f t="shared" si="5"/>
        <v>0</v>
      </c>
      <c r="Q14" s="1">
        <f t="shared" si="21"/>
        <v>0</v>
      </c>
      <c r="R14" s="1">
        <f t="shared" si="22"/>
        <v>0</v>
      </c>
      <c r="S14" s="1">
        <f t="shared" si="23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si="1"/>
        <v>0</v>
      </c>
      <c r="L15" s="1">
        <f t="shared" ca="1" si="24"/>
        <v>0</v>
      </c>
      <c r="M15">
        <f t="shared" si="2"/>
        <v>0</v>
      </c>
      <c r="N15">
        <f t="shared" si="3"/>
        <v>0</v>
      </c>
      <c r="O15">
        <f t="shared" si="4"/>
        <v>0</v>
      </c>
      <c r="P15">
        <f t="shared" si="5"/>
        <v>0</v>
      </c>
      <c r="Q15" s="1">
        <f t="shared" si="21"/>
        <v>0</v>
      </c>
      <c r="R15" s="1">
        <f t="shared" si="22"/>
        <v>0</v>
      </c>
      <c r="S15" s="1">
        <f t="shared" si="23"/>
        <v>0</v>
      </c>
      <c r="U15">
        <f t="shared" si="9"/>
        <v>0</v>
      </c>
      <c r="V15">
        <f t="shared" si="10"/>
        <v>0</v>
      </c>
      <c r="W15">
        <f t="shared" si="11"/>
        <v>0</v>
      </c>
      <c r="X15">
        <f t="shared" si="12"/>
        <v>0</v>
      </c>
      <c r="Y15">
        <f t="shared" si="13"/>
        <v>0</v>
      </c>
      <c r="Z15">
        <f t="shared" si="14"/>
        <v>0</v>
      </c>
      <c r="AA15">
        <f t="shared" si="15"/>
        <v>0</v>
      </c>
      <c r="AB15">
        <f t="shared" si="16"/>
        <v>0</v>
      </c>
      <c r="AC15">
        <f t="shared" si="17"/>
        <v>0</v>
      </c>
      <c r="AD15">
        <f t="shared" si="18"/>
        <v>0</v>
      </c>
      <c r="AE15">
        <f t="shared" si="19"/>
        <v>0</v>
      </c>
      <c r="AF15">
        <f t="shared" si="20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1"/>
      <c r="J16" s="1"/>
      <c r="K16" s="1">
        <f t="shared" si="1"/>
        <v>0</v>
      </c>
      <c r="L16" s="1">
        <f t="shared" ca="1" si="24"/>
        <v>0</v>
      </c>
      <c r="M16">
        <f t="shared" si="2"/>
        <v>0</v>
      </c>
      <c r="N16">
        <f t="shared" si="3"/>
        <v>0</v>
      </c>
      <c r="O16">
        <f t="shared" si="4"/>
        <v>0</v>
      </c>
      <c r="P16">
        <f t="shared" si="5"/>
        <v>0</v>
      </c>
      <c r="Q16" s="1">
        <f t="shared" si="21"/>
        <v>0</v>
      </c>
      <c r="R16" s="1">
        <f t="shared" si="22"/>
        <v>0</v>
      </c>
      <c r="S16" s="1">
        <f t="shared" si="23"/>
        <v>0</v>
      </c>
      <c r="U16">
        <f t="shared" si="9"/>
        <v>0</v>
      </c>
      <c r="V16">
        <f t="shared" si="10"/>
        <v>0</v>
      </c>
      <c r="W16">
        <f t="shared" si="11"/>
        <v>0</v>
      </c>
      <c r="X16">
        <f t="shared" si="12"/>
        <v>0</v>
      </c>
      <c r="Y16">
        <f t="shared" si="13"/>
        <v>0</v>
      </c>
      <c r="Z16">
        <f t="shared" si="14"/>
        <v>0</v>
      </c>
      <c r="AA16">
        <f t="shared" si="15"/>
        <v>0</v>
      </c>
      <c r="AB16">
        <f t="shared" si="16"/>
        <v>0</v>
      </c>
      <c r="AC16">
        <f t="shared" si="17"/>
        <v>0</v>
      </c>
      <c r="AD16">
        <f t="shared" si="18"/>
        <v>0</v>
      </c>
      <c r="AE16">
        <f t="shared" si="19"/>
        <v>0</v>
      </c>
      <c r="AF16">
        <f t="shared" si="20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ref="K17:K21" si="25">F17-J17</f>
        <v>0</v>
      </c>
      <c r="L17" s="1">
        <f t="shared" ref="L17:L21" ca="1" si="26">IF(F17=0,0,(TODAY()-A17))</f>
        <v>0</v>
      </c>
      <c r="M17">
        <f t="shared" ref="M17:M21" si="27">IF(E17="T",G17,0)</f>
        <v>0</v>
      </c>
      <c r="N17">
        <f t="shared" ref="N17:N21" si="28">IF(E17="T",K17,0)</f>
        <v>0</v>
      </c>
      <c r="O17">
        <f t="shared" ref="O17:O21" si="29">IF(E17="B",G17,0)</f>
        <v>0</v>
      </c>
      <c r="P17">
        <f t="shared" ref="P17:P21" si="30">IF(E17="B",K17,0)</f>
        <v>0</v>
      </c>
      <c r="Q17" s="1">
        <f t="shared" si="21"/>
        <v>0</v>
      </c>
      <c r="R17" s="1">
        <f t="shared" si="22"/>
        <v>0</v>
      </c>
      <c r="S17" s="1">
        <f t="shared" si="23"/>
        <v>0</v>
      </c>
      <c r="U17">
        <f t="shared" ref="U17:U21" si="31">IF(C17=1,1,0)</f>
        <v>0</v>
      </c>
      <c r="V17">
        <f t="shared" ref="V17:V21" si="32">IF(C17=2,1,0)</f>
        <v>0</v>
      </c>
      <c r="W17">
        <f t="shared" ref="W17:W21" si="33">IF(C17=3,1,0)</f>
        <v>0</v>
      </c>
      <c r="X17">
        <f t="shared" ref="X17:X21" si="34">IF(C17=4,1,0)</f>
        <v>0</v>
      </c>
      <c r="Y17">
        <f t="shared" ref="Y17:Y21" si="35">IF(C17=5,1,0)</f>
        <v>0</v>
      </c>
      <c r="Z17">
        <f t="shared" ref="Z17:Z21" si="36">IF(C17=6,1,0)</f>
        <v>0</v>
      </c>
      <c r="AA17">
        <f t="shared" ref="AA17:AA21" si="37">IF(C17=7,1,0)</f>
        <v>0</v>
      </c>
      <c r="AB17">
        <f t="shared" ref="AB17:AB21" si="38">IF(C17=8,1,0)</f>
        <v>0</v>
      </c>
      <c r="AC17">
        <f t="shared" ref="AC17:AC21" si="39">IF(C17=9,1,0)</f>
        <v>0</v>
      </c>
      <c r="AD17">
        <f t="shared" ref="AD17:AD21" si="40">IF(C17=10,1,0)</f>
        <v>0</v>
      </c>
      <c r="AE17">
        <f t="shared" ref="AE17:AE21" si="41">IF(C17="SILO",1,0)</f>
        <v>0</v>
      </c>
      <c r="AF17">
        <f t="shared" ref="AF17:AF21" si="42">IF(C17="CB",1,0)</f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25"/>
        <v>0</v>
      </c>
      <c r="L18" s="1">
        <f t="shared" ca="1" si="26"/>
        <v>0</v>
      </c>
      <c r="M18">
        <f t="shared" si="27"/>
        <v>0</v>
      </c>
      <c r="N18">
        <f t="shared" si="28"/>
        <v>0</v>
      </c>
      <c r="O18">
        <f t="shared" si="29"/>
        <v>0</v>
      </c>
      <c r="P18">
        <f t="shared" si="30"/>
        <v>0</v>
      </c>
      <c r="Q18" s="1">
        <f t="shared" si="21"/>
        <v>0</v>
      </c>
      <c r="R18" s="1">
        <f t="shared" si="22"/>
        <v>0</v>
      </c>
      <c r="S18" s="1">
        <f t="shared" si="23"/>
        <v>0</v>
      </c>
      <c r="U18">
        <f t="shared" si="31"/>
        <v>0</v>
      </c>
      <c r="V18">
        <f t="shared" si="32"/>
        <v>0</v>
      </c>
      <c r="W18">
        <f t="shared" si="33"/>
        <v>0</v>
      </c>
      <c r="X18">
        <f t="shared" si="34"/>
        <v>0</v>
      </c>
      <c r="Y18">
        <f t="shared" si="35"/>
        <v>0</v>
      </c>
      <c r="Z18">
        <f t="shared" si="36"/>
        <v>0</v>
      </c>
      <c r="AA18">
        <f t="shared" si="37"/>
        <v>0</v>
      </c>
      <c r="AB18">
        <f t="shared" si="38"/>
        <v>0</v>
      </c>
      <c r="AC18">
        <f t="shared" si="39"/>
        <v>0</v>
      </c>
      <c r="AD18">
        <f t="shared" si="40"/>
        <v>0</v>
      </c>
      <c r="AE18">
        <f t="shared" si="41"/>
        <v>0</v>
      </c>
      <c r="AF18">
        <f t="shared" si="42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ref="K19" si="43">F19-J19</f>
        <v>0</v>
      </c>
      <c r="L19" s="1">
        <f t="shared" ref="L19" ca="1" si="44">IF(F19=0,0,(TODAY()-A19))</f>
        <v>0</v>
      </c>
      <c r="M19">
        <f t="shared" ref="M19" si="45">IF(E19="T",G19,0)</f>
        <v>0</v>
      </c>
      <c r="N19">
        <f t="shared" ref="N19" si="46">IF(E19="T",K19,0)</f>
        <v>0</v>
      </c>
      <c r="O19">
        <f t="shared" ref="O19" si="47">IF(E19="B",G19,0)</f>
        <v>0</v>
      </c>
      <c r="P19">
        <f t="shared" ref="P19" si="48">IF(E19="B",K19,0)</f>
        <v>0</v>
      </c>
      <c r="Q19" s="1">
        <f t="shared" si="21"/>
        <v>0</v>
      </c>
      <c r="R19" s="1">
        <f t="shared" si="22"/>
        <v>0</v>
      </c>
      <c r="S19" s="1">
        <f t="shared" si="23"/>
        <v>0</v>
      </c>
      <c r="U19">
        <f t="shared" ref="U19" si="49">IF(C19=1,1,0)</f>
        <v>0</v>
      </c>
      <c r="V19">
        <f t="shared" ref="V19" si="50">IF(C19=2,1,0)</f>
        <v>0</v>
      </c>
      <c r="W19">
        <f t="shared" ref="W19" si="51">IF(C19=3,1,0)</f>
        <v>0</v>
      </c>
      <c r="X19">
        <f t="shared" ref="X19" si="52">IF(C19=4,1,0)</f>
        <v>0</v>
      </c>
      <c r="Y19">
        <f t="shared" ref="Y19" si="53">IF(C19=5,1,0)</f>
        <v>0</v>
      </c>
      <c r="Z19">
        <f t="shared" ref="Z19" si="54">IF(C19=6,1,0)</f>
        <v>0</v>
      </c>
      <c r="AA19">
        <f t="shared" ref="AA19" si="55">IF(C19=7,1,0)</f>
        <v>0</v>
      </c>
      <c r="AB19">
        <f t="shared" ref="AB19" si="56">IF(C19=8,1,0)</f>
        <v>0</v>
      </c>
      <c r="AC19">
        <f t="shared" ref="AC19" si="57">IF(C19=9,1,0)</f>
        <v>0</v>
      </c>
      <c r="AD19">
        <f t="shared" ref="AD19" si="58">IF(C19=10,1,0)</f>
        <v>0</v>
      </c>
      <c r="AE19">
        <f t="shared" ref="AE19" si="59">IF(C19="SILO",1,0)</f>
        <v>0</v>
      </c>
      <c r="AF19">
        <f t="shared" ref="AF19" si="60">IF(C19="CB",1,0)</f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25"/>
        <v>0</v>
      </c>
      <c r="L20" s="1">
        <f t="shared" ca="1" si="26"/>
        <v>0</v>
      </c>
      <c r="M20">
        <f t="shared" si="27"/>
        <v>0</v>
      </c>
      <c r="N20">
        <f t="shared" si="28"/>
        <v>0</v>
      </c>
      <c r="O20">
        <f t="shared" si="29"/>
        <v>0</v>
      </c>
      <c r="P20">
        <f t="shared" si="30"/>
        <v>0</v>
      </c>
      <c r="Q20" s="1">
        <f t="shared" si="21"/>
        <v>0</v>
      </c>
      <c r="R20" s="1">
        <f t="shared" si="22"/>
        <v>0</v>
      </c>
      <c r="S20" s="1">
        <f t="shared" si="23"/>
        <v>0</v>
      </c>
      <c r="U20">
        <f t="shared" si="31"/>
        <v>0</v>
      </c>
      <c r="V20">
        <f t="shared" si="32"/>
        <v>0</v>
      </c>
      <c r="W20">
        <f t="shared" si="33"/>
        <v>0</v>
      </c>
      <c r="X20">
        <f t="shared" si="34"/>
        <v>0</v>
      </c>
      <c r="Y20">
        <f t="shared" si="35"/>
        <v>0</v>
      </c>
      <c r="Z20">
        <f t="shared" si="36"/>
        <v>0</v>
      </c>
      <c r="AA20">
        <f t="shared" si="37"/>
        <v>0</v>
      </c>
      <c r="AB20">
        <f t="shared" si="38"/>
        <v>0</v>
      </c>
      <c r="AC20">
        <f t="shared" si="39"/>
        <v>0</v>
      </c>
      <c r="AD20">
        <f t="shared" si="40"/>
        <v>0</v>
      </c>
      <c r="AE20">
        <f t="shared" si="41"/>
        <v>0</v>
      </c>
      <c r="AF20">
        <f t="shared" si="42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25"/>
        <v>0</v>
      </c>
      <c r="L21" s="1">
        <f t="shared" ca="1" si="26"/>
        <v>0</v>
      </c>
      <c r="M21">
        <f t="shared" si="27"/>
        <v>0</v>
      </c>
      <c r="N21">
        <f t="shared" si="28"/>
        <v>0</v>
      </c>
      <c r="O21">
        <f t="shared" si="29"/>
        <v>0</v>
      </c>
      <c r="P21">
        <f t="shared" si="30"/>
        <v>0</v>
      </c>
      <c r="Q21" s="1">
        <f t="shared" si="21"/>
        <v>0</v>
      </c>
      <c r="R21" s="1">
        <f t="shared" si="22"/>
        <v>0</v>
      </c>
      <c r="S21" s="1">
        <f t="shared" si="23"/>
        <v>0</v>
      </c>
      <c r="U21">
        <f t="shared" si="31"/>
        <v>0</v>
      </c>
      <c r="V21">
        <f t="shared" si="32"/>
        <v>0</v>
      </c>
      <c r="W21">
        <f t="shared" si="33"/>
        <v>0</v>
      </c>
      <c r="X21">
        <f t="shared" si="34"/>
        <v>0</v>
      </c>
      <c r="Y21">
        <f t="shared" si="35"/>
        <v>0</v>
      </c>
      <c r="Z21">
        <f t="shared" si="36"/>
        <v>0</v>
      </c>
      <c r="AA21">
        <f t="shared" si="37"/>
        <v>0</v>
      </c>
      <c r="AB21">
        <f t="shared" si="38"/>
        <v>0</v>
      </c>
      <c r="AC21">
        <f t="shared" si="39"/>
        <v>0</v>
      </c>
      <c r="AD21">
        <f t="shared" si="40"/>
        <v>0</v>
      </c>
      <c r="AE21">
        <f t="shared" si="41"/>
        <v>0</v>
      </c>
      <c r="AF21">
        <f t="shared" si="42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1">
        <f t="shared" si="1"/>
        <v>0</v>
      </c>
      <c r="L22" s="1">
        <f t="shared" ca="1" si="24"/>
        <v>0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0</v>
      </c>
      <c r="Q22" s="1">
        <f t="shared" si="21"/>
        <v>0</v>
      </c>
      <c r="R22" s="1">
        <f t="shared" si="22"/>
        <v>0</v>
      </c>
      <c r="S22" s="1">
        <f t="shared" si="23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23274</v>
      </c>
      <c r="G23" s="4"/>
      <c r="H23" s="4"/>
      <c r="I23" s="7"/>
      <c r="J23" s="8" t="s">
        <v>20</v>
      </c>
      <c r="K23" s="1">
        <f>SUM(K6:K22)</f>
        <v>21474</v>
      </c>
      <c r="L23" s="26">
        <f>IF(U$23&gt;=1,1,0)</f>
        <v>1</v>
      </c>
      <c r="N23">
        <f t="shared" si="3"/>
        <v>0</v>
      </c>
      <c r="P23">
        <f t="shared" si="5"/>
        <v>0</v>
      </c>
      <c r="U23">
        <f>SUM(U6:U22)</f>
        <v>1</v>
      </c>
      <c r="V23">
        <f t="shared" ref="V23:AF23" si="61">SUM(V6:V22)</f>
        <v>0</v>
      </c>
      <c r="W23">
        <f t="shared" si="61"/>
        <v>1</v>
      </c>
      <c r="X23">
        <f t="shared" si="61"/>
        <v>1</v>
      </c>
      <c r="Y23">
        <f t="shared" si="61"/>
        <v>1</v>
      </c>
      <c r="Z23">
        <f t="shared" si="61"/>
        <v>0</v>
      </c>
      <c r="AA23">
        <f t="shared" si="61"/>
        <v>0</v>
      </c>
      <c r="AB23">
        <f t="shared" si="61"/>
        <v>0</v>
      </c>
      <c r="AC23">
        <f t="shared" si="61"/>
        <v>0</v>
      </c>
      <c r="AD23">
        <f t="shared" si="61"/>
        <v>0</v>
      </c>
      <c r="AE23">
        <f t="shared" si="61"/>
        <v>2</v>
      </c>
      <c r="AF23">
        <f t="shared" si="61"/>
        <v>0</v>
      </c>
    </row>
    <row r="24" spans="1:32" x14ac:dyDescent="0.35">
      <c r="J24" s="8" t="s">
        <v>21</v>
      </c>
      <c r="K24" s="5">
        <f>SUMPRODUCT(K6:K22,G6:G22)/SUM(K6:K22)</f>
        <v>3146.0396758871193</v>
      </c>
      <c r="L24" s="26">
        <f>IF(V$23&gt;=1,1,0)</f>
        <v>0</v>
      </c>
    </row>
    <row r="25" spans="1:32" x14ac:dyDescent="0.35">
      <c r="J25" s="8" t="s">
        <v>11</v>
      </c>
      <c r="K25" s="5">
        <f>SUMPRODUCT(M6:M22,N6:N22)/SUM(N6:N22)</f>
        <v>3079.3617975695292</v>
      </c>
      <c r="L25" s="26">
        <f>IF(W$23&gt;=1,1,0)</f>
        <v>1</v>
      </c>
    </row>
    <row r="26" spans="1:32" x14ac:dyDescent="0.35">
      <c r="J26" s="8" t="s">
        <v>12</v>
      </c>
      <c r="K26" s="5">
        <f>SUM(N6:N22)</f>
        <v>12261</v>
      </c>
      <c r="L26" s="26">
        <f>IF(X$23&gt;=1,1,0)</f>
        <v>1</v>
      </c>
    </row>
    <row r="27" spans="1:32" x14ac:dyDescent="0.35">
      <c r="J27" s="8" t="s">
        <v>22</v>
      </c>
      <c r="K27" s="5">
        <f>SUMPRODUCT(O6:O22,P6:P22)/SUM(P6:P22)</f>
        <v>3234.7770541625964</v>
      </c>
      <c r="L27" s="26">
        <f>IF(Y$23&gt;=1,1,0)</f>
        <v>1</v>
      </c>
    </row>
    <row r="28" spans="1:32" ht="15.5" x14ac:dyDescent="0.35">
      <c r="D28" s="19"/>
      <c r="J28" s="8" t="s">
        <v>23</v>
      </c>
      <c r="K28" s="5">
        <f>SUM(P6:P22)</f>
        <v>9213</v>
      </c>
      <c r="L28" s="26">
        <f>IF(Z$23&gt;=1,1,0)</f>
        <v>0</v>
      </c>
    </row>
    <row r="29" spans="1:32" ht="15.5" x14ac:dyDescent="0.35">
      <c r="D29" s="19"/>
      <c r="J29" s="8" t="s">
        <v>24</v>
      </c>
      <c r="K29" s="1">
        <f ca="1">MAX(L6:L22)</f>
        <v>114</v>
      </c>
      <c r="L29" s="26">
        <f>IF(AA$23&gt;=1,1,0)</f>
        <v>0</v>
      </c>
    </row>
    <row r="30" spans="1:32" ht="15.5" x14ac:dyDescent="0.35">
      <c r="D30" s="19"/>
      <c r="J30" s="8" t="s">
        <v>25</v>
      </c>
      <c r="K30" s="9">
        <f ca="1">AVERAGEIF((L6:L22),"&gt;0")</f>
        <v>86.5</v>
      </c>
      <c r="L30" s="26">
        <f>IF(AB$23&gt;=1,1,0)</f>
        <v>0</v>
      </c>
    </row>
    <row r="31" spans="1:32" x14ac:dyDescent="0.35">
      <c r="J31" s="8" t="s">
        <v>528</v>
      </c>
      <c r="K31" s="1">
        <f>SUM(Q6:Q22)</f>
        <v>2453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12620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6401</v>
      </c>
      <c r="L33" s="26">
        <f>IF(AE$23&gt;=1,1,0)</f>
        <v>1</v>
      </c>
    </row>
    <row r="34" spans="10:12" x14ac:dyDescent="0.35">
      <c r="L34" s="26">
        <f>IF(AF$23&gt;=1,1,0)</f>
        <v>0</v>
      </c>
    </row>
  </sheetData>
  <conditionalFormatting sqref="G6:G9">
    <cfRule type="cellIs" dxfId="217" priority="145" operator="between">
      <formula>3200</formula>
      <formula>3600</formula>
    </cfRule>
    <cfRule type="cellIs" dxfId="216" priority="143" operator="between">
      <formula>3000</formula>
      <formula>3200</formula>
    </cfRule>
    <cfRule type="cellIs" dxfId="215" priority="142" operator="between">
      <formula>2500</formula>
      <formula>3000</formula>
    </cfRule>
    <cfRule type="cellIs" dxfId="214" priority="141" operator="between">
      <formula>2500</formula>
      <formula>2000</formula>
    </cfRule>
  </conditionalFormatting>
  <conditionalFormatting sqref="G6:G12">
    <cfRule type="cellIs" dxfId="213" priority="129" operator="greaterThan">
      <formula>3600</formula>
    </cfRule>
  </conditionalFormatting>
  <conditionalFormatting sqref="G8:G12">
    <cfRule type="cellIs" dxfId="212" priority="237" operator="between">
      <formula>2500</formula>
      <formula>3000</formula>
    </cfRule>
    <cfRule type="cellIs" dxfId="211" priority="236" operator="between">
      <formula>2500</formula>
      <formula>2000</formula>
    </cfRule>
    <cfRule type="cellIs" dxfId="210" priority="238" operator="between">
      <formula>3000</formula>
      <formula>3200</formula>
    </cfRule>
    <cfRule type="cellIs" dxfId="209" priority="240" operator="between">
      <formula>3200</formula>
      <formula>3600</formula>
    </cfRule>
  </conditionalFormatting>
  <conditionalFormatting sqref="G6:H7">
    <cfRule type="cellIs" dxfId="208" priority="41" operator="between">
      <formula>2500</formula>
      <formula>2000</formula>
    </cfRule>
    <cfRule type="cellIs" dxfId="207" priority="42" operator="between">
      <formula>2500</formula>
      <formula>3000</formula>
    </cfRule>
    <cfRule type="cellIs" dxfId="206" priority="45" operator="between">
      <formula>3200</formula>
      <formula>3600</formula>
    </cfRule>
    <cfRule type="cellIs" dxfId="205" priority="43" operator="between">
      <formula>3000</formula>
      <formula>3200</formula>
    </cfRule>
  </conditionalFormatting>
  <conditionalFormatting sqref="G13:H23">
    <cfRule type="cellIs" dxfId="204" priority="361" operator="between">
      <formula>2500</formula>
      <formula>2000</formula>
    </cfRule>
    <cfRule type="cellIs" dxfId="203" priority="362" operator="between">
      <formula>2500</formula>
      <formula>3000</formula>
    </cfRule>
    <cfRule type="cellIs" dxfId="202" priority="363" operator="between">
      <formula>3000</formula>
      <formula>3200</formula>
    </cfRule>
    <cfRule type="cellIs" dxfId="201" priority="364" operator="greaterThan">
      <formula>3600</formula>
    </cfRule>
    <cfRule type="cellIs" dxfId="200" priority="365" operator="between">
      <formula>3200</formula>
      <formula>3600</formula>
    </cfRule>
  </conditionalFormatting>
  <conditionalFormatting sqref="H5:H6">
    <cfRule type="cellIs" dxfId="199" priority="52" operator="between">
      <formula>2500</formula>
      <formula>3000</formula>
    </cfRule>
    <cfRule type="cellIs" dxfId="198" priority="53" operator="between">
      <formula>3000</formula>
      <formula>3200</formula>
    </cfRule>
    <cfRule type="cellIs" dxfId="197" priority="55" operator="between">
      <formula>3200</formula>
      <formula>3600</formula>
    </cfRule>
    <cfRule type="cellIs" dxfId="196" priority="51" operator="between">
      <formula>2500</formula>
      <formula>2000</formula>
    </cfRule>
  </conditionalFormatting>
  <conditionalFormatting sqref="H5:H12">
    <cfRule type="cellIs" dxfId="195" priority="4" operator="greaterThan">
      <formula>3600</formula>
    </cfRule>
  </conditionalFormatting>
  <conditionalFormatting sqref="H7:H8">
    <cfRule type="cellIs" dxfId="194" priority="31" operator="between">
      <formula>2500</formula>
      <formula>2000</formula>
    </cfRule>
    <cfRule type="cellIs" dxfId="193" priority="32" operator="between">
      <formula>2500</formula>
      <formula>3000</formula>
    </cfRule>
    <cfRule type="cellIs" dxfId="192" priority="33" operator="between">
      <formula>3000</formula>
      <formula>3200</formula>
    </cfRule>
    <cfRule type="cellIs" dxfId="191" priority="35" operator="between">
      <formula>3200</formula>
      <formula>3600</formula>
    </cfRule>
  </conditionalFormatting>
  <conditionalFormatting sqref="H8:H9">
    <cfRule type="cellIs" dxfId="190" priority="25" operator="between">
      <formula>3200</formula>
      <formula>3600</formula>
    </cfRule>
    <cfRule type="cellIs" dxfId="189" priority="21" operator="between">
      <formula>2500</formula>
      <formula>2000</formula>
    </cfRule>
    <cfRule type="cellIs" dxfId="188" priority="22" operator="between">
      <formula>2500</formula>
      <formula>3000</formula>
    </cfRule>
    <cfRule type="cellIs" dxfId="187" priority="23" operator="between">
      <formula>3000</formula>
      <formula>3200</formula>
    </cfRule>
  </conditionalFormatting>
  <conditionalFormatting sqref="H9:H12">
    <cfRule type="cellIs" dxfId="186" priority="8" operator="between">
      <formula>3000</formula>
      <formula>3200</formula>
    </cfRule>
    <cfRule type="cellIs" dxfId="185" priority="10" operator="between">
      <formula>3200</formula>
      <formula>3600</formula>
    </cfRule>
    <cfRule type="cellIs" dxfId="184" priority="7" operator="between">
      <formula>2500</formula>
      <formula>3000</formula>
    </cfRule>
    <cfRule type="cellIs" dxfId="183" priority="6" operator="between">
      <formula>2500</formula>
      <formula>2000</formula>
    </cfRule>
  </conditionalFormatting>
  <conditionalFormatting sqref="H10">
    <cfRule type="cellIs" dxfId="182" priority="5" operator="between">
      <formula>3200</formula>
      <formula>3600</formula>
    </cfRule>
    <cfRule type="cellIs" dxfId="181" priority="3" operator="between">
      <formula>3000</formula>
      <formula>3200</formula>
    </cfRule>
    <cfRule type="cellIs" dxfId="180" priority="2" operator="between">
      <formula>2500</formula>
      <formula>3000</formula>
    </cfRule>
    <cfRule type="cellIs" dxfId="179" priority="1" operator="between">
      <formula>2500</formula>
      <formula>2000</formula>
    </cfRule>
  </conditionalFormatting>
  <conditionalFormatting sqref="K25">
    <cfRule type="cellIs" dxfId="178" priority="414" operator="between">
      <formula>3200</formula>
      <formula>3600</formula>
    </cfRule>
    <cfRule type="cellIs" dxfId="177" priority="410" operator="lessThan">
      <formula>2500</formula>
    </cfRule>
    <cfRule type="cellIs" dxfId="176" priority="411" operator="between">
      <formula>2500</formula>
      <formula>3000</formula>
    </cfRule>
    <cfRule type="cellIs" dxfId="175" priority="412" operator="between">
      <formula>3000</formula>
      <formula>3200</formula>
    </cfRule>
    <cfRule type="cellIs" dxfId="174" priority="413" operator="greaterThan">
      <formula>3600</formula>
    </cfRule>
  </conditionalFormatting>
  <conditionalFormatting sqref="K27">
    <cfRule type="cellIs" dxfId="173" priority="405" operator="lessThan">
      <formula>2500</formula>
    </cfRule>
    <cfRule type="cellIs" dxfId="172" priority="406" operator="between">
      <formula>2500</formula>
      <formula>3000</formula>
    </cfRule>
    <cfRule type="cellIs" dxfId="171" priority="407" operator="between">
      <formula>3000</formula>
      <formula>3200</formula>
    </cfRule>
    <cfRule type="cellIs" dxfId="170" priority="409" operator="between">
      <formula>3200</formula>
      <formula>3600</formula>
    </cfRule>
    <cfRule type="cellIs" dxfId="169" priority="408" operator="greaterThan">
      <formula>3600</formula>
    </cfRule>
  </conditionalFormatting>
  <conditionalFormatting sqref="L6:L34">
    <cfRule type="cellIs" dxfId="168" priority="366" operator="greaterThan">
      <formula>10</formula>
    </cfRule>
  </conditionalFormatting>
  <hyperlinks>
    <hyperlink ref="A3" location="'summery '!A1" display="summery " xr:uid="{00000000-0004-0000-0F00-000000000000}"/>
  </hyperlinks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AF33"/>
  <sheetViews>
    <sheetView zoomScale="64" zoomScaleNormal="64" workbookViewId="0">
      <selection activeCell="J30" sqref="J30:J32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2.5429687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3" width="11.453125" customWidth="1"/>
    <col min="14" max="14" width="12.7265625" customWidth="1"/>
    <col min="15" max="15" width="13.26953125" customWidth="1"/>
    <col min="16" max="16" width="14" customWidth="1"/>
    <col min="17" max="17" width="18.54296875" customWidth="1"/>
    <col min="18" max="18" width="19.81640625" customWidth="1"/>
    <col min="19" max="19" width="17" customWidth="1"/>
    <col min="20" max="32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</row>
    <row r="6" spans="1:32" x14ac:dyDescent="0.35">
      <c r="A6" s="3">
        <v>45575</v>
      </c>
      <c r="B6" s="1">
        <v>23</v>
      </c>
      <c r="C6" s="1">
        <v>6</v>
      </c>
      <c r="D6" s="1">
        <v>1</v>
      </c>
      <c r="E6" s="1" t="s">
        <v>18</v>
      </c>
      <c r="F6" s="13">
        <v>4341</v>
      </c>
      <c r="G6" s="13">
        <v>3431</v>
      </c>
      <c r="H6" s="1" t="s">
        <v>46</v>
      </c>
      <c r="I6" s="1"/>
      <c r="J6" s="1"/>
      <c r="K6" s="1">
        <f>F6-J6</f>
        <v>4341</v>
      </c>
      <c r="L6" s="1">
        <f t="shared" ref="L6:L10" ca="1" si="0">IF(F6=0,0,(TODAY()-A6))</f>
        <v>113</v>
      </c>
      <c r="M6" s="1">
        <f>IF(E6="T",G6,0)</f>
        <v>0</v>
      </c>
      <c r="N6" s="1">
        <f>IF(E6="T",K6,0)</f>
        <v>0</v>
      </c>
      <c r="O6" s="1">
        <f>IF(E6="B",G6,0)</f>
        <v>3431</v>
      </c>
      <c r="P6" s="1">
        <f>IF(E6="B",K6,0)</f>
        <v>4341</v>
      </c>
      <c r="Q6" s="1">
        <f>IF(G6&gt;3500,K6,0)</f>
        <v>0</v>
      </c>
      <c r="R6" s="1">
        <f>IF(AND(G6&gt;=3100,G6&lt;=3500),K6,0)</f>
        <v>4341</v>
      </c>
      <c r="S6" s="1">
        <f>IF(G6&lt;3100,K6,0)</f>
        <v>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0</v>
      </c>
      <c r="Z6">
        <f>IF(C6=6,1,0)</f>
        <v>1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x14ac:dyDescent="0.35">
      <c r="A7" s="3">
        <v>45584</v>
      </c>
      <c r="B7" s="1">
        <v>38</v>
      </c>
      <c r="C7" s="1">
        <v>6</v>
      </c>
      <c r="D7" s="1">
        <v>1</v>
      </c>
      <c r="E7" s="1" t="s">
        <v>18</v>
      </c>
      <c r="F7" s="17">
        <v>4002</v>
      </c>
      <c r="G7" s="18">
        <v>3203</v>
      </c>
      <c r="H7" s="1" t="s">
        <v>46</v>
      </c>
      <c r="I7" s="3"/>
      <c r="J7" s="1"/>
      <c r="K7" s="1">
        <f t="shared" ref="K7:K21" si="1">F7-J7</f>
        <v>4002</v>
      </c>
      <c r="L7" s="1">
        <f t="shared" ca="1" si="0"/>
        <v>104</v>
      </c>
      <c r="M7" s="1">
        <f t="shared" ref="M7:M12" si="2">IF(E7="T",G7,0)</f>
        <v>0</v>
      </c>
      <c r="N7" s="1">
        <f t="shared" ref="N7:N22" si="3">IF(E7="T",K7,0)</f>
        <v>0</v>
      </c>
      <c r="O7" s="1">
        <f t="shared" ref="O7:O12" si="4">IF(E7="B",G7,0)</f>
        <v>3203</v>
      </c>
      <c r="P7" s="1">
        <f t="shared" ref="P7:P22" si="5">IF(E7="B",K7,0)</f>
        <v>4002</v>
      </c>
      <c r="Q7" s="1">
        <f t="shared" ref="Q7" si="6">IF(G7&gt;3500,K7,0)</f>
        <v>0</v>
      </c>
      <c r="R7" s="1">
        <f t="shared" ref="R7" si="7">IF(AND(G7&gt;=3100,G7&lt;=3500),K7,0)</f>
        <v>4002</v>
      </c>
      <c r="S7" s="1">
        <f t="shared" ref="S7" si="8">IF(G7&lt;3100,K7,0)</f>
        <v>0</v>
      </c>
      <c r="U7">
        <f t="shared" ref="U7:U21" si="9">IF(C7=1,1,0)</f>
        <v>0</v>
      </c>
      <c r="V7">
        <f t="shared" ref="V7:V21" si="10">IF(C7=2,1,0)</f>
        <v>0</v>
      </c>
      <c r="W7">
        <f t="shared" ref="W7:W21" si="11">IF(C7=3,1,0)</f>
        <v>0</v>
      </c>
      <c r="X7">
        <f t="shared" ref="X7:X21" si="12">IF(C7=4,1,0)</f>
        <v>0</v>
      </c>
      <c r="Y7">
        <f t="shared" ref="Y7:Y21" si="13">IF(C7=5,1,0)</f>
        <v>0</v>
      </c>
      <c r="Z7">
        <f t="shared" ref="Z7:Z21" si="14">IF(C7=6,1,0)</f>
        <v>1</v>
      </c>
      <c r="AA7">
        <f t="shared" ref="AA7:AA21" si="15">IF(C7=7,1,0)</f>
        <v>0</v>
      </c>
      <c r="AB7">
        <f t="shared" ref="AB7:AB21" si="16">IF(C7=8,1,0)</f>
        <v>0</v>
      </c>
      <c r="AC7">
        <f t="shared" ref="AC7:AC21" si="17">IF(C7=9,1,0)</f>
        <v>0</v>
      </c>
      <c r="AD7">
        <f t="shared" ref="AD7:AD21" si="18">IF(C7=10,1,0)</f>
        <v>0</v>
      </c>
      <c r="AE7">
        <f t="shared" ref="AE7:AE21" si="19">IF(C7="SILO",1,0)</f>
        <v>0</v>
      </c>
      <c r="AF7">
        <f t="shared" ref="AF7:AF21" si="20">IF(C7="CB",1,0)</f>
        <v>0</v>
      </c>
    </row>
    <row r="8" spans="1:32" ht="15.5" x14ac:dyDescent="0.35">
      <c r="A8" s="3">
        <v>45585</v>
      </c>
      <c r="B8" s="1">
        <v>42</v>
      </c>
      <c r="C8" s="1">
        <v>6</v>
      </c>
      <c r="D8" s="1">
        <v>1</v>
      </c>
      <c r="E8" s="1" t="s">
        <v>19</v>
      </c>
      <c r="F8" s="13">
        <v>2473</v>
      </c>
      <c r="G8" s="45">
        <v>3835</v>
      </c>
      <c r="H8" s="1" t="s">
        <v>46</v>
      </c>
      <c r="I8" s="3"/>
      <c r="J8" s="1"/>
      <c r="K8" s="1">
        <f t="shared" si="1"/>
        <v>2473</v>
      </c>
      <c r="L8" s="1">
        <f t="shared" ca="1" si="0"/>
        <v>103</v>
      </c>
      <c r="M8" s="1">
        <f t="shared" si="2"/>
        <v>3835</v>
      </c>
      <c r="N8" s="1">
        <f t="shared" si="3"/>
        <v>2473</v>
      </c>
      <c r="O8" s="1">
        <f t="shared" si="4"/>
        <v>0</v>
      </c>
      <c r="P8" s="1">
        <f t="shared" si="5"/>
        <v>0</v>
      </c>
      <c r="Q8" s="1">
        <f t="shared" ref="Q8:Q21" si="21">IF(G8&gt;3500,K8,0)</f>
        <v>2473</v>
      </c>
      <c r="R8" s="1">
        <f t="shared" ref="R8:R21" si="22">IF(AND(G8&gt;=3100,G8&lt;=3500),K8,0)</f>
        <v>0</v>
      </c>
      <c r="S8" s="1">
        <f t="shared" ref="S8:S21" si="23">IF(G8&lt;3100,K8,0)</f>
        <v>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1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ht="15.5" x14ac:dyDescent="0.35">
      <c r="A9" s="3">
        <v>45587</v>
      </c>
      <c r="B9" s="1">
        <v>50</v>
      </c>
      <c r="C9" s="1">
        <v>6</v>
      </c>
      <c r="D9" s="1">
        <v>1</v>
      </c>
      <c r="E9" s="1" t="s">
        <v>19</v>
      </c>
      <c r="F9" s="13">
        <v>3344</v>
      </c>
      <c r="G9" s="45">
        <v>3677</v>
      </c>
      <c r="H9" s="1" t="s">
        <v>46</v>
      </c>
      <c r="I9" s="3"/>
      <c r="J9" s="1"/>
      <c r="K9" s="1">
        <f t="shared" si="1"/>
        <v>3344</v>
      </c>
      <c r="L9" s="1">
        <f t="shared" ca="1" si="0"/>
        <v>101</v>
      </c>
      <c r="M9" s="1">
        <f t="shared" si="2"/>
        <v>3677</v>
      </c>
      <c r="N9" s="1">
        <f t="shared" si="3"/>
        <v>3344</v>
      </c>
      <c r="O9" s="1">
        <f t="shared" si="4"/>
        <v>0</v>
      </c>
      <c r="P9" s="1">
        <f t="shared" si="5"/>
        <v>0</v>
      </c>
      <c r="Q9" s="1">
        <f t="shared" si="21"/>
        <v>3344</v>
      </c>
      <c r="R9" s="1">
        <f t="shared" si="22"/>
        <v>0</v>
      </c>
      <c r="S9" s="1">
        <f t="shared" si="23"/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1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0</v>
      </c>
      <c r="AF9">
        <f t="shared" si="20"/>
        <v>0</v>
      </c>
    </row>
    <row r="10" spans="1:32" ht="15.5" x14ac:dyDescent="0.35">
      <c r="A10" s="3">
        <v>45591</v>
      </c>
      <c r="B10" s="1">
        <v>67</v>
      </c>
      <c r="C10" s="1">
        <v>6</v>
      </c>
      <c r="D10" s="1">
        <v>1</v>
      </c>
      <c r="E10" s="1" t="s">
        <v>19</v>
      </c>
      <c r="F10" s="13">
        <v>3480</v>
      </c>
      <c r="G10" s="19">
        <v>3212.0010368486874</v>
      </c>
      <c r="H10" s="1" t="s">
        <v>46</v>
      </c>
      <c r="I10" s="3"/>
      <c r="J10" s="1"/>
      <c r="K10" s="1">
        <f t="shared" si="1"/>
        <v>3480</v>
      </c>
      <c r="L10" s="1">
        <f t="shared" ca="1" si="0"/>
        <v>97</v>
      </c>
      <c r="M10" s="5">
        <f t="shared" si="2"/>
        <v>3212.0010368486874</v>
      </c>
      <c r="N10" s="1">
        <f t="shared" si="3"/>
        <v>3480</v>
      </c>
      <c r="O10" s="1">
        <f t="shared" si="4"/>
        <v>0</v>
      </c>
      <c r="P10" s="1">
        <f t="shared" si="5"/>
        <v>0</v>
      </c>
      <c r="Q10" s="1">
        <f t="shared" si="21"/>
        <v>0</v>
      </c>
      <c r="R10" s="1">
        <f t="shared" si="22"/>
        <v>3480</v>
      </c>
      <c r="S10" s="1">
        <f t="shared" si="23"/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1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ht="15.5" x14ac:dyDescent="0.35">
      <c r="A11" s="3"/>
      <c r="B11" s="1"/>
      <c r="C11" s="1"/>
      <c r="D11" s="1"/>
      <c r="E11" s="1"/>
      <c r="F11" s="13"/>
      <c r="G11" s="45"/>
      <c r="H11" s="1"/>
      <c r="I11" s="3"/>
      <c r="J11" s="1"/>
      <c r="K11" s="1">
        <f t="shared" si="1"/>
        <v>0</v>
      </c>
      <c r="L11" s="1">
        <f ca="1">IF(F11=0,0,(TODAY()-A11))</f>
        <v>0</v>
      </c>
      <c r="M11" s="1">
        <f t="shared" si="2"/>
        <v>0</v>
      </c>
      <c r="N11" s="1">
        <f t="shared" si="3"/>
        <v>0</v>
      </c>
      <c r="O11" s="1">
        <f t="shared" si="4"/>
        <v>0</v>
      </c>
      <c r="P11" s="1">
        <f t="shared" si="5"/>
        <v>0</v>
      </c>
      <c r="Q11" s="1">
        <f t="shared" si="21"/>
        <v>0</v>
      </c>
      <c r="R11" s="1">
        <f t="shared" si="22"/>
        <v>0</v>
      </c>
      <c r="S11" s="1">
        <f t="shared" si="23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3"/>
      <c r="G12" s="13"/>
      <c r="H12" s="1"/>
      <c r="I12" s="3"/>
      <c r="J12" s="1"/>
      <c r="K12" s="1">
        <f t="shared" si="1"/>
        <v>0</v>
      </c>
      <c r="L12" s="1">
        <f t="shared" ref="L12:L21" ca="1" si="24">IF(F12=0,0,(TODAY()-A12))</f>
        <v>0</v>
      </c>
      <c r="M12" s="1">
        <f t="shared" si="2"/>
        <v>0</v>
      </c>
      <c r="N12" s="1">
        <f t="shared" si="3"/>
        <v>0</v>
      </c>
      <c r="O12" s="1">
        <f t="shared" si="4"/>
        <v>0</v>
      </c>
      <c r="P12" s="1">
        <f t="shared" si="5"/>
        <v>0</v>
      </c>
      <c r="Q12" s="1">
        <f t="shared" si="21"/>
        <v>0</v>
      </c>
      <c r="R12" s="1">
        <f t="shared" si="22"/>
        <v>0</v>
      </c>
      <c r="S12" s="1">
        <f t="shared" si="23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5"/>
      <c r="I13" s="1"/>
      <c r="J13" s="1"/>
      <c r="K13" s="1">
        <f t="shared" si="1"/>
        <v>0</v>
      </c>
      <c r="L13" s="1">
        <f t="shared" ca="1" si="24"/>
        <v>0</v>
      </c>
      <c r="M13" s="1">
        <f t="shared" ref="M13:M21" si="25">IF(E13="T",G13,0)</f>
        <v>0</v>
      </c>
      <c r="N13" s="1">
        <f t="shared" ref="N13:N21" si="26">IF(E13="T",K13,0)</f>
        <v>0</v>
      </c>
      <c r="O13" s="1">
        <f t="shared" ref="O13:O21" si="27">IF(E13="B",G13,0)</f>
        <v>0</v>
      </c>
      <c r="P13" s="1">
        <f t="shared" ref="P13:P21" si="28">IF(E13="B",K13,0)</f>
        <v>0</v>
      </c>
      <c r="Q13" s="1">
        <f t="shared" si="21"/>
        <v>0</v>
      </c>
      <c r="R13" s="1">
        <f t="shared" si="22"/>
        <v>0</v>
      </c>
      <c r="S13" s="1">
        <f t="shared" si="23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1"/>
        <v>0</v>
      </c>
      <c r="L14" s="1">
        <f t="shared" ca="1" si="24"/>
        <v>0</v>
      </c>
      <c r="M14" s="1">
        <f t="shared" si="25"/>
        <v>0</v>
      </c>
      <c r="N14" s="1">
        <f t="shared" si="26"/>
        <v>0</v>
      </c>
      <c r="O14" s="1">
        <f t="shared" si="27"/>
        <v>0</v>
      </c>
      <c r="P14" s="1">
        <f t="shared" si="28"/>
        <v>0</v>
      </c>
      <c r="Q14" s="1">
        <f t="shared" si="21"/>
        <v>0</v>
      </c>
      <c r="R14" s="1">
        <f t="shared" si="22"/>
        <v>0</v>
      </c>
      <c r="S14" s="1">
        <f t="shared" si="23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si="1"/>
        <v>0</v>
      </c>
      <c r="L15" s="1">
        <f t="shared" ca="1" si="24"/>
        <v>0</v>
      </c>
      <c r="M15" s="1">
        <f t="shared" si="25"/>
        <v>0</v>
      </c>
      <c r="N15" s="1">
        <f t="shared" si="26"/>
        <v>0</v>
      </c>
      <c r="O15" s="1">
        <f t="shared" si="27"/>
        <v>0</v>
      </c>
      <c r="P15" s="1">
        <f t="shared" si="28"/>
        <v>0</v>
      </c>
      <c r="Q15" s="1">
        <f t="shared" si="21"/>
        <v>0</v>
      </c>
      <c r="R15" s="1">
        <f t="shared" si="22"/>
        <v>0</v>
      </c>
      <c r="S15" s="1">
        <f t="shared" si="23"/>
        <v>0</v>
      </c>
      <c r="U15">
        <f t="shared" si="9"/>
        <v>0</v>
      </c>
      <c r="V15">
        <f t="shared" si="10"/>
        <v>0</v>
      </c>
      <c r="W15">
        <f t="shared" si="11"/>
        <v>0</v>
      </c>
      <c r="X15">
        <f t="shared" si="12"/>
        <v>0</v>
      </c>
      <c r="Y15">
        <f t="shared" si="13"/>
        <v>0</v>
      </c>
      <c r="Z15">
        <f t="shared" si="14"/>
        <v>0</v>
      </c>
      <c r="AA15">
        <f t="shared" si="15"/>
        <v>0</v>
      </c>
      <c r="AB15">
        <f t="shared" si="16"/>
        <v>0</v>
      </c>
      <c r="AC15">
        <f t="shared" si="17"/>
        <v>0</v>
      </c>
      <c r="AD15">
        <f t="shared" si="18"/>
        <v>0</v>
      </c>
      <c r="AE15">
        <f t="shared" si="19"/>
        <v>0</v>
      </c>
      <c r="AF15">
        <f t="shared" si="20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1"/>
      <c r="J16" s="1"/>
      <c r="K16" s="1">
        <f t="shared" si="1"/>
        <v>0</v>
      </c>
      <c r="L16" s="1">
        <f t="shared" ca="1" si="24"/>
        <v>0</v>
      </c>
      <c r="M16" s="1">
        <f t="shared" si="25"/>
        <v>0</v>
      </c>
      <c r="N16" s="1">
        <f t="shared" si="26"/>
        <v>0</v>
      </c>
      <c r="O16" s="1">
        <f t="shared" si="27"/>
        <v>0</v>
      </c>
      <c r="P16" s="1">
        <f t="shared" si="28"/>
        <v>0</v>
      </c>
      <c r="Q16" s="1">
        <f t="shared" si="21"/>
        <v>0</v>
      </c>
      <c r="R16" s="1">
        <f t="shared" si="22"/>
        <v>0</v>
      </c>
      <c r="S16" s="1">
        <f t="shared" si="23"/>
        <v>0</v>
      </c>
      <c r="U16">
        <f t="shared" si="9"/>
        <v>0</v>
      </c>
      <c r="V16">
        <f t="shared" si="10"/>
        <v>0</v>
      </c>
      <c r="W16">
        <f t="shared" si="11"/>
        <v>0</v>
      </c>
      <c r="X16">
        <f t="shared" si="12"/>
        <v>0</v>
      </c>
      <c r="Y16">
        <f t="shared" si="13"/>
        <v>0</v>
      </c>
      <c r="Z16">
        <f t="shared" si="14"/>
        <v>0</v>
      </c>
      <c r="AA16">
        <f t="shared" si="15"/>
        <v>0</v>
      </c>
      <c r="AB16">
        <f t="shared" si="16"/>
        <v>0</v>
      </c>
      <c r="AC16">
        <f t="shared" si="17"/>
        <v>0</v>
      </c>
      <c r="AD16">
        <f t="shared" si="18"/>
        <v>0</v>
      </c>
      <c r="AE16">
        <f t="shared" si="19"/>
        <v>0</v>
      </c>
      <c r="AF16">
        <f t="shared" si="20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si="1"/>
        <v>0</v>
      </c>
      <c r="L17" s="1">
        <f t="shared" ca="1" si="24"/>
        <v>0</v>
      </c>
      <c r="M17" s="1">
        <f t="shared" si="25"/>
        <v>0</v>
      </c>
      <c r="N17" s="1">
        <f t="shared" si="26"/>
        <v>0</v>
      </c>
      <c r="O17" s="1">
        <f t="shared" si="27"/>
        <v>0</v>
      </c>
      <c r="P17" s="1">
        <f t="shared" si="28"/>
        <v>0</v>
      </c>
      <c r="Q17" s="1">
        <f t="shared" si="21"/>
        <v>0</v>
      </c>
      <c r="R17" s="1">
        <f t="shared" si="22"/>
        <v>0</v>
      </c>
      <c r="S17" s="1">
        <f t="shared" si="23"/>
        <v>0</v>
      </c>
      <c r="U17">
        <f t="shared" ref="U17:U20" si="29">IF(C17=1,1,0)</f>
        <v>0</v>
      </c>
      <c r="V17">
        <f t="shared" ref="V17:V20" si="30">IF(C17=2,1,0)</f>
        <v>0</v>
      </c>
      <c r="W17">
        <f t="shared" ref="W17:W20" si="31">IF(C17=3,1,0)</f>
        <v>0</v>
      </c>
      <c r="X17">
        <f t="shared" ref="X17:X20" si="32">IF(C17=4,1,0)</f>
        <v>0</v>
      </c>
      <c r="Y17">
        <f t="shared" ref="Y17:Y20" si="33">IF(C17=5,1,0)</f>
        <v>0</v>
      </c>
      <c r="Z17">
        <f t="shared" ref="Z17:Z20" si="34">IF(C17=6,1,0)</f>
        <v>0</v>
      </c>
      <c r="AA17">
        <f t="shared" ref="AA17:AA20" si="35">IF(C17=7,1,0)</f>
        <v>0</v>
      </c>
      <c r="AB17">
        <f t="shared" ref="AB17:AB20" si="36">IF(C17=8,1,0)</f>
        <v>0</v>
      </c>
      <c r="AC17">
        <f t="shared" ref="AC17:AC20" si="37">IF(C17=9,1,0)</f>
        <v>0</v>
      </c>
      <c r="AD17">
        <f t="shared" ref="AD17:AD20" si="38">IF(C17=10,1,0)</f>
        <v>0</v>
      </c>
      <c r="AE17">
        <f t="shared" ref="AE17:AE20" si="39">IF(C17="SILO",1,0)</f>
        <v>0</v>
      </c>
      <c r="AF17">
        <f t="shared" ref="AF17:AF20" si="40">IF(C17="CB",1,0)</f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1"/>
        <v>0</v>
      </c>
      <c r="L18" s="1">
        <f t="shared" ca="1" si="24"/>
        <v>0</v>
      </c>
      <c r="M18" s="1">
        <f t="shared" si="25"/>
        <v>0</v>
      </c>
      <c r="N18" s="1">
        <f t="shared" si="26"/>
        <v>0</v>
      </c>
      <c r="O18" s="1">
        <f t="shared" si="27"/>
        <v>0</v>
      </c>
      <c r="P18" s="1">
        <f t="shared" si="28"/>
        <v>0</v>
      </c>
      <c r="Q18" s="1">
        <f t="shared" si="21"/>
        <v>0</v>
      </c>
      <c r="R18" s="1">
        <f t="shared" si="22"/>
        <v>0</v>
      </c>
      <c r="S18" s="1">
        <f t="shared" si="23"/>
        <v>0</v>
      </c>
      <c r="U18">
        <f t="shared" si="29"/>
        <v>0</v>
      </c>
      <c r="V18">
        <f t="shared" si="30"/>
        <v>0</v>
      </c>
      <c r="W18">
        <f t="shared" si="31"/>
        <v>0</v>
      </c>
      <c r="X18">
        <f t="shared" si="32"/>
        <v>0</v>
      </c>
      <c r="Y18">
        <f t="shared" si="33"/>
        <v>0</v>
      </c>
      <c r="Z18">
        <f t="shared" si="34"/>
        <v>0</v>
      </c>
      <c r="AA18">
        <f t="shared" si="35"/>
        <v>0</v>
      </c>
      <c r="AB18">
        <f t="shared" si="36"/>
        <v>0</v>
      </c>
      <c r="AC18">
        <f t="shared" si="37"/>
        <v>0</v>
      </c>
      <c r="AD18">
        <f t="shared" si="38"/>
        <v>0</v>
      </c>
      <c r="AE18">
        <f t="shared" si="39"/>
        <v>0</v>
      </c>
      <c r="AF18">
        <f t="shared" si="40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si="1"/>
        <v>0</v>
      </c>
      <c r="L19" s="1">
        <f t="shared" ca="1" si="24"/>
        <v>0</v>
      </c>
      <c r="M19" s="1">
        <f t="shared" si="25"/>
        <v>0</v>
      </c>
      <c r="N19" s="1">
        <f t="shared" si="26"/>
        <v>0</v>
      </c>
      <c r="O19" s="1">
        <f t="shared" si="27"/>
        <v>0</v>
      </c>
      <c r="P19" s="1">
        <f t="shared" si="28"/>
        <v>0</v>
      </c>
      <c r="Q19" s="1">
        <f t="shared" si="21"/>
        <v>0</v>
      </c>
      <c r="R19" s="1">
        <f t="shared" si="22"/>
        <v>0</v>
      </c>
      <c r="S19" s="1">
        <f t="shared" si="23"/>
        <v>0</v>
      </c>
      <c r="U19">
        <f t="shared" si="29"/>
        <v>0</v>
      </c>
      <c r="V19">
        <f t="shared" si="30"/>
        <v>0</v>
      </c>
      <c r="W19">
        <f t="shared" si="31"/>
        <v>0</v>
      </c>
      <c r="X19">
        <f t="shared" si="32"/>
        <v>0</v>
      </c>
      <c r="Y19">
        <f t="shared" si="33"/>
        <v>0</v>
      </c>
      <c r="Z19">
        <f t="shared" si="34"/>
        <v>0</v>
      </c>
      <c r="AA19">
        <f t="shared" si="35"/>
        <v>0</v>
      </c>
      <c r="AB19">
        <f t="shared" si="36"/>
        <v>0</v>
      </c>
      <c r="AC19">
        <f t="shared" si="37"/>
        <v>0</v>
      </c>
      <c r="AD19">
        <f t="shared" si="38"/>
        <v>0</v>
      </c>
      <c r="AE19">
        <f t="shared" si="39"/>
        <v>0</v>
      </c>
      <c r="AF19">
        <f t="shared" si="40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1"/>
        <v>0</v>
      </c>
      <c r="L20" s="1">
        <f t="shared" ca="1" si="24"/>
        <v>0</v>
      </c>
      <c r="M20" s="1">
        <f t="shared" si="25"/>
        <v>0</v>
      </c>
      <c r="N20" s="1">
        <f t="shared" si="26"/>
        <v>0</v>
      </c>
      <c r="O20" s="1">
        <f t="shared" si="27"/>
        <v>0</v>
      </c>
      <c r="P20" s="1">
        <f t="shared" si="28"/>
        <v>0</v>
      </c>
      <c r="Q20" s="1">
        <f t="shared" si="21"/>
        <v>0</v>
      </c>
      <c r="R20" s="1">
        <f t="shared" si="22"/>
        <v>0</v>
      </c>
      <c r="S20" s="1">
        <f t="shared" si="23"/>
        <v>0</v>
      </c>
      <c r="U20">
        <f t="shared" si="29"/>
        <v>0</v>
      </c>
      <c r="V20">
        <f t="shared" si="30"/>
        <v>0</v>
      </c>
      <c r="W20">
        <f t="shared" si="31"/>
        <v>0</v>
      </c>
      <c r="X20">
        <f t="shared" si="32"/>
        <v>0</v>
      </c>
      <c r="Y20">
        <f t="shared" si="33"/>
        <v>0</v>
      </c>
      <c r="Z20">
        <f t="shared" si="34"/>
        <v>0</v>
      </c>
      <c r="AA20">
        <f t="shared" si="35"/>
        <v>0</v>
      </c>
      <c r="AB20">
        <f t="shared" si="36"/>
        <v>0</v>
      </c>
      <c r="AC20">
        <f t="shared" si="37"/>
        <v>0</v>
      </c>
      <c r="AD20">
        <f t="shared" si="38"/>
        <v>0</v>
      </c>
      <c r="AE20">
        <f t="shared" si="39"/>
        <v>0</v>
      </c>
      <c r="AF20">
        <f t="shared" si="40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1"/>
        <v>0</v>
      </c>
      <c r="L21" s="1">
        <f t="shared" ca="1" si="24"/>
        <v>0</v>
      </c>
      <c r="M21" s="1">
        <f t="shared" si="25"/>
        <v>0</v>
      </c>
      <c r="N21" s="1">
        <f t="shared" si="26"/>
        <v>0</v>
      </c>
      <c r="O21" s="1">
        <f t="shared" si="27"/>
        <v>0</v>
      </c>
      <c r="P21" s="1">
        <f t="shared" si="28"/>
        <v>0</v>
      </c>
      <c r="Q21" s="1">
        <f t="shared" si="21"/>
        <v>0</v>
      </c>
      <c r="R21" s="1">
        <f t="shared" si="22"/>
        <v>0</v>
      </c>
      <c r="S21" s="1">
        <f t="shared" si="23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f t="shared" si="12"/>
        <v>0</v>
      </c>
      <c r="Y21">
        <f t="shared" si="13"/>
        <v>0</v>
      </c>
      <c r="Z21">
        <f t="shared" si="14"/>
        <v>0</v>
      </c>
      <c r="AA21">
        <f t="shared" si="15"/>
        <v>0</v>
      </c>
      <c r="AB21">
        <f t="shared" si="16"/>
        <v>0</v>
      </c>
      <c r="AC21">
        <f t="shared" si="17"/>
        <v>0</v>
      </c>
      <c r="AD21">
        <f t="shared" si="18"/>
        <v>0</v>
      </c>
      <c r="AE21">
        <f t="shared" si="19"/>
        <v>0</v>
      </c>
      <c r="AF21">
        <f t="shared" si="20"/>
        <v>0</v>
      </c>
    </row>
    <row r="22" spans="1:32" x14ac:dyDescent="0.35">
      <c r="A22" s="6"/>
      <c r="B22" s="7"/>
      <c r="C22" s="7"/>
      <c r="D22" s="7"/>
      <c r="E22" s="7"/>
      <c r="F22" s="7">
        <f>SUM(F6:F21)</f>
        <v>17640</v>
      </c>
      <c r="G22" s="4"/>
      <c r="H22" s="4"/>
      <c r="I22" s="7"/>
      <c r="J22" s="8" t="s">
        <v>20</v>
      </c>
      <c r="K22" s="1">
        <f>SUM(K6:K21)</f>
        <v>17640</v>
      </c>
      <c r="L22" s="26">
        <f>IF(U$22&gt;=1,1,0)</f>
        <v>0</v>
      </c>
      <c r="N22">
        <f t="shared" si="3"/>
        <v>0</v>
      </c>
      <c r="P22">
        <f t="shared" si="5"/>
        <v>0</v>
      </c>
      <c r="U22">
        <f>SUM(U6:U21)</f>
        <v>0</v>
      </c>
      <c r="V22">
        <f t="shared" ref="V22:AF22" si="41">SUM(V6:V21)</f>
        <v>0</v>
      </c>
      <c r="W22">
        <f t="shared" si="41"/>
        <v>0</v>
      </c>
      <c r="X22">
        <f t="shared" si="41"/>
        <v>0</v>
      </c>
      <c r="Y22">
        <f t="shared" si="41"/>
        <v>0</v>
      </c>
      <c r="Z22">
        <f t="shared" si="41"/>
        <v>5</v>
      </c>
      <c r="AA22">
        <f t="shared" si="41"/>
        <v>0</v>
      </c>
      <c r="AB22">
        <f t="shared" si="41"/>
        <v>0</v>
      </c>
      <c r="AC22">
        <f t="shared" si="41"/>
        <v>0</v>
      </c>
      <c r="AD22">
        <f t="shared" si="41"/>
        <v>0</v>
      </c>
      <c r="AE22">
        <f t="shared" si="41"/>
        <v>0</v>
      </c>
      <c r="AF22">
        <f t="shared" si="41"/>
        <v>0</v>
      </c>
    </row>
    <row r="23" spans="1:32" x14ac:dyDescent="0.35">
      <c r="J23" s="8" t="s">
        <v>21</v>
      </c>
      <c r="K23" s="5">
        <f>SUMPRODUCT(K6:K21,G6:G21)/SUM(K6:K21)</f>
        <v>3439.3414743896501</v>
      </c>
      <c r="L23" s="26">
        <f>IF(V$22&gt;=1,1,0)</f>
        <v>0</v>
      </c>
    </row>
    <row r="24" spans="1:32" x14ac:dyDescent="0.35">
      <c r="J24" s="8" t="s">
        <v>11</v>
      </c>
      <c r="K24" s="5">
        <f>SUMPRODUCT(M6:M21,N6:N21)/SUM(N6:N21)</f>
        <v>3544.9722069735863</v>
      </c>
      <c r="L24" s="26">
        <f>IF(W$22&gt;=1,1,0)</f>
        <v>0</v>
      </c>
    </row>
    <row r="25" spans="1:32" x14ac:dyDescent="0.35">
      <c r="J25" s="8" t="s">
        <v>12</v>
      </c>
      <c r="K25" s="5">
        <f>SUM(N6:N21)</f>
        <v>9297</v>
      </c>
      <c r="L25" s="26">
        <f>IF(X$22&gt;=1,1,0)</f>
        <v>0</v>
      </c>
    </row>
    <row r="26" spans="1:32" x14ac:dyDescent="0.35">
      <c r="J26" s="8" t="s">
        <v>22</v>
      </c>
      <c r="K26" s="5">
        <f>SUMPRODUCT(O6:O21,P6:P21)/SUM(P6:P21)</f>
        <v>3321.6321467098164</v>
      </c>
      <c r="L26" s="26">
        <f>IF(Y$22&gt;=1,1,0)</f>
        <v>0</v>
      </c>
    </row>
    <row r="27" spans="1:32" x14ac:dyDescent="0.35">
      <c r="J27" s="8" t="s">
        <v>23</v>
      </c>
      <c r="K27" s="5">
        <f>SUM(P6:P21)</f>
        <v>8343</v>
      </c>
      <c r="L27" s="26">
        <f>IF(Z$22&gt;=1,1,0)</f>
        <v>1</v>
      </c>
    </row>
    <row r="28" spans="1:32" x14ac:dyDescent="0.35">
      <c r="J28" s="8" t="s">
        <v>24</v>
      </c>
      <c r="K28" s="1">
        <f ca="1">MAX(L6:L21)</f>
        <v>113</v>
      </c>
      <c r="L28" s="26">
        <f>IF(AA$22&gt;=1,1,0)</f>
        <v>0</v>
      </c>
    </row>
    <row r="29" spans="1:32" x14ac:dyDescent="0.35">
      <c r="J29" s="8" t="s">
        <v>25</v>
      </c>
      <c r="K29" s="9">
        <f ca="1">AVERAGEIF((L6:L21),"&gt;0")</f>
        <v>103.6</v>
      </c>
      <c r="L29" s="26">
        <f>IF(AB$22&gt;=1,1,0)</f>
        <v>0</v>
      </c>
    </row>
    <row r="30" spans="1:32" x14ac:dyDescent="0.35">
      <c r="J30" s="8" t="s">
        <v>528</v>
      </c>
      <c r="K30" s="1">
        <f>SUM(Q6:Q21)</f>
        <v>5817</v>
      </c>
      <c r="L30" s="26">
        <f>IF(AC$22&gt;=1,1,0)</f>
        <v>0</v>
      </c>
    </row>
    <row r="31" spans="1:32" x14ac:dyDescent="0.35">
      <c r="J31" s="8" t="s">
        <v>527</v>
      </c>
      <c r="K31" s="1">
        <f>SUM(R6:R21)</f>
        <v>11823</v>
      </c>
      <c r="L31" s="26">
        <f>IF(AD$22&gt;=1,1,0)</f>
        <v>0</v>
      </c>
    </row>
    <row r="32" spans="1:32" x14ac:dyDescent="0.35">
      <c r="J32" s="8" t="s">
        <v>526</v>
      </c>
      <c r="K32" s="1">
        <f>SUM(S6:S21)</f>
        <v>0</v>
      </c>
      <c r="L32" s="26">
        <f>IF(AE$22&gt;=1,1,0)</f>
        <v>0</v>
      </c>
    </row>
    <row r="33" spans="12:12" x14ac:dyDescent="0.35">
      <c r="L33" s="26">
        <f>IF(AF$22&gt;=1,1,0)</f>
        <v>0</v>
      </c>
    </row>
  </sheetData>
  <conditionalFormatting sqref="G6:G12">
    <cfRule type="cellIs" dxfId="167" priority="107" operator="between">
      <formula>2500</formula>
      <formula>3000</formula>
    </cfRule>
    <cfRule type="cellIs" dxfId="166" priority="106" operator="between">
      <formula>2500</formula>
      <formula>2000</formula>
    </cfRule>
    <cfRule type="cellIs" dxfId="165" priority="108" operator="between">
      <formula>3000</formula>
      <formula>3200</formula>
    </cfRule>
    <cfRule type="cellIs" dxfId="164" priority="110" operator="between">
      <formula>3200</formula>
      <formula>3600</formula>
    </cfRule>
  </conditionalFormatting>
  <conditionalFormatting sqref="G6:H22">
    <cfRule type="cellIs" dxfId="163" priority="4" operator="greaterThan">
      <formula>3600</formula>
    </cfRule>
  </conditionalFormatting>
  <conditionalFormatting sqref="G13:H22">
    <cfRule type="cellIs" dxfId="162" priority="141" operator="between">
      <formula>2500</formula>
      <formula>2000</formula>
    </cfRule>
    <cfRule type="cellIs" dxfId="161" priority="142" operator="between">
      <formula>2500</formula>
      <formula>3000</formula>
    </cfRule>
    <cfRule type="cellIs" dxfId="160" priority="143" operator="between">
      <formula>3000</formula>
      <formula>3200</formula>
    </cfRule>
    <cfRule type="cellIs" dxfId="159" priority="145" operator="between">
      <formula>3200</formula>
      <formula>3600</formula>
    </cfRule>
  </conditionalFormatting>
  <conditionalFormatting sqref="H6">
    <cfRule type="cellIs" dxfId="158" priority="50" operator="between">
      <formula>3200</formula>
      <formula>3600</formula>
    </cfRule>
    <cfRule type="cellIs" dxfId="157" priority="47" operator="between">
      <formula>2500</formula>
      <formula>3000</formula>
    </cfRule>
    <cfRule type="cellIs" dxfId="156" priority="46" operator="between">
      <formula>2500</formula>
      <formula>2000</formula>
    </cfRule>
    <cfRule type="cellIs" dxfId="155" priority="48" operator="between">
      <formula>3000</formula>
      <formula>3200</formula>
    </cfRule>
  </conditionalFormatting>
  <conditionalFormatting sqref="H6:H7">
    <cfRule type="cellIs" dxfId="154" priority="38" operator="between">
      <formula>3000</formula>
      <formula>3200</formula>
    </cfRule>
    <cfRule type="cellIs" dxfId="153" priority="40" operator="between">
      <formula>3200</formula>
      <formula>3600</formula>
    </cfRule>
    <cfRule type="cellIs" dxfId="152" priority="37" operator="between">
      <formula>2500</formula>
      <formula>3000</formula>
    </cfRule>
    <cfRule type="cellIs" dxfId="151" priority="36" operator="between">
      <formula>2500</formula>
      <formula>2000</formula>
    </cfRule>
  </conditionalFormatting>
  <conditionalFormatting sqref="H7:H8">
    <cfRule type="cellIs" dxfId="150" priority="26" operator="between">
      <formula>2500</formula>
      <formula>2000</formula>
    </cfRule>
    <cfRule type="cellIs" dxfId="149" priority="27" operator="between">
      <formula>2500</formula>
      <formula>3000</formula>
    </cfRule>
    <cfRule type="cellIs" dxfId="148" priority="28" operator="between">
      <formula>3000</formula>
      <formula>3200</formula>
    </cfRule>
    <cfRule type="cellIs" dxfId="147" priority="30" operator="between">
      <formula>3200</formula>
      <formula>3600</formula>
    </cfRule>
  </conditionalFormatting>
  <conditionalFormatting sqref="H8:H9">
    <cfRule type="cellIs" dxfId="146" priority="17" operator="between">
      <formula>2500</formula>
      <formula>3000</formula>
    </cfRule>
    <cfRule type="cellIs" dxfId="145" priority="16" operator="between">
      <formula>2500</formula>
      <formula>2000</formula>
    </cfRule>
    <cfRule type="cellIs" dxfId="144" priority="18" operator="between">
      <formula>3000</formula>
      <formula>3200</formula>
    </cfRule>
    <cfRule type="cellIs" dxfId="143" priority="20" operator="between">
      <formula>3200</formula>
      <formula>3600</formula>
    </cfRule>
  </conditionalFormatting>
  <conditionalFormatting sqref="H9:H12">
    <cfRule type="cellIs" dxfId="142" priority="10" operator="between">
      <formula>3200</formula>
      <formula>3600</formula>
    </cfRule>
    <cfRule type="cellIs" dxfId="141" priority="6" operator="between">
      <formula>2500</formula>
      <formula>2000</formula>
    </cfRule>
    <cfRule type="cellIs" dxfId="140" priority="7" operator="between">
      <formula>2500</formula>
      <formula>3000</formula>
    </cfRule>
    <cfRule type="cellIs" dxfId="139" priority="8" operator="between">
      <formula>3000</formula>
      <formula>3200</formula>
    </cfRule>
  </conditionalFormatting>
  <conditionalFormatting sqref="H10">
    <cfRule type="cellIs" dxfId="138" priority="3" operator="between">
      <formula>3000</formula>
      <formula>3200</formula>
    </cfRule>
    <cfRule type="cellIs" dxfId="137" priority="2" operator="between">
      <formula>2500</formula>
      <formula>3000</formula>
    </cfRule>
    <cfRule type="cellIs" dxfId="136" priority="1" operator="between">
      <formula>2500</formula>
      <formula>2000</formula>
    </cfRule>
    <cfRule type="cellIs" dxfId="135" priority="5" operator="between">
      <formula>3200</formula>
      <formula>3600</formula>
    </cfRule>
  </conditionalFormatting>
  <conditionalFormatting sqref="K24">
    <cfRule type="cellIs" dxfId="134" priority="183" operator="between">
      <formula>3200</formula>
      <formula>3600</formula>
    </cfRule>
    <cfRule type="cellIs" dxfId="133" priority="179" operator="lessThan">
      <formula>2500</formula>
    </cfRule>
    <cfRule type="cellIs" dxfId="132" priority="180" operator="between">
      <formula>2500</formula>
      <formula>3000</formula>
    </cfRule>
    <cfRule type="cellIs" dxfId="131" priority="181" operator="between">
      <formula>3000</formula>
      <formula>3200</formula>
    </cfRule>
    <cfRule type="cellIs" dxfId="130" priority="182" operator="greaterThan">
      <formula>3600</formula>
    </cfRule>
  </conditionalFormatting>
  <conditionalFormatting sqref="K26">
    <cfRule type="cellIs" dxfId="129" priority="174" operator="lessThan">
      <formula>2500</formula>
    </cfRule>
    <cfRule type="cellIs" dxfId="128" priority="175" operator="between">
      <formula>2500</formula>
      <formula>3000</formula>
    </cfRule>
    <cfRule type="cellIs" dxfId="127" priority="176" operator="between">
      <formula>3000</formula>
      <formula>3200</formula>
    </cfRule>
    <cfRule type="cellIs" dxfId="126" priority="177" operator="greaterThan">
      <formula>3600</formula>
    </cfRule>
    <cfRule type="cellIs" dxfId="125" priority="178" operator="between">
      <formula>3200</formula>
      <formula>3600</formula>
    </cfRule>
  </conditionalFormatting>
  <conditionalFormatting sqref="L6:L33">
    <cfRule type="cellIs" dxfId="124" priority="147" operator="greaterThan">
      <formula>10</formula>
    </cfRule>
  </conditionalFormatting>
  <hyperlinks>
    <hyperlink ref="A3" location="'summery '!A1" display="summery " xr:uid="{00000000-0004-0000-1000-000000000000}"/>
  </hyperlinks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AF30"/>
  <sheetViews>
    <sheetView topLeftCell="H1" zoomScale="65" zoomScaleNormal="65" workbookViewId="0">
      <selection activeCell="J27" sqref="J27:J29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3.45312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6" width="9.1796875" customWidth="1"/>
    <col min="17" max="17" width="18.54296875" customWidth="1"/>
    <col min="18" max="18" width="19.81640625" customWidth="1"/>
    <col min="19" max="19" width="17" customWidth="1"/>
    <col min="20" max="33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</row>
    <row r="6" spans="1:32" ht="15.5" x14ac:dyDescent="0.35">
      <c r="A6" s="3">
        <v>45585</v>
      </c>
      <c r="B6" s="1">
        <v>40</v>
      </c>
      <c r="C6" s="1">
        <v>1</v>
      </c>
      <c r="D6" s="1">
        <v>1</v>
      </c>
      <c r="E6" s="1" t="s">
        <v>18</v>
      </c>
      <c r="F6" s="1">
        <v>3025</v>
      </c>
      <c r="G6" s="19">
        <v>3214.6489577915922</v>
      </c>
      <c r="H6" s="1" t="s">
        <v>46</v>
      </c>
      <c r="I6" s="3"/>
      <c r="J6" s="1"/>
      <c r="K6" s="1">
        <f t="shared" ref="K6:K18" si="0">F6-J6</f>
        <v>3025</v>
      </c>
      <c r="L6" s="1">
        <f t="shared" ref="L6:L7" ca="1" si="1">IF(F6=0,0,(TODAY()-A6))</f>
        <v>103</v>
      </c>
      <c r="M6">
        <f t="shared" ref="M6:M18" si="2">IF(E6="T",G6,0)</f>
        <v>0</v>
      </c>
      <c r="N6">
        <f t="shared" ref="N6:N19" si="3">IF(E6="T",K6,0)</f>
        <v>0</v>
      </c>
      <c r="O6">
        <f t="shared" ref="O6:O18" si="4">IF(E6="B",G6,0)</f>
        <v>3214.6489577915922</v>
      </c>
      <c r="P6">
        <f t="shared" ref="P6:P19" si="5">IF(E6="B",K6,0)</f>
        <v>3025</v>
      </c>
      <c r="Q6" s="1">
        <f>IF(G6&gt;3500,K6,0)</f>
        <v>0</v>
      </c>
      <c r="R6" s="1">
        <f>IF(AND(G6&gt;=3100,G6&lt;=3500),K6,0)</f>
        <v>3025</v>
      </c>
      <c r="S6" s="1">
        <f>IF(G6&lt;3100,K6,0)</f>
        <v>0</v>
      </c>
      <c r="U6">
        <f t="shared" ref="U6:U18" si="6">IF(C6=1,1,0)</f>
        <v>1</v>
      </c>
      <c r="V6">
        <f t="shared" ref="V6:V18" si="7">IF(C6=2,1,0)</f>
        <v>0</v>
      </c>
      <c r="W6">
        <f t="shared" ref="W6:W18" si="8">IF(C6=3,1,0)</f>
        <v>0</v>
      </c>
      <c r="X6">
        <f t="shared" ref="X6:X18" si="9">IF(C6=4,1,0)</f>
        <v>0</v>
      </c>
      <c r="Y6">
        <f t="shared" ref="Y6:Y18" si="10">IF(C6=5,1,0)</f>
        <v>0</v>
      </c>
      <c r="Z6">
        <f t="shared" ref="Z6:Z18" si="11">IF(C6=6,1,0)</f>
        <v>0</v>
      </c>
      <c r="AA6">
        <f t="shared" ref="AA6:AA18" si="12">IF(C6=7,1,0)</f>
        <v>0</v>
      </c>
      <c r="AB6">
        <f t="shared" ref="AB6:AB18" si="13">IF(C6=8,1,0)</f>
        <v>0</v>
      </c>
      <c r="AC6">
        <f t="shared" ref="AC6:AC18" si="14">IF(C6=9,1,0)</f>
        <v>0</v>
      </c>
      <c r="AD6">
        <f t="shared" ref="AD6:AD18" si="15">IF(C6=10,1,0)</f>
        <v>0</v>
      </c>
      <c r="AE6">
        <f t="shared" ref="AE6:AE18" si="16">IF(C6="SILO",1,0)</f>
        <v>0</v>
      </c>
      <c r="AF6">
        <f t="shared" ref="AF6:AF18" si="17">IF(C6="CB",1,0)</f>
        <v>0</v>
      </c>
    </row>
    <row r="7" spans="1:32" ht="15.5" x14ac:dyDescent="0.35">
      <c r="A7" s="3">
        <v>45585</v>
      </c>
      <c r="B7" s="1">
        <v>41</v>
      </c>
      <c r="C7" s="1">
        <v>1</v>
      </c>
      <c r="D7" s="1">
        <v>1</v>
      </c>
      <c r="E7" s="1" t="s">
        <v>18</v>
      </c>
      <c r="F7" s="1">
        <v>3051</v>
      </c>
      <c r="G7" s="19">
        <v>3686.8854027818752</v>
      </c>
      <c r="H7" s="1" t="s">
        <v>46</v>
      </c>
      <c r="I7" s="3"/>
      <c r="J7" s="1"/>
      <c r="K7" s="1">
        <f t="shared" si="0"/>
        <v>3051</v>
      </c>
      <c r="L7" s="1">
        <f t="shared" ca="1" si="1"/>
        <v>103</v>
      </c>
      <c r="M7">
        <f t="shared" si="2"/>
        <v>0</v>
      </c>
      <c r="N7">
        <f t="shared" si="3"/>
        <v>0</v>
      </c>
      <c r="O7">
        <f t="shared" si="4"/>
        <v>3686.8854027818752</v>
      </c>
      <c r="P7">
        <f t="shared" si="5"/>
        <v>3051</v>
      </c>
      <c r="Q7" s="1">
        <f t="shared" ref="Q7:Q9" si="18">IF(G7&gt;3500,K7,0)</f>
        <v>3051</v>
      </c>
      <c r="R7" s="1">
        <f t="shared" ref="R7:R9" si="19">IF(AND(G7&gt;=3100,G7&lt;=3500),K7,0)</f>
        <v>0</v>
      </c>
      <c r="S7" s="1">
        <f t="shared" ref="S7:S9" si="20">IF(G7&lt;3100,K7,0)</f>
        <v>0</v>
      </c>
      <c r="U7">
        <f t="shared" si="6"/>
        <v>1</v>
      </c>
      <c r="V7">
        <f t="shared" si="7"/>
        <v>0</v>
      </c>
      <c r="W7">
        <f t="shared" si="8"/>
        <v>0</v>
      </c>
      <c r="X7">
        <f t="shared" si="9"/>
        <v>0</v>
      </c>
      <c r="Y7">
        <f t="shared" si="10"/>
        <v>0</v>
      </c>
      <c r="Z7">
        <f t="shared" si="11"/>
        <v>0</v>
      </c>
      <c r="AA7">
        <f t="shared" si="12"/>
        <v>0</v>
      </c>
      <c r="AB7">
        <f t="shared" si="13"/>
        <v>0</v>
      </c>
      <c r="AC7">
        <f t="shared" si="14"/>
        <v>0</v>
      </c>
      <c r="AD7">
        <f t="shared" si="15"/>
        <v>0</v>
      </c>
      <c r="AE7">
        <f t="shared" si="16"/>
        <v>0</v>
      </c>
      <c r="AF7">
        <f t="shared" si="17"/>
        <v>0</v>
      </c>
    </row>
    <row r="8" spans="1:32" ht="15.5" x14ac:dyDescent="0.35">
      <c r="A8" s="3">
        <v>45585</v>
      </c>
      <c r="B8" s="1">
        <v>43</v>
      </c>
      <c r="C8" s="1">
        <v>2</v>
      </c>
      <c r="D8" s="1">
        <v>2</v>
      </c>
      <c r="E8" s="1" t="s">
        <v>18</v>
      </c>
      <c r="F8" s="1">
        <v>3085</v>
      </c>
      <c r="G8" s="19">
        <v>3427</v>
      </c>
      <c r="H8" s="1" t="s">
        <v>46</v>
      </c>
      <c r="I8" s="3"/>
      <c r="J8" s="1"/>
      <c r="K8" s="1">
        <f t="shared" si="0"/>
        <v>3085</v>
      </c>
      <c r="L8" s="1">
        <f ca="1">IF(F8=0,0,(TODAY()-A8))</f>
        <v>103</v>
      </c>
      <c r="M8">
        <f t="shared" si="2"/>
        <v>0</v>
      </c>
      <c r="N8">
        <f t="shared" si="3"/>
        <v>0</v>
      </c>
      <c r="O8">
        <f t="shared" si="4"/>
        <v>3427</v>
      </c>
      <c r="P8">
        <f t="shared" si="5"/>
        <v>3085</v>
      </c>
      <c r="Q8" s="1">
        <f t="shared" si="18"/>
        <v>0</v>
      </c>
      <c r="R8" s="1">
        <f t="shared" si="19"/>
        <v>3085</v>
      </c>
      <c r="S8" s="1">
        <f t="shared" si="20"/>
        <v>0</v>
      </c>
      <c r="U8">
        <f t="shared" si="6"/>
        <v>0</v>
      </c>
      <c r="V8">
        <f t="shared" si="7"/>
        <v>1</v>
      </c>
      <c r="W8">
        <f t="shared" si="8"/>
        <v>0</v>
      </c>
      <c r="X8">
        <f t="shared" si="9"/>
        <v>0</v>
      </c>
      <c r="Y8">
        <f t="shared" si="10"/>
        <v>0</v>
      </c>
      <c r="Z8">
        <f t="shared" si="11"/>
        <v>0</v>
      </c>
      <c r="AA8">
        <f t="shared" si="12"/>
        <v>0</v>
      </c>
      <c r="AB8">
        <f t="shared" si="13"/>
        <v>0</v>
      </c>
      <c r="AC8">
        <f t="shared" si="14"/>
        <v>0</v>
      </c>
      <c r="AD8">
        <f t="shared" si="15"/>
        <v>0</v>
      </c>
      <c r="AE8">
        <f t="shared" si="16"/>
        <v>0</v>
      </c>
      <c r="AF8">
        <f t="shared" si="17"/>
        <v>0</v>
      </c>
    </row>
    <row r="9" spans="1:32" ht="15.5" x14ac:dyDescent="0.35">
      <c r="A9" s="3">
        <v>45586</v>
      </c>
      <c r="B9" s="1">
        <v>44</v>
      </c>
      <c r="C9" s="1">
        <v>2</v>
      </c>
      <c r="D9" s="1">
        <v>2</v>
      </c>
      <c r="E9" s="1" t="s">
        <v>18</v>
      </c>
      <c r="F9" s="1">
        <v>6036</v>
      </c>
      <c r="G9" s="19">
        <v>3751.7913361289648</v>
      </c>
      <c r="H9" s="1" t="s">
        <v>46</v>
      </c>
      <c r="I9" s="1"/>
      <c r="J9" s="1"/>
      <c r="K9" s="1">
        <f t="shared" si="0"/>
        <v>6036</v>
      </c>
      <c r="L9" s="1">
        <f t="shared" ref="L9:L18" ca="1" si="21">IF(F9=0,0,(TODAY()-A9))</f>
        <v>102</v>
      </c>
      <c r="M9">
        <f t="shared" si="2"/>
        <v>0</v>
      </c>
      <c r="N9">
        <f t="shared" si="3"/>
        <v>0</v>
      </c>
      <c r="O9">
        <f t="shared" si="4"/>
        <v>3751.7913361289648</v>
      </c>
      <c r="P9">
        <f t="shared" si="5"/>
        <v>6036</v>
      </c>
      <c r="Q9" s="1">
        <f t="shared" si="18"/>
        <v>6036</v>
      </c>
      <c r="R9" s="1">
        <f t="shared" si="19"/>
        <v>0</v>
      </c>
      <c r="S9" s="1">
        <f t="shared" si="20"/>
        <v>0</v>
      </c>
      <c r="U9">
        <f t="shared" si="6"/>
        <v>0</v>
      </c>
      <c r="V9">
        <f t="shared" si="7"/>
        <v>1</v>
      </c>
      <c r="W9">
        <f t="shared" si="8"/>
        <v>0</v>
      </c>
      <c r="X9">
        <f t="shared" si="9"/>
        <v>0</v>
      </c>
      <c r="Y9">
        <f t="shared" si="10"/>
        <v>0</v>
      </c>
      <c r="Z9">
        <f t="shared" si="11"/>
        <v>0</v>
      </c>
      <c r="AA9">
        <f t="shared" si="12"/>
        <v>0</v>
      </c>
      <c r="AB9">
        <f t="shared" si="13"/>
        <v>0</v>
      </c>
      <c r="AC9">
        <f t="shared" si="14"/>
        <v>0</v>
      </c>
      <c r="AD9">
        <f t="shared" si="15"/>
        <v>0</v>
      </c>
      <c r="AE9">
        <f t="shared" si="16"/>
        <v>0</v>
      </c>
      <c r="AF9">
        <f t="shared" si="17"/>
        <v>0</v>
      </c>
    </row>
    <row r="10" spans="1:32" ht="15.5" x14ac:dyDescent="0.35">
      <c r="A10" s="3">
        <v>45587</v>
      </c>
      <c r="B10" s="1">
        <v>49</v>
      </c>
      <c r="C10" s="1">
        <v>1</v>
      </c>
      <c r="D10" s="1">
        <v>1</v>
      </c>
      <c r="E10" s="1" t="s">
        <v>19</v>
      </c>
      <c r="F10" s="1">
        <v>858</v>
      </c>
      <c r="G10" s="19">
        <v>3141</v>
      </c>
      <c r="H10" s="1" t="s">
        <v>46</v>
      </c>
      <c r="I10" s="1"/>
      <c r="J10" s="1"/>
      <c r="K10" s="1">
        <f t="shared" si="0"/>
        <v>858</v>
      </c>
      <c r="L10" s="1">
        <f t="shared" ca="1" si="21"/>
        <v>101</v>
      </c>
      <c r="M10">
        <f t="shared" si="2"/>
        <v>3141</v>
      </c>
      <c r="N10">
        <f t="shared" si="3"/>
        <v>858</v>
      </c>
      <c r="O10">
        <f t="shared" si="4"/>
        <v>0</v>
      </c>
      <c r="P10">
        <f t="shared" si="5"/>
        <v>0</v>
      </c>
      <c r="Q10" s="1">
        <f t="shared" ref="Q10:Q18" si="22">IF(G10&gt;3500,K10,0)</f>
        <v>0</v>
      </c>
      <c r="R10" s="1">
        <f t="shared" ref="R10:R18" si="23">IF(AND(G10&gt;=3100,G10&lt;=3500),K10,0)</f>
        <v>858</v>
      </c>
      <c r="S10" s="1">
        <f t="shared" ref="S10:S18" si="24">IF(G10&lt;3100,K10,0)</f>
        <v>0</v>
      </c>
      <c r="U10">
        <f t="shared" si="6"/>
        <v>1</v>
      </c>
      <c r="V10">
        <f t="shared" si="7"/>
        <v>0</v>
      </c>
      <c r="W10">
        <f t="shared" si="8"/>
        <v>0</v>
      </c>
      <c r="X10">
        <f t="shared" si="9"/>
        <v>0</v>
      </c>
      <c r="Y10">
        <f t="shared" si="10"/>
        <v>0</v>
      </c>
      <c r="Z10">
        <f t="shared" si="11"/>
        <v>0</v>
      </c>
      <c r="AA10">
        <f t="shared" si="12"/>
        <v>0</v>
      </c>
      <c r="AB10">
        <f t="shared" si="13"/>
        <v>0</v>
      </c>
      <c r="AC10">
        <f t="shared" si="14"/>
        <v>0</v>
      </c>
      <c r="AD10">
        <f t="shared" si="15"/>
        <v>0</v>
      </c>
      <c r="AE10">
        <f t="shared" si="16"/>
        <v>0</v>
      </c>
      <c r="AF10">
        <f t="shared" si="17"/>
        <v>0</v>
      </c>
    </row>
    <row r="11" spans="1:32" x14ac:dyDescent="0.35">
      <c r="A11" s="3">
        <v>45588</v>
      </c>
      <c r="B11" s="1">
        <v>53</v>
      </c>
      <c r="C11" s="1">
        <v>2</v>
      </c>
      <c r="D11" s="1">
        <v>2</v>
      </c>
      <c r="E11" s="1" t="s">
        <v>19</v>
      </c>
      <c r="F11" s="1">
        <v>1020</v>
      </c>
      <c r="G11" s="5">
        <v>3306</v>
      </c>
      <c r="H11" s="1" t="s">
        <v>46</v>
      </c>
      <c r="I11" s="1"/>
      <c r="J11" s="1"/>
      <c r="K11" s="1">
        <f t="shared" si="0"/>
        <v>1020</v>
      </c>
      <c r="L11" s="1">
        <f t="shared" ca="1" si="21"/>
        <v>100</v>
      </c>
      <c r="M11">
        <f t="shared" si="2"/>
        <v>3306</v>
      </c>
      <c r="N11">
        <f t="shared" si="3"/>
        <v>1020</v>
      </c>
      <c r="O11">
        <f t="shared" si="4"/>
        <v>0</v>
      </c>
      <c r="P11">
        <f t="shared" si="5"/>
        <v>0</v>
      </c>
      <c r="Q11" s="1">
        <f t="shared" si="22"/>
        <v>0</v>
      </c>
      <c r="R11" s="1">
        <f t="shared" si="23"/>
        <v>1020</v>
      </c>
      <c r="S11" s="1">
        <f t="shared" si="24"/>
        <v>0</v>
      </c>
      <c r="U11">
        <f t="shared" si="6"/>
        <v>0</v>
      </c>
      <c r="V11">
        <f t="shared" si="7"/>
        <v>1</v>
      </c>
      <c r="W11">
        <f t="shared" si="8"/>
        <v>0</v>
      </c>
      <c r="X11">
        <f t="shared" si="9"/>
        <v>0</v>
      </c>
      <c r="Y11">
        <f t="shared" si="10"/>
        <v>0</v>
      </c>
      <c r="Z11">
        <f t="shared" si="11"/>
        <v>0</v>
      </c>
      <c r="AA11">
        <f t="shared" si="12"/>
        <v>0</v>
      </c>
      <c r="AB11">
        <f t="shared" si="13"/>
        <v>0</v>
      </c>
      <c r="AC11">
        <f t="shared" si="14"/>
        <v>0</v>
      </c>
      <c r="AD11">
        <f t="shared" si="15"/>
        <v>0</v>
      </c>
      <c r="AE11">
        <f t="shared" si="16"/>
        <v>0</v>
      </c>
      <c r="AF11">
        <f t="shared" si="17"/>
        <v>0</v>
      </c>
    </row>
    <row r="12" spans="1:32" x14ac:dyDescent="0.35">
      <c r="A12" s="3">
        <v>45596</v>
      </c>
      <c r="B12" s="1">
        <v>81</v>
      </c>
      <c r="C12" s="1">
        <v>2</v>
      </c>
      <c r="D12" s="1">
        <v>2</v>
      </c>
      <c r="E12" s="1" t="s">
        <v>19</v>
      </c>
      <c r="F12" s="1">
        <v>3324</v>
      </c>
      <c r="G12" s="5">
        <v>3398</v>
      </c>
      <c r="H12" s="1" t="s">
        <v>46</v>
      </c>
      <c r="I12" s="1"/>
      <c r="J12" s="1"/>
      <c r="K12" s="1">
        <f t="shared" ref="K12:K16" si="25">F12-J12</f>
        <v>3324</v>
      </c>
      <c r="L12" s="1">
        <f t="shared" ref="L12:L16" ca="1" si="26">IF(F12=0,0,(TODAY()-A12))</f>
        <v>92</v>
      </c>
      <c r="M12">
        <f t="shared" ref="M12:M16" si="27">IF(E12="T",G12,0)</f>
        <v>3398</v>
      </c>
      <c r="N12">
        <f t="shared" ref="N12:N16" si="28">IF(E12="T",K12,0)</f>
        <v>3324</v>
      </c>
      <c r="O12">
        <f t="shared" ref="O12:O16" si="29">IF(E12="B",G12,0)</f>
        <v>0</v>
      </c>
      <c r="P12">
        <f t="shared" ref="P12:P16" si="30">IF(E12="B",K12,0)</f>
        <v>0</v>
      </c>
      <c r="Q12" s="1">
        <f t="shared" si="22"/>
        <v>0</v>
      </c>
      <c r="R12" s="1">
        <f t="shared" si="23"/>
        <v>3324</v>
      </c>
      <c r="S12" s="1">
        <f t="shared" si="24"/>
        <v>0</v>
      </c>
      <c r="U12">
        <f t="shared" ref="U12:U16" si="31">IF(C12=1,1,0)</f>
        <v>0</v>
      </c>
      <c r="V12">
        <f t="shared" ref="V12:V16" si="32">IF(C12=2,1,0)</f>
        <v>1</v>
      </c>
      <c r="W12">
        <f t="shared" ref="W12:W16" si="33">IF(C12=3,1,0)</f>
        <v>0</v>
      </c>
      <c r="X12">
        <f t="shared" ref="X12:X16" si="34">IF(C12=4,1,0)</f>
        <v>0</v>
      </c>
      <c r="Y12">
        <f t="shared" ref="Y12:Y16" si="35">IF(C12=5,1,0)</f>
        <v>0</v>
      </c>
      <c r="Z12">
        <f t="shared" ref="Z12:Z16" si="36">IF(C12=6,1,0)</f>
        <v>0</v>
      </c>
      <c r="AA12">
        <f t="shared" ref="AA12:AA16" si="37">IF(C12=7,1,0)</f>
        <v>0</v>
      </c>
      <c r="AB12">
        <f t="shared" ref="AB12:AB16" si="38">IF(C12=8,1,0)</f>
        <v>0</v>
      </c>
      <c r="AC12">
        <f t="shared" ref="AC12:AC16" si="39">IF(C12=9,1,0)</f>
        <v>0</v>
      </c>
      <c r="AD12">
        <f t="shared" ref="AD12:AD16" si="40">IF(C12=10,1,0)</f>
        <v>0</v>
      </c>
      <c r="AE12">
        <f t="shared" ref="AE12:AE16" si="41">IF(C12="SILO",1,0)</f>
        <v>0</v>
      </c>
      <c r="AF12">
        <f t="shared" ref="AF12:AF16" si="42">IF(C12="CB",1,0)</f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5"/>
      <c r="I13" s="1"/>
      <c r="J13" s="1"/>
      <c r="K13" s="1">
        <f t="shared" ref="K13:K14" si="43">F13-J13</f>
        <v>0</v>
      </c>
      <c r="L13" s="1">
        <f t="shared" ref="L13:L14" ca="1" si="44">IF(F13=0,0,(TODAY()-A13))</f>
        <v>0</v>
      </c>
      <c r="M13">
        <f t="shared" ref="M13:M14" si="45">IF(E13="T",G13,0)</f>
        <v>0</v>
      </c>
      <c r="N13">
        <f t="shared" ref="N13:N14" si="46">IF(E13="T",K13,0)</f>
        <v>0</v>
      </c>
      <c r="O13">
        <f t="shared" ref="O13:O14" si="47">IF(E13="B",G13,0)</f>
        <v>0</v>
      </c>
      <c r="P13">
        <f t="shared" ref="P13:P14" si="48">IF(E13="B",K13,0)</f>
        <v>0</v>
      </c>
      <c r="Q13" s="1">
        <f t="shared" si="22"/>
        <v>0</v>
      </c>
      <c r="R13" s="1">
        <f t="shared" si="23"/>
        <v>0</v>
      </c>
      <c r="S13" s="1">
        <f t="shared" si="24"/>
        <v>0</v>
      </c>
      <c r="U13">
        <f t="shared" ref="U13:U14" si="49">IF(C13=1,1,0)</f>
        <v>0</v>
      </c>
      <c r="V13">
        <f t="shared" ref="V13:V14" si="50">IF(C13=2,1,0)</f>
        <v>0</v>
      </c>
      <c r="W13">
        <f t="shared" ref="W13:W14" si="51">IF(C13=3,1,0)</f>
        <v>0</v>
      </c>
      <c r="X13">
        <f t="shared" ref="X13:X14" si="52">IF(C13=4,1,0)</f>
        <v>0</v>
      </c>
      <c r="Y13">
        <f t="shared" ref="Y13:Y14" si="53">IF(C13=5,1,0)</f>
        <v>0</v>
      </c>
      <c r="Z13">
        <f t="shared" ref="Z13:Z14" si="54">IF(C13=6,1,0)</f>
        <v>0</v>
      </c>
      <c r="AA13">
        <f t="shared" ref="AA13:AA14" si="55">IF(C13=7,1,0)</f>
        <v>0</v>
      </c>
      <c r="AB13">
        <f t="shared" ref="AB13:AB14" si="56">IF(C13=8,1,0)</f>
        <v>0</v>
      </c>
      <c r="AC13">
        <f t="shared" ref="AC13:AC14" si="57">IF(C13=9,1,0)</f>
        <v>0</v>
      </c>
      <c r="AD13">
        <f t="shared" ref="AD13:AD14" si="58">IF(C13=10,1,0)</f>
        <v>0</v>
      </c>
      <c r="AE13">
        <f t="shared" ref="AE13:AE14" si="59">IF(C13="SILO",1,0)</f>
        <v>0</v>
      </c>
      <c r="AF13">
        <f t="shared" ref="AF13:AF14" si="60">IF(C13="CB",1,0)</f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5"/>
      <c r="I14" s="1"/>
      <c r="J14" s="1"/>
      <c r="K14" s="1">
        <f t="shared" si="43"/>
        <v>0</v>
      </c>
      <c r="L14" s="1">
        <f t="shared" ca="1" si="44"/>
        <v>0</v>
      </c>
      <c r="M14">
        <f t="shared" si="45"/>
        <v>0</v>
      </c>
      <c r="N14">
        <f t="shared" si="46"/>
        <v>0</v>
      </c>
      <c r="O14">
        <f t="shared" si="47"/>
        <v>0</v>
      </c>
      <c r="P14">
        <f t="shared" si="48"/>
        <v>0</v>
      </c>
      <c r="Q14" s="1">
        <f t="shared" si="22"/>
        <v>0</v>
      </c>
      <c r="R14" s="1">
        <f t="shared" si="23"/>
        <v>0</v>
      </c>
      <c r="S14" s="1">
        <f t="shared" si="24"/>
        <v>0</v>
      </c>
      <c r="U14">
        <f t="shared" si="49"/>
        <v>0</v>
      </c>
      <c r="V14">
        <f t="shared" si="50"/>
        <v>0</v>
      </c>
      <c r="W14">
        <f t="shared" si="51"/>
        <v>0</v>
      </c>
      <c r="X14">
        <f t="shared" si="52"/>
        <v>0</v>
      </c>
      <c r="Y14">
        <f t="shared" si="53"/>
        <v>0</v>
      </c>
      <c r="Z14">
        <f t="shared" si="54"/>
        <v>0</v>
      </c>
      <c r="AA14">
        <f t="shared" si="55"/>
        <v>0</v>
      </c>
      <c r="AB14">
        <f t="shared" si="56"/>
        <v>0</v>
      </c>
      <c r="AC14">
        <f t="shared" si="57"/>
        <v>0</v>
      </c>
      <c r="AD14">
        <f t="shared" si="58"/>
        <v>0</v>
      </c>
      <c r="AE14">
        <f t="shared" si="59"/>
        <v>0</v>
      </c>
      <c r="AF14">
        <f t="shared" si="60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5"/>
      <c r="I15" s="1"/>
      <c r="J15" s="1"/>
      <c r="K15" s="1">
        <f t="shared" si="25"/>
        <v>0</v>
      </c>
      <c r="L15" s="1">
        <f t="shared" ca="1" si="26"/>
        <v>0</v>
      </c>
      <c r="M15">
        <f t="shared" si="27"/>
        <v>0</v>
      </c>
      <c r="N15">
        <f t="shared" si="28"/>
        <v>0</v>
      </c>
      <c r="O15">
        <f t="shared" si="29"/>
        <v>0</v>
      </c>
      <c r="P15">
        <f t="shared" si="30"/>
        <v>0</v>
      </c>
      <c r="Q15" s="1">
        <f t="shared" si="22"/>
        <v>0</v>
      </c>
      <c r="R15" s="1">
        <f t="shared" si="23"/>
        <v>0</v>
      </c>
      <c r="S15" s="1">
        <f t="shared" si="24"/>
        <v>0</v>
      </c>
      <c r="U15">
        <f t="shared" si="31"/>
        <v>0</v>
      </c>
      <c r="V15">
        <f t="shared" si="32"/>
        <v>0</v>
      </c>
      <c r="W15">
        <f t="shared" si="33"/>
        <v>0</v>
      </c>
      <c r="X15">
        <f t="shared" si="34"/>
        <v>0</v>
      </c>
      <c r="Y15">
        <f t="shared" si="35"/>
        <v>0</v>
      </c>
      <c r="Z15">
        <f t="shared" si="36"/>
        <v>0</v>
      </c>
      <c r="AA15">
        <f t="shared" si="37"/>
        <v>0</v>
      </c>
      <c r="AB15">
        <f t="shared" si="38"/>
        <v>0</v>
      </c>
      <c r="AC15">
        <f t="shared" si="39"/>
        <v>0</v>
      </c>
      <c r="AD15">
        <f t="shared" si="40"/>
        <v>0</v>
      </c>
      <c r="AE15">
        <f t="shared" si="41"/>
        <v>0</v>
      </c>
      <c r="AF15">
        <f t="shared" si="42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5"/>
      <c r="I16" s="1"/>
      <c r="J16" s="1"/>
      <c r="K16" s="1">
        <f t="shared" si="25"/>
        <v>0</v>
      </c>
      <c r="L16" s="1">
        <f t="shared" ca="1" si="26"/>
        <v>0</v>
      </c>
      <c r="M16">
        <f t="shared" si="27"/>
        <v>0</v>
      </c>
      <c r="N16">
        <f t="shared" si="28"/>
        <v>0</v>
      </c>
      <c r="O16">
        <f t="shared" si="29"/>
        <v>0</v>
      </c>
      <c r="P16">
        <f t="shared" si="30"/>
        <v>0</v>
      </c>
      <c r="Q16" s="1">
        <f t="shared" si="22"/>
        <v>0</v>
      </c>
      <c r="R16" s="1">
        <f t="shared" si="23"/>
        <v>0</v>
      </c>
      <c r="S16" s="1">
        <f t="shared" si="24"/>
        <v>0</v>
      </c>
      <c r="U16">
        <f t="shared" si="31"/>
        <v>0</v>
      </c>
      <c r="V16">
        <f t="shared" si="32"/>
        <v>0</v>
      </c>
      <c r="W16">
        <f t="shared" si="33"/>
        <v>0</v>
      </c>
      <c r="X16">
        <f t="shared" si="34"/>
        <v>0</v>
      </c>
      <c r="Y16">
        <f t="shared" si="35"/>
        <v>0</v>
      </c>
      <c r="Z16">
        <f t="shared" si="36"/>
        <v>0</v>
      </c>
      <c r="AA16">
        <f t="shared" si="37"/>
        <v>0</v>
      </c>
      <c r="AB16">
        <f t="shared" si="38"/>
        <v>0</v>
      </c>
      <c r="AC16">
        <f t="shared" si="39"/>
        <v>0</v>
      </c>
      <c r="AD16">
        <f t="shared" si="40"/>
        <v>0</v>
      </c>
      <c r="AE16">
        <f t="shared" si="41"/>
        <v>0</v>
      </c>
      <c r="AF16">
        <f t="shared" si="42"/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si="0"/>
        <v>0</v>
      </c>
      <c r="L17" s="1">
        <f t="shared" ca="1" si="21"/>
        <v>0</v>
      </c>
      <c r="M17">
        <f t="shared" si="2"/>
        <v>0</v>
      </c>
      <c r="N17">
        <f t="shared" si="3"/>
        <v>0</v>
      </c>
      <c r="O17">
        <f t="shared" si="4"/>
        <v>0</v>
      </c>
      <c r="P17">
        <f t="shared" si="5"/>
        <v>0</v>
      </c>
      <c r="Q17" s="1">
        <f t="shared" si="22"/>
        <v>0</v>
      </c>
      <c r="R17" s="1">
        <f t="shared" si="23"/>
        <v>0</v>
      </c>
      <c r="S17" s="1">
        <f t="shared" si="24"/>
        <v>0</v>
      </c>
      <c r="U17">
        <f t="shared" si="6"/>
        <v>0</v>
      </c>
      <c r="V17">
        <f t="shared" si="7"/>
        <v>0</v>
      </c>
      <c r="W17">
        <f t="shared" si="8"/>
        <v>0</v>
      </c>
      <c r="X17">
        <f t="shared" si="9"/>
        <v>0</v>
      </c>
      <c r="Y17">
        <f t="shared" si="10"/>
        <v>0</v>
      </c>
      <c r="Z17">
        <f t="shared" si="11"/>
        <v>0</v>
      </c>
      <c r="AA17">
        <f t="shared" si="12"/>
        <v>0</v>
      </c>
      <c r="AB17">
        <f t="shared" si="13"/>
        <v>0</v>
      </c>
      <c r="AC17">
        <f t="shared" si="14"/>
        <v>0</v>
      </c>
      <c r="AD17">
        <f t="shared" si="15"/>
        <v>0</v>
      </c>
      <c r="AE17">
        <f t="shared" si="16"/>
        <v>0</v>
      </c>
      <c r="AF17">
        <f t="shared" si="17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0"/>
        <v>0</v>
      </c>
      <c r="L18" s="1">
        <f t="shared" ca="1" si="21"/>
        <v>0</v>
      </c>
      <c r="M18">
        <f t="shared" si="2"/>
        <v>0</v>
      </c>
      <c r="N18">
        <f t="shared" si="3"/>
        <v>0</v>
      </c>
      <c r="O18">
        <f t="shared" si="4"/>
        <v>0</v>
      </c>
      <c r="P18">
        <f t="shared" si="5"/>
        <v>0</v>
      </c>
      <c r="Q18" s="1">
        <f t="shared" si="22"/>
        <v>0</v>
      </c>
      <c r="R18" s="1">
        <f t="shared" si="23"/>
        <v>0</v>
      </c>
      <c r="S18" s="1">
        <f t="shared" si="24"/>
        <v>0</v>
      </c>
      <c r="U18">
        <f t="shared" si="6"/>
        <v>0</v>
      </c>
      <c r="V18">
        <f t="shared" si="7"/>
        <v>0</v>
      </c>
      <c r="W18">
        <f t="shared" si="8"/>
        <v>0</v>
      </c>
      <c r="X18">
        <f t="shared" si="9"/>
        <v>0</v>
      </c>
      <c r="Y18">
        <f t="shared" si="10"/>
        <v>0</v>
      </c>
      <c r="Z18">
        <f t="shared" si="11"/>
        <v>0</v>
      </c>
      <c r="AA18">
        <f t="shared" si="12"/>
        <v>0</v>
      </c>
      <c r="AB18">
        <f t="shared" si="13"/>
        <v>0</v>
      </c>
      <c r="AC18">
        <f t="shared" si="14"/>
        <v>0</v>
      </c>
      <c r="AD18">
        <f t="shared" si="15"/>
        <v>0</v>
      </c>
      <c r="AE18">
        <f t="shared" si="16"/>
        <v>0</v>
      </c>
      <c r="AF18">
        <f t="shared" si="17"/>
        <v>0</v>
      </c>
    </row>
    <row r="19" spans="1:32" x14ac:dyDescent="0.35">
      <c r="A19" s="6"/>
      <c r="B19" s="7"/>
      <c r="C19" s="7"/>
      <c r="D19" s="7"/>
      <c r="E19" s="7"/>
      <c r="F19" s="7">
        <f>SUM(F6:F18)</f>
        <v>20399</v>
      </c>
      <c r="G19" s="4"/>
      <c r="H19" s="4"/>
      <c r="I19" s="7"/>
      <c r="J19" s="8" t="s">
        <v>20</v>
      </c>
      <c r="K19" s="1">
        <f>SUM(K6:K18)</f>
        <v>20399</v>
      </c>
      <c r="L19" s="26">
        <f>IF(U$19&gt;=1,1,0)</f>
        <v>1</v>
      </c>
      <c r="N19">
        <f t="shared" si="3"/>
        <v>0</v>
      </c>
      <c r="P19">
        <f t="shared" si="5"/>
        <v>0</v>
      </c>
      <c r="U19">
        <f t="shared" ref="U19:AF19" si="61">SUM(U6:U18)</f>
        <v>3</v>
      </c>
      <c r="V19">
        <f t="shared" si="61"/>
        <v>4</v>
      </c>
      <c r="W19">
        <f t="shared" si="61"/>
        <v>0</v>
      </c>
      <c r="X19">
        <f t="shared" si="61"/>
        <v>0</v>
      </c>
      <c r="Y19">
        <f t="shared" si="61"/>
        <v>0</v>
      </c>
      <c r="Z19">
        <f t="shared" si="61"/>
        <v>0</v>
      </c>
      <c r="AA19">
        <f t="shared" si="61"/>
        <v>0</v>
      </c>
      <c r="AB19">
        <f t="shared" si="61"/>
        <v>0</v>
      </c>
      <c r="AC19">
        <f t="shared" si="61"/>
        <v>0</v>
      </c>
      <c r="AD19">
        <f t="shared" si="61"/>
        <v>0</v>
      </c>
      <c r="AE19">
        <f t="shared" si="61"/>
        <v>0</v>
      </c>
      <c r="AF19">
        <f t="shared" si="61"/>
        <v>0</v>
      </c>
    </row>
    <row r="20" spans="1:32" x14ac:dyDescent="0.35">
      <c r="J20" s="8" t="s">
        <v>21</v>
      </c>
      <c r="K20" s="5">
        <f>SUMPRODUCT(K6:K18,G6:G18)/SUM(K6:K18)</f>
        <v>3507.6796885181379</v>
      </c>
      <c r="L20" s="26">
        <f>IF(V$19&gt;=1,1,0)</f>
        <v>1</v>
      </c>
    </row>
    <row r="21" spans="1:32" x14ac:dyDescent="0.35">
      <c r="J21" s="8" t="s">
        <v>11</v>
      </c>
      <c r="K21" s="5">
        <f>SUMPRODUCT(M6:M18,N6:N18)/SUM(N6:N18)</f>
        <v>3337.5720876585929</v>
      </c>
      <c r="L21" s="26">
        <f>IF(W$19&gt;=1,1,0)</f>
        <v>0</v>
      </c>
    </row>
    <row r="22" spans="1:32" x14ac:dyDescent="0.35">
      <c r="J22" s="8" t="s">
        <v>12</v>
      </c>
      <c r="K22" s="5">
        <f>SUM(N6:N18)</f>
        <v>5202</v>
      </c>
      <c r="L22" s="26">
        <f>IF(X$19&gt;=1,1,0)</f>
        <v>0</v>
      </c>
    </row>
    <row r="23" spans="1:32" x14ac:dyDescent="0.35">
      <c r="J23" s="8" t="s">
        <v>22</v>
      </c>
      <c r="K23" s="5">
        <f>SUMPRODUCT(O6:O18,P6:P18)/SUM(P6:P18)</f>
        <v>3565.9082691374283</v>
      </c>
      <c r="L23" s="26">
        <f>IF(Y$19&gt;=1,1,0)</f>
        <v>0</v>
      </c>
    </row>
    <row r="24" spans="1:32" x14ac:dyDescent="0.35">
      <c r="J24" s="8" t="s">
        <v>23</v>
      </c>
      <c r="K24" s="5">
        <f>SUM(P6:P18)</f>
        <v>15197</v>
      </c>
      <c r="L24" s="26">
        <f>IF(Z$19&gt;=1,1,0)</f>
        <v>0</v>
      </c>
    </row>
    <row r="25" spans="1:32" x14ac:dyDescent="0.35">
      <c r="J25" s="8" t="s">
        <v>24</v>
      </c>
      <c r="K25" s="1">
        <f ca="1">MAX(L6:L18)</f>
        <v>103</v>
      </c>
      <c r="L25" s="26">
        <f>IF(AA$19&gt;=1,1,0)</f>
        <v>0</v>
      </c>
    </row>
    <row r="26" spans="1:32" x14ac:dyDescent="0.35">
      <c r="J26" s="8" t="s">
        <v>25</v>
      </c>
      <c r="K26" s="9">
        <f ca="1">AVERAGEIF((L6:L18),"&gt;0")</f>
        <v>100.57142857142857</v>
      </c>
      <c r="L26" s="26">
        <f>IF(AB$19&gt;=1,1,0)</f>
        <v>0</v>
      </c>
    </row>
    <row r="27" spans="1:32" x14ac:dyDescent="0.35">
      <c r="J27" s="8" t="s">
        <v>528</v>
      </c>
      <c r="K27" s="1">
        <f>SUM(Q6:Q18)</f>
        <v>9087</v>
      </c>
      <c r="L27" s="26">
        <f>IF(AC$19&gt;=1,1,0)</f>
        <v>0</v>
      </c>
    </row>
    <row r="28" spans="1:32" x14ac:dyDescent="0.35">
      <c r="J28" s="8" t="s">
        <v>527</v>
      </c>
      <c r="K28" s="1">
        <f>SUM(R6:R18)</f>
        <v>11312</v>
      </c>
      <c r="L28" s="26">
        <f>IF(AD$19&gt;=1,1,0)</f>
        <v>0</v>
      </c>
    </row>
    <row r="29" spans="1:32" x14ac:dyDescent="0.35">
      <c r="J29" s="8" t="s">
        <v>526</v>
      </c>
      <c r="K29" s="1">
        <f>SUM(S6:S18)</f>
        <v>0</v>
      </c>
      <c r="L29" s="26">
        <f>IF(AE$19&gt;=1,1,0)</f>
        <v>0</v>
      </c>
    </row>
    <row r="30" spans="1:32" x14ac:dyDescent="0.35">
      <c r="L30" s="26">
        <f>IF(AF$19&gt;=1,1,0)</f>
        <v>0</v>
      </c>
    </row>
  </sheetData>
  <conditionalFormatting sqref="G6:G12">
    <cfRule type="cellIs" dxfId="123" priority="55" operator="between">
      <formula>3200</formula>
      <formula>3600</formula>
    </cfRule>
    <cfRule type="cellIs" dxfId="122" priority="51" operator="between">
      <formula>2500</formula>
      <formula>2000</formula>
    </cfRule>
    <cfRule type="cellIs" dxfId="121" priority="53" operator="between">
      <formula>3000</formula>
      <formula>3200</formula>
    </cfRule>
    <cfRule type="cellIs" dxfId="120" priority="52" operator="between">
      <formula>2500</formula>
      <formula>3000</formula>
    </cfRule>
  </conditionalFormatting>
  <conditionalFormatting sqref="G6:H19">
    <cfRule type="cellIs" dxfId="119" priority="4" operator="greaterThan">
      <formula>3600</formula>
    </cfRule>
  </conditionalFormatting>
  <conditionalFormatting sqref="G13:H19">
    <cfRule type="cellIs" dxfId="118" priority="196" operator="between">
      <formula>2500</formula>
      <formula>2000</formula>
    </cfRule>
    <cfRule type="cellIs" dxfId="117" priority="197" operator="between">
      <formula>2500</formula>
      <formula>3000</formula>
    </cfRule>
    <cfRule type="cellIs" dxfId="116" priority="198" operator="between">
      <formula>3000</formula>
      <formula>3200</formula>
    </cfRule>
    <cfRule type="cellIs" dxfId="115" priority="200" operator="between">
      <formula>3200</formula>
      <formula>3600</formula>
    </cfRule>
  </conditionalFormatting>
  <conditionalFormatting sqref="H6:H8">
    <cfRule type="cellIs" dxfId="114" priority="62" operator="between">
      <formula>2500</formula>
      <formula>3000</formula>
    </cfRule>
    <cfRule type="cellIs" dxfId="113" priority="61" operator="between">
      <formula>2500</formula>
      <formula>2000</formula>
    </cfRule>
    <cfRule type="cellIs" dxfId="112" priority="63" operator="between">
      <formula>3000</formula>
      <formula>3200</formula>
    </cfRule>
    <cfRule type="cellIs" dxfId="111" priority="65" operator="between">
      <formula>3200</formula>
      <formula>3600</formula>
    </cfRule>
  </conditionalFormatting>
  <conditionalFormatting sqref="H6:H9">
    <cfRule type="cellIs" dxfId="110" priority="43" operator="between">
      <formula>3000</formula>
      <formula>3200</formula>
    </cfRule>
    <cfRule type="cellIs" dxfId="109" priority="45" operator="between">
      <formula>3200</formula>
      <formula>3600</formula>
    </cfRule>
    <cfRule type="cellIs" dxfId="108" priority="42" operator="between">
      <formula>2500</formula>
      <formula>3000</formula>
    </cfRule>
    <cfRule type="cellIs" dxfId="107" priority="41" operator="between">
      <formula>2500</formula>
      <formula>2000</formula>
    </cfRule>
  </conditionalFormatting>
  <conditionalFormatting sqref="H9:H10">
    <cfRule type="cellIs" dxfId="106" priority="26" operator="between">
      <formula>2500</formula>
      <formula>2000</formula>
    </cfRule>
    <cfRule type="cellIs" dxfId="105" priority="27" operator="between">
      <formula>2500</formula>
      <formula>3000</formula>
    </cfRule>
    <cfRule type="cellIs" dxfId="104" priority="28" operator="between">
      <formula>3000</formula>
      <formula>3200</formula>
    </cfRule>
    <cfRule type="cellIs" dxfId="103" priority="30" operator="between">
      <formula>3200</formula>
      <formula>3600</formula>
    </cfRule>
  </conditionalFormatting>
  <conditionalFormatting sqref="H10:H11">
    <cfRule type="cellIs" dxfId="102" priority="17" operator="between">
      <formula>2500</formula>
      <formula>3000</formula>
    </cfRule>
    <cfRule type="cellIs" dxfId="101" priority="16" operator="between">
      <formula>2500</formula>
      <formula>2000</formula>
    </cfRule>
    <cfRule type="cellIs" dxfId="100" priority="18" operator="between">
      <formula>3000</formula>
      <formula>3200</formula>
    </cfRule>
    <cfRule type="cellIs" dxfId="99" priority="20" operator="between">
      <formula>3200</formula>
      <formula>3600</formula>
    </cfRule>
  </conditionalFormatting>
  <conditionalFormatting sqref="H11:H12">
    <cfRule type="cellIs" dxfId="98" priority="10" operator="between">
      <formula>3200</formula>
      <formula>3600</formula>
    </cfRule>
    <cfRule type="cellIs" dxfId="97" priority="6" operator="between">
      <formula>2500</formula>
      <formula>2000</formula>
    </cfRule>
    <cfRule type="cellIs" dxfId="96" priority="7" operator="between">
      <formula>2500</formula>
      <formula>3000</formula>
    </cfRule>
    <cfRule type="cellIs" dxfId="95" priority="8" operator="between">
      <formula>3000</formula>
      <formula>3200</formula>
    </cfRule>
  </conditionalFormatting>
  <conditionalFormatting sqref="H12">
    <cfRule type="cellIs" dxfId="94" priority="3" operator="between">
      <formula>3000</formula>
      <formula>3200</formula>
    </cfRule>
    <cfRule type="cellIs" dxfId="93" priority="2" operator="between">
      <formula>2500</formula>
      <formula>3000</formula>
    </cfRule>
    <cfRule type="cellIs" dxfId="92" priority="1" operator="between">
      <formula>2500</formula>
      <formula>2000</formula>
    </cfRule>
    <cfRule type="cellIs" dxfId="91" priority="5" operator="between">
      <formula>3200</formula>
      <formula>3600</formula>
    </cfRule>
  </conditionalFormatting>
  <conditionalFormatting sqref="K21">
    <cfRule type="cellIs" dxfId="90" priority="248" operator="between">
      <formula>3200</formula>
      <formula>3600</formula>
    </cfRule>
    <cfRule type="cellIs" dxfId="89" priority="244" operator="lessThan">
      <formula>2500</formula>
    </cfRule>
    <cfRule type="cellIs" dxfId="88" priority="245" operator="between">
      <formula>2500</formula>
      <formula>3000</formula>
    </cfRule>
    <cfRule type="cellIs" dxfId="87" priority="246" operator="between">
      <formula>3000</formula>
      <formula>3200</formula>
    </cfRule>
    <cfRule type="cellIs" dxfId="86" priority="247" operator="greaterThan">
      <formula>3600</formula>
    </cfRule>
  </conditionalFormatting>
  <conditionalFormatting sqref="K23">
    <cfRule type="cellIs" dxfId="85" priority="239" operator="lessThan">
      <formula>2500</formula>
    </cfRule>
    <cfRule type="cellIs" dxfId="84" priority="240" operator="between">
      <formula>2500</formula>
      <formula>3000</formula>
    </cfRule>
    <cfRule type="cellIs" dxfId="83" priority="241" operator="between">
      <formula>3000</formula>
      <formula>3200</formula>
    </cfRule>
    <cfRule type="cellIs" dxfId="82" priority="242" operator="greaterThan">
      <formula>3600</formula>
    </cfRule>
    <cfRule type="cellIs" dxfId="81" priority="243" operator="between">
      <formula>3200</formula>
      <formula>3600</formula>
    </cfRule>
  </conditionalFormatting>
  <conditionalFormatting sqref="L6:L30">
    <cfRule type="cellIs" dxfId="80" priority="201" operator="greaterThan">
      <formula>10</formula>
    </cfRule>
  </conditionalFormatting>
  <hyperlinks>
    <hyperlink ref="A3" location="'summery '!A1" display="summery " xr:uid="{00000000-0004-0000-1100-000000000000}"/>
  </hyperlinks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AF34"/>
  <sheetViews>
    <sheetView zoomScale="41" zoomScaleNormal="41" workbookViewId="0">
      <selection activeCell="J31" sqref="J31:J33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1.453125" customWidth="1"/>
    <col min="8" max="8" width="12.54296875" bestFit="1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5" width="14.26953125" customWidth="1"/>
    <col min="16" max="16" width="16.90625" customWidth="1"/>
    <col min="17" max="17" width="18.54296875" customWidth="1"/>
    <col min="18" max="18" width="19.81640625" customWidth="1"/>
    <col min="19" max="19" width="17" customWidth="1"/>
    <col min="20" max="32" width="8.7265625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</row>
    <row r="6" spans="1:32" ht="15.5" x14ac:dyDescent="0.35">
      <c r="A6" s="3">
        <v>45588</v>
      </c>
      <c r="B6" s="1">
        <v>54</v>
      </c>
      <c r="C6" s="1">
        <v>8</v>
      </c>
      <c r="D6" s="1">
        <v>1</v>
      </c>
      <c r="E6" s="1" t="s">
        <v>18</v>
      </c>
      <c r="F6" s="1">
        <v>2934</v>
      </c>
      <c r="G6" s="19">
        <v>3512.1774200335294</v>
      </c>
      <c r="H6" s="1" t="s">
        <v>46</v>
      </c>
      <c r="I6" s="3"/>
      <c r="J6" s="1"/>
      <c r="K6" s="1">
        <f>F6-J6</f>
        <v>2934</v>
      </c>
      <c r="L6" s="1">
        <f t="shared" ref="L6:L11" ca="1" si="0">IF(F6=0,0,(TODAY()-A6))</f>
        <v>100</v>
      </c>
      <c r="M6">
        <f>IF(E6="T",G6,0)</f>
        <v>0</v>
      </c>
      <c r="N6">
        <f>IF(E6="T",K6,0)</f>
        <v>0</v>
      </c>
      <c r="O6">
        <f>IF(E6="B",G6,0)</f>
        <v>3512.1774200335294</v>
      </c>
      <c r="P6">
        <f>IF(E6="B",K6,0)</f>
        <v>2934</v>
      </c>
      <c r="Q6" s="1">
        <f>IF(G6&gt;3500,K6,0)</f>
        <v>2934</v>
      </c>
      <c r="R6" s="1">
        <f>IF(AND(G6&gt;=3100,G6&lt;=3500),K6,0)</f>
        <v>0</v>
      </c>
      <c r="S6" s="1">
        <f>IF(G6&lt;3100,K6,0)</f>
        <v>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0</v>
      </c>
      <c r="Z6">
        <f>IF(C6=6,1,0)</f>
        <v>0</v>
      </c>
      <c r="AA6">
        <f>IF(C6=7,1,0)</f>
        <v>0</v>
      </c>
      <c r="AB6">
        <f>IF(C6=8,1,0)</f>
        <v>1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ht="15.5" x14ac:dyDescent="0.35">
      <c r="A7" s="3">
        <v>45590</v>
      </c>
      <c r="B7" s="1">
        <v>60</v>
      </c>
      <c r="C7" s="1">
        <v>5</v>
      </c>
      <c r="D7" s="1">
        <v>2</v>
      </c>
      <c r="E7" s="1" t="s">
        <v>18</v>
      </c>
      <c r="F7" s="1">
        <v>4600</v>
      </c>
      <c r="G7" s="19">
        <v>3504</v>
      </c>
      <c r="H7" s="1" t="s">
        <v>46</v>
      </c>
      <c r="I7" s="3"/>
      <c r="J7" s="1"/>
      <c r="K7" s="1">
        <f t="shared" ref="K7:K22" si="1">F7-J7</f>
        <v>4600</v>
      </c>
      <c r="L7" s="1">
        <f t="shared" ca="1" si="0"/>
        <v>98</v>
      </c>
      <c r="M7">
        <f t="shared" ref="M7:M22" si="2">IF(E7="T",G7,0)</f>
        <v>0</v>
      </c>
      <c r="N7">
        <f t="shared" ref="N7:N23" si="3">IF(E7="T",K7,0)</f>
        <v>0</v>
      </c>
      <c r="O7">
        <f t="shared" ref="O7:O22" si="4">IF(E7="B",G7,0)</f>
        <v>3504</v>
      </c>
      <c r="P7">
        <f t="shared" ref="P7:P23" si="5">IF(E7="B",K7,0)</f>
        <v>4600</v>
      </c>
      <c r="Q7" s="1">
        <f t="shared" ref="Q7:Q9" si="6">IF(G7&gt;3500,K7,0)</f>
        <v>4600</v>
      </c>
      <c r="R7" s="1">
        <f t="shared" ref="R7:R9" si="7">IF(AND(G7&gt;=3100,G7&lt;=3500),K7,0)</f>
        <v>0</v>
      </c>
      <c r="S7" s="1">
        <f t="shared" ref="S7:S9" si="8">IF(G7&lt;3100,K7,0)</f>
        <v>0</v>
      </c>
      <c r="U7">
        <f t="shared" ref="U7:U22" si="9">IF(C7=1,1,0)</f>
        <v>0</v>
      </c>
      <c r="V7">
        <f t="shared" ref="V7:V22" si="10">IF(C7=2,1,0)</f>
        <v>0</v>
      </c>
      <c r="W7">
        <f t="shared" ref="W7:W22" si="11">IF(C7=3,1,0)</f>
        <v>0</v>
      </c>
      <c r="X7">
        <f t="shared" ref="X7:X22" si="12">IF(C7=4,1,0)</f>
        <v>0</v>
      </c>
      <c r="Y7">
        <f t="shared" ref="Y7:Y22" si="13">IF(C7=5,1,0)</f>
        <v>1</v>
      </c>
      <c r="Z7">
        <f t="shared" ref="Z7:Z22" si="14">IF(C7=6,1,0)</f>
        <v>0</v>
      </c>
      <c r="AA7">
        <f t="shared" ref="AA7:AA22" si="15">IF(C7=7,1,0)</f>
        <v>0</v>
      </c>
      <c r="AB7">
        <f t="shared" ref="AB7:AB22" si="16">IF(C7=8,1,0)</f>
        <v>0</v>
      </c>
      <c r="AC7">
        <f t="shared" ref="AC7:AC22" si="17">IF(C7=9,1,0)</f>
        <v>0</v>
      </c>
      <c r="AD7">
        <f t="shared" ref="AD7:AD22" si="18">IF(C7=10,1,0)</f>
        <v>0</v>
      </c>
      <c r="AE7">
        <f t="shared" ref="AE7:AE22" si="19">IF(C7="SILO",1,0)</f>
        <v>0</v>
      </c>
      <c r="AF7">
        <f t="shared" ref="AF7:AF22" si="20">IF(C7="CB",1,0)</f>
        <v>0</v>
      </c>
    </row>
    <row r="8" spans="1:32" ht="15.5" x14ac:dyDescent="0.35">
      <c r="A8" s="3">
        <v>45592</v>
      </c>
      <c r="B8" s="1">
        <v>70</v>
      </c>
      <c r="C8" s="1">
        <v>5</v>
      </c>
      <c r="D8" s="1">
        <v>2</v>
      </c>
      <c r="E8" s="1" t="s">
        <v>18</v>
      </c>
      <c r="F8" s="1">
        <v>4400</v>
      </c>
      <c r="G8" s="19">
        <v>3036</v>
      </c>
      <c r="H8" s="1" t="s">
        <v>46</v>
      </c>
      <c r="I8" s="3"/>
      <c r="J8" s="1"/>
      <c r="K8" s="1">
        <f t="shared" si="1"/>
        <v>4400</v>
      </c>
      <c r="L8" s="1">
        <f t="shared" ca="1" si="0"/>
        <v>96</v>
      </c>
      <c r="M8">
        <f t="shared" si="2"/>
        <v>0</v>
      </c>
      <c r="N8">
        <f t="shared" si="3"/>
        <v>0</v>
      </c>
      <c r="O8">
        <f t="shared" si="4"/>
        <v>3036</v>
      </c>
      <c r="P8">
        <f t="shared" si="5"/>
        <v>4400</v>
      </c>
      <c r="Q8" s="1">
        <f t="shared" si="6"/>
        <v>0</v>
      </c>
      <c r="R8" s="1">
        <f t="shared" si="7"/>
        <v>0</v>
      </c>
      <c r="S8" s="1">
        <f t="shared" si="8"/>
        <v>4400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1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ht="15.5" x14ac:dyDescent="0.35">
      <c r="A9" s="3">
        <v>45595</v>
      </c>
      <c r="B9" s="1">
        <v>76</v>
      </c>
      <c r="C9" s="1">
        <v>5</v>
      </c>
      <c r="D9" s="1">
        <v>2</v>
      </c>
      <c r="E9" s="1" t="s">
        <v>19</v>
      </c>
      <c r="F9" s="1">
        <v>2237</v>
      </c>
      <c r="G9" s="19">
        <v>3248</v>
      </c>
      <c r="H9" s="1" t="s">
        <v>46</v>
      </c>
      <c r="I9" s="3"/>
      <c r="J9" s="1"/>
      <c r="K9" s="1">
        <f t="shared" si="1"/>
        <v>2237</v>
      </c>
      <c r="L9" s="1">
        <f t="shared" ca="1" si="0"/>
        <v>93</v>
      </c>
      <c r="M9">
        <f t="shared" si="2"/>
        <v>3248</v>
      </c>
      <c r="N9">
        <f t="shared" si="3"/>
        <v>2237</v>
      </c>
      <c r="O9">
        <f t="shared" si="4"/>
        <v>0</v>
      </c>
      <c r="P9">
        <f t="shared" si="5"/>
        <v>0</v>
      </c>
      <c r="Q9" s="1">
        <f t="shared" si="6"/>
        <v>0</v>
      </c>
      <c r="R9" s="1">
        <f t="shared" si="7"/>
        <v>2237</v>
      </c>
      <c r="S9" s="1">
        <f t="shared" si="8"/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1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0</v>
      </c>
      <c r="AF9">
        <f t="shared" si="20"/>
        <v>0</v>
      </c>
    </row>
    <row r="10" spans="1:32" x14ac:dyDescent="0.35">
      <c r="A10" s="3">
        <v>45597</v>
      </c>
      <c r="B10" s="1">
        <v>82</v>
      </c>
      <c r="C10" s="1">
        <v>8</v>
      </c>
      <c r="D10" s="1">
        <v>1</v>
      </c>
      <c r="E10" s="1" t="s">
        <v>18</v>
      </c>
      <c r="F10" s="1">
        <v>5067</v>
      </c>
      <c r="G10" s="5">
        <v>3460</v>
      </c>
      <c r="H10" s="1" t="s">
        <v>46</v>
      </c>
      <c r="I10" s="3"/>
      <c r="J10" s="1"/>
      <c r="K10" s="1">
        <f t="shared" si="1"/>
        <v>5067</v>
      </c>
      <c r="L10" s="1">
        <f t="shared" ca="1" si="0"/>
        <v>91</v>
      </c>
      <c r="M10">
        <f t="shared" si="2"/>
        <v>0</v>
      </c>
      <c r="N10">
        <f t="shared" si="3"/>
        <v>0</v>
      </c>
      <c r="O10">
        <f t="shared" si="4"/>
        <v>3460</v>
      </c>
      <c r="P10">
        <f t="shared" si="5"/>
        <v>5067</v>
      </c>
      <c r="Q10" s="1">
        <f t="shared" ref="Q10:Q22" si="21">IF(G10&gt;3500,K10,0)</f>
        <v>0</v>
      </c>
      <c r="R10" s="1">
        <f t="shared" ref="R10:R22" si="22">IF(AND(G10&gt;=3100,G10&lt;=3500),K10,0)</f>
        <v>5067</v>
      </c>
      <c r="S10" s="1">
        <f t="shared" ref="S10:S22" si="23">IF(G10&lt;3100,K10,0)</f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1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x14ac:dyDescent="0.35">
      <c r="A11" s="3"/>
      <c r="B11" s="1"/>
      <c r="C11" s="1"/>
      <c r="D11" s="1"/>
      <c r="E11" s="1"/>
      <c r="F11" s="1"/>
      <c r="G11" s="5"/>
      <c r="H11" s="1"/>
      <c r="I11" s="3"/>
      <c r="J11" s="1"/>
      <c r="K11" s="1">
        <f t="shared" si="1"/>
        <v>0</v>
      </c>
      <c r="L11" s="1">
        <f t="shared" ca="1" si="0"/>
        <v>0</v>
      </c>
      <c r="M11">
        <f t="shared" si="2"/>
        <v>0</v>
      </c>
      <c r="N11">
        <f t="shared" si="3"/>
        <v>0</v>
      </c>
      <c r="O11">
        <f t="shared" si="4"/>
        <v>0</v>
      </c>
      <c r="P11">
        <f t="shared" si="5"/>
        <v>0</v>
      </c>
      <c r="Q11" s="1">
        <f t="shared" si="21"/>
        <v>0</v>
      </c>
      <c r="R11" s="1">
        <f t="shared" si="22"/>
        <v>0</v>
      </c>
      <c r="S11" s="1">
        <f t="shared" si="23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x14ac:dyDescent="0.35">
      <c r="A12" s="3"/>
      <c r="B12" s="1"/>
      <c r="C12" s="1"/>
      <c r="D12" s="1"/>
      <c r="E12" s="1"/>
      <c r="F12" s="1"/>
      <c r="G12" s="5"/>
      <c r="H12" s="1"/>
      <c r="I12" s="3"/>
      <c r="J12" s="1"/>
      <c r="K12" s="1">
        <f t="shared" si="1"/>
        <v>0</v>
      </c>
      <c r="L12" s="1">
        <f ca="1">IF(F12=0,0,(TODAY()-A12))</f>
        <v>0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0</v>
      </c>
      <c r="Q12" s="1">
        <f t="shared" si="21"/>
        <v>0</v>
      </c>
      <c r="R12" s="1">
        <f t="shared" si="22"/>
        <v>0</v>
      </c>
      <c r="S12" s="1">
        <f t="shared" si="23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/>
      <c r="B13" s="1"/>
      <c r="C13" s="1"/>
      <c r="D13" s="1"/>
      <c r="E13" s="1"/>
      <c r="F13" s="1"/>
      <c r="G13" s="5"/>
      <c r="H13" s="1"/>
      <c r="I13" s="3"/>
      <c r="J13" s="1"/>
      <c r="K13" s="1">
        <f t="shared" si="1"/>
        <v>0</v>
      </c>
      <c r="L13" s="1">
        <f t="shared" ref="L13:L22" ca="1" si="24">IF(F13=0,0,(TODAY()-A13))</f>
        <v>0</v>
      </c>
      <c r="M13">
        <f t="shared" si="2"/>
        <v>0</v>
      </c>
      <c r="N13">
        <f t="shared" si="3"/>
        <v>0</v>
      </c>
      <c r="O13">
        <f t="shared" si="4"/>
        <v>0</v>
      </c>
      <c r="P13">
        <f t="shared" si="5"/>
        <v>0</v>
      </c>
      <c r="Q13" s="1">
        <f t="shared" si="21"/>
        <v>0</v>
      </c>
      <c r="R13" s="1">
        <f t="shared" si="22"/>
        <v>0</v>
      </c>
      <c r="S13" s="1">
        <f t="shared" si="23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/>
      <c r="B14" s="1"/>
      <c r="C14" s="1"/>
      <c r="D14" s="1"/>
      <c r="E14" s="1"/>
      <c r="F14" s="1"/>
      <c r="G14" s="5"/>
      <c r="H14" s="1"/>
      <c r="I14" s="3"/>
      <c r="J14" s="1"/>
      <c r="K14" s="1">
        <f t="shared" si="1"/>
        <v>0</v>
      </c>
      <c r="L14" s="1">
        <f t="shared" ca="1" si="24"/>
        <v>0</v>
      </c>
      <c r="M14">
        <f t="shared" si="2"/>
        <v>0</v>
      </c>
      <c r="N14">
        <f t="shared" si="3"/>
        <v>0</v>
      </c>
      <c r="O14">
        <f t="shared" si="4"/>
        <v>0</v>
      </c>
      <c r="P14">
        <f t="shared" si="5"/>
        <v>0</v>
      </c>
      <c r="Q14" s="1">
        <f t="shared" si="21"/>
        <v>0</v>
      </c>
      <c r="R14" s="1">
        <f t="shared" si="22"/>
        <v>0</v>
      </c>
      <c r="S14" s="1">
        <f t="shared" si="23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/>
      <c r="B15" s="1"/>
      <c r="C15" s="1"/>
      <c r="D15" s="1"/>
      <c r="E15" s="1"/>
      <c r="F15" s="1"/>
      <c r="G15" s="5"/>
      <c r="H15" s="1"/>
      <c r="I15" s="3"/>
      <c r="J15" s="1"/>
      <c r="K15" s="1">
        <f t="shared" si="1"/>
        <v>0</v>
      </c>
      <c r="L15" s="1">
        <f t="shared" ca="1" si="24"/>
        <v>0</v>
      </c>
      <c r="M15">
        <f t="shared" si="2"/>
        <v>0</v>
      </c>
      <c r="N15">
        <f t="shared" si="3"/>
        <v>0</v>
      </c>
      <c r="O15">
        <f t="shared" si="4"/>
        <v>0</v>
      </c>
      <c r="P15">
        <f t="shared" si="5"/>
        <v>0</v>
      </c>
      <c r="Q15" s="1">
        <f t="shared" si="21"/>
        <v>0</v>
      </c>
      <c r="R15" s="1">
        <f t="shared" si="22"/>
        <v>0</v>
      </c>
      <c r="S15" s="1">
        <f t="shared" si="23"/>
        <v>0</v>
      </c>
      <c r="U15">
        <f t="shared" si="9"/>
        <v>0</v>
      </c>
      <c r="V15">
        <f t="shared" si="10"/>
        <v>0</v>
      </c>
      <c r="W15">
        <f t="shared" si="11"/>
        <v>0</v>
      </c>
      <c r="X15">
        <f t="shared" si="12"/>
        <v>0</v>
      </c>
      <c r="Y15">
        <f t="shared" si="13"/>
        <v>0</v>
      </c>
      <c r="Z15">
        <f t="shared" si="14"/>
        <v>0</v>
      </c>
      <c r="AA15">
        <f t="shared" si="15"/>
        <v>0</v>
      </c>
      <c r="AB15">
        <f t="shared" si="16"/>
        <v>0</v>
      </c>
      <c r="AC15">
        <f t="shared" si="17"/>
        <v>0</v>
      </c>
      <c r="AD15">
        <f t="shared" si="18"/>
        <v>0</v>
      </c>
      <c r="AE15">
        <f t="shared" si="19"/>
        <v>0</v>
      </c>
      <c r="AF15">
        <f t="shared" si="20"/>
        <v>0</v>
      </c>
    </row>
    <row r="16" spans="1:32" x14ac:dyDescent="0.35">
      <c r="A16" s="3"/>
      <c r="B16" s="1"/>
      <c r="C16" s="1"/>
      <c r="D16" s="1"/>
      <c r="E16" s="1"/>
      <c r="F16" s="1"/>
      <c r="G16" s="5"/>
      <c r="H16" s="1"/>
      <c r="I16" s="3"/>
      <c r="J16" s="1"/>
      <c r="K16" s="1">
        <f t="shared" ref="K16:K20" si="25">F16-J16</f>
        <v>0</v>
      </c>
      <c r="L16" s="1">
        <f t="shared" ca="1" si="24"/>
        <v>0</v>
      </c>
      <c r="M16">
        <f t="shared" ref="M16:M20" si="26">IF(E16="T",G16,0)</f>
        <v>0</v>
      </c>
      <c r="N16">
        <f t="shared" ref="N16:N20" si="27">IF(E16="T",K16,0)</f>
        <v>0</v>
      </c>
      <c r="O16">
        <f t="shared" ref="O16:O20" si="28">IF(E16="B",G16,0)</f>
        <v>0</v>
      </c>
      <c r="P16">
        <f t="shared" ref="P16:P20" si="29">IF(E16="B",K16,0)</f>
        <v>0</v>
      </c>
      <c r="Q16" s="1">
        <f t="shared" si="21"/>
        <v>0</v>
      </c>
      <c r="R16" s="1">
        <f t="shared" si="22"/>
        <v>0</v>
      </c>
      <c r="S16" s="1">
        <f t="shared" si="23"/>
        <v>0</v>
      </c>
      <c r="U16">
        <f t="shared" ref="U16:U20" si="30">IF(C16=1,1,0)</f>
        <v>0</v>
      </c>
      <c r="V16">
        <f t="shared" ref="V16:V20" si="31">IF(C16=2,1,0)</f>
        <v>0</v>
      </c>
      <c r="W16">
        <f t="shared" ref="W16:W20" si="32">IF(C16=3,1,0)</f>
        <v>0</v>
      </c>
      <c r="X16">
        <f t="shared" ref="X16:X20" si="33">IF(C16=4,1,0)</f>
        <v>0</v>
      </c>
      <c r="Y16">
        <f t="shared" ref="Y16:Y20" si="34">IF(C16=5,1,0)</f>
        <v>0</v>
      </c>
      <c r="Z16">
        <f t="shared" ref="Z16:Z20" si="35">IF(C16=6,1,0)</f>
        <v>0</v>
      </c>
      <c r="AA16">
        <f t="shared" ref="AA16:AA20" si="36">IF(C16=7,1,0)</f>
        <v>0</v>
      </c>
      <c r="AB16">
        <f t="shared" ref="AB16:AB20" si="37">IF(C16=8,1,0)</f>
        <v>0</v>
      </c>
      <c r="AC16">
        <f t="shared" ref="AC16:AC20" si="38">IF(C16=9,1,0)</f>
        <v>0</v>
      </c>
      <c r="AD16">
        <f t="shared" ref="AD16:AD20" si="39">IF(C16=10,1,0)</f>
        <v>0</v>
      </c>
      <c r="AE16">
        <f t="shared" ref="AE16:AE20" si="40">IF(C16="SILO",1,0)</f>
        <v>0</v>
      </c>
      <c r="AF16">
        <f t="shared" ref="AF16:AF20" si="41">IF(C16="CB",1,0)</f>
        <v>0</v>
      </c>
    </row>
    <row r="17" spans="1:32" x14ac:dyDescent="0.35">
      <c r="A17" s="3"/>
      <c r="B17" s="1"/>
      <c r="C17" s="1"/>
      <c r="D17" s="1"/>
      <c r="E17" s="1"/>
      <c r="F17" s="1"/>
      <c r="G17" s="5"/>
      <c r="H17" s="5"/>
      <c r="I17" s="1"/>
      <c r="J17" s="1"/>
      <c r="K17" s="1">
        <f t="shared" si="25"/>
        <v>0</v>
      </c>
      <c r="L17" s="1">
        <f ca="1">IF(F17=0,0,(TODAY()-A17))</f>
        <v>0</v>
      </c>
      <c r="M17">
        <f t="shared" si="26"/>
        <v>0</v>
      </c>
      <c r="N17">
        <f t="shared" si="27"/>
        <v>0</v>
      </c>
      <c r="O17">
        <f t="shared" si="28"/>
        <v>0</v>
      </c>
      <c r="P17">
        <f t="shared" si="29"/>
        <v>0</v>
      </c>
      <c r="Q17" s="1">
        <f t="shared" si="21"/>
        <v>0</v>
      </c>
      <c r="R17" s="1">
        <f t="shared" si="22"/>
        <v>0</v>
      </c>
      <c r="S17" s="1">
        <f t="shared" si="23"/>
        <v>0</v>
      </c>
      <c r="U17">
        <f t="shared" si="30"/>
        <v>0</v>
      </c>
      <c r="V17">
        <f t="shared" si="31"/>
        <v>0</v>
      </c>
      <c r="W17">
        <f t="shared" si="32"/>
        <v>0</v>
      </c>
      <c r="X17">
        <f t="shared" si="33"/>
        <v>0</v>
      </c>
      <c r="Y17">
        <f t="shared" si="34"/>
        <v>0</v>
      </c>
      <c r="Z17">
        <f t="shared" si="35"/>
        <v>0</v>
      </c>
      <c r="AA17">
        <f t="shared" si="36"/>
        <v>0</v>
      </c>
      <c r="AB17">
        <f t="shared" si="37"/>
        <v>0</v>
      </c>
      <c r="AC17">
        <f t="shared" si="38"/>
        <v>0</v>
      </c>
      <c r="AD17">
        <f t="shared" si="39"/>
        <v>0</v>
      </c>
      <c r="AE17">
        <f t="shared" si="40"/>
        <v>0</v>
      </c>
      <c r="AF17">
        <f t="shared" si="41"/>
        <v>0</v>
      </c>
    </row>
    <row r="18" spans="1:32" x14ac:dyDescent="0.35">
      <c r="A18" s="3"/>
      <c r="B18" s="1"/>
      <c r="C18" s="1"/>
      <c r="D18" s="1"/>
      <c r="E18" s="1"/>
      <c r="F18" s="1"/>
      <c r="G18" s="5"/>
      <c r="H18" s="5"/>
      <c r="I18" s="1"/>
      <c r="J18" s="1"/>
      <c r="K18" s="1">
        <f t="shared" si="25"/>
        <v>0</v>
      </c>
      <c r="L18" s="1">
        <f t="shared" ref="L18:L20" ca="1" si="42">IF(F18=0,0,(TODAY()-A18))</f>
        <v>0</v>
      </c>
      <c r="M18">
        <f t="shared" si="26"/>
        <v>0</v>
      </c>
      <c r="N18">
        <f t="shared" si="27"/>
        <v>0</v>
      </c>
      <c r="O18">
        <f t="shared" si="28"/>
        <v>0</v>
      </c>
      <c r="P18">
        <f t="shared" si="29"/>
        <v>0</v>
      </c>
      <c r="Q18" s="1">
        <f t="shared" si="21"/>
        <v>0</v>
      </c>
      <c r="R18" s="1">
        <f t="shared" si="22"/>
        <v>0</v>
      </c>
      <c r="S18" s="1">
        <f t="shared" si="23"/>
        <v>0</v>
      </c>
      <c r="U18">
        <f t="shared" si="30"/>
        <v>0</v>
      </c>
      <c r="V18">
        <f t="shared" si="31"/>
        <v>0</v>
      </c>
      <c r="W18">
        <f t="shared" si="32"/>
        <v>0</v>
      </c>
      <c r="X18">
        <f t="shared" si="33"/>
        <v>0</v>
      </c>
      <c r="Y18">
        <f t="shared" si="34"/>
        <v>0</v>
      </c>
      <c r="Z18">
        <f t="shared" si="35"/>
        <v>0</v>
      </c>
      <c r="AA18">
        <f t="shared" si="36"/>
        <v>0</v>
      </c>
      <c r="AB18">
        <f t="shared" si="37"/>
        <v>0</v>
      </c>
      <c r="AC18">
        <f t="shared" si="38"/>
        <v>0</v>
      </c>
      <c r="AD18">
        <f t="shared" si="39"/>
        <v>0</v>
      </c>
      <c r="AE18">
        <f t="shared" si="40"/>
        <v>0</v>
      </c>
      <c r="AF18">
        <f t="shared" si="41"/>
        <v>0</v>
      </c>
    </row>
    <row r="19" spans="1:32" x14ac:dyDescent="0.35">
      <c r="A19" s="3"/>
      <c r="B19" s="1"/>
      <c r="C19" s="1"/>
      <c r="D19" s="1"/>
      <c r="E19" s="1"/>
      <c r="F19" s="1"/>
      <c r="G19" s="5"/>
      <c r="H19" s="5"/>
      <c r="I19" s="1"/>
      <c r="J19" s="1"/>
      <c r="K19" s="1">
        <f t="shared" si="25"/>
        <v>0</v>
      </c>
      <c r="L19" s="1">
        <f t="shared" ca="1" si="42"/>
        <v>0</v>
      </c>
      <c r="M19">
        <f t="shared" si="26"/>
        <v>0</v>
      </c>
      <c r="N19">
        <f t="shared" si="27"/>
        <v>0</v>
      </c>
      <c r="O19">
        <f t="shared" si="28"/>
        <v>0</v>
      </c>
      <c r="P19">
        <f t="shared" si="29"/>
        <v>0</v>
      </c>
      <c r="Q19" s="1">
        <f t="shared" si="21"/>
        <v>0</v>
      </c>
      <c r="R19" s="1">
        <f t="shared" si="22"/>
        <v>0</v>
      </c>
      <c r="S19" s="1">
        <f t="shared" si="23"/>
        <v>0</v>
      </c>
      <c r="U19">
        <f t="shared" si="30"/>
        <v>0</v>
      </c>
      <c r="V19">
        <f t="shared" si="31"/>
        <v>0</v>
      </c>
      <c r="W19">
        <f t="shared" si="32"/>
        <v>0</v>
      </c>
      <c r="X19">
        <f t="shared" si="33"/>
        <v>0</v>
      </c>
      <c r="Y19">
        <f t="shared" si="34"/>
        <v>0</v>
      </c>
      <c r="Z19">
        <f t="shared" si="35"/>
        <v>0</v>
      </c>
      <c r="AA19">
        <f t="shared" si="36"/>
        <v>0</v>
      </c>
      <c r="AB19">
        <f t="shared" si="37"/>
        <v>0</v>
      </c>
      <c r="AC19">
        <f t="shared" si="38"/>
        <v>0</v>
      </c>
      <c r="AD19">
        <f t="shared" si="39"/>
        <v>0</v>
      </c>
      <c r="AE19">
        <f t="shared" si="40"/>
        <v>0</v>
      </c>
      <c r="AF19">
        <f t="shared" si="41"/>
        <v>0</v>
      </c>
    </row>
    <row r="20" spans="1:32" x14ac:dyDescent="0.35">
      <c r="A20" s="3"/>
      <c r="B20" s="1"/>
      <c r="C20" s="1"/>
      <c r="D20" s="1"/>
      <c r="E20" s="1"/>
      <c r="F20" s="1"/>
      <c r="G20" s="5"/>
      <c r="H20" s="5"/>
      <c r="I20" s="1"/>
      <c r="J20" s="1"/>
      <c r="K20" s="1">
        <f t="shared" si="25"/>
        <v>0</v>
      </c>
      <c r="L20" s="1">
        <f t="shared" ca="1" si="42"/>
        <v>0</v>
      </c>
      <c r="M20">
        <f t="shared" si="26"/>
        <v>0</v>
      </c>
      <c r="N20">
        <f t="shared" si="27"/>
        <v>0</v>
      </c>
      <c r="O20">
        <f t="shared" si="28"/>
        <v>0</v>
      </c>
      <c r="P20">
        <f t="shared" si="29"/>
        <v>0</v>
      </c>
      <c r="Q20" s="1">
        <f t="shared" si="21"/>
        <v>0</v>
      </c>
      <c r="R20" s="1">
        <f t="shared" si="22"/>
        <v>0</v>
      </c>
      <c r="S20" s="1">
        <f t="shared" si="23"/>
        <v>0</v>
      </c>
      <c r="U20">
        <f t="shared" si="30"/>
        <v>0</v>
      </c>
      <c r="V20">
        <f t="shared" si="31"/>
        <v>0</v>
      </c>
      <c r="W20">
        <f t="shared" si="32"/>
        <v>0</v>
      </c>
      <c r="X20">
        <f t="shared" si="33"/>
        <v>0</v>
      </c>
      <c r="Y20">
        <f t="shared" si="34"/>
        <v>0</v>
      </c>
      <c r="Z20">
        <f t="shared" si="35"/>
        <v>0</v>
      </c>
      <c r="AA20">
        <f t="shared" si="36"/>
        <v>0</v>
      </c>
      <c r="AB20">
        <f t="shared" si="37"/>
        <v>0</v>
      </c>
      <c r="AC20">
        <f t="shared" si="38"/>
        <v>0</v>
      </c>
      <c r="AD20">
        <f t="shared" si="39"/>
        <v>0</v>
      </c>
      <c r="AE20">
        <f t="shared" si="40"/>
        <v>0</v>
      </c>
      <c r="AF20">
        <f t="shared" si="41"/>
        <v>0</v>
      </c>
    </row>
    <row r="21" spans="1:32" x14ac:dyDescent="0.35">
      <c r="A21" s="3"/>
      <c r="B21" s="1"/>
      <c r="C21" s="1"/>
      <c r="D21" s="1"/>
      <c r="E21" s="1"/>
      <c r="F21" s="1"/>
      <c r="G21" s="5"/>
      <c r="H21" s="5"/>
      <c r="I21" s="1"/>
      <c r="J21" s="1"/>
      <c r="K21" s="1">
        <f t="shared" si="1"/>
        <v>0</v>
      </c>
      <c r="L21" s="1">
        <f t="shared" ca="1" si="24"/>
        <v>0</v>
      </c>
      <c r="M21">
        <f t="shared" si="2"/>
        <v>0</v>
      </c>
      <c r="N21">
        <f t="shared" si="3"/>
        <v>0</v>
      </c>
      <c r="O21">
        <f t="shared" si="4"/>
        <v>0</v>
      </c>
      <c r="P21">
        <f t="shared" si="5"/>
        <v>0</v>
      </c>
      <c r="Q21" s="1">
        <f t="shared" si="21"/>
        <v>0</v>
      </c>
      <c r="R21" s="1">
        <f t="shared" si="22"/>
        <v>0</v>
      </c>
      <c r="S21" s="1">
        <f t="shared" si="23"/>
        <v>0</v>
      </c>
      <c r="U21">
        <f t="shared" si="9"/>
        <v>0</v>
      </c>
      <c r="V21">
        <f t="shared" si="10"/>
        <v>0</v>
      </c>
      <c r="W21">
        <f t="shared" si="11"/>
        <v>0</v>
      </c>
      <c r="X21">
        <f t="shared" si="12"/>
        <v>0</v>
      </c>
      <c r="Y21">
        <f t="shared" si="13"/>
        <v>0</v>
      </c>
      <c r="Z21">
        <f t="shared" si="14"/>
        <v>0</v>
      </c>
      <c r="AA21">
        <f t="shared" si="15"/>
        <v>0</v>
      </c>
      <c r="AB21">
        <f t="shared" si="16"/>
        <v>0</v>
      </c>
      <c r="AC21">
        <f t="shared" si="17"/>
        <v>0</v>
      </c>
      <c r="AD21">
        <f t="shared" si="18"/>
        <v>0</v>
      </c>
      <c r="AE21">
        <f t="shared" si="19"/>
        <v>0</v>
      </c>
      <c r="AF21">
        <f t="shared" si="20"/>
        <v>0</v>
      </c>
    </row>
    <row r="22" spans="1:32" x14ac:dyDescent="0.35">
      <c r="A22" s="3"/>
      <c r="B22" s="1"/>
      <c r="C22" s="1"/>
      <c r="D22" s="1"/>
      <c r="E22" s="1"/>
      <c r="F22" s="1"/>
      <c r="G22" s="5"/>
      <c r="H22" s="5"/>
      <c r="I22" s="1"/>
      <c r="J22" s="1"/>
      <c r="K22" s="1">
        <f t="shared" si="1"/>
        <v>0</v>
      </c>
      <c r="L22" s="1">
        <f t="shared" ca="1" si="24"/>
        <v>0</v>
      </c>
      <c r="M22">
        <f t="shared" si="2"/>
        <v>0</v>
      </c>
      <c r="N22">
        <f t="shared" si="3"/>
        <v>0</v>
      </c>
      <c r="O22">
        <f t="shared" si="4"/>
        <v>0</v>
      </c>
      <c r="P22">
        <f t="shared" si="5"/>
        <v>0</v>
      </c>
      <c r="Q22" s="1">
        <f t="shared" si="21"/>
        <v>0</v>
      </c>
      <c r="R22" s="1">
        <f t="shared" si="22"/>
        <v>0</v>
      </c>
      <c r="S22" s="1">
        <f t="shared" si="23"/>
        <v>0</v>
      </c>
      <c r="U22">
        <f t="shared" si="9"/>
        <v>0</v>
      </c>
      <c r="V22">
        <f t="shared" si="10"/>
        <v>0</v>
      </c>
      <c r="W22">
        <f t="shared" si="11"/>
        <v>0</v>
      </c>
      <c r="X22">
        <f t="shared" si="12"/>
        <v>0</v>
      </c>
      <c r="Y22">
        <f t="shared" si="13"/>
        <v>0</v>
      </c>
      <c r="Z22">
        <f t="shared" si="14"/>
        <v>0</v>
      </c>
      <c r="AA22">
        <f t="shared" si="15"/>
        <v>0</v>
      </c>
      <c r="AB22">
        <f t="shared" si="16"/>
        <v>0</v>
      </c>
      <c r="AC22">
        <f t="shared" si="17"/>
        <v>0</v>
      </c>
      <c r="AD22">
        <f t="shared" si="18"/>
        <v>0</v>
      </c>
      <c r="AE22">
        <f t="shared" si="19"/>
        <v>0</v>
      </c>
      <c r="AF22">
        <f t="shared" si="20"/>
        <v>0</v>
      </c>
    </row>
    <row r="23" spans="1:32" x14ac:dyDescent="0.35">
      <c r="A23" s="6"/>
      <c r="B23" s="7"/>
      <c r="C23" s="7"/>
      <c r="D23" s="7"/>
      <c r="E23" s="7"/>
      <c r="F23" s="7">
        <f>SUM(F6:F22)</f>
        <v>19238</v>
      </c>
      <c r="G23" s="4"/>
      <c r="H23" s="4"/>
      <c r="I23" s="7"/>
      <c r="J23" s="8" t="s">
        <v>20</v>
      </c>
      <c r="K23" s="1">
        <f>SUM(K6:K22)</f>
        <v>19238</v>
      </c>
      <c r="L23" s="26">
        <f>IF(U$23&gt;=1,1,0)</f>
        <v>0</v>
      </c>
      <c r="N23">
        <f t="shared" si="3"/>
        <v>0</v>
      </c>
      <c r="P23">
        <f t="shared" si="5"/>
        <v>0</v>
      </c>
      <c r="U23">
        <f>SUM(U6:U22)</f>
        <v>0</v>
      </c>
      <c r="V23">
        <f t="shared" ref="V23:AF23" si="43">SUM(V6:V22)</f>
        <v>0</v>
      </c>
      <c r="W23">
        <f t="shared" si="43"/>
        <v>0</v>
      </c>
      <c r="X23">
        <f t="shared" si="43"/>
        <v>0</v>
      </c>
      <c r="Y23">
        <f t="shared" si="43"/>
        <v>3</v>
      </c>
      <c r="Z23">
        <f t="shared" si="43"/>
        <v>0</v>
      </c>
      <c r="AA23">
        <f t="shared" si="43"/>
        <v>0</v>
      </c>
      <c r="AB23">
        <f t="shared" si="43"/>
        <v>2</v>
      </c>
      <c r="AC23">
        <f t="shared" si="43"/>
        <v>0</v>
      </c>
      <c r="AD23">
        <f t="shared" si="43"/>
        <v>0</v>
      </c>
      <c r="AE23">
        <f t="shared" si="43"/>
        <v>0</v>
      </c>
      <c r="AF23">
        <f t="shared" si="43"/>
        <v>0</v>
      </c>
    </row>
    <row r="24" spans="1:32" x14ac:dyDescent="0.35">
      <c r="J24" s="8" t="s">
        <v>21</v>
      </c>
      <c r="K24" s="5">
        <f>SUMPRODUCT(K6:K22,G6:G22)/SUM(K6:K22)</f>
        <v>3356.8523001548174</v>
      </c>
      <c r="L24" s="26">
        <f>IF(V$23&gt;=1,1,0)</f>
        <v>0</v>
      </c>
    </row>
    <row r="25" spans="1:32" x14ac:dyDescent="0.35">
      <c r="J25" s="8" t="s">
        <v>11</v>
      </c>
      <c r="K25" s="5">
        <f>SUMPRODUCT(M6:M22,N6:N22)/SUM(N6:N22)</f>
        <v>3248</v>
      </c>
      <c r="L25" s="26">
        <f>IF(W$23&gt;=1,1,0)</f>
        <v>0</v>
      </c>
    </row>
    <row r="26" spans="1:32" x14ac:dyDescent="0.35">
      <c r="J26" s="8" t="s">
        <v>12</v>
      </c>
      <c r="K26" s="5">
        <f>SUM(N6:N22)</f>
        <v>2237</v>
      </c>
      <c r="L26" s="26">
        <f>IF(X$23&gt;=1,1,0)</f>
        <v>0</v>
      </c>
    </row>
    <row r="27" spans="1:32" x14ac:dyDescent="0.35">
      <c r="J27" s="8" t="s">
        <v>22</v>
      </c>
      <c r="K27" s="5">
        <f>SUMPRODUCT(O6:O22,P6:P22)/SUM(P6:P22)</f>
        <v>3371.1751397199209</v>
      </c>
      <c r="L27" s="26">
        <f>IF(Y$23&gt;=1,1,0)</f>
        <v>1</v>
      </c>
    </row>
    <row r="28" spans="1:32" x14ac:dyDescent="0.35">
      <c r="J28" s="8" t="s">
        <v>23</v>
      </c>
      <c r="K28" s="5">
        <f>SUM(P6:P22)</f>
        <v>17001</v>
      </c>
      <c r="L28" s="26">
        <f>IF(Z$23&gt;=1,1,0)</f>
        <v>0</v>
      </c>
    </row>
    <row r="29" spans="1:32" x14ac:dyDescent="0.35">
      <c r="J29" s="8" t="s">
        <v>24</v>
      </c>
      <c r="K29" s="1">
        <f ca="1">MAX(L6:L22)</f>
        <v>100</v>
      </c>
      <c r="L29" s="26">
        <f>IF(AA$23&gt;=1,1,0)</f>
        <v>0</v>
      </c>
    </row>
    <row r="30" spans="1:32" x14ac:dyDescent="0.35">
      <c r="J30" s="8" t="s">
        <v>25</v>
      </c>
      <c r="K30" s="9">
        <f ca="1">AVERAGEIF((L6:L22),"&gt;0")</f>
        <v>95.6</v>
      </c>
      <c r="L30" s="26">
        <f>IF(AB$23&gt;=1,1,0)</f>
        <v>1</v>
      </c>
    </row>
    <row r="31" spans="1:32" x14ac:dyDescent="0.35">
      <c r="J31" s="8" t="s">
        <v>528</v>
      </c>
      <c r="K31" s="1">
        <f>SUM(Q6:Q22)</f>
        <v>7534</v>
      </c>
      <c r="L31" s="26">
        <f>IF(AC$23&gt;=1,1,0)</f>
        <v>0</v>
      </c>
    </row>
    <row r="32" spans="1:32" x14ac:dyDescent="0.35">
      <c r="J32" s="8" t="s">
        <v>527</v>
      </c>
      <c r="K32" s="1">
        <f>SUM(R6:R22)</f>
        <v>7304</v>
      </c>
      <c r="L32" s="26">
        <f>IF(AD$23&gt;=1,1,0)</f>
        <v>0</v>
      </c>
    </row>
    <row r="33" spans="10:12" x14ac:dyDescent="0.35">
      <c r="J33" s="8" t="s">
        <v>526</v>
      </c>
      <c r="K33" s="1">
        <f>SUM(S6:S22)</f>
        <v>4400</v>
      </c>
      <c r="L33" s="26">
        <f>IF(AE$23&gt;=1,1,0)</f>
        <v>0</v>
      </c>
    </row>
    <row r="34" spans="10:12" x14ac:dyDescent="0.35">
      <c r="L34" s="26">
        <f>IF(AF$23&gt;=1,1,0)</f>
        <v>0</v>
      </c>
    </row>
  </sheetData>
  <conditionalFormatting sqref="G6">
    <cfRule type="cellIs" dxfId="79" priority="396" operator="between">
      <formula>3000</formula>
      <formula>3200</formula>
    </cfRule>
    <cfRule type="cellIs" dxfId="78" priority="398" operator="between">
      <formula>3200</formula>
      <formula>3600</formula>
    </cfRule>
    <cfRule type="cellIs" dxfId="77" priority="394" operator="between">
      <formula>2500</formula>
      <formula>2000</formula>
    </cfRule>
    <cfRule type="cellIs" dxfId="76" priority="395" operator="between">
      <formula>2500</formula>
      <formula>3000</formula>
    </cfRule>
  </conditionalFormatting>
  <conditionalFormatting sqref="G6:G7 G10:G15">
    <cfRule type="cellIs" dxfId="75" priority="381" operator="between">
      <formula>3000</formula>
      <formula>3200</formula>
    </cfRule>
    <cfRule type="cellIs" dxfId="74" priority="380" operator="between">
      <formula>2500</formula>
      <formula>3000</formula>
    </cfRule>
    <cfRule type="cellIs" dxfId="73" priority="383" operator="between">
      <formula>3200</formula>
      <formula>3600</formula>
    </cfRule>
  </conditionalFormatting>
  <conditionalFormatting sqref="G7:G9">
    <cfRule type="cellIs" dxfId="72" priority="50" operator="between">
      <formula>3200</formula>
      <formula>3600</formula>
    </cfRule>
    <cfRule type="cellIs" dxfId="71" priority="48" operator="between">
      <formula>3000</formula>
      <formula>3200</formula>
    </cfRule>
    <cfRule type="cellIs" dxfId="70" priority="47" operator="between">
      <formula>2500</formula>
      <formula>3000</formula>
    </cfRule>
    <cfRule type="cellIs" dxfId="69" priority="46" operator="between">
      <formula>2500</formula>
      <formula>2000</formula>
    </cfRule>
  </conditionalFormatting>
  <conditionalFormatting sqref="G8">
    <cfRule type="cellIs" dxfId="68" priority="38" operator="between">
      <formula>3000</formula>
      <formula>3200</formula>
    </cfRule>
    <cfRule type="cellIs" dxfId="67" priority="37" operator="between">
      <formula>2500</formula>
      <formula>3000</formula>
    </cfRule>
    <cfRule type="cellIs" dxfId="66" priority="36" operator="between">
      <formula>2500</formula>
      <formula>2000</formula>
    </cfRule>
    <cfRule type="cellIs" dxfId="65" priority="40" operator="between">
      <formula>3200</formula>
      <formula>3600</formula>
    </cfRule>
  </conditionalFormatting>
  <conditionalFormatting sqref="G10:G15 G6:G7">
    <cfRule type="cellIs" dxfId="64" priority="379" operator="between">
      <formula>2500</formula>
      <formula>2000</formula>
    </cfRule>
  </conditionalFormatting>
  <conditionalFormatting sqref="G14:G16 G17:H23">
    <cfRule type="cellIs" dxfId="63" priority="355" operator="between">
      <formula>3200</formula>
      <formula>3600</formula>
    </cfRule>
    <cfRule type="cellIs" dxfId="62" priority="353" operator="between">
      <formula>3000</formula>
      <formula>3200</formula>
    </cfRule>
    <cfRule type="cellIs" dxfId="61" priority="352" operator="between">
      <formula>2500</formula>
      <formula>3000</formula>
    </cfRule>
    <cfRule type="cellIs" dxfId="60" priority="351" operator="between">
      <formula>2500</formula>
      <formula>2000</formula>
    </cfRule>
  </conditionalFormatting>
  <conditionalFormatting sqref="G6:H23">
    <cfRule type="cellIs" dxfId="59" priority="4" operator="greaterThan">
      <formula>3600</formula>
    </cfRule>
  </conditionalFormatting>
  <conditionalFormatting sqref="H6">
    <cfRule type="cellIs" dxfId="58" priority="56" operator="between">
      <formula>2500</formula>
      <formula>2000</formula>
    </cfRule>
    <cfRule type="cellIs" dxfId="57" priority="57" operator="between">
      <formula>2500</formula>
      <formula>3000</formula>
    </cfRule>
    <cfRule type="cellIs" dxfId="56" priority="58" operator="between">
      <formula>3000</formula>
      <formula>3200</formula>
    </cfRule>
    <cfRule type="cellIs" dxfId="55" priority="60" operator="between">
      <formula>3200</formula>
      <formula>3600</formula>
    </cfRule>
  </conditionalFormatting>
  <conditionalFormatting sqref="H6:H7">
    <cfRule type="cellIs" dxfId="54" priority="28" operator="between">
      <formula>3000</formula>
      <formula>3200</formula>
    </cfRule>
    <cfRule type="cellIs" dxfId="53" priority="27" operator="between">
      <formula>2500</formula>
      <formula>3000</formula>
    </cfRule>
    <cfRule type="cellIs" dxfId="52" priority="26" operator="between">
      <formula>2500</formula>
      <formula>2000</formula>
    </cfRule>
    <cfRule type="cellIs" dxfId="51" priority="30" operator="between">
      <formula>3200</formula>
      <formula>3600</formula>
    </cfRule>
  </conditionalFormatting>
  <conditionalFormatting sqref="H7:H9">
    <cfRule type="cellIs" dxfId="50" priority="20" operator="between">
      <formula>3200</formula>
      <formula>3600</formula>
    </cfRule>
    <cfRule type="cellIs" dxfId="49" priority="18" operator="between">
      <formula>3000</formula>
      <formula>3200</formula>
    </cfRule>
    <cfRule type="cellIs" dxfId="48" priority="17" operator="between">
      <formula>2500</formula>
      <formula>3000</formula>
    </cfRule>
    <cfRule type="cellIs" dxfId="47" priority="16" operator="between">
      <formula>2500</formula>
      <formula>2000</formula>
    </cfRule>
  </conditionalFormatting>
  <conditionalFormatting sqref="H8:H16">
    <cfRule type="cellIs" dxfId="46" priority="6" operator="between">
      <formula>2500</formula>
      <formula>2000</formula>
    </cfRule>
    <cfRule type="cellIs" dxfId="45" priority="7" operator="between">
      <formula>2500</formula>
      <formula>3000</formula>
    </cfRule>
    <cfRule type="cellIs" dxfId="44" priority="8" operator="between">
      <formula>3000</formula>
      <formula>3200</formula>
    </cfRule>
    <cfRule type="cellIs" dxfId="43" priority="10" operator="between">
      <formula>3200</formula>
      <formula>3600</formula>
    </cfRule>
  </conditionalFormatting>
  <conditionalFormatting sqref="H10">
    <cfRule type="cellIs" dxfId="42" priority="1" operator="between">
      <formula>2500</formula>
      <formula>2000</formula>
    </cfRule>
    <cfRule type="cellIs" dxfId="41" priority="5" operator="between">
      <formula>3200</formula>
      <formula>3600</formula>
    </cfRule>
    <cfRule type="cellIs" dxfId="40" priority="3" operator="between">
      <formula>3000</formula>
      <formula>3200</formula>
    </cfRule>
    <cfRule type="cellIs" dxfId="39" priority="2" operator="between">
      <formula>2500</formula>
      <formula>3000</formula>
    </cfRule>
  </conditionalFormatting>
  <conditionalFormatting sqref="H11:H16">
    <cfRule type="cellIs" dxfId="38" priority="221" operator="between">
      <formula>2500</formula>
      <formula>2000</formula>
    </cfRule>
    <cfRule type="cellIs" dxfId="37" priority="222" operator="between">
      <formula>2500</formula>
      <formula>3000</formula>
    </cfRule>
    <cfRule type="cellIs" dxfId="36" priority="223" operator="between">
      <formula>3000</formula>
      <formula>3200</formula>
    </cfRule>
    <cfRule type="cellIs" dxfId="35" priority="225" operator="between">
      <formula>3200</formula>
      <formula>3600</formula>
    </cfRule>
    <cfRule type="cellIs" dxfId="34" priority="213" operator="between">
      <formula>3000</formula>
      <formula>3200</formula>
    </cfRule>
    <cfRule type="cellIs" dxfId="33" priority="212" operator="between">
      <formula>2500</formula>
      <formula>3000</formula>
    </cfRule>
    <cfRule type="cellIs" dxfId="32" priority="211" operator="between">
      <formula>2500</formula>
      <formula>2000</formula>
    </cfRule>
    <cfRule type="cellIs" dxfId="31" priority="216" operator="between">
      <formula>2500</formula>
      <formula>2000</formula>
    </cfRule>
    <cfRule type="cellIs" dxfId="30" priority="215" operator="between">
      <formula>3200</formula>
      <formula>3600</formula>
    </cfRule>
    <cfRule type="cellIs" dxfId="29" priority="217" operator="between">
      <formula>2500</formula>
      <formula>3000</formula>
    </cfRule>
    <cfRule type="cellIs" dxfId="28" priority="218" operator="between">
      <formula>3000</formula>
      <formula>3200</formula>
    </cfRule>
    <cfRule type="cellIs" dxfId="27" priority="220" operator="between">
      <formula>3200</formula>
      <formula>3600</formula>
    </cfRule>
  </conditionalFormatting>
  <conditionalFormatting sqref="K25">
    <cfRule type="cellIs" dxfId="26" priority="390" operator="between">
      <formula>2500</formula>
      <formula>3000</formula>
    </cfRule>
    <cfRule type="cellIs" dxfId="25" priority="391" operator="between">
      <formula>3000</formula>
      <formula>3200</formula>
    </cfRule>
    <cfRule type="cellIs" dxfId="24" priority="392" operator="greaterThan">
      <formula>3600</formula>
    </cfRule>
    <cfRule type="cellIs" dxfId="23" priority="393" operator="between">
      <formula>3200</formula>
      <formula>3600</formula>
    </cfRule>
    <cfRule type="cellIs" dxfId="22" priority="389" operator="lessThan">
      <formula>2500</formula>
    </cfRule>
  </conditionalFormatting>
  <conditionalFormatting sqref="K27">
    <cfRule type="cellIs" dxfId="21" priority="384" operator="lessThan">
      <formula>2500</formula>
    </cfRule>
    <cfRule type="cellIs" dxfId="20" priority="385" operator="between">
      <formula>2500</formula>
      <formula>3000</formula>
    </cfRule>
    <cfRule type="cellIs" dxfId="19" priority="386" operator="between">
      <formula>3000</formula>
      <formula>3200</formula>
    </cfRule>
    <cfRule type="cellIs" dxfId="18" priority="387" operator="greaterThan">
      <formula>3600</formula>
    </cfRule>
    <cfRule type="cellIs" dxfId="17" priority="388" operator="between">
      <formula>3200</formula>
      <formula>3600</formula>
    </cfRule>
  </conditionalFormatting>
  <conditionalFormatting sqref="L6:L34">
    <cfRule type="cellIs" dxfId="16" priority="356" operator="greaterThan">
      <formula>10</formula>
    </cfRule>
  </conditionalFormatting>
  <hyperlinks>
    <hyperlink ref="A3" location="'summery '!A1" display="summery " xr:uid="{00000000-0004-0000-1200-000000000000}"/>
  </hyperlinks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3:AF48"/>
  <sheetViews>
    <sheetView zoomScale="85" zoomScaleNormal="85" workbookViewId="0">
      <selection activeCell="A23" sqref="A23"/>
    </sheetView>
  </sheetViews>
  <sheetFormatPr defaultRowHeight="14.5" x14ac:dyDescent="0.35"/>
  <cols>
    <col min="1" max="1" width="21.453125" customWidth="1"/>
    <col min="2" max="3" width="13.54296875" customWidth="1"/>
    <col min="4" max="4" width="10.81640625" customWidth="1"/>
    <col min="5" max="5" width="14.81640625" customWidth="1"/>
    <col min="6" max="6" width="13.7265625" customWidth="1"/>
    <col min="7" max="7" width="13.81640625" customWidth="1"/>
    <col min="8" max="8" width="17.1796875" customWidth="1"/>
    <col min="9" max="9" width="18" customWidth="1"/>
    <col min="10" max="10" width="23.7265625" customWidth="1"/>
    <col min="11" max="11" width="22.81640625" customWidth="1"/>
    <col min="12" max="12" width="16" customWidth="1"/>
    <col min="13" max="14" width="11.453125" customWidth="1"/>
    <col min="15" max="15" width="12.81640625" customWidth="1"/>
    <col min="16" max="16" width="14.81640625" customWidth="1"/>
    <col min="17" max="17" width="18.54296875" customWidth="1"/>
    <col min="18" max="18" width="19.81640625" customWidth="1"/>
    <col min="19" max="19" width="17" customWidth="1"/>
  </cols>
  <sheetData>
    <row r="3" spans="1:32" x14ac:dyDescent="0.35">
      <c r="A3" s="20" t="s">
        <v>44</v>
      </c>
    </row>
    <row r="5" spans="1:32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/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</row>
    <row r="6" spans="1:32" x14ac:dyDescent="0.35">
      <c r="A6" s="3">
        <v>45413</v>
      </c>
      <c r="B6" s="1" t="s">
        <v>248</v>
      </c>
      <c r="C6" s="1" t="s">
        <v>248</v>
      </c>
      <c r="D6" s="1">
        <v>1</v>
      </c>
      <c r="E6" s="1" t="s">
        <v>19</v>
      </c>
      <c r="F6" s="1">
        <v>1800</v>
      </c>
      <c r="G6" s="12">
        <v>3250</v>
      </c>
      <c r="H6" s="1" t="s">
        <v>46</v>
      </c>
      <c r="I6" s="1"/>
      <c r="J6" s="1"/>
      <c r="K6" s="31">
        <f>F6-J6</f>
        <v>1800</v>
      </c>
      <c r="L6" s="1">
        <f t="shared" ref="L6:L16" ca="1" si="0">IF(F6=0,0,(TODAY()-A6))</f>
        <v>275</v>
      </c>
      <c r="M6" s="8">
        <f>IF(E6="T",G6,0)</f>
        <v>3250</v>
      </c>
      <c r="N6" s="8">
        <f>IF(E6="T",K6,0)</f>
        <v>1800</v>
      </c>
      <c r="O6" s="8">
        <f>IF(E6="B",G6,0)</f>
        <v>0</v>
      </c>
      <c r="P6" s="8">
        <f>IF(E6="B",K6,0)</f>
        <v>0</v>
      </c>
      <c r="Q6" s="1">
        <f>IF(G6&gt;3500,K6,0)</f>
        <v>0</v>
      </c>
      <c r="R6" s="1">
        <f>IF(AND(G6&gt;=3100,G6&lt;=3500),K6,0)</f>
        <v>1800</v>
      </c>
      <c r="S6" s="1">
        <f>IF(G6&lt;3100,K6,0)</f>
        <v>0</v>
      </c>
      <c r="U6">
        <f>IF(C6=1,1,0)</f>
        <v>0</v>
      </c>
      <c r="V6">
        <f>IF(C6=2,1,0)</f>
        <v>0</v>
      </c>
      <c r="W6">
        <f>IF(C6=3,1,0)</f>
        <v>0</v>
      </c>
      <c r="X6">
        <f>IF(C6=4,1,0)</f>
        <v>0</v>
      </c>
      <c r="Y6">
        <f>IF(C6=5,1,0)</f>
        <v>0</v>
      </c>
      <c r="Z6">
        <f>IF(C6=6,1,0)</f>
        <v>0</v>
      </c>
      <c r="AA6">
        <f>IF(C6=7,1,0)</f>
        <v>0</v>
      </c>
      <c r="AB6">
        <f>IF(C6=8,1,0)</f>
        <v>0</v>
      </c>
      <c r="AC6">
        <f>IF(C6=9,1,0)</f>
        <v>0</v>
      </c>
      <c r="AD6">
        <f>IF(C6=10,1,0)</f>
        <v>0</v>
      </c>
      <c r="AE6">
        <f>IF(C6="SILO",1,0)</f>
        <v>0</v>
      </c>
      <c r="AF6">
        <f>IF(C6="CB",1,0)</f>
        <v>0</v>
      </c>
    </row>
    <row r="7" spans="1:32" x14ac:dyDescent="0.35">
      <c r="A7" s="3">
        <v>45414</v>
      </c>
      <c r="B7" s="1" t="s">
        <v>248</v>
      </c>
      <c r="C7" s="1" t="s">
        <v>248</v>
      </c>
      <c r="D7" s="1">
        <v>1</v>
      </c>
      <c r="E7" s="1" t="s">
        <v>19</v>
      </c>
      <c r="F7" s="1">
        <v>1800</v>
      </c>
      <c r="G7" s="12">
        <v>3250</v>
      </c>
      <c r="H7" s="1" t="s">
        <v>46</v>
      </c>
      <c r="I7" s="1"/>
      <c r="J7" s="1"/>
      <c r="K7" s="31">
        <f t="shared" ref="K7:K36" si="1">F7-J7</f>
        <v>1800</v>
      </c>
      <c r="L7" s="1">
        <f t="shared" ca="1" si="0"/>
        <v>274</v>
      </c>
      <c r="M7" s="8">
        <f t="shared" ref="M7:M36" si="2">IF(E7="T",G7,0)</f>
        <v>3250</v>
      </c>
      <c r="N7" s="8">
        <f t="shared" ref="N7:N36" si="3">IF(E7="T",K7,0)</f>
        <v>1800</v>
      </c>
      <c r="O7" s="8">
        <f t="shared" ref="O7:O36" si="4">IF(E7="B",G7,0)</f>
        <v>0</v>
      </c>
      <c r="P7" s="8">
        <f t="shared" ref="P7:P36" si="5">IF(E7="B",K7,0)</f>
        <v>0</v>
      </c>
      <c r="Q7" s="1">
        <f t="shared" ref="Q7:Q9" si="6">IF(G7&gt;3500,K7,0)</f>
        <v>0</v>
      </c>
      <c r="R7" s="1">
        <f t="shared" ref="R7:R9" si="7">IF(AND(G7&gt;=3100,G7&lt;=3500),K7,0)</f>
        <v>1800</v>
      </c>
      <c r="S7" s="1">
        <f t="shared" ref="S7:S9" si="8">IF(G7&lt;3100,K7,0)</f>
        <v>0</v>
      </c>
      <c r="U7">
        <f t="shared" ref="U7:U36" si="9">IF(C7=1,1,0)</f>
        <v>0</v>
      </c>
      <c r="V7">
        <f t="shared" ref="V7:V36" si="10">IF(C7=2,1,0)</f>
        <v>0</v>
      </c>
      <c r="W7">
        <f t="shared" ref="W7:W36" si="11">IF(C7=3,1,0)</f>
        <v>0</v>
      </c>
      <c r="X7">
        <f t="shared" ref="X7:X36" si="12">IF(C7=4,1,0)</f>
        <v>0</v>
      </c>
      <c r="Y7">
        <f t="shared" ref="Y7:Y36" si="13">IF(C7=5,1,0)</f>
        <v>0</v>
      </c>
      <c r="Z7">
        <f t="shared" ref="Z7:Z36" si="14">IF(C7=6,1,0)</f>
        <v>0</v>
      </c>
      <c r="AA7">
        <f t="shared" ref="AA7:AA36" si="15">IF(C7=7,1,0)</f>
        <v>0</v>
      </c>
      <c r="AB7">
        <f t="shared" ref="AB7:AB36" si="16">IF(C7=8,1,0)</f>
        <v>0</v>
      </c>
      <c r="AC7">
        <f t="shared" ref="AC7:AC36" si="17">IF(C7=9,1,0)</f>
        <v>0</v>
      </c>
      <c r="AD7">
        <f t="shared" ref="AD7:AD36" si="18">IF(C7=10,1,0)</f>
        <v>0</v>
      </c>
      <c r="AE7">
        <f t="shared" ref="AE7:AE36" si="19">IF(C7="SILO",1,0)</f>
        <v>0</v>
      </c>
      <c r="AF7">
        <f t="shared" ref="AF7:AF36" si="20">IF(C7="CB",1,0)</f>
        <v>0</v>
      </c>
    </row>
    <row r="8" spans="1:32" x14ac:dyDescent="0.35">
      <c r="A8" s="3">
        <v>45415</v>
      </c>
      <c r="B8" s="1" t="s">
        <v>248</v>
      </c>
      <c r="C8" s="1" t="s">
        <v>248</v>
      </c>
      <c r="D8" s="1">
        <v>1</v>
      </c>
      <c r="E8" s="1" t="s">
        <v>19</v>
      </c>
      <c r="F8" s="1">
        <v>1800</v>
      </c>
      <c r="G8" s="12">
        <v>3250</v>
      </c>
      <c r="H8" s="1" t="s">
        <v>46</v>
      </c>
      <c r="I8" s="1"/>
      <c r="J8" s="1"/>
      <c r="K8" s="31">
        <f t="shared" si="1"/>
        <v>1800</v>
      </c>
      <c r="L8" s="1">
        <f t="shared" ca="1" si="0"/>
        <v>273</v>
      </c>
      <c r="M8" s="8">
        <f t="shared" si="2"/>
        <v>3250</v>
      </c>
      <c r="N8" s="8">
        <f t="shared" si="3"/>
        <v>1800</v>
      </c>
      <c r="O8" s="8">
        <f t="shared" si="4"/>
        <v>0</v>
      </c>
      <c r="P8" s="8">
        <f t="shared" si="5"/>
        <v>0</v>
      </c>
      <c r="Q8" s="1">
        <f t="shared" si="6"/>
        <v>0</v>
      </c>
      <c r="R8" s="1">
        <f t="shared" si="7"/>
        <v>1800</v>
      </c>
      <c r="S8" s="1">
        <f t="shared" si="8"/>
        <v>0</v>
      </c>
      <c r="U8">
        <f t="shared" si="9"/>
        <v>0</v>
      </c>
      <c r="V8">
        <f t="shared" si="10"/>
        <v>0</v>
      </c>
      <c r="W8">
        <f t="shared" si="11"/>
        <v>0</v>
      </c>
      <c r="X8">
        <f t="shared" si="12"/>
        <v>0</v>
      </c>
      <c r="Y8">
        <f t="shared" si="13"/>
        <v>0</v>
      </c>
      <c r="Z8">
        <f t="shared" si="14"/>
        <v>0</v>
      </c>
      <c r="AA8">
        <f t="shared" si="15"/>
        <v>0</v>
      </c>
      <c r="AB8">
        <f t="shared" si="16"/>
        <v>0</v>
      </c>
      <c r="AC8">
        <f t="shared" si="17"/>
        <v>0</v>
      </c>
      <c r="AD8">
        <f t="shared" si="18"/>
        <v>0</v>
      </c>
      <c r="AE8">
        <f t="shared" si="19"/>
        <v>0</v>
      </c>
      <c r="AF8">
        <f t="shared" si="20"/>
        <v>0</v>
      </c>
    </row>
    <row r="9" spans="1:32" x14ac:dyDescent="0.35">
      <c r="A9" s="3">
        <v>45416</v>
      </c>
      <c r="B9" s="1" t="s">
        <v>248</v>
      </c>
      <c r="C9" s="1" t="s">
        <v>248</v>
      </c>
      <c r="D9" s="1">
        <v>1</v>
      </c>
      <c r="E9" s="1" t="s">
        <v>19</v>
      </c>
      <c r="F9" s="1">
        <v>1800</v>
      </c>
      <c r="G9" s="12">
        <v>3250</v>
      </c>
      <c r="H9" s="1" t="s">
        <v>46</v>
      </c>
      <c r="I9" s="14">
        <v>45394</v>
      </c>
      <c r="J9" s="1">
        <v>1500</v>
      </c>
      <c r="K9" s="31">
        <f t="shared" si="1"/>
        <v>300</v>
      </c>
      <c r="L9" s="1">
        <f t="shared" ca="1" si="0"/>
        <v>272</v>
      </c>
      <c r="M9" s="8">
        <f t="shared" si="2"/>
        <v>3250</v>
      </c>
      <c r="N9" s="8">
        <f t="shared" si="3"/>
        <v>300</v>
      </c>
      <c r="O9" s="8">
        <f t="shared" si="4"/>
        <v>0</v>
      </c>
      <c r="P9" s="8">
        <f t="shared" si="5"/>
        <v>0</v>
      </c>
      <c r="Q9" s="1">
        <f t="shared" si="6"/>
        <v>0</v>
      </c>
      <c r="R9" s="1">
        <f t="shared" si="7"/>
        <v>300</v>
      </c>
      <c r="S9" s="1">
        <f t="shared" si="8"/>
        <v>0</v>
      </c>
      <c r="U9">
        <f t="shared" si="9"/>
        <v>0</v>
      </c>
      <c r="V9">
        <f t="shared" si="10"/>
        <v>0</v>
      </c>
      <c r="W9">
        <f t="shared" si="11"/>
        <v>0</v>
      </c>
      <c r="X9">
        <f t="shared" si="12"/>
        <v>0</v>
      </c>
      <c r="Y9">
        <f t="shared" si="13"/>
        <v>0</v>
      </c>
      <c r="Z9">
        <f t="shared" si="14"/>
        <v>0</v>
      </c>
      <c r="AA9">
        <f t="shared" si="15"/>
        <v>0</v>
      </c>
      <c r="AB9">
        <f t="shared" si="16"/>
        <v>0</v>
      </c>
      <c r="AC9">
        <f t="shared" si="17"/>
        <v>0</v>
      </c>
      <c r="AD9">
        <f t="shared" si="18"/>
        <v>0</v>
      </c>
      <c r="AE9">
        <f t="shared" si="19"/>
        <v>0</v>
      </c>
      <c r="AF9">
        <f t="shared" si="20"/>
        <v>0</v>
      </c>
    </row>
    <row r="10" spans="1:32" x14ac:dyDescent="0.35">
      <c r="A10" s="3">
        <v>45417</v>
      </c>
      <c r="B10" s="1" t="s">
        <v>248</v>
      </c>
      <c r="C10" s="1" t="s">
        <v>248</v>
      </c>
      <c r="D10" s="1">
        <v>1</v>
      </c>
      <c r="E10" s="1" t="s">
        <v>19</v>
      </c>
      <c r="F10" s="1">
        <v>1800</v>
      </c>
      <c r="G10" s="12">
        <v>3250</v>
      </c>
      <c r="H10" s="1" t="s">
        <v>46</v>
      </c>
      <c r="I10" s="3">
        <v>45395</v>
      </c>
      <c r="J10" s="1">
        <v>1500</v>
      </c>
      <c r="K10" s="31">
        <f t="shared" si="1"/>
        <v>300</v>
      </c>
      <c r="L10" s="1">
        <f t="shared" ca="1" si="0"/>
        <v>271</v>
      </c>
      <c r="M10" s="8">
        <f t="shared" si="2"/>
        <v>3250</v>
      </c>
      <c r="N10" s="8">
        <f t="shared" si="3"/>
        <v>300</v>
      </c>
      <c r="O10" s="8">
        <f t="shared" si="4"/>
        <v>0</v>
      </c>
      <c r="P10" s="8">
        <f t="shared" si="5"/>
        <v>0</v>
      </c>
      <c r="Q10" s="1">
        <f t="shared" ref="Q10:Q36" si="21">IF(G10&gt;3500,K10,0)</f>
        <v>0</v>
      </c>
      <c r="R10" s="1">
        <f t="shared" ref="R10:R36" si="22">IF(AND(G10&gt;=3100,G10&lt;=3500),K10,0)</f>
        <v>300</v>
      </c>
      <c r="S10" s="1">
        <f t="shared" ref="S10:S36" si="23">IF(G10&lt;3100,K10,0)</f>
        <v>0</v>
      </c>
      <c r="U10">
        <f t="shared" si="9"/>
        <v>0</v>
      </c>
      <c r="V10">
        <f t="shared" si="10"/>
        <v>0</v>
      </c>
      <c r="W10">
        <f t="shared" si="11"/>
        <v>0</v>
      </c>
      <c r="X10">
        <f t="shared" si="12"/>
        <v>0</v>
      </c>
      <c r="Y10">
        <f t="shared" si="13"/>
        <v>0</v>
      </c>
      <c r="Z10">
        <f t="shared" si="14"/>
        <v>0</v>
      </c>
      <c r="AA10">
        <f t="shared" si="15"/>
        <v>0</v>
      </c>
      <c r="AB10">
        <f t="shared" si="16"/>
        <v>0</v>
      </c>
      <c r="AC10">
        <f t="shared" si="17"/>
        <v>0</v>
      </c>
      <c r="AD10">
        <f t="shared" si="18"/>
        <v>0</v>
      </c>
      <c r="AE10">
        <f t="shared" si="19"/>
        <v>0</v>
      </c>
      <c r="AF10">
        <f t="shared" si="20"/>
        <v>0</v>
      </c>
    </row>
    <row r="11" spans="1:32" x14ac:dyDescent="0.35">
      <c r="A11" s="3">
        <v>45418</v>
      </c>
      <c r="B11" s="1" t="s">
        <v>248</v>
      </c>
      <c r="C11" s="1" t="s">
        <v>248</v>
      </c>
      <c r="D11" s="1">
        <v>1</v>
      </c>
      <c r="E11" s="1" t="s">
        <v>19</v>
      </c>
      <c r="F11" s="1">
        <v>1800</v>
      </c>
      <c r="G11" s="12">
        <v>3250</v>
      </c>
      <c r="H11" s="1" t="s">
        <v>46</v>
      </c>
      <c r="I11" s="14">
        <v>45396</v>
      </c>
      <c r="J11" s="1">
        <v>1500</v>
      </c>
      <c r="K11" s="31">
        <f t="shared" si="1"/>
        <v>300</v>
      </c>
      <c r="L11" s="1">
        <f t="shared" ca="1" si="0"/>
        <v>270</v>
      </c>
      <c r="M11" s="8">
        <f t="shared" si="2"/>
        <v>3250</v>
      </c>
      <c r="N11" s="8">
        <f t="shared" si="3"/>
        <v>300</v>
      </c>
      <c r="O11" s="8">
        <f t="shared" si="4"/>
        <v>0</v>
      </c>
      <c r="P11" s="8">
        <f t="shared" si="5"/>
        <v>0</v>
      </c>
      <c r="Q11" s="1">
        <f t="shared" si="21"/>
        <v>0</v>
      </c>
      <c r="R11" s="1">
        <f t="shared" si="22"/>
        <v>300</v>
      </c>
      <c r="S11" s="1">
        <f t="shared" si="23"/>
        <v>0</v>
      </c>
      <c r="U11">
        <f t="shared" si="9"/>
        <v>0</v>
      </c>
      <c r="V11">
        <f t="shared" si="10"/>
        <v>0</v>
      </c>
      <c r="W11">
        <f t="shared" si="11"/>
        <v>0</v>
      </c>
      <c r="X11">
        <f t="shared" si="12"/>
        <v>0</v>
      </c>
      <c r="Y11">
        <f t="shared" si="13"/>
        <v>0</v>
      </c>
      <c r="Z11">
        <f t="shared" si="14"/>
        <v>0</v>
      </c>
      <c r="AA11">
        <f t="shared" si="15"/>
        <v>0</v>
      </c>
      <c r="AB11">
        <f t="shared" si="16"/>
        <v>0</v>
      </c>
      <c r="AC11">
        <f t="shared" si="17"/>
        <v>0</v>
      </c>
      <c r="AD11">
        <f t="shared" si="18"/>
        <v>0</v>
      </c>
      <c r="AE11">
        <f t="shared" si="19"/>
        <v>0</v>
      </c>
      <c r="AF11">
        <f t="shared" si="20"/>
        <v>0</v>
      </c>
    </row>
    <row r="12" spans="1:32" x14ac:dyDescent="0.35">
      <c r="A12" s="3">
        <v>45419</v>
      </c>
      <c r="B12" s="1" t="s">
        <v>248</v>
      </c>
      <c r="C12" s="1" t="s">
        <v>248</v>
      </c>
      <c r="D12" s="1">
        <v>1</v>
      </c>
      <c r="E12" s="1" t="s">
        <v>19</v>
      </c>
      <c r="F12" s="1">
        <v>1800</v>
      </c>
      <c r="G12" s="12">
        <v>3250</v>
      </c>
      <c r="H12" s="1" t="s">
        <v>46</v>
      </c>
      <c r="I12" s="3">
        <v>45397</v>
      </c>
      <c r="J12" s="1">
        <v>1500</v>
      </c>
      <c r="K12" s="31">
        <f t="shared" si="1"/>
        <v>300</v>
      </c>
      <c r="L12" s="1">
        <f t="shared" ca="1" si="0"/>
        <v>269</v>
      </c>
      <c r="M12" s="8">
        <f t="shared" si="2"/>
        <v>3250</v>
      </c>
      <c r="N12" s="8">
        <f t="shared" si="3"/>
        <v>300</v>
      </c>
      <c r="O12" s="8">
        <f t="shared" si="4"/>
        <v>0</v>
      </c>
      <c r="P12" s="8">
        <f t="shared" si="5"/>
        <v>0</v>
      </c>
      <c r="Q12" s="1">
        <f t="shared" si="21"/>
        <v>0</v>
      </c>
      <c r="R12" s="1">
        <f t="shared" si="22"/>
        <v>300</v>
      </c>
      <c r="S12" s="1">
        <f t="shared" si="23"/>
        <v>0</v>
      </c>
      <c r="U12">
        <f t="shared" si="9"/>
        <v>0</v>
      </c>
      <c r="V12">
        <f t="shared" si="10"/>
        <v>0</v>
      </c>
      <c r="W12">
        <f t="shared" si="11"/>
        <v>0</v>
      </c>
      <c r="X12">
        <f t="shared" si="12"/>
        <v>0</v>
      </c>
      <c r="Y12">
        <f t="shared" si="13"/>
        <v>0</v>
      </c>
      <c r="Z12">
        <f t="shared" si="14"/>
        <v>0</v>
      </c>
      <c r="AA12">
        <f t="shared" si="15"/>
        <v>0</v>
      </c>
      <c r="AB12">
        <f t="shared" si="16"/>
        <v>0</v>
      </c>
      <c r="AC12">
        <f t="shared" si="17"/>
        <v>0</v>
      </c>
      <c r="AD12">
        <f t="shared" si="18"/>
        <v>0</v>
      </c>
      <c r="AE12">
        <f t="shared" si="19"/>
        <v>0</v>
      </c>
      <c r="AF12">
        <f t="shared" si="20"/>
        <v>0</v>
      </c>
    </row>
    <row r="13" spans="1:32" x14ac:dyDescent="0.35">
      <c r="A13" s="3">
        <v>45420</v>
      </c>
      <c r="B13" s="1" t="s">
        <v>248</v>
      </c>
      <c r="C13" s="1" t="s">
        <v>248</v>
      </c>
      <c r="D13" s="1">
        <v>1</v>
      </c>
      <c r="E13" s="1" t="s">
        <v>19</v>
      </c>
      <c r="F13" s="1">
        <v>1800</v>
      </c>
      <c r="G13" s="12">
        <v>3250</v>
      </c>
      <c r="H13" s="1" t="s">
        <v>46</v>
      </c>
      <c r="I13" s="14">
        <v>45398</v>
      </c>
      <c r="J13" s="1">
        <v>1500</v>
      </c>
      <c r="K13" s="31">
        <f t="shared" si="1"/>
        <v>300</v>
      </c>
      <c r="L13" s="1">
        <f t="shared" ca="1" si="0"/>
        <v>268</v>
      </c>
      <c r="M13" s="8">
        <f t="shared" si="2"/>
        <v>3250</v>
      </c>
      <c r="N13" s="8">
        <f t="shared" si="3"/>
        <v>300</v>
      </c>
      <c r="O13" s="8">
        <f t="shared" si="4"/>
        <v>0</v>
      </c>
      <c r="P13" s="8">
        <f t="shared" si="5"/>
        <v>0</v>
      </c>
      <c r="Q13" s="1">
        <f t="shared" si="21"/>
        <v>0</v>
      </c>
      <c r="R13" s="1">
        <f t="shared" si="22"/>
        <v>300</v>
      </c>
      <c r="S13" s="1">
        <f t="shared" si="23"/>
        <v>0</v>
      </c>
      <c r="U13">
        <f t="shared" si="9"/>
        <v>0</v>
      </c>
      <c r="V13">
        <f t="shared" si="10"/>
        <v>0</v>
      </c>
      <c r="W13">
        <f t="shared" si="11"/>
        <v>0</v>
      </c>
      <c r="X13">
        <f t="shared" si="12"/>
        <v>0</v>
      </c>
      <c r="Y13">
        <f t="shared" si="13"/>
        <v>0</v>
      </c>
      <c r="Z13">
        <f t="shared" si="14"/>
        <v>0</v>
      </c>
      <c r="AA13">
        <f t="shared" si="15"/>
        <v>0</v>
      </c>
      <c r="AB13">
        <f t="shared" si="16"/>
        <v>0</v>
      </c>
      <c r="AC13">
        <f t="shared" si="17"/>
        <v>0</v>
      </c>
      <c r="AD13">
        <f t="shared" si="18"/>
        <v>0</v>
      </c>
      <c r="AE13">
        <f t="shared" si="19"/>
        <v>0</v>
      </c>
      <c r="AF13">
        <f t="shared" si="20"/>
        <v>0</v>
      </c>
    </row>
    <row r="14" spans="1:32" x14ac:dyDescent="0.35">
      <c r="A14" s="3">
        <v>45421</v>
      </c>
      <c r="B14" s="1" t="s">
        <v>248</v>
      </c>
      <c r="C14" s="1" t="s">
        <v>248</v>
      </c>
      <c r="D14" s="1">
        <v>1</v>
      </c>
      <c r="E14" s="1" t="s">
        <v>19</v>
      </c>
      <c r="F14" s="1">
        <v>1800</v>
      </c>
      <c r="G14" s="12">
        <v>3250</v>
      </c>
      <c r="H14" s="1" t="s">
        <v>46</v>
      </c>
      <c r="I14" s="3">
        <v>45399</v>
      </c>
      <c r="J14" s="1">
        <v>1500</v>
      </c>
      <c r="K14" s="31">
        <f t="shared" si="1"/>
        <v>300</v>
      </c>
      <c r="L14" s="1">
        <f t="shared" ca="1" si="0"/>
        <v>267</v>
      </c>
      <c r="M14" s="8">
        <f t="shared" si="2"/>
        <v>3250</v>
      </c>
      <c r="N14" s="8">
        <f t="shared" si="3"/>
        <v>300</v>
      </c>
      <c r="O14" s="8">
        <f t="shared" si="4"/>
        <v>0</v>
      </c>
      <c r="P14" s="8">
        <f t="shared" si="5"/>
        <v>0</v>
      </c>
      <c r="Q14" s="1">
        <f t="shared" si="21"/>
        <v>0</v>
      </c>
      <c r="R14" s="1">
        <f t="shared" si="22"/>
        <v>300</v>
      </c>
      <c r="S14" s="1">
        <f t="shared" si="23"/>
        <v>0</v>
      </c>
      <c r="U14">
        <f t="shared" si="9"/>
        <v>0</v>
      </c>
      <c r="V14">
        <f t="shared" si="10"/>
        <v>0</v>
      </c>
      <c r="W14">
        <f t="shared" si="11"/>
        <v>0</v>
      </c>
      <c r="X14">
        <f t="shared" si="12"/>
        <v>0</v>
      </c>
      <c r="Y14">
        <f t="shared" si="13"/>
        <v>0</v>
      </c>
      <c r="Z14">
        <f t="shared" si="14"/>
        <v>0</v>
      </c>
      <c r="AA14">
        <f t="shared" si="15"/>
        <v>0</v>
      </c>
      <c r="AB14">
        <f t="shared" si="16"/>
        <v>0</v>
      </c>
      <c r="AC14">
        <f t="shared" si="17"/>
        <v>0</v>
      </c>
      <c r="AD14">
        <f t="shared" si="18"/>
        <v>0</v>
      </c>
      <c r="AE14">
        <f t="shared" si="19"/>
        <v>0</v>
      </c>
      <c r="AF14">
        <f t="shared" si="20"/>
        <v>0</v>
      </c>
    </row>
    <row r="15" spans="1:32" x14ac:dyDescent="0.35">
      <c r="A15" s="3">
        <v>45422</v>
      </c>
      <c r="B15" s="1" t="s">
        <v>248</v>
      </c>
      <c r="C15" s="1" t="s">
        <v>248</v>
      </c>
      <c r="D15" s="1">
        <v>1</v>
      </c>
      <c r="E15" s="1" t="s">
        <v>19</v>
      </c>
      <c r="F15" s="1">
        <v>1800</v>
      </c>
      <c r="G15" s="12">
        <v>3250</v>
      </c>
      <c r="H15" s="1" t="s">
        <v>46</v>
      </c>
      <c r="I15" s="3"/>
      <c r="J15" s="1"/>
      <c r="K15" s="31">
        <f t="shared" si="1"/>
        <v>1800</v>
      </c>
      <c r="L15" s="1">
        <f t="shared" ca="1" si="0"/>
        <v>266</v>
      </c>
      <c r="M15" s="8">
        <f t="shared" si="2"/>
        <v>3250</v>
      </c>
      <c r="N15" s="8">
        <f t="shared" si="3"/>
        <v>1800</v>
      </c>
      <c r="O15" s="8">
        <f t="shared" si="4"/>
        <v>0</v>
      </c>
      <c r="P15" s="8">
        <f t="shared" si="5"/>
        <v>0</v>
      </c>
      <c r="Q15" s="1">
        <f t="shared" si="21"/>
        <v>0</v>
      </c>
      <c r="R15" s="1">
        <f t="shared" si="22"/>
        <v>1800</v>
      </c>
      <c r="S15" s="1">
        <f t="shared" si="23"/>
        <v>0</v>
      </c>
      <c r="U15">
        <f t="shared" si="9"/>
        <v>0</v>
      </c>
      <c r="V15">
        <f t="shared" si="10"/>
        <v>0</v>
      </c>
      <c r="W15">
        <f t="shared" si="11"/>
        <v>0</v>
      </c>
      <c r="X15">
        <f t="shared" si="12"/>
        <v>0</v>
      </c>
      <c r="Y15">
        <f t="shared" si="13"/>
        <v>0</v>
      </c>
      <c r="Z15">
        <f t="shared" si="14"/>
        <v>0</v>
      </c>
      <c r="AA15">
        <f t="shared" si="15"/>
        <v>0</v>
      </c>
      <c r="AB15">
        <f t="shared" si="16"/>
        <v>0</v>
      </c>
      <c r="AC15">
        <f t="shared" si="17"/>
        <v>0</v>
      </c>
      <c r="AD15">
        <f t="shared" si="18"/>
        <v>0</v>
      </c>
      <c r="AE15">
        <f t="shared" si="19"/>
        <v>0</v>
      </c>
      <c r="AF15">
        <f t="shared" si="20"/>
        <v>0</v>
      </c>
    </row>
    <row r="16" spans="1:32" x14ac:dyDescent="0.35">
      <c r="A16" s="3">
        <v>45423</v>
      </c>
      <c r="B16" s="1" t="s">
        <v>248</v>
      </c>
      <c r="C16" s="1" t="s">
        <v>248</v>
      </c>
      <c r="D16" s="1">
        <v>1</v>
      </c>
      <c r="E16" s="1" t="s">
        <v>19</v>
      </c>
      <c r="F16" s="1">
        <v>1800</v>
      </c>
      <c r="G16" s="12">
        <v>3250</v>
      </c>
      <c r="H16" s="1" t="s">
        <v>46</v>
      </c>
      <c r="I16" s="3"/>
      <c r="J16" s="1"/>
      <c r="K16" s="31">
        <f t="shared" si="1"/>
        <v>1800</v>
      </c>
      <c r="L16" s="1">
        <f t="shared" ca="1" si="0"/>
        <v>265</v>
      </c>
      <c r="M16" s="8">
        <f t="shared" si="2"/>
        <v>3250</v>
      </c>
      <c r="N16" s="8">
        <f t="shared" si="3"/>
        <v>1800</v>
      </c>
      <c r="O16" s="8">
        <f t="shared" si="4"/>
        <v>0</v>
      </c>
      <c r="P16" s="8">
        <f t="shared" si="5"/>
        <v>0</v>
      </c>
      <c r="Q16" s="1">
        <f t="shared" si="21"/>
        <v>0</v>
      </c>
      <c r="R16" s="1">
        <f t="shared" si="22"/>
        <v>1800</v>
      </c>
      <c r="S16" s="1">
        <f t="shared" si="23"/>
        <v>0</v>
      </c>
      <c r="U16">
        <f t="shared" si="9"/>
        <v>0</v>
      </c>
      <c r="V16">
        <f t="shared" si="10"/>
        <v>0</v>
      </c>
      <c r="W16">
        <f t="shared" si="11"/>
        <v>0</v>
      </c>
      <c r="X16">
        <f t="shared" si="12"/>
        <v>0</v>
      </c>
      <c r="Y16">
        <f t="shared" si="13"/>
        <v>0</v>
      </c>
      <c r="Z16">
        <f t="shared" si="14"/>
        <v>0</v>
      </c>
      <c r="AA16">
        <f t="shared" si="15"/>
        <v>0</v>
      </c>
      <c r="AB16">
        <f t="shared" si="16"/>
        <v>0</v>
      </c>
      <c r="AC16">
        <f t="shared" si="17"/>
        <v>0</v>
      </c>
      <c r="AD16">
        <f t="shared" si="18"/>
        <v>0</v>
      </c>
      <c r="AE16">
        <f t="shared" si="19"/>
        <v>0</v>
      </c>
      <c r="AF16">
        <f t="shared" si="20"/>
        <v>0</v>
      </c>
    </row>
    <row r="17" spans="1:32" x14ac:dyDescent="0.35">
      <c r="A17" s="3">
        <v>45424</v>
      </c>
      <c r="B17" s="1" t="s">
        <v>248</v>
      </c>
      <c r="C17" s="1" t="s">
        <v>248</v>
      </c>
      <c r="D17" s="1">
        <v>1</v>
      </c>
      <c r="E17" s="1" t="s">
        <v>19</v>
      </c>
      <c r="F17" s="1">
        <v>1800</v>
      </c>
      <c r="G17" s="12">
        <v>3250</v>
      </c>
      <c r="H17" s="1" t="s">
        <v>46</v>
      </c>
      <c r="I17" s="1"/>
      <c r="J17" s="1"/>
      <c r="K17" s="31">
        <f t="shared" si="1"/>
        <v>1800</v>
      </c>
      <c r="L17" s="1">
        <f ca="1">IF(F17=0,0,(TODAY()-A17))</f>
        <v>264</v>
      </c>
      <c r="M17" s="8">
        <f t="shared" si="2"/>
        <v>3250</v>
      </c>
      <c r="N17" s="8">
        <f t="shared" si="3"/>
        <v>1800</v>
      </c>
      <c r="O17" s="8">
        <f t="shared" si="4"/>
        <v>0</v>
      </c>
      <c r="P17" s="8">
        <f t="shared" si="5"/>
        <v>0</v>
      </c>
      <c r="Q17" s="1">
        <f t="shared" si="21"/>
        <v>0</v>
      </c>
      <c r="R17" s="1">
        <f t="shared" si="22"/>
        <v>1800</v>
      </c>
      <c r="S17" s="1">
        <f t="shared" si="23"/>
        <v>0</v>
      </c>
      <c r="U17">
        <f t="shared" si="9"/>
        <v>0</v>
      </c>
      <c r="V17">
        <f t="shared" si="10"/>
        <v>0</v>
      </c>
      <c r="W17">
        <f t="shared" si="11"/>
        <v>0</v>
      </c>
      <c r="X17">
        <f t="shared" si="12"/>
        <v>0</v>
      </c>
      <c r="Y17">
        <f t="shared" si="13"/>
        <v>0</v>
      </c>
      <c r="Z17">
        <f t="shared" si="14"/>
        <v>0</v>
      </c>
      <c r="AA17">
        <f t="shared" si="15"/>
        <v>0</v>
      </c>
      <c r="AB17">
        <f t="shared" si="16"/>
        <v>0</v>
      </c>
      <c r="AC17">
        <f t="shared" si="17"/>
        <v>0</v>
      </c>
      <c r="AD17">
        <f t="shared" si="18"/>
        <v>0</v>
      </c>
      <c r="AE17">
        <f t="shared" si="19"/>
        <v>0</v>
      </c>
      <c r="AF17">
        <f t="shared" si="20"/>
        <v>0</v>
      </c>
    </row>
    <row r="18" spans="1:32" x14ac:dyDescent="0.35">
      <c r="A18" s="3">
        <v>45425</v>
      </c>
      <c r="B18" s="1" t="s">
        <v>248</v>
      </c>
      <c r="C18" s="1" t="s">
        <v>248</v>
      </c>
      <c r="D18" s="1">
        <v>1</v>
      </c>
      <c r="E18" s="1" t="s">
        <v>19</v>
      </c>
      <c r="F18" s="1">
        <v>1800</v>
      </c>
      <c r="G18" s="12">
        <v>3250</v>
      </c>
      <c r="H18" s="1" t="s">
        <v>46</v>
      </c>
      <c r="I18" s="3"/>
      <c r="J18" s="1"/>
      <c r="K18" s="31">
        <f t="shared" ref="K18:K23" si="24">F18-J18</f>
        <v>1800</v>
      </c>
      <c r="L18" s="1">
        <f t="shared" ref="L18:L21" ca="1" si="25">IF(F18=0,0,(TODAY()-A18))</f>
        <v>263</v>
      </c>
      <c r="M18" s="8">
        <f t="shared" ref="M18:M23" si="26">IF(E18="T",G18,0)</f>
        <v>3250</v>
      </c>
      <c r="N18" s="8">
        <f t="shared" ref="N18:N23" si="27">IF(E18="T",K18,0)</f>
        <v>1800</v>
      </c>
      <c r="O18" s="8">
        <f t="shared" ref="O18:O23" si="28">IF(E18="B",G18,0)</f>
        <v>0</v>
      </c>
      <c r="P18" s="8">
        <f t="shared" ref="P18:P23" si="29">IF(E18="B",K18,0)</f>
        <v>0</v>
      </c>
      <c r="Q18" s="1">
        <f t="shared" si="21"/>
        <v>0</v>
      </c>
      <c r="R18" s="1">
        <f t="shared" si="22"/>
        <v>1800</v>
      </c>
      <c r="S18" s="1">
        <f t="shared" si="23"/>
        <v>0</v>
      </c>
      <c r="U18">
        <f t="shared" ref="U18:U23" si="30">IF(C18=1,1,0)</f>
        <v>0</v>
      </c>
      <c r="V18">
        <f t="shared" ref="V18:V23" si="31">IF(C18=2,1,0)</f>
        <v>0</v>
      </c>
      <c r="W18">
        <f t="shared" ref="W18:W23" si="32">IF(C18=3,1,0)</f>
        <v>0</v>
      </c>
      <c r="X18">
        <f t="shared" ref="X18:X23" si="33">IF(C18=4,1,0)</f>
        <v>0</v>
      </c>
      <c r="Y18">
        <f t="shared" ref="Y18:Y23" si="34">IF(C18=5,1,0)</f>
        <v>0</v>
      </c>
      <c r="Z18">
        <f t="shared" ref="Z18:Z23" si="35">IF(C18=6,1,0)</f>
        <v>0</v>
      </c>
      <c r="AA18">
        <f t="shared" ref="AA18:AA23" si="36">IF(C18=7,1,0)</f>
        <v>0</v>
      </c>
      <c r="AB18">
        <f t="shared" ref="AB18:AB23" si="37">IF(C18=8,1,0)</f>
        <v>0</v>
      </c>
      <c r="AC18">
        <f t="shared" ref="AC18:AC23" si="38">IF(C18=9,1,0)</f>
        <v>0</v>
      </c>
      <c r="AD18">
        <f t="shared" ref="AD18:AD23" si="39">IF(C18=10,1,0)</f>
        <v>0</v>
      </c>
      <c r="AE18">
        <f t="shared" ref="AE18:AE23" si="40">IF(C18="SILO",1,0)</f>
        <v>0</v>
      </c>
      <c r="AF18">
        <f t="shared" ref="AF18:AF23" si="41">IF(C18="CB",1,0)</f>
        <v>0</v>
      </c>
    </row>
    <row r="19" spans="1:32" x14ac:dyDescent="0.35">
      <c r="A19" s="3">
        <v>45426</v>
      </c>
      <c r="B19" s="1" t="s">
        <v>248</v>
      </c>
      <c r="C19" s="1" t="s">
        <v>248</v>
      </c>
      <c r="D19" s="1">
        <v>1</v>
      </c>
      <c r="E19" s="1" t="s">
        <v>19</v>
      </c>
      <c r="F19" s="1">
        <v>1800</v>
      </c>
      <c r="G19" s="12">
        <v>3250</v>
      </c>
      <c r="H19" s="1" t="s">
        <v>46</v>
      </c>
      <c r="I19" s="3"/>
      <c r="J19" s="1"/>
      <c r="K19" s="31">
        <f t="shared" si="24"/>
        <v>1800</v>
      </c>
      <c r="L19" s="1">
        <f t="shared" ca="1" si="25"/>
        <v>262</v>
      </c>
      <c r="M19" s="8">
        <f t="shared" si="26"/>
        <v>3250</v>
      </c>
      <c r="N19" s="8">
        <f t="shared" si="27"/>
        <v>1800</v>
      </c>
      <c r="O19" s="8">
        <f t="shared" si="28"/>
        <v>0</v>
      </c>
      <c r="P19" s="8">
        <f t="shared" si="29"/>
        <v>0</v>
      </c>
      <c r="Q19" s="1">
        <f t="shared" si="21"/>
        <v>0</v>
      </c>
      <c r="R19" s="1">
        <f t="shared" si="22"/>
        <v>1800</v>
      </c>
      <c r="S19" s="1">
        <f t="shared" si="23"/>
        <v>0</v>
      </c>
      <c r="U19">
        <f t="shared" si="30"/>
        <v>0</v>
      </c>
      <c r="V19">
        <f t="shared" si="31"/>
        <v>0</v>
      </c>
      <c r="W19">
        <f t="shared" si="32"/>
        <v>0</v>
      </c>
      <c r="X19">
        <f t="shared" si="33"/>
        <v>0</v>
      </c>
      <c r="Y19">
        <f t="shared" si="34"/>
        <v>0</v>
      </c>
      <c r="Z19">
        <f t="shared" si="35"/>
        <v>0</v>
      </c>
      <c r="AA19">
        <f t="shared" si="36"/>
        <v>0</v>
      </c>
      <c r="AB19">
        <f t="shared" si="37"/>
        <v>0</v>
      </c>
      <c r="AC19">
        <f t="shared" si="38"/>
        <v>0</v>
      </c>
      <c r="AD19">
        <f t="shared" si="39"/>
        <v>0</v>
      </c>
      <c r="AE19">
        <f t="shared" si="40"/>
        <v>0</v>
      </c>
      <c r="AF19">
        <f t="shared" si="41"/>
        <v>0</v>
      </c>
    </row>
    <row r="20" spans="1:32" x14ac:dyDescent="0.35">
      <c r="A20" s="3">
        <v>45427</v>
      </c>
      <c r="B20" s="1" t="s">
        <v>248</v>
      </c>
      <c r="C20" s="1" t="s">
        <v>248</v>
      </c>
      <c r="D20" s="1">
        <v>1</v>
      </c>
      <c r="E20" s="1" t="s">
        <v>19</v>
      </c>
      <c r="F20" s="1">
        <v>1800</v>
      </c>
      <c r="G20" s="12">
        <v>3250</v>
      </c>
      <c r="H20" s="1" t="s">
        <v>46</v>
      </c>
      <c r="I20" s="3"/>
      <c r="J20" s="1"/>
      <c r="K20" s="31">
        <f t="shared" si="24"/>
        <v>1800</v>
      </c>
      <c r="L20" s="1">
        <f t="shared" ca="1" si="25"/>
        <v>261</v>
      </c>
      <c r="M20" s="8">
        <f t="shared" si="26"/>
        <v>3250</v>
      </c>
      <c r="N20" s="8">
        <f t="shared" si="27"/>
        <v>1800</v>
      </c>
      <c r="O20" s="8">
        <f t="shared" si="28"/>
        <v>0</v>
      </c>
      <c r="P20" s="8">
        <f t="shared" si="29"/>
        <v>0</v>
      </c>
      <c r="Q20" s="1">
        <f t="shared" si="21"/>
        <v>0</v>
      </c>
      <c r="R20" s="1">
        <f t="shared" si="22"/>
        <v>1800</v>
      </c>
      <c r="S20" s="1">
        <f t="shared" si="23"/>
        <v>0</v>
      </c>
      <c r="U20">
        <f t="shared" si="30"/>
        <v>0</v>
      </c>
      <c r="V20">
        <f t="shared" si="31"/>
        <v>0</v>
      </c>
      <c r="W20">
        <f t="shared" si="32"/>
        <v>0</v>
      </c>
      <c r="X20">
        <f t="shared" si="33"/>
        <v>0</v>
      </c>
      <c r="Y20">
        <f t="shared" si="34"/>
        <v>0</v>
      </c>
      <c r="Z20">
        <f t="shared" si="35"/>
        <v>0</v>
      </c>
      <c r="AA20">
        <f t="shared" si="36"/>
        <v>0</v>
      </c>
      <c r="AB20">
        <f t="shared" si="37"/>
        <v>0</v>
      </c>
      <c r="AC20">
        <f t="shared" si="38"/>
        <v>0</v>
      </c>
      <c r="AD20">
        <f t="shared" si="39"/>
        <v>0</v>
      </c>
      <c r="AE20">
        <f t="shared" si="40"/>
        <v>0</v>
      </c>
      <c r="AF20">
        <f t="shared" si="41"/>
        <v>0</v>
      </c>
    </row>
    <row r="21" spans="1:32" x14ac:dyDescent="0.35">
      <c r="A21" s="3">
        <v>45428</v>
      </c>
      <c r="B21" s="1" t="s">
        <v>248</v>
      </c>
      <c r="C21" s="1" t="s">
        <v>248</v>
      </c>
      <c r="D21" s="1">
        <v>1</v>
      </c>
      <c r="E21" s="1" t="s">
        <v>19</v>
      </c>
      <c r="F21" s="1">
        <v>1800</v>
      </c>
      <c r="G21" s="12">
        <v>3250</v>
      </c>
      <c r="H21" s="1" t="s">
        <v>46</v>
      </c>
      <c r="I21" s="3"/>
      <c r="J21" s="1"/>
      <c r="K21" s="31">
        <f t="shared" si="24"/>
        <v>1800</v>
      </c>
      <c r="L21" s="1">
        <f t="shared" ca="1" si="25"/>
        <v>260</v>
      </c>
      <c r="M21" s="8">
        <f t="shared" si="26"/>
        <v>3250</v>
      </c>
      <c r="N21" s="8">
        <f t="shared" si="27"/>
        <v>1800</v>
      </c>
      <c r="O21" s="8">
        <f t="shared" si="28"/>
        <v>0</v>
      </c>
      <c r="P21" s="8">
        <f t="shared" si="29"/>
        <v>0</v>
      </c>
      <c r="Q21" s="1">
        <f t="shared" si="21"/>
        <v>0</v>
      </c>
      <c r="R21" s="1">
        <f t="shared" si="22"/>
        <v>1800</v>
      </c>
      <c r="S21" s="1">
        <f t="shared" si="23"/>
        <v>0</v>
      </c>
      <c r="U21">
        <f t="shared" si="30"/>
        <v>0</v>
      </c>
      <c r="V21">
        <f t="shared" si="31"/>
        <v>0</v>
      </c>
      <c r="W21">
        <f t="shared" si="32"/>
        <v>0</v>
      </c>
      <c r="X21">
        <f t="shared" si="33"/>
        <v>0</v>
      </c>
      <c r="Y21">
        <f t="shared" si="34"/>
        <v>0</v>
      </c>
      <c r="Z21">
        <f t="shared" si="35"/>
        <v>0</v>
      </c>
      <c r="AA21">
        <f t="shared" si="36"/>
        <v>0</v>
      </c>
      <c r="AB21">
        <f t="shared" si="37"/>
        <v>0</v>
      </c>
      <c r="AC21">
        <f t="shared" si="38"/>
        <v>0</v>
      </c>
      <c r="AD21">
        <f t="shared" si="39"/>
        <v>0</v>
      </c>
      <c r="AE21">
        <f t="shared" si="40"/>
        <v>0</v>
      </c>
      <c r="AF21">
        <f t="shared" si="41"/>
        <v>0</v>
      </c>
    </row>
    <row r="22" spans="1:32" x14ac:dyDescent="0.35">
      <c r="A22" s="3">
        <v>45429</v>
      </c>
      <c r="B22" s="1" t="s">
        <v>248</v>
      </c>
      <c r="C22" s="1" t="s">
        <v>248</v>
      </c>
      <c r="D22" s="1">
        <v>1</v>
      </c>
      <c r="E22" s="1" t="s">
        <v>19</v>
      </c>
      <c r="F22" s="1">
        <v>1800</v>
      </c>
      <c r="G22" s="12">
        <v>3250</v>
      </c>
      <c r="H22" s="1" t="s">
        <v>46</v>
      </c>
      <c r="I22" s="1"/>
      <c r="J22" s="1"/>
      <c r="K22" s="31">
        <f t="shared" si="24"/>
        <v>1800</v>
      </c>
      <c r="L22" s="1">
        <f ca="1">IF(F22=0,0,(TODAY()-A22))</f>
        <v>259</v>
      </c>
      <c r="M22" s="8">
        <f t="shared" si="26"/>
        <v>3250</v>
      </c>
      <c r="N22" s="8">
        <f t="shared" si="27"/>
        <v>1800</v>
      </c>
      <c r="O22" s="8">
        <f t="shared" si="28"/>
        <v>0</v>
      </c>
      <c r="P22" s="8">
        <f t="shared" si="29"/>
        <v>0</v>
      </c>
      <c r="Q22" s="1">
        <f t="shared" si="21"/>
        <v>0</v>
      </c>
      <c r="R22" s="1">
        <f t="shared" si="22"/>
        <v>1800</v>
      </c>
      <c r="S22" s="1">
        <f t="shared" si="23"/>
        <v>0</v>
      </c>
      <c r="U22">
        <f t="shared" si="30"/>
        <v>0</v>
      </c>
      <c r="V22">
        <f t="shared" si="31"/>
        <v>0</v>
      </c>
      <c r="W22">
        <f t="shared" si="32"/>
        <v>0</v>
      </c>
      <c r="X22">
        <f t="shared" si="33"/>
        <v>0</v>
      </c>
      <c r="Y22">
        <f t="shared" si="34"/>
        <v>0</v>
      </c>
      <c r="Z22">
        <f t="shared" si="35"/>
        <v>0</v>
      </c>
      <c r="AA22">
        <f t="shared" si="36"/>
        <v>0</v>
      </c>
      <c r="AB22">
        <f t="shared" si="37"/>
        <v>0</v>
      </c>
      <c r="AC22">
        <f t="shared" si="38"/>
        <v>0</v>
      </c>
      <c r="AD22">
        <f t="shared" si="39"/>
        <v>0</v>
      </c>
      <c r="AE22">
        <f t="shared" si="40"/>
        <v>0</v>
      </c>
      <c r="AF22">
        <f t="shared" si="41"/>
        <v>0</v>
      </c>
    </row>
    <row r="23" spans="1:32" x14ac:dyDescent="0.35">
      <c r="A23" s="3">
        <v>45430</v>
      </c>
      <c r="B23" s="1" t="s">
        <v>248</v>
      </c>
      <c r="C23" s="1" t="s">
        <v>248</v>
      </c>
      <c r="D23" s="1">
        <v>1</v>
      </c>
      <c r="E23" s="1" t="s">
        <v>19</v>
      </c>
      <c r="F23" s="1"/>
      <c r="G23" s="5"/>
      <c r="H23" s="5"/>
      <c r="I23" s="1"/>
      <c r="J23" s="1"/>
      <c r="K23" s="31">
        <f t="shared" si="24"/>
        <v>0</v>
      </c>
      <c r="L23" s="1">
        <f ca="1">IF(F23=0,0,(TODAY()-A23))</f>
        <v>0</v>
      </c>
      <c r="M23" s="8">
        <f t="shared" si="26"/>
        <v>0</v>
      </c>
      <c r="N23" s="8">
        <f t="shared" si="27"/>
        <v>0</v>
      </c>
      <c r="O23" s="8">
        <f t="shared" si="28"/>
        <v>0</v>
      </c>
      <c r="P23" s="8">
        <f t="shared" si="29"/>
        <v>0</v>
      </c>
      <c r="Q23" s="1">
        <f t="shared" si="21"/>
        <v>0</v>
      </c>
      <c r="R23" s="1">
        <f t="shared" si="22"/>
        <v>0</v>
      </c>
      <c r="S23" s="1">
        <f t="shared" si="23"/>
        <v>0</v>
      </c>
      <c r="U23">
        <f t="shared" si="30"/>
        <v>0</v>
      </c>
      <c r="V23">
        <f t="shared" si="31"/>
        <v>0</v>
      </c>
      <c r="W23">
        <f t="shared" si="32"/>
        <v>0</v>
      </c>
      <c r="X23">
        <f t="shared" si="33"/>
        <v>0</v>
      </c>
      <c r="Y23">
        <f t="shared" si="34"/>
        <v>0</v>
      </c>
      <c r="Z23">
        <f t="shared" si="35"/>
        <v>0</v>
      </c>
      <c r="AA23">
        <f t="shared" si="36"/>
        <v>0</v>
      </c>
      <c r="AB23">
        <f t="shared" si="37"/>
        <v>0</v>
      </c>
      <c r="AC23">
        <f t="shared" si="38"/>
        <v>0</v>
      </c>
      <c r="AD23">
        <f t="shared" si="39"/>
        <v>0</v>
      </c>
      <c r="AE23">
        <f t="shared" si="40"/>
        <v>0</v>
      </c>
      <c r="AF23">
        <f t="shared" si="41"/>
        <v>0</v>
      </c>
    </row>
    <row r="24" spans="1:32" x14ac:dyDescent="0.35">
      <c r="A24" s="3">
        <v>45431</v>
      </c>
      <c r="B24" s="1" t="s">
        <v>248</v>
      </c>
      <c r="C24" s="1" t="s">
        <v>248</v>
      </c>
      <c r="D24" s="1">
        <v>1</v>
      </c>
      <c r="E24" s="1" t="s">
        <v>19</v>
      </c>
      <c r="F24" s="1"/>
      <c r="G24" s="5"/>
      <c r="H24" s="5"/>
      <c r="I24" s="3"/>
      <c r="J24" s="1"/>
      <c r="K24" s="31">
        <f t="shared" ref="K24:K31" si="42">F24-J24</f>
        <v>0</v>
      </c>
      <c r="L24" s="1">
        <f t="shared" ref="L24:L30" ca="1" si="43">IF(F24=0,0,(TODAY()-A24))</f>
        <v>0</v>
      </c>
      <c r="M24" s="8">
        <f t="shared" ref="M24:M31" si="44">IF(E24="T",G24,0)</f>
        <v>0</v>
      </c>
      <c r="N24" s="8">
        <f t="shared" ref="N24:N31" si="45">IF(E24="T",K24,0)</f>
        <v>0</v>
      </c>
      <c r="O24" s="8">
        <f t="shared" ref="O24:O31" si="46">IF(E24="B",G24,0)</f>
        <v>0</v>
      </c>
      <c r="P24" s="8">
        <f t="shared" ref="P24:P31" si="47">IF(E24="B",K24,0)</f>
        <v>0</v>
      </c>
      <c r="Q24" s="1">
        <f t="shared" si="21"/>
        <v>0</v>
      </c>
      <c r="R24" s="1">
        <f t="shared" si="22"/>
        <v>0</v>
      </c>
      <c r="S24" s="1">
        <f t="shared" si="23"/>
        <v>0</v>
      </c>
      <c r="U24">
        <f t="shared" ref="U24:U31" si="48">IF(C24=1,1,0)</f>
        <v>0</v>
      </c>
      <c r="V24">
        <f t="shared" ref="V24:V31" si="49">IF(C24=2,1,0)</f>
        <v>0</v>
      </c>
      <c r="W24">
        <f t="shared" ref="W24:W31" si="50">IF(C24=3,1,0)</f>
        <v>0</v>
      </c>
      <c r="X24">
        <f t="shared" ref="X24:X31" si="51">IF(C24=4,1,0)</f>
        <v>0</v>
      </c>
      <c r="Y24">
        <f t="shared" ref="Y24:Y31" si="52">IF(C24=5,1,0)</f>
        <v>0</v>
      </c>
      <c r="Z24">
        <f t="shared" ref="Z24:Z31" si="53">IF(C24=6,1,0)</f>
        <v>0</v>
      </c>
      <c r="AA24">
        <f t="shared" ref="AA24:AA31" si="54">IF(C24=7,1,0)</f>
        <v>0</v>
      </c>
      <c r="AB24">
        <f t="shared" ref="AB24:AB31" si="55">IF(C24=8,1,0)</f>
        <v>0</v>
      </c>
      <c r="AC24">
        <f t="shared" ref="AC24:AC31" si="56">IF(C24=9,1,0)</f>
        <v>0</v>
      </c>
      <c r="AD24">
        <f t="shared" ref="AD24:AD31" si="57">IF(C24=10,1,0)</f>
        <v>0</v>
      </c>
      <c r="AE24">
        <f t="shared" ref="AE24:AE31" si="58">IF(C24="SILO",1,0)</f>
        <v>0</v>
      </c>
      <c r="AF24">
        <f t="shared" ref="AF24:AF31" si="59">IF(C24="CB",1,0)</f>
        <v>0</v>
      </c>
    </row>
    <row r="25" spans="1:32" x14ac:dyDescent="0.35">
      <c r="A25" s="3">
        <v>45432</v>
      </c>
      <c r="B25" s="1" t="s">
        <v>248</v>
      </c>
      <c r="C25" s="1" t="s">
        <v>248</v>
      </c>
      <c r="D25" s="1">
        <v>1</v>
      </c>
      <c r="E25" s="1" t="s">
        <v>19</v>
      </c>
      <c r="F25" s="1"/>
      <c r="G25" s="5"/>
      <c r="H25" s="5"/>
      <c r="I25" s="1"/>
      <c r="J25" s="1"/>
      <c r="K25" s="31">
        <f t="shared" si="42"/>
        <v>0</v>
      </c>
      <c r="L25" s="1">
        <f ca="1">IF(F25=0,0,(TODAY()-A25))</f>
        <v>0</v>
      </c>
      <c r="M25" s="8">
        <f t="shared" si="44"/>
        <v>0</v>
      </c>
      <c r="N25" s="8">
        <f t="shared" si="45"/>
        <v>0</v>
      </c>
      <c r="O25" s="8">
        <f t="shared" si="46"/>
        <v>0</v>
      </c>
      <c r="P25" s="8">
        <f t="shared" si="47"/>
        <v>0</v>
      </c>
      <c r="Q25" s="1">
        <f t="shared" si="21"/>
        <v>0</v>
      </c>
      <c r="R25" s="1">
        <f t="shared" si="22"/>
        <v>0</v>
      </c>
      <c r="S25" s="1">
        <f t="shared" si="23"/>
        <v>0</v>
      </c>
      <c r="U25">
        <f t="shared" si="48"/>
        <v>0</v>
      </c>
      <c r="V25">
        <f t="shared" si="49"/>
        <v>0</v>
      </c>
      <c r="W25">
        <f t="shared" si="50"/>
        <v>0</v>
      </c>
      <c r="X25">
        <f t="shared" si="51"/>
        <v>0</v>
      </c>
      <c r="Y25">
        <f t="shared" si="52"/>
        <v>0</v>
      </c>
      <c r="Z25">
        <f t="shared" si="53"/>
        <v>0</v>
      </c>
      <c r="AA25">
        <f t="shared" si="54"/>
        <v>0</v>
      </c>
      <c r="AB25">
        <f t="shared" si="55"/>
        <v>0</v>
      </c>
      <c r="AC25">
        <f t="shared" si="56"/>
        <v>0</v>
      </c>
      <c r="AD25">
        <f t="shared" si="57"/>
        <v>0</v>
      </c>
      <c r="AE25">
        <f t="shared" si="58"/>
        <v>0</v>
      </c>
      <c r="AF25">
        <f t="shared" si="59"/>
        <v>0</v>
      </c>
    </row>
    <row r="26" spans="1:32" x14ac:dyDescent="0.35">
      <c r="A26" s="3">
        <v>45433</v>
      </c>
      <c r="B26" s="1" t="s">
        <v>248</v>
      </c>
      <c r="C26" s="1" t="s">
        <v>248</v>
      </c>
      <c r="D26" s="1">
        <v>1</v>
      </c>
      <c r="E26" s="1" t="s">
        <v>19</v>
      </c>
      <c r="F26" s="1"/>
      <c r="G26" s="5"/>
      <c r="H26" s="5"/>
      <c r="I26" s="3"/>
      <c r="J26" s="1"/>
      <c r="K26" s="31">
        <f t="shared" ref="K26" si="60">F26-J26</f>
        <v>0</v>
      </c>
      <c r="L26" s="1">
        <f t="shared" ref="L26" ca="1" si="61">IF(F26=0,0,(TODAY()-A26))</f>
        <v>0</v>
      </c>
      <c r="M26" s="8">
        <f t="shared" ref="M26" si="62">IF(E26="T",G26,0)</f>
        <v>0</v>
      </c>
      <c r="N26" s="8">
        <f t="shared" ref="N26" si="63">IF(E26="T",K26,0)</f>
        <v>0</v>
      </c>
      <c r="O26" s="8">
        <f t="shared" ref="O26" si="64">IF(E26="B",G26,0)</f>
        <v>0</v>
      </c>
      <c r="P26" s="8">
        <f t="shared" ref="P26" si="65">IF(E26="B",K26,0)</f>
        <v>0</v>
      </c>
      <c r="Q26" s="1">
        <f t="shared" si="21"/>
        <v>0</v>
      </c>
      <c r="R26" s="1">
        <f t="shared" si="22"/>
        <v>0</v>
      </c>
      <c r="S26" s="1">
        <f t="shared" si="23"/>
        <v>0</v>
      </c>
      <c r="U26">
        <f t="shared" ref="U26" si="66">IF(C26=1,1,0)</f>
        <v>0</v>
      </c>
      <c r="V26">
        <f t="shared" ref="V26" si="67">IF(C26=2,1,0)</f>
        <v>0</v>
      </c>
      <c r="W26">
        <f t="shared" ref="W26" si="68">IF(C26=3,1,0)</f>
        <v>0</v>
      </c>
      <c r="X26">
        <f t="shared" ref="X26" si="69">IF(C26=4,1,0)</f>
        <v>0</v>
      </c>
      <c r="Y26">
        <f t="shared" ref="Y26" si="70">IF(C26=5,1,0)</f>
        <v>0</v>
      </c>
      <c r="Z26">
        <f t="shared" ref="Z26" si="71">IF(C26=6,1,0)</f>
        <v>0</v>
      </c>
      <c r="AA26">
        <f t="shared" ref="AA26" si="72">IF(C26=7,1,0)</f>
        <v>0</v>
      </c>
      <c r="AB26">
        <f t="shared" ref="AB26" si="73">IF(C26=8,1,0)</f>
        <v>0</v>
      </c>
      <c r="AC26">
        <f t="shared" ref="AC26" si="74">IF(C26=9,1,0)</f>
        <v>0</v>
      </c>
      <c r="AD26">
        <f t="shared" ref="AD26" si="75">IF(C26=10,1,0)</f>
        <v>0</v>
      </c>
      <c r="AE26">
        <f t="shared" ref="AE26" si="76">IF(C26="SILO",1,0)</f>
        <v>0</v>
      </c>
      <c r="AF26">
        <f t="shared" ref="AF26" si="77">IF(C26="CB",1,0)</f>
        <v>0</v>
      </c>
    </row>
    <row r="27" spans="1:32" x14ac:dyDescent="0.35">
      <c r="A27" s="3">
        <v>45434</v>
      </c>
      <c r="B27" s="1" t="s">
        <v>248</v>
      </c>
      <c r="C27" s="1" t="s">
        <v>248</v>
      </c>
      <c r="D27" s="1">
        <v>1</v>
      </c>
      <c r="E27" s="1" t="s">
        <v>19</v>
      </c>
      <c r="F27" s="1"/>
      <c r="G27" s="5"/>
      <c r="H27" s="5"/>
      <c r="I27" s="3"/>
      <c r="J27" s="1"/>
      <c r="K27" s="31">
        <f t="shared" ref="K27" si="78">F27-J27</f>
        <v>0</v>
      </c>
      <c r="L27" s="1">
        <f t="shared" ref="L27" ca="1" si="79">IF(F27=0,0,(TODAY()-A27))</f>
        <v>0</v>
      </c>
      <c r="M27" s="8">
        <f t="shared" ref="M27" si="80">IF(E27="T",G27,0)</f>
        <v>0</v>
      </c>
      <c r="N27" s="8">
        <f t="shared" ref="N27" si="81">IF(E27="T",K27,0)</f>
        <v>0</v>
      </c>
      <c r="O27" s="8">
        <f t="shared" ref="O27" si="82">IF(E27="B",G27,0)</f>
        <v>0</v>
      </c>
      <c r="P27" s="8">
        <f t="shared" ref="P27" si="83">IF(E27="B",K27,0)</f>
        <v>0</v>
      </c>
      <c r="Q27" s="1">
        <f t="shared" si="21"/>
        <v>0</v>
      </c>
      <c r="R27" s="1">
        <f t="shared" si="22"/>
        <v>0</v>
      </c>
      <c r="S27" s="1">
        <f t="shared" si="23"/>
        <v>0</v>
      </c>
      <c r="U27">
        <f t="shared" ref="U27" si="84">IF(C27=1,1,0)</f>
        <v>0</v>
      </c>
      <c r="V27">
        <f t="shared" ref="V27" si="85">IF(C27=2,1,0)</f>
        <v>0</v>
      </c>
      <c r="W27">
        <f t="shared" ref="W27" si="86">IF(C27=3,1,0)</f>
        <v>0</v>
      </c>
      <c r="X27">
        <f t="shared" ref="X27" si="87">IF(C27=4,1,0)</f>
        <v>0</v>
      </c>
      <c r="Y27">
        <f t="shared" ref="Y27" si="88">IF(C27=5,1,0)</f>
        <v>0</v>
      </c>
      <c r="Z27">
        <f t="shared" ref="Z27" si="89">IF(C27=6,1,0)</f>
        <v>0</v>
      </c>
      <c r="AA27">
        <f t="shared" ref="AA27" si="90">IF(C27=7,1,0)</f>
        <v>0</v>
      </c>
      <c r="AB27">
        <f t="shared" ref="AB27" si="91">IF(C27=8,1,0)</f>
        <v>0</v>
      </c>
      <c r="AC27">
        <f t="shared" ref="AC27" si="92">IF(C27=9,1,0)</f>
        <v>0</v>
      </c>
      <c r="AD27">
        <f t="shared" ref="AD27" si="93">IF(C27=10,1,0)</f>
        <v>0</v>
      </c>
      <c r="AE27">
        <f t="shared" ref="AE27" si="94">IF(C27="SILO",1,0)</f>
        <v>0</v>
      </c>
      <c r="AF27">
        <f t="shared" ref="AF27" si="95">IF(C27="CB",1,0)</f>
        <v>0</v>
      </c>
    </row>
    <row r="28" spans="1:32" x14ac:dyDescent="0.35">
      <c r="A28" s="3">
        <v>45435</v>
      </c>
      <c r="B28" s="1" t="s">
        <v>248</v>
      </c>
      <c r="C28" s="1" t="s">
        <v>248</v>
      </c>
      <c r="D28" s="1">
        <v>1</v>
      </c>
      <c r="E28" s="1" t="s">
        <v>19</v>
      </c>
      <c r="F28" s="1"/>
      <c r="G28" s="5"/>
      <c r="H28" s="5"/>
      <c r="I28" s="3"/>
      <c r="J28" s="1"/>
      <c r="K28" s="31">
        <f t="shared" si="42"/>
        <v>0</v>
      </c>
      <c r="L28" s="1">
        <f t="shared" ca="1" si="43"/>
        <v>0</v>
      </c>
      <c r="M28" s="8">
        <f t="shared" si="44"/>
        <v>0</v>
      </c>
      <c r="N28" s="8">
        <f t="shared" si="45"/>
        <v>0</v>
      </c>
      <c r="O28" s="8">
        <f t="shared" si="46"/>
        <v>0</v>
      </c>
      <c r="P28" s="8">
        <f t="shared" si="47"/>
        <v>0</v>
      </c>
      <c r="Q28" s="1">
        <f t="shared" si="21"/>
        <v>0</v>
      </c>
      <c r="R28" s="1">
        <f t="shared" si="22"/>
        <v>0</v>
      </c>
      <c r="S28" s="1">
        <f t="shared" si="23"/>
        <v>0</v>
      </c>
      <c r="U28">
        <f t="shared" si="48"/>
        <v>0</v>
      </c>
      <c r="V28">
        <f t="shared" si="49"/>
        <v>0</v>
      </c>
      <c r="W28">
        <f t="shared" si="50"/>
        <v>0</v>
      </c>
      <c r="X28">
        <f t="shared" si="51"/>
        <v>0</v>
      </c>
      <c r="Y28">
        <f t="shared" si="52"/>
        <v>0</v>
      </c>
      <c r="Z28">
        <f t="shared" si="53"/>
        <v>0</v>
      </c>
      <c r="AA28">
        <f t="shared" si="54"/>
        <v>0</v>
      </c>
      <c r="AB28">
        <f t="shared" si="55"/>
        <v>0</v>
      </c>
      <c r="AC28">
        <f t="shared" si="56"/>
        <v>0</v>
      </c>
      <c r="AD28">
        <f t="shared" si="57"/>
        <v>0</v>
      </c>
      <c r="AE28">
        <f t="shared" si="58"/>
        <v>0</v>
      </c>
      <c r="AF28">
        <f t="shared" si="59"/>
        <v>0</v>
      </c>
    </row>
    <row r="29" spans="1:32" x14ac:dyDescent="0.35">
      <c r="A29" s="3">
        <v>45436</v>
      </c>
      <c r="B29" s="1" t="s">
        <v>248</v>
      </c>
      <c r="C29" s="1" t="s">
        <v>248</v>
      </c>
      <c r="D29" s="1">
        <v>1</v>
      </c>
      <c r="E29" s="1" t="s">
        <v>19</v>
      </c>
      <c r="F29" s="1"/>
      <c r="G29" s="5"/>
      <c r="H29" s="5"/>
      <c r="I29" s="3"/>
      <c r="J29" s="1"/>
      <c r="K29" s="31">
        <f t="shared" si="42"/>
        <v>0</v>
      </c>
      <c r="L29" s="1">
        <f t="shared" ca="1" si="43"/>
        <v>0</v>
      </c>
      <c r="M29" s="8">
        <f t="shared" si="44"/>
        <v>0</v>
      </c>
      <c r="N29" s="8">
        <f t="shared" si="45"/>
        <v>0</v>
      </c>
      <c r="O29" s="8">
        <f t="shared" si="46"/>
        <v>0</v>
      </c>
      <c r="P29" s="8">
        <f t="shared" si="47"/>
        <v>0</v>
      </c>
      <c r="Q29" s="1">
        <f t="shared" si="21"/>
        <v>0</v>
      </c>
      <c r="R29" s="1">
        <f t="shared" si="22"/>
        <v>0</v>
      </c>
      <c r="S29" s="1">
        <f t="shared" si="23"/>
        <v>0</v>
      </c>
      <c r="U29">
        <f t="shared" si="48"/>
        <v>0</v>
      </c>
      <c r="V29">
        <f t="shared" si="49"/>
        <v>0</v>
      </c>
      <c r="W29">
        <f t="shared" si="50"/>
        <v>0</v>
      </c>
      <c r="X29">
        <f t="shared" si="51"/>
        <v>0</v>
      </c>
      <c r="Y29">
        <f t="shared" si="52"/>
        <v>0</v>
      </c>
      <c r="Z29">
        <f t="shared" si="53"/>
        <v>0</v>
      </c>
      <c r="AA29">
        <f t="shared" si="54"/>
        <v>0</v>
      </c>
      <c r="AB29">
        <f t="shared" si="55"/>
        <v>0</v>
      </c>
      <c r="AC29">
        <f t="shared" si="56"/>
        <v>0</v>
      </c>
      <c r="AD29">
        <f t="shared" si="57"/>
        <v>0</v>
      </c>
      <c r="AE29">
        <f t="shared" si="58"/>
        <v>0</v>
      </c>
      <c r="AF29">
        <f t="shared" si="59"/>
        <v>0</v>
      </c>
    </row>
    <row r="30" spans="1:32" x14ac:dyDescent="0.35">
      <c r="A30" s="3">
        <v>45437</v>
      </c>
      <c r="B30" s="1" t="s">
        <v>248</v>
      </c>
      <c r="C30" s="1" t="s">
        <v>248</v>
      </c>
      <c r="D30" s="1">
        <v>1</v>
      </c>
      <c r="E30" s="1" t="s">
        <v>19</v>
      </c>
      <c r="F30" s="1"/>
      <c r="G30" s="5"/>
      <c r="H30" s="5"/>
      <c r="I30" s="3"/>
      <c r="J30" s="1"/>
      <c r="K30" s="31">
        <f t="shared" si="42"/>
        <v>0</v>
      </c>
      <c r="L30" s="1">
        <f t="shared" ca="1" si="43"/>
        <v>0</v>
      </c>
      <c r="M30" s="8">
        <f t="shared" si="44"/>
        <v>0</v>
      </c>
      <c r="N30" s="8">
        <f t="shared" si="45"/>
        <v>0</v>
      </c>
      <c r="O30" s="8">
        <f t="shared" si="46"/>
        <v>0</v>
      </c>
      <c r="P30" s="8">
        <f t="shared" si="47"/>
        <v>0</v>
      </c>
      <c r="Q30" s="1">
        <f t="shared" si="21"/>
        <v>0</v>
      </c>
      <c r="R30" s="1">
        <f t="shared" si="22"/>
        <v>0</v>
      </c>
      <c r="S30" s="1">
        <f t="shared" si="23"/>
        <v>0</v>
      </c>
      <c r="U30">
        <f t="shared" si="48"/>
        <v>0</v>
      </c>
      <c r="V30">
        <f t="shared" si="49"/>
        <v>0</v>
      </c>
      <c r="W30">
        <f t="shared" si="50"/>
        <v>0</v>
      </c>
      <c r="X30">
        <f t="shared" si="51"/>
        <v>0</v>
      </c>
      <c r="Y30">
        <f t="shared" si="52"/>
        <v>0</v>
      </c>
      <c r="Z30">
        <f t="shared" si="53"/>
        <v>0</v>
      </c>
      <c r="AA30">
        <f t="shared" si="54"/>
        <v>0</v>
      </c>
      <c r="AB30">
        <f t="shared" si="55"/>
        <v>0</v>
      </c>
      <c r="AC30">
        <f t="shared" si="56"/>
        <v>0</v>
      </c>
      <c r="AD30">
        <f t="shared" si="57"/>
        <v>0</v>
      </c>
      <c r="AE30">
        <f t="shared" si="58"/>
        <v>0</v>
      </c>
      <c r="AF30">
        <f t="shared" si="59"/>
        <v>0</v>
      </c>
    </row>
    <row r="31" spans="1:32" x14ac:dyDescent="0.35">
      <c r="A31" s="3">
        <v>45438</v>
      </c>
      <c r="B31" s="1" t="s">
        <v>248</v>
      </c>
      <c r="C31" s="1" t="s">
        <v>248</v>
      </c>
      <c r="D31" s="1">
        <v>1</v>
      </c>
      <c r="E31" s="1" t="s">
        <v>19</v>
      </c>
      <c r="F31" s="1"/>
      <c r="G31" s="5"/>
      <c r="H31" s="5"/>
      <c r="I31" s="1"/>
      <c r="J31" s="1"/>
      <c r="K31" s="31">
        <f t="shared" si="42"/>
        <v>0</v>
      </c>
      <c r="L31" s="1">
        <f ca="1">IF(F31=0,0,(TODAY()-A31))</f>
        <v>0</v>
      </c>
      <c r="M31" s="8">
        <f t="shared" si="44"/>
        <v>0</v>
      </c>
      <c r="N31" s="8">
        <f t="shared" si="45"/>
        <v>0</v>
      </c>
      <c r="O31" s="8">
        <f t="shared" si="46"/>
        <v>0</v>
      </c>
      <c r="P31" s="8">
        <f t="shared" si="47"/>
        <v>0</v>
      </c>
      <c r="Q31" s="1">
        <f t="shared" si="21"/>
        <v>0</v>
      </c>
      <c r="R31" s="1">
        <f t="shared" si="22"/>
        <v>0</v>
      </c>
      <c r="S31" s="1">
        <f t="shared" si="23"/>
        <v>0</v>
      </c>
      <c r="U31">
        <f t="shared" si="48"/>
        <v>0</v>
      </c>
      <c r="V31">
        <f t="shared" si="49"/>
        <v>0</v>
      </c>
      <c r="W31">
        <f t="shared" si="50"/>
        <v>0</v>
      </c>
      <c r="X31">
        <f t="shared" si="51"/>
        <v>0</v>
      </c>
      <c r="Y31">
        <f t="shared" si="52"/>
        <v>0</v>
      </c>
      <c r="Z31">
        <f t="shared" si="53"/>
        <v>0</v>
      </c>
      <c r="AA31">
        <f t="shared" si="54"/>
        <v>0</v>
      </c>
      <c r="AB31">
        <f t="shared" si="55"/>
        <v>0</v>
      </c>
      <c r="AC31">
        <f t="shared" si="56"/>
        <v>0</v>
      </c>
      <c r="AD31">
        <f t="shared" si="57"/>
        <v>0</v>
      </c>
      <c r="AE31">
        <f t="shared" si="58"/>
        <v>0</v>
      </c>
      <c r="AF31">
        <f t="shared" si="59"/>
        <v>0</v>
      </c>
    </row>
    <row r="32" spans="1:32" x14ac:dyDescent="0.35">
      <c r="A32" s="3">
        <v>45439</v>
      </c>
      <c r="B32" s="1" t="s">
        <v>248</v>
      </c>
      <c r="C32" s="1" t="s">
        <v>248</v>
      </c>
      <c r="D32" s="1">
        <v>1</v>
      </c>
      <c r="E32" s="1" t="s">
        <v>19</v>
      </c>
      <c r="F32" s="1"/>
      <c r="G32" s="5"/>
      <c r="H32" s="5"/>
      <c r="I32" s="1"/>
      <c r="J32" s="1"/>
      <c r="K32" s="31">
        <f t="shared" si="1"/>
        <v>0</v>
      </c>
      <c r="L32" s="1">
        <f t="shared" ref="L32:L36" ca="1" si="96">IF(F32=0,0,(TODAY()-A32))</f>
        <v>0</v>
      </c>
      <c r="M32" s="8">
        <f t="shared" si="2"/>
        <v>0</v>
      </c>
      <c r="N32" s="8">
        <f t="shared" si="3"/>
        <v>0</v>
      </c>
      <c r="O32" s="8">
        <f t="shared" si="4"/>
        <v>0</v>
      </c>
      <c r="P32" s="8">
        <f t="shared" si="5"/>
        <v>0</v>
      </c>
      <c r="Q32" s="1">
        <f t="shared" si="21"/>
        <v>0</v>
      </c>
      <c r="R32" s="1">
        <f t="shared" si="22"/>
        <v>0</v>
      </c>
      <c r="S32" s="1">
        <f t="shared" si="23"/>
        <v>0</v>
      </c>
      <c r="U32">
        <f t="shared" si="9"/>
        <v>0</v>
      </c>
      <c r="V32">
        <f t="shared" si="10"/>
        <v>0</v>
      </c>
      <c r="W32">
        <f t="shared" si="11"/>
        <v>0</v>
      </c>
      <c r="X32">
        <f t="shared" si="12"/>
        <v>0</v>
      </c>
      <c r="Y32">
        <f t="shared" si="13"/>
        <v>0</v>
      </c>
      <c r="Z32">
        <f t="shared" si="14"/>
        <v>0</v>
      </c>
      <c r="AA32">
        <f t="shared" si="15"/>
        <v>0</v>
      </c>
      <c r="AB32">
        <f t="shared" si="16"/>
        <v>0</v>
      </c>
      <c r="AC32">
        <f t="shared" si="17"/>
        <v>0</v>
      </c>
      <c r="AD32">
        <f t="shared" si="18"/>
        <v>0</v>
      </c>
      <c r="AE32">
        <f t="shared" si="19"/>
        <v>0</v>
      </c>
      <c r="AF32">
        <f t="shared" si="20"/>
        <v>0</v>
      </c>
    </row>
    <row r="33" spans="1:32" x14ac:dyDescent="0.35">
      <c r="A33" s="3">
        <v>45440</v>
      </c>
      <c r="B33" s="1" t="s">
        <v>248</v>
      </c>
      <c r="C33" s="1" t="s">
        <v>248</v>
      </c>
      <c r="D33" s="1">
        <v>1</v>
      </c>
      <c r="E33" s="1" t="s">
        <v>19</v>
      </c>
      <c r="F33" s="1"/>
      <c r="G33" s="5"/>
      <c r="H33" s="5"/>
      <c r="I33" s="1"/>
      <c r="J33" s="1"/>
      <c r="K33" s="31">
        <f t="shared" si="1"/>
        <v>0</v>
      </c>
      <c r="L33" s="1">
        <f t="shared" ca="1" si="96"/>
        <v>0</v>
      </c>
      <c r="M33" s="8">
        <f t="shared" si="2"/>
        <v>0</v>
      </c>
      <c r="N33" s="8">
        <f t="shared" si="3"/>
        <v>0</v>
      </c>
      <c r="O33" s="8">
        <f t="shared" si="4"/>
        <v>0</v>
      </c>
      <c r="P33" s="8">
        <f t="shared" si="5"/>
        <v>0</v>
      </c>
      <c r="Q33" s="1">
        <f t="shared" si="21"/>
        <v>0</v>
      </c>
      <c r="R33" s="1">
        <f t="shared" si="22"/>
        <v>0</v>
      </c>
      <c r="S33" s="1">
        <f t="shared" si="23"/>
        <v>0</v>
      </c>
      <c r="U33">
        <f t="shared" si="9"/>
        <v>0</v>
      </c>
      <c r="V33">
        <f t="shared" si="10"/>
        <v>0</v>
      </c>
      <c r="W33">
        <f t="shared" si="11"/>
        <v>0</v>
      </c>
      <c r="X33">
        <f t="shared" si="12"/>
        <v>0</v>
      </c>
      <c r="Y33">
        <f t="shared" si="13"/>
        <v>0</v>
      </c>
      <c r="Z33">
        <f t="shared" si="14"/>
        <v>0</v>
      </c>
      <c r="AA33">
        <f t="shared" si="15"/>
        <v>0</v>
      </c>
      <c r="AB33">
        <f t="shared" si="16"/>
        <v>0</v>
      </c>
      <c r="AC33">
        <f t="shared" si="17"/>
        <v>0</v>
      </c>
      <c r="AD33">
        <f t="shared" si="18"/>
        <v>0</v>
      </c>
      <c r="AE33">
        <f t="shared" si="19"/>
        <v>0</v>
      </c>
      <c r="AF33">
        <f t="shared" si="20"/>
        <v>0</v>
      </c>
    </row>
    <row r="34" spans="1:32" x14ac:dyDescent="0.35">
      <c r="A34" s="3">
        <v>45441</v>
      </c>
      <c r="B34" s="1" t="s">
        <v>248</v>
      </c>
      <c r="C34" s="1" t="s">
        <v>248</v>
      </c>
      <c r="D34" s="1">
        <v>1</v>
      </c>
      <c r="E34" s="1" t="s">
        <v>19</v>
      </c>
      <c r="F34" s="1"/>
      <c r="G34" s="5"/>
      <c r="H34" s="5"/>
      <c r="I34" s="1"/>
      <c r="J34" s="1"/>
      <c r="K34" s="31">
        <f t="shared" si="1"/>
        <v>0</v>
      </c>
      <c r="L34" s="1">
        <f t="shared" ca="1" si="96"/>
        <v>0</v>
      </c>
      <c r="M34" s="8">
        <f t="shared" si="2"/>
        <v>0</v>
      </c>
      <c r="N34" s="8">
        <f t="shared" si="3"/>
        <v>0</v>
      </c>
      <c r="O34" s="8">
        <f t="shared" si="4"/>
        <v>0</v>
      </c>
      <c r="P34" s="8">
        <f t="shared" si="5"/>
        <v>0</v>
      </c>
      <c r="Q34" s="1">
        <f t="shared" si="21"/>
        <v>0</v>
      </c>
      <c r="R34" s="1">
        <f t="shared" si="22"/>
        <v>0</v>
      </c>
      <c r="S34" s="1">
        <f t="shared" si="23"/>
        <v>0</v>
      </c>
      <c r="U34">
        <f t="shared" si="9"/>
        <v>0</v>
      </c>
      <c r="V34">
        <f t="shared" si="10"/>
        <v>0</v>
      </c>
      <c r="W34">
        <f t="shared" si="11"/>
        <v>0</v>
      </c>
      <c r="X34">
        <f t="shared" si="12"/>
        <v>0</v>
      </c>
      <c r="Y34">
        <f t="shared" si="13"/>
        <v>0</v>
      </c>
      <c r="Z34">
        <f t="shared" si="14"/>
        <v>0</v>
      </c>
      <c r="AA34">
        <f t="shared" si="15"/>
        <v>0</v>
      </c>
      <c r="AB34">
        <f t="shared" si="16"/>
        <v>0</v>
      </c>
      <c r="AC34">
        <f t="shared" si="17"/>
        <v>0</v>
      </c>
      <c r="AD34">
        <f t="shared" si="18"/>
        <v>0</v>
      </c>
      <c r="AE34">
        <f t="shared" si="19"/>
        <v>0</v>
      </c>
      <c r="AF34">
        <f t="shared" si="20"/>
        <v>0</v>
      </c>
    </row>
    <row r="35" spans="1:32" x14ac:dyDescent="0.35">
      <c r="A35" s="3">
        <v>45442</v>
      </c>
      <c r="B35" s="1" t="s">
        <v>248</v>
      </c>
      <c r="C35" s="1" t="s">
        <v>248</v>
      </c>
      <c r="D35" s="1">
        <v>1</v>
      </c>
      <c r="E35" s="1" t="s">
        <v>19</v>
      </c>
      <c r="F35" s="1"/>
      <c r="G35" s="5"/>
      <c r="H35" s="5"/>
      <c r="I35" s="1"/>
      <c r="J35" s="1"/>
      <c r="K35" s="31">
        <f t="shared" si="1"/>
        <v>0</v>
      </c>
      <c r="L35" s="1">
        <f t="shared" ca="1" si="96"/>
        <v>0</v>
      </c>
      <c r="M35" s="8">
        <f t="shared" si="2"/>
        <v>0</v>
      </c>
      <c r="N35" s="8">
        <f t="shared" si="3"/>
        <v>0</v>
      </c>
      <c r="O35" s="8">
        <f t="shared" si="4"/>
        <v>0</v>
      </c>
      <c r="P35" s="8">
        <f t="shared" si="5"/>
        <v>0</v>
      </c>
      <c r="Q35" s="1">
        <f t="shared" si="21"/>
        <v>0</v>
      </c>
      <c r="R35" s="1">
        <f t="shared" si="22"/>
        <v>0</v>
      </c>
      <c r="S35" s="1">
        <f t="shared" si="23"/>
        <v>0</v>
      </c>
      <c r="U35">
        <f t="shared" si="9"/>
        <v>0</v>
      </c>
      <c r="V35">
        <f t="shared" si="10"/>
        <v>0</v>
      </c>
      <c r="W35">
        <f t="shared" si="11"/>
        <v>0</v>
      </c>
      <c r="X35">
        <f t="shared" si="12"/>
        <v>0</v>
      </c>
      <c r="Y35">
        <f t="shared" si="13"/>
        <v>0</v>
      </c>
      <c r="Z35">
        <f t="shared" si="14"/>
        <v>0</v>
      </c>
      <c r="AA35">
        <f t="shared" si="15"/>
        <v>0</v>
      </c>
      <c r="AB35">
        <f t="shared" si="16"/>
        <v>0</v>
      </c>
      <c r="AC35">
        <f t="shared" si="17"/>
        <v>0</v>
      </c>
      <c r="AD35">
        <f t="shared" si="18"/>
        <v>0</v>
      </c>
      <c r="AE35">
        <f t="shared" si="19"/>
        <v>0</v>
      </c>
      <c r="AF35">
        <f t="shared" si="20"/>
        <v>0</v>
      </c>
    </row>
    <row r="36" spans="1:32" x14ac:dyDescent="0.35">
      <c r="A36" s="3">
        <v>45443</v>
      </c>
      <c r="B36" s="1" t="s">
        <v>248</v>
      </c>
      <c r="C36" s="1" t="s">
        <v>248</v>
      </c>
      <c r="D36" s="1">
        <v>1</v>
      </c>
      <c r="E36" s="1" t="s">
        <v>19</v>
      </c>
      <c r="F36" s="1"/>
      <c r="G36" s="5"/>
      <c r="H36" s="5"/>
      <c r="I36" s="1"/>
      <c r="J36" s="1"/>
      <c r="K36" s="31">
        <f t="shared" si="1"/>
        <v>0</v>
      </c>
      <c r="L36" s="1">
        <f t="shared" ca="1" si="96"/>
        <v>0</v>
      </c>
      <c r="M36" s="8">
        <f t="shared" si="2"/>
        <v>0</v>
      </c>
      <c r="N36" s="8">
        <f t="shared" si="3"/>
        <v>0</v>
      </c>
      <c r="O36" s="8">
        <f t="shared" si="4"/>
        <v>0</v>
      </c>
      <c r="P36" s="8">
        <f t="shared" si="5"/>
        <v>0</v>
      </c>
      <c r="Q36" s="1">
        <f t="shared" si="21"/>
        <v>0</v>
      </c>
      <c r="R36" s="1">
        <f t="shared" si="22"/>
        <v>0</v>
      </c>
      <c r="S36" s="1">
        <f t="shared" si="23"/>
        <v>0</v>
      </c>
      <c r="U36">
        <f t="shared" si="9"/>
        <v>0</v>
      </c>
      <c r="V36">
        <f t="shared" si="10"/>
        <v>0</v>
      </c>
      <c r="W36">
        <f t="shared" si="11"/>
        <v>0</v>
      </c>
      <c r="X36">
        <f t="shared" si="12"/>
        <v>0</v>
      </c>
      <c r="Y36">
        <f t="shared" si="13"/>
        <v>0</v>
      </c>
      <c r="Z36">
        <f t="shared" si="14"/>
        <v>0</v>
      </c>
      <c r="AA36">
        <f t="shared" si="15"/>
        <v>0</v>
      </c>
      <c r="AB36">
        <f t="shared" si="16"/>
        <v>0</v>
      </c>
      <c r="AC36">
        <f t="shared" si="17"/>
        <v>0</v>
      </c>
      <c r="AD36">
        <f t="shared" si="18"/>
        <v>0</v>
      </c>
      <c r="AE36">
        <f t="shared" si="19"/>
        <v>0</v>
      </c>
      <c r="AF36">
        <f t="shared" si="20"/>
        <v>0</v>
      </c>
    </row>
    <row r="37" spans="1:32" x14ac:dyDescent="0.35">
      <c r="A37" s="6"/>
      <c r="B37" s="7"/>
      <c r="C37" s="7"/>
      <c r="D37" s="7"/>
      <c r="E37" s="7"/>
      <c r="F37" s="7">
        <f>SUM(F6:F36)</f>
        <v>30600</v>
      </c>
      <c r="G37" s="4"/>
      <c r="H37" s="4"/>
      <c r="I37" s="7"/>
      <c r="J37" s="8" t="s">
        <v>20</v>
      </c>
      <c r="K37" s="1">
        <f>SUM(K6:K36)</f>
        <v>21600</v>
      </c>
      <c r="L37" s="26">
        <f>IF(U$37&gt;=1,1,0)</f>
        <v>0</v>
      </c>
      <c r="U37">
        <f t="shared" ref="U37:AF37" si="97">SUM(U6:U36)</f>
        <v>0</v>
      </c>
      <c r="V37">
        <f t="shared" si="97"/>
        <v>0</v>
      </c>
      <c r="W37">
        <f t="shared" si="97"/>
        <v>0</v>
      </c>
      <c r="X37">
        <f t="shared" si="97"/>
        <v>0</v>
      </c>
      <c r="Y37">
        <f t="shared" si="97"/>
        <v>0</v>
      </c>
      <c r="Z37">
        <f t="shared" si="97"/>
        <v>0</v>
      </c>
      <c r="AA37">
        <f t="shared" si="97"/>
        <v>0</v>
      </c>
      <c r="AB37">
        <f t="shared" si="97"/>
        <v>0</v>
      </c>
      <c r="AC37">
        <f t="shared" si="97"/>
        <v>0</v>
      </c>
      <c r="AD37">
        <f t="shared" si="97"/>
        <v>0</v>
      </c>
      <c r="AE37">
        <f t="shared" si="97"/>
        <v>0</v>
      </c>
      <c r="AF37">
        <f t="shared" si="97"/>
        <v>0</v>
      </c>
    </row>
    <row r="38" spans="1:32" x14ac:dyDescent="0.35">
      <c r="J38" s="8" t="s">
        <v>21</v>
      </c>
      <c r="K38" s="5">
        <f>SUMPRODUCT(K6:K36,G6:G36)/SUM(K6:K36)</f>
        <v>3250</v>
      </c>
      <c r="L38" s="26">
        <f>IF(V$37&gt;=1,1,0)</f>
        <v>0</v>
      </c>
    </row>
    <row r="39" spans="1:32" x14ac:dyDescent="0.35">
      <c r="J39" s="8" t="s">
        <v>11</v>
      </c>
      <c r="K39" s="5">
        <f>SUMPRODUCT(M6:M36,N6:N36)/SUM(N6:N36)</f>
        <v>3250</v>
      </c>
      <c r="L39" s="26">
        <f>IF(W$37&gt;=1,1,0)</f>
        <v>0</v>
      </c>
    </row>
    <row r="40" spans="1:32" x14ac:dyDescent="0.35">
      <c r="J40" s="8" t="s">
        <v>12</v>
      </c>
      <c r="K40" s="5">
        <f>SUM(N6:N36)</f>
        <v>21600</v>
      </c>
      <c r="L40" s="26">
        <f>IF(X$37&gt;=1,1,0)</f>
        <v>0</v>
      </c>
    </row>
    <row r="41" spans="1:32" x14ac:dyDescent="0.35">
      <c r="J41" s="8" t="s">
        <v>22</v>
      </c>
      <c r="K41" s="5" t="str">
        <f>IFERROR(SUMPRODUCT(O6:O36,P6:P36)/SUM(P6:P36),"0")</f>
        <v>0</v>
      </c>
      <c r="L41" s="26">
        <f>IF(Y$37&gt;=1,1,0)</f>
        <v>0</v>
      </c>
    </row>
    <row r="42" spans="1:32" x14ac:dyDescent="0.35">
      <c r="J42" s="8" t="s">
        <v>23</v>
      </c>
      <c r="K42" s="5">
        <f>SUM(P6:P36)</f>
        <v>0</v>
      </c>
      <c r="L42" s="26">
        <f>IF(Z$37&gt;=1,1,0)</f>
        <v>0</v>
      </c>
    </row>
    <row r="43" spans="1:32" x14ac:dyDescent="0.35">
      <c r="J43" s="8" t="s">
        <v>24</v>
      </c>
      <c r="K43" s="1">
        <f ca="1">MAX(L6:L36)</f>
        <v>275</v>
      </c>
      <c r="L43" s="26">
        <f>IF(AA$37&gt;=1,1,0)</f>
        <v>0</v>
      </c>
    </row>
    <row r="44" spans="1:32" x14ac:dyDescent="0.35">
      <c r="J44" s="8" t="s">
        <v>25</v>
      </c>
      <c r="K44" s="9">
        <f ca="1">AVERAGEIF((L6:L36),"&gt;0")</f>
        <v>267</v>
      </c>
      <c r="L44" s="26">
        <f>IF(AB$37&gt;=1,1,0)</f>
        <v>0</v>
      </c>
    </row>
    <row r="45" spans="1:32" x14ac:dyDescent="0.35">
      <c r="J45" s="8" t="s">
        <v>528</v>
      </c>
      <c r="K45" s="1">
        <f>SUM(Q6:Q36)</f>
        <v>0</v>
      </c>
      <c r="L45" s="26">
        <f>IF(AC$37&gt;=1,1,0)</f>
        <v>0</v>
      </c>
    </row>
    <row r="46" spans="1:32" x14ac:dyDescent="0.35">
      <c r="J46" s="8" t="s">
        <v>527</v>
      </c>
      <c r="K46" s="1">
        <f>SUM(R6:R36)</f>
        <v>21600</v>
      </c>
      <c r="L46" s="26">
        <f>IF(AD$37&gt;=1,1,0)</f>
        <v>0</v>
      </c>
    </row>
    <row r="47" spans="1:32" x14ac:dyDescent="0.35">
      <c r="J47" s="8" t="s">
        <v>526</v>
      </c>
      <c r="K47" s="1">
        <f>SUM(S6:S36)</f>
        <v>0</v>
      </c>
      <c r="L47" s="26">
        <f>IF(AE$37&gt;=1,1,0)</f>
        <v>0</v>
      </c>
    </row>
    <row r="48" spans="1:32" x14ac:dyDescent="0.35">
      <c r="L48" s="26">
        <f>IF(AF$37&gt;=1,1,0)</f>
        <v>0</v>
      </c>
    </row>
  </sheetData>
  <conditionalFormatting sqref="G6:H37">
    <cfRule type="cellIs" dxfId="15" priority="1" operator="between">
      <formula>2500</formula>
      <formula>2000</formula>
    </cfRule>
    <cfRule type="cellIs" dxfId="14" priority="2" operator="between">
      <formula>2500</formula>
      <formula>3000</formula>
    </cfRule>
    <cfRule type="cellIs" dxfId="13" priority="3" operator="between">
      <formula>3000</formula>
      <formula>3200</formula>
    </cfRule>
    <cfRule type="cellIs" dxfId="12" priority="4" operator="greaterThan">
      <formula>3600</formula>
    </cfRule>
    <cfRule type="cellIs" dxfId="11" priority="5" operator="between">
      <formula>3200</formula>
      <formula>3600</formula>
    </cfRule>
  </conditionalFormatting>
  <conditionalFormatting sqref="K39">
    <cfRule type="cellIs" dxfId="10" priority="57" operator="lessThan">
      <formula>2500</formula>
    </cfRule>
    <cfRule type="cellIs" dxfId="9" priority="58" operator="between">
      <formula>2500</formula>
      <formula>3000</formula>
    </cfRule>
    <cfRule type="cellIs" dxfId="8" priority="59" operator="between">
      <formula>3000</formula>
      <formula>3200</formula>
    </cfRule>
    <cfRule type="cellIs" dxfId="7" priority="60" operator="greaterThan">
      <formula>3600</formula>
    </cfRule>
    <cfRule type="cellIs" dxfId="6" priority="61" operator="between">
      <formula>3200</formula>
      <formula>3600</formula>
    </cfRule>
  </conditionalFormatting>
  <conditionalFormatting sqref="K41">
    <cfRule type="cellIs" dxfId="5" priority="52" operator="lessThan">
      <formula>2500</formula>
    </cfRule>
    <cfRule type="cellIs" dxfId="4" priority="53" operator="between">
      <formula>2500</formula>
      <formula>3000</formula>
    </cfRule>
    <cfRule type="cellIs" dxfId="3" priority="54" operator="between">
      <formula>3000</formula>
      <formula>3200</formula>
    </cfRule>
    <cfRule type="cellIs" dxfId="2" priority="55" operator="greaterThan">
      <formula>3600</formula>
    </cfRule>
    <cfRule type="cellIs" dxfId="1" priority="56" operator="between">
      <formula>3200</formula>
      <formula>3600</formula>
    </cfRule>
  </conditionalFormatting>
  <conditionalFormatting sqref="L6:L48">
    <cfRule type="cellIs" dxfId="0" priority="6" operator="greaterThan">
      <formula>10</formula>
    </cfRule>
  </conditionalFormatting>
  <hyperlinks>
    <hyperlink ref="A3" location="'summery '!A1" display="summery " xr:uid="{00000000-0004-0000-13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summery </vt:lpstr>
      <vt:lpstr>RAKE GCV </vt:lpstr>
      <vt:lpstr>blending </vt:lpstr>
      <vt:lpstr>PILE-1A</vt:lpstr>
      <vt:lpstr>PILE-1B</vt:lpstr>
      <vt:lpstr>PILE-1C</vt:lpstr>
      <vt:lpstr>PILE-1D</vt:lpstr>
      <vt:lpstr>PILE-2A</vt:lpstr>
      <vt:lpstr>PILE-2B</vt:lpstr>
      <vt:lpstr>PILE-2C</vt:lpstr>
      <vt:lpstr>PILE-2D</vt:lpstr>
      <vt:lpstr>PILE-3A</vt:lpstr>
      <vt:lpstr>PILE-3B</vt:lpstr>
      <vt:lpstr>PILE-3C</vt:lpstr>
      <vt:lpstr>PILE-3D</vt:lpstr>
      <vt:lpstr>PILE-4A</vt:lpstr>
      <vt:lpstr>PILE-4B</vt:lpstr>
      <vt:lpstr>PILE-4C</vt:lpstr>
      <vt:lpstr>PILE-4D</vt:lpstr>
      <vt:lpstr>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2025-01-31T10:45:59Z</dcterms:modified>
</cp:coreProperties>
</file>